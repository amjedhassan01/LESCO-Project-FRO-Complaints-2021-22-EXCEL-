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D:\my filles\FRO Sitara Colony\"/>
    </mc:Choice>
  </mc:AlternateContent>
  <xr:revisionPtr revIDLastSave="0" documentId="13_ncr:1_{6E0DD66D-37E5-4ED6-A8B2-60DFC9226965}" xr6:coauthVersionLast="47" xr6:coauthVersionMax="47" xr10:uidLastSave="{00000000-0000-0000-0000-000000000000}"/>
  <bookViews>
    <workbookView xWindow="-120" yWindow="-120" windowWidth="24240" windowHeight="17640" firstSheet="2" activeTab="2" xr2:uid="{00000000-000D-0000-FFFF-FFFF00000000}"/>
  </bookViews>
  <sheets>
    <sheet name="Fro Complaints 2020-21" sheetId="5" state="veryHidden" r:id="rId1"/>
    <sheet name="Visuals" sheetId="8" state="veryHidden" r:id="rId2"/>
    <sheet name="PERFORMANCE DASHBOARD" sheetId="9" r:id="rId3"/>
  </sheets>
  <definedNames>
    <definedName name="_xlcn.WorksheetConnection_SitaraColonyFRO202021.xlsxTable91" hidden="1">Table9</definedName>
    <definedName name="NativeTimeline_SHUT_TIME">#N/A</definedName>
    <definedName name="Slicer_Batch_NO.1">#N/A</definedName>
    <definedName name="Slicer_REASON">#N/A</definedName>
    <definedName name="Slicer_Shifts">#N/A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FCE2AD5D-F65C-4FA6-A056-5C36A1767C68}">
      <x15:dataModel>
        <x15:modelTables>
          <x15:modelTable id="Table9" name="Table9" connection="WorksheetConnection_Sitara Colony FRO 2020-21.xlsx!Table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5" l="1"/>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K1503" i="5"/>
  <c r="K1504" i="5"/>
  <c r="K1505" i="5"/>
  <c r="K1506" i="5"/>
  <c r="K1507" i="5"/>
  <c r="K1508" i="5"/>
  <c r="K1509" i="5"/>
  <c r="K1510" i="5"/>
  <c r="K1511" i="5"/>
  <c r="K1512" i="5"/>
  <c r="K1513" i="5"/>
  <c r="K1514" i="5"/>
  <c r="K1515" i="5"/>
  <c r="K1516" i="5"/>
  <c r="K1517" i="5"/>
  <c r="K1518" i="5"/>
  <c r="K1519" i="5"/>
  <c r="K1520" i="5"/>
  <c r="K1521" i="5"/>
  <c r="K1522" i="5"/>
  <c r="K1523" i="5"/>
  <c r="K1524" i="5"/>
  <c r="K1525" i="5"/>
  <c r="K1526" i="5"/>
  <c r="K1527" i="5"/>
  <c r="K1528" i="5"/>
  <c r="K1529" i="5"/>
  <c r="K1530" i="5"/>
  <c r="K1531" i="5"/>
  <c r="K1532" i="5"/>
  <c r="K1533" i="5"/>
  <c r="K1534" i="5"/>
  <c r="K1535" i="5"/>
  <c r="K1536" i="5"/>
  <c r="K1537" i="5"/>
  <c r="K1538" i="5"/>
  <c r="K1539" i="5"/>
  <c r="K1540" i="5"/>
  <c r="K1541" i="5"/>
  <c r="K1542" i="5"/>
  <c r="K1543" i="5"/>
  <c r="K1544" i="5"/>
  <c r="K1545" i="5"/>
  <c r="K1546"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K1589" i="5"/>
  <c r="K1590" i="5"/>
  <c r="K1591" i="5"/>
  <c r="K1592" i="5"/>
  <c r="K1593" i="5"/>
  <c r="K1594" i="5"/>
  <c r="K1595" i="5"/>
  <c r="K1596" i="5"/>
  <c r="K1597" i="5"/>
  <c r="K1598" i="5"/>
  <c r="K1599" i="5"/>
  <c r="K1600" i="5"/>
  <c r="K1601" i="5"/>
  <c r="K1602" i="5"/>
  <c r="K1603" i="5"/>
  <c r="K1604" i="5"/>
  <c r="K1605" i="5"/>
  <c r="K1606" i="5"/>
  <c r="K1607" i="5"/>
  <c r="K1608" i="5"/>
  <c r="K1609" i="5"/>
  <c r="K1610" i="5"/>
  <c r="K1611" i="5"/>
  <c r="K1612" i="5"/>
  <c r="K1613" i="5"/>
  <c r="K161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K1646" i="5"/>
  <c r="K1647" i="5"/>
  <c r="K1648" i="5"/>
  <c r="K1649" i="5"/>
  <c r="K1650" i="5"/>
  <c r="K1651" i="5"/>
  <c r="K1652" i="5"/>
  <c r="K1653" i="5"/>
  <c r="K1654" i="5"/>
  <c r="K1655" i="5"/>
  <c r="K1656" i="5"/>
  <c r="K1657" i="5"/>
  <c r="K1658" i="5"/>
  <c r="K1659" i="5"/>
  <c r="K1660" i="5"/>
  <c r="K1661" i="5"/>
  <c r="K1662" i="5"/>
  <c r="K1663" i="5"/>
  <c r="K1664" i="5"/>
  <c r="K1665" i="5"/>
  <c r="K1666" i="5"/>
  <c r="K1667" i="5"/>
  <c r="K1668" i="5"/>
  <c r="K1669" i="5"/>
  <c r="K1670" i="5"/>
  <c r="K1671" i="5"/>
  <c r="K1672" i="5"/>
  <c r="K1673" i="5"/>
  <c r="K1674" i="5"/>
  <c r="K1675" i="5"/>
  <c r="K1676" i="5"/>
  <c r="K1677" i="5"/>
  <c r="K1678"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707" i="5"/>
  <c r="K1708" i="5"/>
  <c r="K1709" i="5"/>
  <c r="K1710" i="5"/>
  <c r="K1711" i="5"/>
  <c r="K1712" i="5"/>
  <c r="K1713" i="5"/>
  <c r="K1714" i="5"/>
  <c r="K1715" i="5"/>
  <c r="K1716" i="5"/>
  <c r="K1717" i="5"/>
  <c r="K1718" i="5"/>
  <c r="K1719" i="5"/>
  <c r="K1720" i="5"/>
  <c r="K1721" i="5"/>
  <c r="K1722" i="5"/>
  <c r="K1723" i="5"/>
  <c r="K1724" i="5"/>
  <c r="K1725" i="5"/>
  <c r="K1726" i="5"/>
  <c r="K1727" i="5"/>
  <c r="K1728" i="5"/>
  <c r="K1729" i="5"/>
  <c r="K1730"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1759" i="5"/>
  <c r="K1760" i="5"/>
  <c r="K1761" i="5"/>
  <c r="K1762" i="5"/>
  <c r="K1763" i="5"/>
  <c r="K1764" i="5"/>
  <c r="K1765" i="5"/>
  <c r="K1766" i="5"/>
  <c r="K1767" i="5"/>
  <c r="K1768" i="5"/>
  <c r="K1769" i="5"/>
  <c r="K1770" i="5"/>
  <c r="K1771" i="5"/>
  <c r="K1772" i="5"/>
  <c r="K1773" i="5"/>
  <c r="K1774" i="5"/>
  <c r="K1775" i="5"/>
  <c r="K1776" i="5"/>
  <c r="K1777" i="5"/>
  <c r="K1778" i="5"/>
  <c r="K1779" i="5"/>
  <c r="K1780" i="5"/>
  <c r="K1781" i="5"/>
  <c r="K1782" i="5"/>
  <c r="K1783" i="5"/>
  <c r="K1784" i="5"/>
  <c r="K1785" i="5"/>
  <c r="K1786" i="5"/>
  <c r="K1787" i="5"/>
  <c r="K1788" i="5"/>
  <c r="K1789" i="5"/>
  <c r="K1790" i="5"/>
  <c r="K1791" i="5"/>
  <c r="K1792"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K1835" i="5"/>
  <c r="K1836" i="5"/>
  <c r="K1837" i="5"/>
  <c r="K1838" i="5"/>
  <c r="K1839" i="5"/>
  <c r="K1840" i="5"/>
  <c r="K1841" i="5"/>
  <c r="K1842" i="5"/>
  <c r="K1843" i="5"/>
  <c r="K1844" i="5"/>
  <c r="K1845" i="5"/>
  <c r="K1846" i="5"/>
  <c r="K1847" i="5"/>
  <c r="K1848" i="5"/>
  <c r="K1849" i="5"/>
  <c r="K1850" i="5"/>
  <c r="K1851" i="5"/>
  <c r="K1852" i="5"/>
  <c r="K1853" i="5"/>
  <c r="K1854" i="5"/>
  <c r="K1855" i="5"/>
  <c r="K1856" i="5"/>
  <c r="K1857" i="5"/>
  <c r="K1858" i="5"/>
  <c r="K1859" i="5"/>
  <c r="K1860" i="5"/>
  <c r="K1861" i="5"/>
  <c r="K1862" i="5"/>
  <c r="K1863" i="5"/>
  <c r="K1864" i="5"/>
  <c r="K1865" i="5"/>
  <c r="K1866" i="5"/>
  <c r="K1867" i="5"/>
  <c r="K1868" i="5"/>
  <c r="K1869" i="5"/>
  <c r="K1870" i="5"/>
  <c r="K1871" i="5"/>
  <c r="K1872" i="5"/>
  <c r="K1873" i="5"/>
  <c r="K1874" i="5"/>
  <c r="K1875" i="5"/>
  <c r="K1876" i="5"/>
  <c r="K1877" i="5"/>
  <c r="K1878" i="5"/>
  <c r="K1879" i="5"/>
  <c r="K1880" i="5"/>
  <c r="K1881" i="5"/>
  <c r="K1882" i="5"/>
  <c r="K1883" i="5"/>
  <c r="K1884" i="5"/>
  <c r="K1885" i="5"/>
  <c r="K1886" i="5"/>
  <c r="K1887" i="5"/>
  <c r="K1888" i="5"/>
  <c r="K1889" i="5"/>
  <c r="K1890" i="5"/>
  <c r="K1891" i="5"/>
  <c r="K1892" i="5"/>
  <c r="K1893" i="5"/>
  <c r="K1894" i="5"/>
  <c r="K1895" i="5"/>
  <c r="K1896" i="5"/>
  <c r="K1897" i="5"/>
  <c r="K1898" i="5"/>
  <c r="K1899" i="5"/>
  <c r="K1900" i="5"/>
  <c r="K1901" i="5"/>
  <c r="K1902" i="5"/>
  <c r="K1903" i="5"/>
  <c r="K1904" i="5"/>
  <c r="K1905" i="5"/>
  <c r="K1906" i="5"/>
  <c r="K1907" i="5"/>
  <c r="K1908" i="5"/>
  <c r="K1909" i="5"/>
  <c r="K1910" i="5"/>
  <c r="K1911" i="5"/>
  <c r="K1912" i="5"/>
  <c r="K1913" i="5"/>
  <c r="K1914" i="5"/>
  <c r="K1915" i="5"/>
  <c r="K1916" i="5"/>
  <c r="K1917" i="5"/>
  <c r="K1918" i="5"/>
  <c r="K1919" i="5"/>
  <c r="K1920" i="5"/>
  <c r="K1921" i="5"/>
  <c r="K1922" i="5"/>
  <c r="K1923" i="5"/>
  <c r="K1924" i="5"/>
  <c r="K1925" i="5"/>
  <c r="K1926" i="5"/>
  <c r="K1927" i="5"/>
  <c r="K1928" i="5"/>
  <c r="K1929" i="5"/>
  <c r="K1930" i="5"/>
  <c r="K1931" i="5"/>
  <c r="K1932" i="5"/>
  <c r="K1933" i="5"/>
  <c r="K1934" i="5"/>
  <c r="K1935" i="5"/>
  <c r="K1936" i="5"/>
  <c r="K1937" i="5"/>
  <c r="K1938" i="5"/>
  <c r="K1939" i="5"/>
  <c r="K1940" i="5"/>
  <c r="K1941" i="5"/>
  <c r="K1942" i="5"/>
  <c r="K1943" i="5"/>
  <c r="K1944" i="5"/>
  <c r="K1945" i="5"/>
  <c r="K1946" i="5"/>
  <c r="K1947" i="5"/>
  <c r="K1948" i="5"/>
  <c r="K1949" i="5"/>
  <c r="K1950" i="5"/>
  <c r="K1951" i="5"/>
  <c r="K1952" i="5"/>
  <c r="K1953" i="5"/>
  <c r="K1954" i="5"/>
  <c r="K1955" i="5"/>
  <c r="K1956" i="5"/>
  <c r="K1957" i="5"/>
  <c r="K1958" i="5"/>
  <c r="K1959" i="5"/>
  <c r="K1960" i="5"/>
  <c r="K1961" i="5"/>
  <c r="K1962" i="5"/>
  <c r="K1963" i="5"/>
  <c r="K1964" i="5"/>
  <c r="K1965" i="5"/>
  <c r="K1966" i="5"/>
  <c r="K1967" i="5"/>
  <c r="K1968" i="5"/>
  <c r="K1969" i="5"/>
  <c r="K1970" i="5"/>
  <c r="K1971" i="5"/>
  <c r="K1972" i="5"/>
  <c r="K1973" i="5"/>
  <c r="K1974" i="5"/>
  <c r="K1975" i="5"/>
  <c r="K1976" i="5"/>
  <c r="K1977" i="5"/>
  <c r="K1978" i="5"/>
  <c r="K1979" i="5"/>
  <c r="K1980" i="5"/>
  <c r="K1981" i="5"/>
  <c r="K1982" i="5"/>
  <c r="K1983" i="5"/>
  <c r="K1984" i="5"/>
  <c r="K1985" i="5"/>
  <c r="K1986" i="5"/>
  <c r="K1987" i="5"/>
  <c r="K1988" i="5"/>
  <c r="K1989" i="5"/>
  <c r="K1990" i="5"/>
  <c r="K1991" i="5"/>
  <c r="K1992" i="5"/>
  <c r="K1993" i="5"/>
  <c r="K1994" i="5"/>
  <c r="K1995" i="5"/>
  <c r="K1996" i="5"/>
  <c r="K1997" i="5"/>
  <c r="K1998" i="5"/>
  <c r="K1999" i="5"/>
  <c r="K2000" i="5"/>
  <c r="K2001" i="5"/>
  <c r="K2002" i="5"/>
  <c r="K2003" i="5"/>
  <c r="K2004" i="5"/>
  <c r="K2005" i="5"/>
  <c r="K2006" i="5"/>
  <c r="K2007" i="5"/>
  <c r="K2008" i="5"/>
  <c r="K2009" i="5"/>
  <c r="K2010" i="5"/>
  <c r="K2011" i="5"/>
  <c r="K2012" i="5"/>
  <c r="K2013" i="5"/>
  <c r="K2014" i="5"/>
  <c r="K2015" i="5"/>
  <c r="K2016" i="5"/>
  <c r="K2017" i="5"/>
  <c r="K2018" i="5"/>
  <c r="K2019" i="5"/>
  <c r="K2020" i="5"/>
  <c r="K2021" i="5"/>
  <c r="K2022" i="5"/>
  <c r="K2023" i="5"/>
  <c r="K2024" i="5"/>
  <c r="K2025" i="5"/>
  <c r="K2026" i="5"/>
  <c r="K2027" i="5"/>
  <c r="K2028" i="5"/>
  <c r="K2029" i="5"/>
  <c r="K2030" i="5"/>
  <c r="K2031" i="5"/>
  <c r="K2032" i="5"/>
  <c r="K2033" i="5"/>
  <c r="K2034" i="5"/>
  <c r="K2035" i="5"/>
  <c r="K2036" i="5"/>
  <c r="K2037" i="5"/>
  <c r="K2038" i="5"/>
  <c r="K2039" i="5"/>
  <c r="K2040" i="5"/>
  <c r="K2041" i="5"/>
  <c r="K2042" i="5"/>
  <c r="K2043" i="5"/>
  <c r="K2044" i="5"/>
  <c r="K2045" i="5"/>
  <c r="K2046" i="5"/>
  <c r="K2047" i="5"/>
  <c r="K2048" i="5"/>
  <c r="K2049" i="5"/>
  <c r="K2050" i="5"/>
  <c r="K2051" i="5"/>
  <c r="K2052" i="5"/>
  <c r="K2053" i="5"/>
  <c r="K2054" i="5"/>
  <c r="K2055" i="5"/>
  <c r="K2056" i="5"/>
  <c r="K2057" i="5"/>
  <c r="K2058" i="5"/>
  <c r="K2059" i="5"/>
  <c r="K2060" i="5"/>
  <c r="K2061" i="5"/>
  <c r="K2062" i="5"/>
  <c r="K2063" i="5"/>
  <c r="K2064" i="5"/>
  <c r="K2065" i="5"/>
  <c r="K2066" i="5"/>
  <c r="K2067" i="5"/>
  <c r="K2068" i="5"/>
  <c r="K2069" i="5"/>
  <c r="K2070" i="5"/>
  <c r="K2071" i="5"/>
  <c r="K2072" i="5"/>
  <c r="K2073" i="5"/>
  <c r="K2074" i="5"/>
  <c r="K2075" i="5"/>
  <c r="K2076" i="5"/>
  <c r="K2077" i="5"/>
  <c r="K2078" i="5"/>
  <c r="K2079" i="5"/>
  <c r="K2080" i="5"/>
  <c r="K2081" i="5"/>
  <c r="K2082" i="5"/>
  <c r="K2083" i="5"/>
  <c r="K2084" i="5"/>
  <c r="K2085" i="5"/>
  <c r="K2086" i="5"/>
  <c r="K2087" i="5"/>
  <c r="K2088" i="5"/>
  <c r="K2089" i="5"/>
  <c r="K2090" i="5"/>
  <c r="K2091" i="5"/>
  <c r="K2092" i="5"/>
  <c r="K2093" i="5"/>
  <c r="K2094" i="5"/>
  <c r="K2095" i="5"/>
  <c r="K2096" i="5"/>
  <c r="K2097" i="5"/>
  <c r="K2098" i="5"/>
  <c r="K2099" i="5"/>
  <c r="K2100" i="5"/>
  <c r="K2101" i="5"/>
  <c r="K2102" i="5"/>
  <c r="K2103" i="5"/>
  <c r="K2104" i="5"/>
  <c r="K2105" i="5"/>
  <c r="K2106" i="5"/>
  <c r="K2107" i="5"/>
  <c r="K2108" i="5"/>
  <c r="K2109" i="5"/>
  <c r="K2110" i="5"/>
  <c r="K2111" i="5"/>
  <c r="K2112" i="5"/>
  <c r="K2113" i="5"/>
  <c r="K2114" i="5"/>
  <c r="K2115" i="5"/>
  <c r="K2116" i="5"/>
  <c r="K2117" i="5"/>
  <c r="K2118" i="5"/>
  <c r="K2119" i="5"/>
  <c r="K2120" i="5"/>
  <c r="K2121" i="5"/>
  <c r="K2122" i="5"/>
  <c r="K2123" i="5"/>
  <c r="K2124" i="5"/>
  <c r="K2125" i="5"/>
  <c r="K2126" i="5"/>
  <c r="K2127" i="5"/>
  <c r="K2128" i="5"/>
  <c r="K2129" i="5"/>
  <c r="K2130" i="5"/>
  <c r="K2131" i="5"/>
  <c r="K2132" i="5"/>
  <c r="K2133" i="5"/>
  <c r="K2134" i="5"/>
  <c r="K2135" i="5"/>
  <c r="K2136" i="5"/>
  <c r="K2137" i="5"/>
  <c r="K2138" i="5"/>
  <c r="K2139" i="5"/>
  <c r="K2140" i="5"/>
  <c r="K2141" i="5"/>
  <c r="K2142" i="5"/>
  <c r="K2143" i="5"/>
  <c r="K2144" i="5"/>
  <c r="K2145" i="5"/>
  <c r="K2146" i="5"/>
  <c r="K2147" i="5"/>
  <c r="K2148" i="5"/>
  <c r="K2149" i="5"/>
  <c r="K2150" i="5"/>
  <c r="K2151" i="5"/>
  <c r="K2152" i="5"/>
  <c r="K2153" i="5"/>
  <c r="K2154" i="5"/>
  <c r="K2155" i="5"/>
  <c r="K2156" i="5"/>
  <c r="K2157" i="5"/>
  <c r="K2158" i="5"/>
  <c r="K2159" i="5"/>
  <c r="K2160" i="5"/>
  <c r="K2161" i="5"/>
  <c r="K2162" i="5"/>
  <c r="K2163" i="5"/>
  <c r="K2164" i="5"/>
  <c r="K2165" i="5"/>
  <c r="K2166" i="5"/>
  <c r="K2167" i="5"/>
  <c r="K2168" i="5"/>
  <c r="K2169" i="5"/>
  <c r="K2170" i="5"/>
  <c r="K2171" i="5"/>
  <c r="K2172" i="5"/>
  <c r="K2173" i="5"/>
  <c r="K2174" i="5"/>
  <c r="K2175" i="5"/>
  <c r="K2176" i="5"/>
  <c r="K2177" i="5"/>
  <c r="K2178" i="5"/>
  <c r="K2179" i="5"/>
  <c r="K2180" i="5"/>
  <c r="K2181" i="5"/>
  <c r="K2182" i="5"/>
  <c r="K2183" i="5"/>
  <c r="K2184" i="5"/>
  <c r="K2185" i="5"/>
  <c r="K2186" i="5"/>
  <c r="K2187" i="5"/>
  <c r="K2188" i="5"/>
  <c r="K2189" i="5"/>
  <c r="K2190" i="5"/>
  <c r="K2191" i="5"/>
  <c r="K2192" i="5"/>
  <c r="K2193" i="5"/>
  <c r="K2194" i="5"/>
  <c r="K2195" i="5"/>
  <c r="K2196" i="5"/>
  <c r="K2197" i="5"/>
  <c r="K2198" i="5"/>
  <c r="K2199" i="5"/>
  <c r="K2200" i="5"/>
  <c r="K2201" i="5"/>
  <c r="K2202" i="5"/>
  <c r="K2203" i="5"/>
  <c r="K2204" i="5"/>
  <c r="K2205" i="5"/>
  <c r="K2206" i="5"/>
  <c r="K2207" i="5"/>
  <c r="K2208" i="5"/>
  <c r="K2209" i="5"/>
  <c r="K2210" i="5"/>
  <c r="K2211" i="5"/>
  <c r="K2212" i="5"/>
  <c r="K2213" i="5"/>
  <c r="K2214" i="5"/>
  <c r="K2215" i="5"/>
  <c r="K2216" i="5"/>
  <c r="K2217" i="5"/>
  <c r="K2218" i="5"/>
  <c r="K2219" i="5"/>
  <c r="K2220" i="5"/>
  <c r="K2221" i="5"/>
  <c r="K2222" i="5"/>
  <c r="K2223" i="5"/>
  <c r="K2224" i="5"/>
  <c r="K2225" i="5"/>
  <c r="K2226" i="5"/>
  <c r="K2227" i="5"/>
  <c r="K2228" i="5"/>
  <c r="K2229" i="5"/>
  <c r="K2230" i="5"/>
  <c r="K2231" i="5"/>
  <c r="K2232" i="5"/>
  <c r="K2233" i="5"/>
  <c r="K2234" i="5"/>
  <c r="K2235" i="5"/>
  <c r="K2236" i="5"/>
  <c r="K2237" i="5"/>
  <c r="K2238" i="5"/>
  <c r="K2239" i="5"/>
  <c r="K2240" i="5"/>
  <c r="K2241" i="5"/>
  <c r="K2242" i="5"/>
  <c r="K2243" i="5"/>
  <c r="K2244" i="5"/>
  <c r="K2245" i="5"/>
  <c r="K2246" i="5"/>
  <c r="K2247" i="5"/>
  <c r="K2248" i="5"/>
  <c r="K2249" i="5"/>
  <c r="K2250" i="5"/>
  <c r="K2251" i="5"/>
  <c r="K2252" i="5"/>
  <c r="K2253" i="5"/>
  <c r="K2254" i="5"/>
  <c r="K2255" i="5"/>
  <c r="K2256" i="5"/>
  <c r="K2257" i="5"/>
  <c r="K2258" i="5"/>
  <c r="K2259" i="5"/>
  <c r="K2260" i="5"/>
  <c r="K2261" i="5"/>
  <c r="K2262" i="5"/>
  <c r="K2263" i="5"/>
  <c r="K2264" i="5"/>
  <c r="K2265" i="5"/>
  <c r="K2266" i="5"/>
  <c r="K2267" i="5"/>
  <c r="K2268" i="5"/>
  <c r="K2269" i="5"/>
  <c r="K2270" i="5"/>
  <c r="K2271" i="5"/>
  <c r="K2272" i="5"/>
  <c r="K2273" i="5"/>
  <c r="K2274" i="5"/>
  <c r="K2275" i="5"/>
  <c r="K2276" i="5"/>
  <c r="K2277" i="5"/>
  <c r="K2278" i="5"/>
  <c r="K2279" i="5"/>
  <c r="K2280" i="5"/>
  <c r="K2281" i="5"/>
  <c r="K2282" i="5"/>
  <c r="K2283" i="5"/>
  <c r="K2284" i="5"/>
  <c r="K2285" i="5"/>
  <c r="K2286" i="5"/>
  <c r="K2287" i="5"/>
  <c r="K2288" i="5"/>
  <c r="K2289" i="5"/>
  <c r="K2290" i="5"/>
  <c r="K2291" i="5"/>
  <c r="K2292" i="5"/>
  <c r="K2293" i="5"/>
  <c r="K2294" i="5"/>
  <c r="K2295" i="5"/>
  <c r="K2296" i="5"/>
  <c r="K2297" i="5"/>
  <c r="K2298" i="5"/>
  <c r="K2299" i="5"/>
  <c r="K2300" i="5"/>
  <c r="K2301" i="5"/>
  <c r="K2302" i="5"/>
  <c r="K2303" i="5"/>
  <c r="K2304" i="5"/>
  <c r="K2305" i="5"/>
  <c r="K2306" i="5"/>
  <c r="K2307" i="5"/>
  <c r="K2308" i="5"/>
  <c r="K2309" i="5"/>
  <c r="K2310" i="5"/>
  <c r="K2311" i="5"/>
  <c r="K2312" i="5"/>
  <c r="K2313" i="5"/>
  <c r="K2314" i="5"/>
  <c r="K2315" i="5"/>
  <c r="K2316" i="5"/>
  <c r="K2317" i="5"/>
  <c r="K2318" i="5"/>
  <c r="K2319" i="5"/>
  <c r="K2320" i="5"/>
  <c r="K2321" i="5"/>
  <c r="K2322" i="5"/>
  <c r="K2323" i="5"/>
  <c r="K2324" i="5"/>
  <c r="K2325" i="5"/>
  <c r="K2326" i="5"/>
  <c r="K2327" i="5"/>
  <c r="K2328" i="5"/>
  <c r="K2329" i="5"/>
  <c r="K2330" i="5"/>
  <c r="K2331" i="5"/>
  <c r="K2332" i="5"/>
  <c r="K2333" i="5"/>
  <c r="K2334" i="5"/>
  <c r="K2335" i="5"/>
  <c r="K2336" i="5"/>
  <c r="K2337" i="5"/>
  <c r="K2338" i="5"/>
  <c r="K2339" i="5"/>
  <c r="K2340" i="5"/>
  <c r="K2341" i="5"/>
  <c r="K2342" i="5"/>
  <c r="K2343" i="5"/>
  <c r="K2344" i="5"/>
  <c r="K2345" i="5"/>
  <c r="K2346" i="5"/>
  <c r="K2347" i="5"/>
  <c r="K2348" i="5"/>
  <c r="K2349" i="5"/>
  <c r="K2350" i="5"/>
  <c r="K2351" i="5"/>
  <c r="K2352" i="5"/>
  <c r="K2353" i="5"/>
  <c r="K2354" i="5"/>
  <c r="K2355" i="5"/>
  <c r="K2356" i="5"/>
  <c r="K2357" i="5"/>
  <c r="K2358" i="5"/>
  <c r="K2359" i="5"/>
  <c r="K2360" i="5"/>
  <c r="K2361" i="5"/>
  <c r="K2362" i="5"/>
  <c r="K2363" i="5"/>
  <c r="K2364" i="5"/>
  <c r="K2365" i="5"/>
  <c r="K2366" i="5"/>
  <c r="K2367" i="5"/>
  <c r="K2368" i="5"/>
  <c r="K2369" i="5"/>
  <c r="K2370" i="5"/>
  <c r="K2371" i="5"/>
  <c r="K2372" i="5"/>
  <c r="K2373" i="5"/>
  <c r="K2374" i="5"/>
  <c r="K2375" i="5"/>
  <c r="K2376" i="5"/>
  <c r="K2377" i="5"/>
  <c r="K2378" i="5"/>
  <c r="K2379" i="5"/>
  <c r="K2380" i="5"/>
  <c r="K2381" i="5"/>
  <c r="K2382" i="5"/>
  <c r="K2383" i="5"/>
  <c r="K2384" i="5"/>
  <c r="K2385" i="5"/>
  <c r="K2386" i="5"/>
  <c r="K2387" i="5"/>
  <c r="K2388" i="5"/>
  <c r="K2389" i="5"/>
  <c r="K2390" i="5"/>
  <c r="K2391" i="5"/>
  <c r="K2392" i="5"/>
  <c r="K2393" i="5"/>
  <c r="K2394" i="5"/>
  <c r="K2395" i="5"/>
  <c r="K2396" i="5"/>
  <c r="K2397" i="5"/>
  <c r="K2398" i="5"/>
  <c r="K2399" i="5"/>
  <c r="K2400" i="5"/>
  <c r="K2401" i="5"/>
  <c r="K2402" i="5"/>
  <c r="K2403" i="5"/>
  <c r="K2404" i="5"/>
  <c r="K2405" i="5"/>
  <c r="K2406" i="5"/>
  <c r="K2407" i="5"/>
  <c r="K2408" i="5"/>
  <c r="K2409" i="5"/>
  <c r="K2410" i="5"/>
  <c r="K2411" i="5"/>
  <c r="K2412" i="5"/>
  <c r="K2413" i="5"/>
  <c r="K2414" i="5"/>
  <c r="K2415" i="5"/>
  <c r="K2416" i="5"/>
  <c r="K2417" i="5"/>
  <c r="K2418" i="5"/>
  <c r="K2419" i="5"/>
  <c r="K2420" i="5"/>
  <c r="K2421" i="5"/>
  <c r="K2422" i="5"/>
  <c r="K2423" i="5"/>
  <c r="K2424" i="5"/>
  <c r="K2425" i="5"/>
  <c r="K2426" i="5"/>
  <c r="K2427" i="5"/>
  <c r="K2428" i="5"/>
  <c r="K2429" i="5"/>
  <c r="K2430" i="5"/>
  <c r="K2431" i="5"/>
  <c r="K2432" i="5"/>
  <c r="K2433" i="5"/>
  <c r="K2434" i="5"/>
  <c r="K2435" i="5"/>
  <c r="K2436" i="5"/>
  <c r="K2437" i="5"/>
  <c r="K2438" i="5"/>
  <c r="K2439" i="5"/>
  <c r="K2440" i="5"/>
  <c r="K2441" i="5"/>
  <c r="K2442" i="5"/>
  <c r="K2443" i="5"/>
  <c r="K2444" i="5"/>
  <c r="K2445" i="5"/>
  <c r="K2446" i="5"/>
  <c r="K2447" i="5"/>
  <c r="K2448" i="5"/>
  <c r="K2449" i="5"/>
  <c r="K2450" i="5"/>
  <c r="K2451" i="5"/>
  <c r="K2452" i="5"/>
  <c r="K2453" i="5"/>
  <c r="K2454" i="5"/>
  <c r="K2455" i="5"/>
  <c r="K2456" i="5"/>
  <c r="K2457" i="5"/>
  <c r="K2458" i="5"/>
  <c r="K2459" i="5"/>
  <c r="K2460" i="5"/>
  <c r="K2461" i="5"/>
  <c r="K2462" i="5"/>
  <c r="K2463" i="5"/>
  <c r="K2464" i="5"/>
  <c r="K2465" i="5"/>
  <c r="K2466" i="5"/>
  <c r="K2467" i="5"/>
  <c r="K2468" i="5"/>
  <c r="K2469" i="5"/>
  <c r="K2470" i="5"/>
  <c r="K2471" i="5"/>
  <c r="K2472" i="5"/>
  <c r="K2473" i="5"/>
  <c r="K2474" i="5"/>
  <c r="K2475" i="5"/>
  <c r="K2476" i="5"/>
  <c r="K2477" i="5"/>
  <c r="K2478" i="5"/>
  <c r="K2479" i="5"/>
  <c r="K2480" i="5"/>
  <c r="K2481" i="5"/>
  <c r="K2482" i="5"/>
  <c r="K2483" i="5"/>
  <c r="K2484" i="5"/>
  <c r="K2485" i="5"/>
  <c r="K2486" i="5"/>
  <c r="K2487" i="5"/>
  <c r="K2488" i="5"/>
  <c r="K2489" i="5"/>
  <c r="K2490" i="5"/>
  <c r="K2491" i="5"/>
  <c r="K2492" i="5"/>
  <c r="K2493" i="5"/>
  <c r="K2494" i="5"/>
  <c r="K2495" i="5"/>
  <c r="K2496" i="5"/>
  <c r="K2497" i="5"/>
  <c r="K2498" i="5"/>
  <c r="K2499" i="5"/>
  <c r="K2500" i="5"/>
  <c r="K2501" i="5"/>
  <c r="K2502" i="5"/>
  <c r="K2503" i="5"/>
  <c r="K2504" i="5"/>
  <c r="K2505" i="5"/>
  <c r="K2506" i="5"/>
  <c r="K2507" i="5"/>
  <c r="K2508" i="5"/>
  <c r="K2509" i="5"/>
  <c r="K2510" i="5"/>
  <c r="K2511" i="5"/>
  <c r="K2512" i="5"/>
  <c r="K2513" i="5"/>
  <c r="K2514" i="5"/>
  <c r="K2515" i="5"/>
  <c r="K2516" i="5"/>
  <c r="K2517" i="5"/>
  <c r="K2518" i="5"/>
  <c r="K2519" i="5"/>
  <c r="K2520" i="5"/>
  <c r="K2521" i="5"/>
  <c r="K2522" i="5"/>
  <c r="K2523" i="5"/>
  <c r="K2524" i="5"/>
  <c r="K2525" i="5"/>
  <c r="K2526" i="5"/>
  <c r="K2527" i="5"/>
  <c r="K2528" i="5"/>
  <c r="K2529" i="5"/>
  <c r="K2530" i="5"/>
  <c r="K2531" i="5"/>
  <c r="K2532" i="5"/>
  <c r="K2533" i="5"/>
  <c r="K2534" i="5"/>
  <c r="K2535" i="5"/>
  <c r="K2536" i="5"/>
  <c r="K2537" i="5"/>
  <c r="K2538" i="5"/>
  <c r="K2539" i="5"/>
  <c r="K2540" i="5"/>
  <c r="K2541" i="5"/>
  <c r="K2542" i="5"/>
  <c r="K2543" i="5"/>
  <c r="K2544" i="5"/>
  <c r="K2545" i="5"/>
  <c r="K2546" i="5"/>
  <c r="K2547" i="5"/>
  <c r="K2548" i="5"/>
  <c r="K2549" i="5"/>
  <c r="K2550" i="5"/>
  <c r="K2551" i="5"/>
  <c r="K2552" i="5"/>
  <c r="K2553" i="5"/>
  <c r="K2554" i="5"/>
  <c r="K2555" i="5"/>
  <c r="K2556" i="5"/>
  <c r="K2557" i="5"/>
  <c r="K2558" i="5"/>
  <c r="K2559" i="5"/>
  <c r="K2560" i="5"/>
  <c r="K2561" i="5"/>
  <c r="K2562" i="5"/>
  <c r="K2563" i="5"/>
  <c r="K2564" i="5"/>
  <c r="K2565" i="5"/>
  <c r="K2566" i="5"/>
  <c r="K2567" i="5"/>
  <c r="K2568" i="5"/>
  <c r="K2569" i="5"/>
  <c r="K2570" i="5"/>
  <c r="K2571" i="5"/>
  <c r="K2572" i="5"/>
  <c r="K2573" i="5"/>
  <c r="K2574" i="5"/>
  <c r="K2575" i="5"/>
  <c r="K2576" i="5"/>
  <c r="K2577" i="5"/>
  <c r="K2578" i="5"/>
  <c r="K2579" i="5"/>
  <c r="K2580" i="5"/>
  <c r="K2581" i="5"/>
  <c r="K2582" i="5"/>
  <c r="K2583" i="5"/>
  <c r="K2584" i="5"/>
  <c r="K2585" i="5"/>
  <c r="K2586" i="5"/>
  <c r="K2587" i="5"/>
  <c r="K2588" i="5"/>
  <c r="K2589" i="5"/>
  <c r="K2590" i="5"/>
  <c r="K2591" i="5"/>
  <c r="K2592" i="5"/>
  <c r="K2593" i="5"/>
  <c r="K2594" i="5"/>
  <c r="K2595" i="5"/>
  <c r="K2596" i="5"/>
  <c r="K2597" i="5"/>
  <c r="K2598" i="5"/>
  <c r="K2599" i="5"/>
  <c r="K2600" i="5"/>
  <c r="K2601" i="5"/>
  <c r="K2602" i="5"/>
  <c r="K2603" i="5"/>
  <c r="K2604" i="5"/>
  <c r="K2605" i="5"/>
  <c r="K2606" i="5"/>
  <c r="K2607" i="5"/>
  <c r="K2608" i="5"/>
  <c r="K2609" i="5"/>
  <c r="K2610" i="5"/>
  <c r="K2611" i="5"/>
  <c r="K2612" i="5"/>
  <c r="K2613" i="5"/>
  <c r="K2614" i="5"/>
  <c r="K2615" i="5"/>
  <c r="K2616" i="5"/>
  <c r="K2617" i="5"/>
  <c r="K2618" i="5"/>
  <c r="K2619" i="5"/>
  <c r="K2620" i="5"/>
  <c r="K2621" i="5"/>
  <c r="K2622" i="5"/>
  <c r="K2623" i="5"/>
  <c r="K2624" i="5"/>
  <c r="K2625" i="5"/>
  <c r="K2626" i="5"/>
  <c r="K2627" i="5"/>
  <c r="K2628" i="5"/>
  <c r="K2629" i="5"/>
  <c r="K2630" i="5"/>
  <c r="K2631" i="5"/>
  <c r="K2632" i="5"/>
  <c r="K2633" i="5"/>
  <c r="K2634" i="5"/>
  <c r="K2635" i="5"/>
  <c r="K2636" i="5"/>
  <c r="K2637" i="5"/>
  <c r="K2638" i="5"/>
  <c r="K2639" i="5"/>
  <c r="K2640" i="5"/>
  <c r="K2641" i="5"/>
  <c r="K2642" i="5"/>
  <c r="K2643" i="5"/>
  <c r="K2644" i="5"/>
  <c r="K2645" i="5"/>
  <c r="K2646" i="5"/>
  <c r="K2647" i="5"/>
  <c r="K2648" i="5"/>
  <c r="K2649" i="5"/>
  <c r="K2650" i="5"/>
  <c r="K2651" i="5"/>
  <c r="K2652" i="5"/>
  <c r="K2653" i="5"/>
  <c r="K2654" i="5"/>
  <c r="K2655" i="5"/>
  <c r="K2656" i="5"/>
  <c r="K2657" i="5"/>
  <c r="K2658" i="5"/>
  <c r="K2659" i="5"/>
  <c r="K2660" i="5"/>
  <c r="K2661" i="5"/>
  <c r="K2662" i="5"/>
  <c r="K2663" i="5"/>
  <c r="K2664" i="5"/>
  <c r="K2665" i="5"/>
  <c r="K2666" i="5"/>
  <c r="K2667" i="5"/>
  <c r="K2668" i="5"/>
  <c r="K2669" i="5"/>
  <c r="K2670" i="5"/>
  <c r="K2671" i="5"/>
  <c r="K2672" i="5"/>
  <c r="K2673" i="5"/>
  <c r="K2674" i="5"/>
  <c r="K2675" i="5"/>
  <c r="K2676" i="5"/>
  <c r="K2677" i="5"/>
  <c r="K2678" i="5"/>
  <c r="K2679" i="5"/>
  <c r="K2680" i="5"/>
  <c r="K2681" i="5"/>
  <c r="K2682" i="5"/>
  <c r="K2683" i="5"/>
  <c r="K2684" i="5"/>
  <c r="K2685" i="5"/>
  <c r="K2686" i="5"/>
  <c r="K2687" i="5"/>
  <c r="K2688" i="5"/>
  <c r="K2689" i="5"/>
  <c r="K2690" i="5"/>
  <c r="K2691" i="5"/>
  <c r="K2692" i="5"/>
  <c r="K2693" i="5"/>
  <c r="K2694" i="5"/>
  <c r="K2695" i="5"/>
  <c r="K2696" i="5"/>
  <c r="K2697" i="5"/>
  <c r="K2698" i="5"/>
  <c r="K2699" i="5"/>
  <c r="K2700" i="5"/>
  <c r="K2701" i="5"/>
  <c r="K2702" i="5"/>
  <c r="K2703" i="5"/>
  <c r="K2704" i="5"/>
  <c r="K2705" i="5"/>
  <c r="K2706" i="5"/>
  <c r="K2707" i="5"/>
  <c r="K2708" i="5"/>
  <c r="K2709" i="5"/>
  <c r="K2710" i="5"/>
  <c r="K2711" i="5"/>
  <c r="K2712" i="5"/>
  <c r="K2713" i="5"/>
  <c r="K2714" i="5"/>
  <c r="K2715" i="5"/>
  <c r="K2716" i="5"/>
  <c r="K2717" i="5"/>
  <c r="K2718" i="5"/>
  <c r="K2719" i="5"/>
  <c r="K2720" i="5"/>
  <c r="K2721" i="5"/>
  <c r="K2722" i="5"/>
  <c r="K2723" i="5"/>
  <c r="K2724" i="5"/>
  <c r="K2725" i="5"/>
  <c r="K2726" i="5"/>
  <c r="K2727" i="5"/>
  <c r="K2728" i="5"/>
  <c r="K2729" i="5"/>
  <c r="K2730" i="5"/>
  <c r="K2731" i="5"/>
  <c r="K2732" i="5"/>
  <c r="K2733" i="5"/>
  <c r="K2734" i="5"/>
  <c r="K2735" i="5"/>
  <c r="K2736" i="5"/>
  <c r="K2737" i="5"/>
  <c r="K2738" i="5"/>
  <c r="K2739" i="5"/>
  <c r="K2740" i="5"/>
  <c r="K2741" i="5"/>
  <c r="K2742" i="5"/>
  <c r="K2743" i="5"/>
  <c r="K2744" i="5"/>
  <c r="K2745" i="5"/>
  <c r="K2746" i="5"/>
  <c r="K2747" i="5"/>
  <c r="K2748" i="5"/>
  <c r="K2749" i="5"/>
  <c r="K2750" i="5"/>
  <c r="K2751" i="5"/>
  <c r="K2752" i="5"/>
  <c r="K2753" i="5"/>
  <c r="K2754" i="5"/>
  <c r="K2755" i="5"/>
  <c r="K2756" i="5"/>
  <c r="K2757" i="5"/>
  <c r="K2758" i="5"/>
  <c r="K2759" i="5"/>
  <c r="K2760" i="5"/>
  <c r="K2761" i="5"/>
  <c r="K2762" i="5"/>
  <c r="K2763" i="5"/>
  <c r="K2764" i="5"/>
  <c r="K2765" i="5"/>
  <c r="K2766" i="5"/>
  <c r="K2767" i="5"/>
  <c r="K2768" i="5"/>
  <c r="K2769" i="5"/>
  <c r="K2770" i="5"/>
  <c r="K2771" i="5"/>
  <c r="K2772" i="5"/>
  <c r="K2773" i="5"/>
  <c r="K2774" i="5"/>
  <c r="K2775" i="5"/>
  <c r="K2776" i="5"/>
  <c r="K2777" i="5"/>
  <c r="K2778" i="5"/>
  <c r="K2779" i="5"/>
  <c r="K2780" i="5"/>
  <c r="K2781" i="5"/>
  <c r="K2782" i="5"/>
  <c r="K2783" i="5"/>
  <c r="K2784" i="5"/>
  <c r="K2785" i="5"/>
  <c r="K2786" i="5"/>
  <c r="K2787" i="5"/>
  <c r="K2788" i="5"/>
  <c r="K2789" i="5"/>
  <c r="K2790" i="5"/>
  <c r="K2791" i="5"/>
  <c r="K2792" i="5"/>
  <c r="K2793" i="5"/>
  <c r="K2794" i="5"/>
  <c r="K2795" i="5"/>
  <c r="K2796" i="5"/>
  <c r="K2797" i="5"/>
  <c r="K2798" i="5"/>
  <c r="K2799" i="5"/>
  <c r="K2800" i="5"/>
  <c r="K2801" i="5"/>
  <c r="K2802" i="5"/>
  <c r="K2803" i="5"/>
  <c r="K2804" i="5"/>
  <c r="K2805" i="5"/>
  <c r="K2806" i="5"/>
  <c r="K2807" i="5"/>
  <c r="K2808" i="5"/>
  <c r="K2809" i="5"/>
  <c r="K2810" i="5"/>
  <c r="K2811" i="5"/>
  <c r="K2812" i="5"/>
  <c r="K2813" i="5"/>
  <c r="K2814" i="5"/>
  <c r="K2815" i="5"/>
  <c r="K2816" i="5"/>
  <c r="K2817" i="5"/>
  <c r="K2818" i="5"/>
  <c r="K2819" i="5"/>
  <c r="K2820" i="5"/>
  <c r="K2821" i="5"/>
  <c r="K2822" i="5"/>
  <c r="K2823" i="5"/>
  <c r="K2824" i="5"/>
  <c r="K2825" i="5"/>
  <c r="K2826" i="5"/>
  <c r="K2827" i="5"/>
  <c r="K2828" i="5"/>
  <c r="K2829" i="5"/>
  <c r="K2830" i="5"/>
  <c r="K2831" i="5"/>
  <c r="K2832" i="5"/>
  <c r="K2833" i="5"/>
  <c r="K2834" i="5"/>
  <c r="K2835" i="5"/>
  <c r="K2836" i="5"/>
  <c r="K2837" i="5"/>
  <c r="K2838" i="5"/>
  <c r="K2839" i="5"/>
  <c r="K2840" i="5"/>
  <c r="K2841" i="5"/>
  <c r="K2842" i="5"/>
  <c r="K2843" i="5"/>
  <c r="K2844" i="5"/>
  <c r="K2845" i="5"/>
  <c r="K2846" i="5"/>
  <c r="K2847" i="5"/>
  <c r="K2848" i="5"/>
  <c r="K2849" i="5"/>
  <c r="K2850" i="5"/>
  <c r="K2851" i="5"/>
  <c r="K2852" i="5"/>
  <c r="K2853" i="5"/>
  <c r="K2854" i="5"/>
  <c r="K2855" i="5"/>
  <c r="K2856" i="5"/>
  <c r="K2857" i="5"/>
  <c r="K2858" i="5"/>
  <c r="K2859" i="5"/>
  <c r="K2860" i="5"/>
  <c r="K2861" i="5"/>
  <c r="K2862" i="5"/>
  <c r="K2863" i="5"/>
  <c r="K2864" i="5"/>
  <c r="K2865" i="5"/>
  <c r="K2866" i="5"/>
  <c r="K2867" i="5"/>
  <c r="K2868" i="5"/>
  <c r="K2869" i="5"/>
  <c r="K2870" i="5"/>
  <c r="K2871" i="5"/>
  <c r="K2872" i="5"/>
  <c r="K2873" i="5"/>
  <c r="K2874" i="5"/>
  <c r="K2875" i="5"/>
  <c r="K2876" i="5"/>
  <c r="K2877" i="5"/>
  <c r="K2878" i="5"/>
  <c r="K2879" i="5"/>
  <c r="K2880" i="5"/>
  <c r="K2881" i="5"/>
  <c r="K2882" i="5"/>
  <c r="K2883" i="5"/>
  <c r="K2884" i="5"/>
  <c r="K2885" i="5"/>
  <c r="K2886" i="5"/>
  <c r="K2887" i="5"/>
  <c r="K2888" i="5"/>
  <c r="K2889" i="5"/>
  <c r="K2890" i="5"/>
  <c r="K2891" i="5"/>
  <c r="K2892" i="5"/>
  <c r="K2893" i="5"/>
  <c r="K2894" i="5"/>
  <c r="K2895" i="5"/>
  <c r="K2896" i="5"/>
  <c r="K2897" i="5"/>
  <c r="K2898" i="5"/>
  <c r="K2899" i="5"/>
  <c r="K2900" i="5"/>
  <c r="K2901" i="5"/>
  <c r="K2902" i="5"/>
  <c r="K2903" i="5"/>
  <c r="K2904" i="5"/>
  <c r="K2905" i="5"/>
  <c r="K2906" i="5"/>
  <c r="K2907" i="5"/>
  <c r="K2908" i="5"/>
  <c r="K2909" i="5"/>
  <c r="K2910" i="5"/>
  <c r="K2911" i="5"/>
  <c r="K2912" i="5"/>
  <c r="K2913" i="5"/>
  <c r="K2914" i="5"/>
  <c r="K2915" i="5"/>
  <c r="K2916" i="5"/>
  <c r="K2917" i="5"/>
  <c r="K2918" i="5"/>
  <c r="K2919" i="5"/>
  <c r="K2920" i="5"/>
  <c r="K2921" i="5"/>
  <c r="K2922" i="5"/>
  <c r="K2923" i="5"/>
  <c r="K2924" i="5"/>
  <c r="K2925" i="5"/>
  <c r="K2926" i="5"/>
  <c r="K2927" i="5"/>
  <c r="K2928" i="5"/>
  <c r="K2929" i="5"/>
  <c r="K2930" i="5"/>
  <c r="K2931" i="5"/>
  <c r="K2932" i="5"/>
  <c r="K2933" i="5"/>
  <c r="K2934" i="5"/>
  <c r="K2935" i="5"/>
  <c r="K2936" i="5"/>
  <c r="K2937" i="5"/>
  <c r="K2938" i="5"/>
  <c r="K2939" i="5"/>
  <c r="K2940" i="5"/>
  <c r="K2941" i="5"/>
  <c r="K2942" i="5"/>
  <c r="K2943" i="5"/>
  <c r="K2944" i="5"/>
  <c r="K2945" i="5"/>
  <c r="K2946" i="5"/>
  <c r="K2947" i="5"/>
  <c r="K2948" i="5"/>
  <c r="K2949" i="5"/>
  <c r="K2950" i="5"/>
  <c r="K2951" i="5"/>
  <c r="K2952" i="5"/>
  <c r="K2953" i="5"/>
  <c r="K2954" i="5"/>
  <c r="K2955" i="5"/>
  <c r="K2956" i="5"/>
  <c r="K2957" i="5"/>
  <c r="K2958" i="5"/>
  <c r="K2959" i="5"/>
  <c r="K2960" i="5"/>
  <c r="K2961" i="5"/>
  <c r="K2962" i="5"/>
  <c r="K2963" i="5"/>
  <c r="K2964" i="5"/>
  <c r="K2965" i="5"/>
  <c r="K2966" i="5"/>
  <c r="K2967" i="5"/>
  <c r="K2968" i="5"/>
  <c r="K2969" i="5"/>
  <c r="K2970" i="5"/>
  <c r="K2971" i="5"/>
  <c r="K2972" i="5"/>
  <c r="K2973" i="5"/>
  <c r="K2974" i="5"/>
  <c r="K2975" i="5"/>
  <c r="K2976" i="5"/>
  <c r="K2977" i="5"/>
  <c r="K2978" i="5"/>
  <c r="K2979" i="5"/>
  <c r="K2980" i="5"/>
  <c r="K2981" i="5"/>
  <c r="K2982" i="5"/>
  <c r="K2983" i="5"/>
  <c r="K2984" i="5"/>
  <c r="K2985" i="5"/>
  <c r="K2986" i="5"/>
  <c r="K2987" i="5"/>
  <c r="K2988" i="5"/>
  <c r="K2989" i="5"/>
  <c r="K2990" i="5"/>
  <c r="K2991" i="5"/>
  <c r="K2992" i="5"/>
  <c r="K2993" i="5"/>
  <c r="K2994" i="5"/>
  <c r="K2995" i="5"/>
  <c r="K2996" i="5"/>
  <c r="K2997" i="5"/>
  <c r="K2998" i="5"/>
  <c r="K2999" i="5"/>
  <c r="K3000" i="5"/>
  <c r="K3001" i="5"/>
  <c r="K3002" i="5"/>
  <c r="K3003" i="5"/>
  <c r="K3004" i="5"/>
  <c r="K3005" i="5"/>
  <c r="K3006" i="5"/>
  <c r="K3007" i="5"/>
  <c r="K3008" i="5"/>
  <c r="K3009" i="5"/>
  <c r="K3010" i="5"/>
  <c r="K3011" i="5"/>
  <c r="K3012" i="5"/>
  <c r="K3013" i="5"/>
  <c r="K3014" i="5"/>
  <c r="K3015" i="5"/>
  <c r="K3016" i="5"/>
  <c r="K3017" i="5"/>
  <c r="K3018" i="5"/>
  <c r="K3019" i="5"/>
  <c r="K3020" i="5"/>
  <c r="K3021" i="5"/>
  <c r="K3022" i="5"/>
  <c r="K3023" i="5"/>
  <c r="K3024" i="5"/>
  <c r="K3025" i="5"/>
  <c r="K3026" i="5"/>
  <c r="K3027" i="5"/>
  <c r="K3028" i="5"/>
  <c r="K3029" i="5"/>
  <c r="K3030" i="5"/>
  <c r="K3031" i="5"/>
  <c r="K3032" i="5"/>
  <c r="K3033" i="5"/>
  <c r="K3034" i="5"/>
  <c r="K3035" i="5"/>
  <c r="K3036" i="5"/>
  <c r="K3037" i="5"/>
  <c r="K3038" i="5"/>
  <c r="K3039" i="5"/>
  <c r="K3040" i="5"/>
  <c r="K3041" i="5"/>
  <c r="K3042" i="5"/>
  <c r="K3043" i="5"/>
  <c r="K3044" i="5"/>
  <c r="K3045" i="5"/>
  <c r="K3046" i="5"/>
  <c r="K3047" i="5"/>
  <c r="K3048" i="5"/>
  <c r="K3049" i="5"/>
  <c r="K3050" i="5"/>
  <c r="K3051" i="5"/>
  <c r="K3052" i="5"/>
  <c r="K3053" i="5"/>
  <c r="K3054" i="5"/>
  <c r="K3055" i="5"/>
  <c r="K3056" i="5"/>
  <c r="K3057" i="5"/>
  <c r="K3058" i="5"/>
  <c r="K3059" i="5"/>
  <c r="K3060" i="5"/>
  <c r="K3061" i="5"/>
  <c r="K3062" i="5"/>
  <c r="K3063" i="5"/>
  <c r="K3064" i="5"/>
  <c r="K3065" i="5"/>
  <c r="K3066" i="5"/>
  <c r="K3067" i="5"/>
  <c r="K3068" i="5"/>
  <c r="K3069" i="5"/>
  <c r="K3070" i="5"/>
  <c r="K3071" i="5"/>
  <c r="K3072" i="5"/>
  <c r="K3073" i="5"/>
  <c r="K3074" i="5"/>
  <c r="K3075" i="5"/>
  <c r="K3076" i="5"/>
  <c r="K3077" i="5"/>
  <c r="K3078" i="5"/>
  <c r="K3079" i="5"/>
  <c r="K3080" i="5"/>
  <c r="K3081" i="5"/>
  <c r="K3082" i="5"/>
  <c r="K3083" i="5"/>
  <c r="K3084" i="5"/>
  <c r="K3085" i="5"/>
  <c r="K3086" i="5"/>
  <c r="K3087" i="5"/>
  <c r="K3088" i="5"/>
  <c r="K3089" i="5"/>
  <c r="K3090" i="5"/>
  <c r="K3091" i="5"/>
  <c r="K3092" i="5"/>
  <c r="K3093" i="5"/>
  <c r="K3094" i="5"/>
  <c r="K3095" i="5"/>
  <c r="K3096" i="5"/>
  <c r="K3097" i="5"/>
  <c r="K3098" i="5"/>
  <c r="K3099" i="5"/>
  <c r="K3100" i="5"/>
  <c r="K3101" i="5"/>
  <c r="K3102" i="5"/>
  <c r="K3103" i="5"/>
  <c r="K3104" i="5"/>
  <c r="K3105" i="5"/>
  <c r="K3106" i="5"/>
  <c r="K3107" i="5"/>
  <c r="K3108" i="5"/>
  <c r="K3109" i="5"/>
  <c r="K3110" i="5"/>
  <c r="K3111" i="5"/>
  <c r="K3112" i="5"/>
  <c r="K3113" i="5"/>
  <c r="K3114" i="5"/>
  <c r="K3115" i="5"/>
  <c r="K3116" i="5"/>
  <c r="K3117" i="5"/>
  <c r="K3118" i="5"/>
  <c r="K3119" i="5"/>
  <c r="K3120" i="5"/>
  <c r="K3121" i="5"/>
  <c r="K3122" i="5"/>
  <c r="K3123" i="5"/>
  <c r="K3124" i="5"/>
  <c r="K3125" i="5"/>
  <c r="K3126" i="5"/>
  <c r="K3127" i="5"/>
  <c r="K3128" i="5"/>
  <c r="K3129" i="5"/>
  <c r="K3130" i="5"/>
  <c r="K3131" i="5"/>
  <c r="K3132" i="5"/>
  <c r="K3133" i="5"/>
  <c r="K3134" i="5"/>
  <c r="K3135" i="5"/>
  <c r="K3136" i="5"/>
  <c r="K3137" i="5"/>
  <c r="K3138" i="5"/>
  <c r="K3139" i="5"/>
  <c r="K3140" i="5"/>
  <c r="K3141" i="5"/>
  <c r="K3142" i="5"/>
  <c r="K3143" i="5"/>
  <c r="K3144" i="5"/>
  <c r="K3145" i="5"/>
  <c r="K3146" i="5"/>
  <c r="K3147" i="5"/>
  <c r="K3148" i="5"/>
  <c r="K3149" i="5"/>
  <c r="K3150" i="5"/>
  <c r="K3151" i="5"/>
  <c r="K3152" i="5"/>
  <c r="K3153" i="5"/>
  <c r="K3154" i="5"/>
  <c r="K3155" i="5"/>
  <c r="K3156" i="5"/>
  <c r="K3157" i="5"/>
  <c r="K3158" i="5"/>
  <c r="K3159" i="5"/>
  <c r="K3160" i="5"/>
  <c r="K3161" i="5"/>
  <c r="K3162" i="5"/>
  <c r="K3163" i="5"/>
  <c r="K3164" i="5"/>
  <c r="K3165" i="5"/>
  <c r="K3166" i="5"/>
  <c r="K3167" i="5"/>
  <c r="K3168" i="5"/>
  <c r="K3169" i="5"/>
  <c r="K3170" i="5"/>
  <c r="K3171" i="5"/>
  <c r="K3172" i="5"/>
  <c r="K3173" i="5"/>
  <c r="K3174" i="5"/>
  <c r="K3175" i="5"/>
  <c r="K3176" i="5"/>
  <c r="K3177" i="5"/>
  <c r="K3178" i="5"/>
  <c r="K3179" i="5"/>
  <c r="K3180" i="5"/>
  <c r="K3181" i="5"/>
  <c r="K3182" i="5"/>
  <c r="K3183" i="5"/>
  <c r="K3184" i="5"/>
  <c r="K3185" i="5"/>
  <c r="K3186" i="5"/>
  <c r="K3187" i="5"/>
  <c r="K3188" i="5"/>
  <c r="K3189" i="5"/>
  <c r="K3190" i="5"/>
  <c r="K3191" i="5"/>
  <c r="K3192" i="5"/>
  <c r="K3193" i="5"/>
  <c r="K3194" i="5"/>
  <c r="K3195" i="5"/>
  <c r="K3196" i="5"/>
  <c r="K3197" i="5"/>
  <c r="K3198" i="5"/>
  <c r="K3199" i="5"/>
  <c r="K3200" i="5"/>
  <c r="K3201" i="5"/>
  <c r="K3202" i="5"/>
  <c r="K3203" i="5"/>
  <c r="K3204" i="5"/>
  <c r="K3205" i="5"/>
  <c r="K3206" i="5"/>
  <c r="K3207" i="5"/>
  <c r="K3208" i="5"/>
  <c r="K3209" i="5"/>
  <c r="K3210" i="5"/>
  <c r="K3211" i="5"/>
  <c r="K3212" i="5"/>
  <c r="K3213" i="5"/>
  <c r="K3214" i="5"/>
  <c r="K3215" i="5"/>
  <c r="K3216" i="5"/>
  <c r="K3217" i="5"/>
  <c r="K3218" i="5"/>
  <c r="K3219" i="5"/>
  <c r="K3220" i="5"/>
  <c r="K3221" i="5"/>
  <c r="K3222" i="5"/>
  <c r="K3223" i="5"/>
  <c r="K3224" i="5"/>
  <c r="K3225" i="5"/>
  <c r="K3226" i="5"/>
  <c r="K3227" i="5"/>
  <c r="K3228" i="5"/>
  <c r="K3229" i="5"/>
  <c r="K3230" i="5"/>
  <c r="K3231" i="5"/>
  <c r="K3232" i="5"/>
  <c r="K3233" i="5"/>
  <c r="K3234" i="5"/>
  <c r="K3235" i="5"/>
  <c r="K3236" i="5"/>
  <c r="K3237" i="5"/>
  <c r="K3238" i="5"/>
  <c r="K3239" i="5"/>
  <c r="K3240" i="5"/>
  <c r="K3241" i="5"/>
  <c r="K3242" i="5"/>
  <c r="K3243" i="5"/>
  <c r="K3244" i="5"/>
  <c r="K3245" i="5"/>
  <c r="K3246" i="5"/>
  <c r="K3247" i="5"/>
  <c r="K3248" i="5"/>
  <c r="K3249" i="5"/>
  <c r="K3250" i="5"/>
  <c r="K3251" i="5"/>
  <c r="K3252" i="5"/>
  <c r="K3253" i="5"/>
  <c r="K3254" i="5"/>
  <c r="K3255" i="5"/>
  <c r="K3256" i="5"/>
  <c r="K3257" i="5"/>
  <c r="K3258" i="5"/>
  <c r="K3259" i="5"/>
  <c r="K3260" i="5"/>
  <c r="K3261" i="5"/>
  <c r="K3262" i="5"/>
  <c r="K3263" i="5"/>
  <c r="K3264" i="5"/>
  <c r="K3265" i="5"/>
  <c r="K3266" i="5"/>
  <c r="K3267" i="5"/>
  <c r="K3268" i="5"/>
  <c r="K3269" i="5"/>
  <c r="K3270" i="5"/>
  <c r="K3271" i="5"/>
  <c r="K3272" i="5"/>
  <c r="K3273" i="5"/>
  <c r="K3274" i="5"/>
  <c r="K3275" i="5"/>
  <c r="K3276" i="5"/>
  <c r="K3277" i="5"/>
  <c r="K3278" i="5"/>
  <c r="K3279" i="5"/>
  <c r="K3280" i="5"/>
  <c r="K3281" i="5"/>
  <c r="K3282" i="5"/>
  <c r="K3283" i="5"/>
  <c r="K3284" i="5"/>
  <c r="K3285" i="5"/>
  <c r="K3286" i="5"/>
  <c r="K3287" i="5"/>
  <c r="K3288" i="5"/>
  <c r="K3289" i="5"/>
  <c r="K3290" i="5"/>
  <c r="K3291" i="5"/>
  <c r="K3292" i="5"/>
  <c r="K3293" i="5"/>
  <c r="K3294" i="5"/>
  <c r="K3295" i="5"/>
  <c r="K3296" i="5"/>
  <c r="K3297" i="5"/>
  <c r="K3298" i="5"/>
  <c r="K3299" i="5"/>
  <c r="K3300" i="5"/>
  <c r="K3301" i="5"/>
  <c r="K3302" i="5"/>
  <c r="K3303" i="5"/>
  <c r="K3304" i="5"/>
  <c r="K3305" i="5"/>
  <c r="K3306" i="5"/>
  <c r="K3307" i="5"/>
  <c r="K3308" i="5"/>
  <c r="K3309" i="5"/>
  <c r="K3310" i="5"/>
  <c r="K3311" i="5"/>
  <c r="K3312" i="5"/>
  <c r="K3313" i="5"/>
  <c r="K3314" i="5"/>
  <c r="K3315" i="5"/>
  <c r="K3316" i="5"/>
  <c r="K3317" i="5"/>
  <c r="K3318" i="5"/>
  <c r="K3319" i="5"/>
  <c r="K3320" i="5"/>
  <c r="K3321" i="5"/>
  <c r="K3322" i="5"/>
  <c r="K3323" i="5"/>
  <c r="K3324" i="5"/>
  <c r="K3325" i="5"/>
  <c r="K3326" i="5"/>
  <c r="K3327" i="5"/>
  <c r="K3328" i="5"/>
  <c r="K3329" i="5"/>
  <c r="K3330" i="5"/>
  <c r="K3331" i="5"/>
  <c r="K3332" i="5"/>
  <c r="K3333" i="5"/>
  <c r="K3334" i="5"/>
  <c r="K3335" i="5"/>
  <c r="K3336" i="5"/>
  <c r="K3337" i="5"/>
  <c r="K3338" i="5"/>
  <c r="K3339" i="5"/>
  <c r="K3340" i="5"/>
  <c r="K3341" i="5"/>
  <c r="K3342" i="5"/>
  <c r="K3343" i="5"/>
  <c r="K3344" i="5"/>
  <c r="K3345" i="5"/>
  <c r="K3346" i="5"/>
  <c r="K3347" i="5"/>
  <c r="K3348" i="5"/>
  <c r="K3349" i="5"/>
  <c r="K3350" i="5"/>
  <c r="K3351" i="5"/>
  <c r="K3352" i="5"/>
  <c r="K3353" i="5"/>
  <c r="K3354" i="5"/>
  <c r="K3355" i="5"/>
  <c r="K3356" i="5"/>
  <c r="K3357" i="5"/>
  <c r="K3358" i="5"/>
  <c r="K3359" i="5"/>
  <c r="K3360" i="5"/>
  <c r="K3361" i="5"/>
  <c r="K3362" i="5"/>
  <c r="K3363" i="5"/>
  <c r="K3364" i="5"/>
  <c r="K3365" i="5"/>
  <c r="K3366" i="5"/>
  <c r="K3367" i="5"/>
  <c r="K3368" i="5"/>
  <c r="K3369" i="5"/>
  <c r="K3370" i="5"/>
  <c r="K3371" i="5"/>
  <c r="K3372" i="5"/>
  <c r="K3373" i="5"/>
  <c r="K3374" i="5"/>
  <c r="K3375" i="5"/>
  <c r="K3376" i="5"/>
  <c r="K3377" i="5"/>
  <c r="K3378" i="5"/>
  <c r="K3379" i="5"/>
  <c r="K3380" i="5"/>
  <c r="K3381" i="5"/>
  <c r="K3382" i="5"/>
  <c r="K3383" i="5"/>
  <c r="K3384" i="5"/>
  <c r="K3385" i="5"/>
  <c r="K3386" i="5"/>
  <c r="K3387" i="5"/>
  <c r="K3388" i="5"/>
  <c r="K3389" i="5"/>
  <c r="K3390" i="5"/>
  <c r="K3391" i="5"/>
  <c r="K3392" i="5"/>
  <c r="K3393" i="5"/>
  <c r="K3394" i="5"/>
  <c r="K3395" i="5"/>
  <c r="K3396" i="5"/>
  <c r="K3397" i="5"/>
  <c r="K3398" i="5"/>
  <c r="K3399" i="5"/>
  <c r="K3400" i="5"/>
  <c r="K3401" i="5"/>
  <c r="K3402" i="5"/>
  <c r="K3403" i="5"/>
  <c r="K3404" i="5"/>
  <c r="K3405" i="5"/>
  <c r="K3406" i="5"/>
  <c r="K3407" i="5"/>
  <c r="K3408" i="5"/>
  <c r="K3409" i="5"/>
  <c r="K3410" i="5"/>
  <c r="K3411" i="5"/>
  <c r="K3412" i="5"/>
  <c r="K3413" i="5"/>
  <c r="K3414" i="5"/>
  <c r="K3415" i="5"/>
  <c r="K3416" i="5"/>
  <c r="K3417" i="5"/>
  <c r="K3418" i="5"/>
  <c r="K3419" i="5"/>
  <c r="K3420" i="5"/>
  <c r="K3421" i="5"/>
  <c r="K3422" i="5"/>
  <c r="K3423" i="5"/>
  <c r="K3424" i="5"/>
  <c r="K3425" i="5"/>
  <c r="K3426" i="5"/>
  <c r="K3427" i="5"/>
  <c r="K3428" i="5"/>
  <c r="K3429" i="5"/>
  <c r="K3430" i="5"/>
  <c r="K3431" i="5"/>
  <c r="K3432" i="5"/>
  <c r="K3433" i="5"/>
  <c r="K3434" i="5"/>
  <c r="K3435" i="5"/>
  <c r="K3436" i="5"/>
  <c r="K3437" i="5"/>
  <c r="K3438" i="5"/>
  <c r="K3439" i="5"/>
  <c r="K3440" i="5"/>
  <c r="K3441" i="5"/>
  <c r="K3442" i="5"/>
  <c r="K3443" i="5"/>
  <c r="K3444" i="5"/>
  <c r="K3445" i="5"/>
  <c r="K3446" i="5"/>
  <c r="K3447" i="5"/>
  <c r="K3448" i="5"/>
  <c r="K3449" i="5"/>
  <c r="K3450" i="5"/>
  <c r="K3451" i="5"/>
  <c r="K3452" i="5"/>
  <c r="K3453" i="5"/>
  <c r="K3454" i="5"/>
  <c r="K3455" i="5"/>
  <c r="K3456" i="5"/>
  <c r="K3457" i="5"/>
  <c r="K3458" i="5"/>
  <c r="K3459" i="5"/>
  <c r="K3460" i="5"/>
  <c r="K3461" i="5"/>
  <c r="K3462" i="5"/>
  <c r="K3463" i="5"/>
  <c r="K3464" i="5"/>
  <c r="K3465" i="5"/>
  <c r="K3466" i="5"/>
  <c r="K3467" i="5"/>
  <c r="K3468" i="5"/>
  <c r="K3469" i="5"/>
  <c r="K3470" i="5"/>
  <c r="K3471" i="5"/>
  <c r="K3472" i="5"/>
  <c r="K3473" i="5"/>
  <c r="K3474" i="5"/>
  <c r="K3475" i="5"/>
  <c r="K3476" i="5"/>
  <c r="K3477" i="5"/>
  <c r="K3478" i="5"/>
  <c r="K3479" i="5"/>
  <c r="K3480" i="5"/>
  <c r="K3481" i="5"/>
  <c r="K3482" i="5"/>
  <c r="K3483" i="5"/>
  <c r="K3484" i="5"/>
  <c r="K3485" i="5"/>
  <c r="K3486" i="5"/>
  <c r="K3487" i="5"/>
  <c r="K3488" i="5"/>
  <c r="K3489" i="5"/>
  <c r="K3490" i="5"/>
  <c r="K3491" i="5"/>
  <c r="K3492" i="5"/>
  <c r="K3493" i="5"/>
  <c r="K3494" i="5"/>
  <c r="K3495" i="5"/>
  <c r="K3496" i="5"/>
  <c r="K3497" i="5"/>
  <c r="K3498" i="5"/>
  <c r="K3499" i="5"/>
  <c r="K3500" i="5"/>
  <c r="K3501" i="5"/>
  <c r="K3502" i="5"/>
  <c r="K3503" i="5"/>
  <c r="K3504" i="5"/>
  <c r="K3505" i="5"/>
  <c r="K3506" i="5"/>
  <c r="K3507" i="5"/>
  <c r="K3508" i="5"/>
  <c r="K3509" i="5"/>
  <c r="K3510" i="5"/>
  <c r="K3511" i="5"/>
  <c r="K3512" i="5"/>
  <c r="K3513" i="5"/>
  <c r="K3514" i="5"/>
  <c r="K3515" i="5"/>
  <c r="K3516" i="5"/>
  <c r="K3517" i="5"/>
  <c r="K3518" i="5"/>
  <c r="K3519" i="5"/>
  <c r="K3520" i="5"/>
  <c r="K3521" i="5"/>
  <c r="K3522" i="5"/>
  <c r="K3523" i="5"/>
  <c r="K3524" i="5"/>
  <c r="K3525" i="5"/>
  <c r="K3526" i="5"/>
  <c r="K3527" i="5"/>
  <c r="K3528" i="5"/>
  <c r="K3529" i="5"/>
  <c r="K3530" i="5"/>
  <c r="K3531" i="5"/>
  <c r="K3532" i="5"/>
  <c r="K3533" i="5"/>
  <c r="K3534" i="5"/>
  <c r="K3535" i="5"/>
  <c r="K3536" i="5"/>
  <c r="K3537" i="5"/>
  <c r="K3538" i="5"/>
  <c r="K3539" i="5"/>
  <c r="K3540" i="5"/>
  <c r="K3541" i="5"/>
  <c r="K3542" i="5"/>
  <c r="K3543" i="5"/>
  <c r="K3544" i="5"/>
  <c r="K3545" i="5"/>
  <c r="K3546" i="5"/>
  <c r="K3547" i="5"/>
  <c r="K3548" i="5"/>
  <c r="K3549" i="5"/>
  <c r="K3550" i="5"/>
  <c r="K3551" i="5"/>
  <c r="K3552" i="5"/>
  <c r="K3553" i="5"/>
  <c r="K3554" i="5"/>
  <c r="K3555" i="5"/>
  <c r="K3556" i="5"/>
  <c r="K3557" i="5"/>
  <c r="K3558" i="5"/>
  <c r="K3559" i="5"/>
  <c r="K3560" i="5"/>
  <c r="K3561" i="5"/>
  <c r="K3562" i="5"/>
  <c r="K3563" i="5"/>
  <c r="K3564" i="5"/>
  <c r="K3565" i="5"/>
  <c r="K3566" i="5"/>
  <c r="K3567" i="5"/>
  <c r="K3568" i="5"/>
  <c r="K3569" i="5"/>
  <c r="K3570" i="5"/>
  <c r="K3571" i="5"/>
  <c r="K3572" i="5"/>
  <c r="K3573" i="5"/>
  <c r="K3574" i="5"/>
  <c r="K3575" i="5"/>
  <c r="K3576" i="5"/>
  <c r="K3577" i="5"/>
  <c r="K3578" i="5"/>
  <c r="K3579" i="5"/>
  <c r="K3580" i="5"/>
  <c r="K3581" i="5"/>
  <c r="K3582" i="5"/>
  <c r="K3583" i="5"/>
  <c r="K3584" i="5"/>
  <c r="K3585" i="5"/>
  <c r="K3586" i="5"/>
  <c r="K3587" i="5"/>
  <c r="K3588" i="5"/>
  <c r="K3589" i="5"/>
  <c r="K3590" i="5"/>
  <c r="K3591" i="5"/>
  <c r="K3592" i="5"/>
  <c r="K3593" i="5"/>
  <c r="K3594" i="5"/>
  <c r="K3595" i="5"/>
  <c r="K3596" i="5"/>
  <c r="K3597" i="5"/>
  <c r="K3598" i="5"/>
  <c r="K3599" i="5"/>
  <c r="K3600" i="5"/>
  <c r="K3601" i="5"/>
  <c r="K3602" i="5"/>
  <c r="K3603" i="5"/>
  <c r="K3604" i="5"/>
  <c r="K3605" i="5"/>
  <c r="K3606" i="5"/>
  <c r="K3607" i="5"/>
  <c r="K3608" i="5"/>
  <c r="K3609" i="5"/>
  <c r="K3610" i="5"/>
  <c r="K3611" i="5"/>
  <c r="K3612" i="5"/>
  <c r="K3613" i="5"/>
  <c r="K3614" i="5"/>
  <c r="K3615" i="5"/>
  <c r="K3616" i="5"/>
  <c r="K3617" i="5"/>
  <c r="K3618" i="5"/>
  <c r="K3619" i="5"/>
  <c r="K3620" i="5"/>
  <c r="K3621" i="5"/>
  <c r="K3622" i="5"/>
  <c r="K3623" i="5"/>
  <c r="K3624" i="5"/>
  <c r="K3625" i="5"/>
  <c r="K3626" i="5"/>
  <c r="K3627" i="5"/>
  <c r="K3628" i="5"/>
  <c r="K3629" i="5"/>
  <c r="K3630" i="5"/>
  <c r="K3631" i="5"/>
  <c r="K3632" i="5"/>
  <c r="K3633" i="5"/>
  <c r="K3634" i="5"/>
  <c r="K3635" i="5"/>
  <c r="K3636" i="5"/>
  <c r="K3637" i="5"/>
  <c r="K3638" i="5"/>
  <c r="K3639" i="5"/>
  <c r="K3640" i="5"/>
  <c r="K3641" i="5"/>
  <c r="K3642" i="5"/>
  <c r="K3643" i="5"/>
  <c r="K3644" i="5"/>
  <c r="K3645" i="5"/>
  <c r="K3646" i="5"/>
  <c r="K3647" i="5"/>
  <c r="K3648" i="5"/>
  <c r="K3649" i="5"/>
  <c r="K3650" i="5"/>
  <c r="K3651" i="5"/>
  <c r="K3652" i="5"/>
  <c r="K3653" i="5"/>
  <c r="K3654" i="5"/>
  <c r="K3655" i="5"/>
  <c r="K3656" i="5"/>
  <c r="K3657" i="5"/>
  <c r="K3658" i="5"/>
  <c r="K3659" i="5"/>
  <c r="K3660" i="5"/>
  <c r="K3661" i="5"/>
  <c r="K3662" i="5"/>
  <c r="K3663" i="5"/>
  <c r="K3664" i="5"/>
  <c r="K3665" i="5"/>
  <c r="K3666" i="5"/>
  <c r="K3667" i="5"/>
  <c r="K3668" i="5"/>
  <c r="K3669" i="5"/>
  <c r="K3670" i="5"/>
  <c r="K3671" i="5"/>
  <c r="K3672" i="5"/>
  <c r="K3673" i="5"/>
  <c r="K3674" i="5"/>
  <c r="K3675" i="5"/>
  <c r="K3676" i="5"/>
  <c r="K3677" i="5"/>
  <c r="K3678" i="5"/>
  <c r="K3679" i="5"/>
  <c r="K3680" i="5"/>
  <c r="K3681" i="5"/>
  <c r="K3682" i="5"/>
  <c r="K3683" i="5"/>
  <c r="K3684" i="5"/>
  <c r="K3685" i="5"/>
  <c r="K3686" i="5"/>
  <c r="K3687" i="5"/>
  <c r="K3688" i="5"/>
  <c r="K3689" i="5"/>
  <c r="K3690" i="5"/>
  <c r="K3691" i="5"/>
  <c r="K3692" i="5"/>
  <c r="K3693" i="5"/>
  <c r="K3694" i="5"/>
  <c r="K3695" i="5"/>
  <c r="K3696" i="5"/>
  <c r="K3697" i="5"/>
  <c r="K3698" i="5"/>
  <c r="K3699" i="5"/>
  <c r="K3700" i="5"/>
  <c r="K3701" i="5"/>
  <c r="K3702" i="5"/>
  <c r="K3703" i="5"/>
  <c r="K3704" i="5"/>
  <c r="K3705" i="5"/>
  <c r="K3706" i="5"/>
  <c r="K3707" i="5"/>
  <c r="K3708" i="5"/>
  <c r="K3709" i="5"/>
  <c r="K3710" i="5"/>
  <c r="K3711" i="5"/>
  <c r="K3712" i="5"/>
  <c r="K3713" i="5"/>
  <c r="K3714" i="5"/>
  <c r="K3715" i="5"/>
  <c r="K3716" i="5"/>
  <c r="K3717" i="5"/>
  <c r="K3718" i="5"/>
  <c r="K3719" i="5"/>
  <c r="K3720" i="5"/>
  <c r="K3721" i="5"/>
  <c r="K3722" i="5"/>
  <c r="K3723" i="5"/>
  <c r="K3724" i="5"/>
  <c r="K3725" i="5"/>
  <c r="K3726" i="5"/>
  <c r="K3727" i="5"/>
  <c r="K3728" i="5"/>
  <c r="K3729" i="5"/>
  <c r="K3730" i="5"/>
  <c r="K3731" i="5"/>
  <c r="K3732" i="5"/>
  <c r="K3733" i="5"/>
  <c r="K3734" i="5"/>
  <c r="K3735" i="5"/>
  <c r="K3736" i="5"/>
  <c r="K3737" i="5"/>
  <c r="K3738" i="5"/>
  <c r="K3739" i="5"/>
  <c r="K3740" i="5"/>
  <c r="K3741" i="5"/>
  <c r="K3742" i="5"/>
  <c r="K3743" i="5"/>
  <c r="K3744" i="5"/>
  <c r="K3745" i="5"/>
  <c r="K3746" i="5"/>
  <c r="K3747" i="5"/>
  <c r="K3748" i="5"/>
  <c r="K3749" i="5"/>
  <c r="K3750" i="5"/>
  <c r="K3751" i="5"/>
  <c r="K3752" i="5"/>
  <c r="K3753" i="5"/>
  <c r="K3754" i="5"/>
  <c r="K3755" i="5"/>
  <c r="K3756" i="5"/>
  <c r="K3757" i="5"/>
  <c r="K3758" i="5"/>
  <c r="K3759" i="5"/>
  <c r="K3760" i="5"/>
  <c r="K3761" i="5"/>
  <c r="K3762" i="5"/>
  <c r="K3763" i="5"/>
  <c r="K3764" i="5"/>
  <c r="K3765" i="5"/>
  <c r="K3766" i="5"/>
  <c r="K3767" i="5"/>
  <c r="K3768" i="5"/>
  <c r="K3769" i="5"/>
  <c r="K3770" i="5"/>
  <c r="K3771" i="5"/>
  <c r="K3772" i="5"/>
  <c r="K3773" i="5"/>
  <c r="K3774" i="5"/>
  <c r="K3775" i="5"/>
  <c r="K3776" i="5"/>
  <c r="K3777" i="5"/>
  <c r="K3778" i="5"/>
  <c r="K3779" i="5"/>
  <c r="K3780" i="5"/>
  <c r="K3781" i="5"/>
  <c r="K3782" i="5"/>
  <c r="K3783" i="5"/>
  <c r="K3784" i="5"/>
  <c r="K3785" i="5"/>
  <c r="K3786" i="5"/>
  <c r="K3787" i="5"/>
  <c r="K3788" i="5"/>
  <c r="K3789" i="5"/>
  <c r="K3790" i="5"/>
  <c r="K3791" i="5"/>
  <c r="K3792" i="5"/>
  <c r="K3793" i="5"/>
  <c r="K3794" i="5"/>
  <c r="K3795" i="5"/>
  <c r="K3796" i="5"/>
  <c r="K3797" i="5"/>
  <c r="K3798" i="5"/>
  <c r="K3799" i="5"/>
  <c r="K3800" i="5"/>
  <c r="K3801" i="5"/>
  <c r="K3802" i="5"/>
  <c r="K3803" i="5"/>
  <c r="K3804" i="5"/>
  <c r="K3805" i="5"/>
  <c r="K3806" i="5"/>
  <c r="K3807" i="5"/>
  <c r="K3808" i="5"/>
  <c r="K3809" i="5"/>
  <c r="K3810" i="5"/>
  <c r="K3811" i="5"/>
  <c r="K3812" i="5"/>
  <c r="K3813" i="5"/>
  <c r="K3814" i="5"/>
  <c r="K3815" i="5"/>
  <c r="K3816" i="5"/>
  <c r="K3817" i="5"/>
  <c r="K3818" i="5"/>
  <c r="K3819" i="5"/>
  <c r="K3820" i="5"/>
  <c r="K3821" i="5"/>
  <c r="K3822" i="5"/>
  <c r="K3823" i="5"/>
  <c r="K3824" i="5"/>
  <c r="K3825" i="5"/>
  <c r="K3826" i="5"/>
  <c r="K3827" i="5"/>
  <c r="K3828" i="5"/>
  <c r="K3829" i="5"/>
  <c r="K3830" i="5"/>
  <c r="K3831" i="5"/>
  <c r="K3832" i="5"/>
  <c r="K3833" i="5"/>
  <c r="K3834" i="5"/>
  <c r="K3835" i="5"/>
  <c r="K3836" i="5"/>
  <c r="K3837" i="5"/>
  <c r="K3838" i="5"/>
  <c r="K3839" i="5"/>
  <c r="K3840" i="5"/>
  <c r="K3841" i="5"/>
  <c r="K3842" i="5"/>
  <c r="K3843" i="5"/>
  <c r="K3844" i="5"/>
  <c r="K3845" i="5"/>
  <c r="K3846" i="5"/>
  <c r="K3847" i="5"/>
  <c r="K3848" i="5"/>
  <c r="K3849" i="5"/>
  <c r="K3850" i="5"/>
  <c r="K3851" i="5"/>
  <c r="K3852" i="5"/>
  <c r="K3853" i="5"/>
  <c r="K3854" i="5"/>
  <c r="K3855" i="5"/>
  <c r="K3856" i="5"/>
  <c r="K3857" i="5"/>
  <c r="K3858" i="5"/>
  <c r="K3859" i="5"/>
  <c r="K3860" i="5"/>
  <c r="K3861" i="5"/>
  <c r="K3862" i="5"/>
  <c r="K3863" i="5"/>
  <c r="K3864" i="5"/>
  <c r="K3865" i="5"/>
  <c r="K3866" i="5"/>
  <c r="K3867" i="5"/>
  <c r="K3868" i="5"/>
  <c r="K3869" i="5"/>
  <c r="K3870" i="5"/>
  <c r="K3871" i="5"/>
  <c r="K3872" i="5"/>
  <c r="K3873" i="5"/>
  <c r="K3874" i="5"/>
  <c r="K3875" i="5"/>
  <c r="K3876" i="5"/>
  <c r="K3877" i="5"/>
  <c r="K3878" i="5"/>
  <c r="K3879" i="5"/>
  <c r="K3880" i="5"/>
  <c r="K3881" i="5"/>
  <c r="K3882" i="5"/>
  <c r="K3883" i="5"/>
  <c r="K3884" i="5"/>
  <c r="K3885" i="5"/>
  <c r="K3886" i="5"/>
  <c r="K3887" i="5"/>
  <c r="K3888" i="5"/>
  <c r="K3889" i="5"/>
  <c r="K3890" i="5"/>
  <c r="K3891" i="5"/>
  <c r="K3892" i="5"/>
  <c r="K3893" i="5"/>
  <c r="K3894" i="5"/>
  <c r="K3895" i="5"/>
  <c r="K3896" i="5"/>
  <c r="K3897" i="5"/>
  <c r="K3898" i="5"/>
  <c r="K3899" i="5"/>
  <c r="K3900" i="5"/>
  <c r="K3901" i="5"/>
  <c r="K3902" i="5"/>
  <c r="K3903" i="5"/>
  <c r="K3904" i="5"/>
  <c r="K3905" i="5"/>
  <c r="K3906" i="5"/>
  <c r="K3907" i="5"/>
  <c r="K3908" i="5"/>
  <c r="K3909" i="5"/>
  <c r="K3910" i="5"/>
  <c r="K3911" i="5"/>
  <c r="K3912" i="5"/>
  <c r="K3913" i="5"/>
  <c r="K3914" i="5"/>
  <c r="K3915" i="5"/>
  <c r="K3916" i="5"/>
  <c r="K3917" i="5"/>
  <c r="K3918" i="5"/>
  <c r="K3919" i="5"/>
  <c r="K3920" i="5"/>
  <c r="K3921" i="5"/>
  <c r="K3922" i="5"/>
  <c r="K3923" i="5"/>
  <c r="K3924" i="5"/>
  <c r="K3925" i="5"/>
  <c r="K3926" i="5"/>
  <c r="K3927" i="5"/>
  <c r="K3928" i="5"/>
  <c r="K3929" i="5"/>
  <c r="K3930" i="5"/>
  <c r="K3931" i="5"/>
  <c r="K3932" i="5"/>
  <c r="K3933" i="5"/>
  <c r="K3934" i="5"/>
  <c r="K3935" i="5"/>
  <c r="K3936" i="5"/>
  <c r="K3937" i="5"/>
  <c r="K3938" i="5"/>
  <c r="K3939" i="5"/>
  <c r="K3940" i="5"/>
  <c r="K3941" i="5"/>
  <c r="K3942" i="5"/>
  <c r="K3943" i="5"/>
  <c r="K3944" i="5"/>
  <c r="K3945" i="5"/>
  <c r="K3946" i="5"/>
  <c r="K3947" i="5"/>
  <c r="K3948" i="5"/>
  <c r="K3949" i="5"/>
  <c r="K3950" i="5"/>
  <c r="K3951" i="5"/>
  <c r="K3952" i="5"/>
  <c r="K3953" i="5"/>
  <c r="K3954" i="5"/>
  <c r="K3955" i="5"/>
  <c r="K3956" i="5"/>
  <c r="K3957" i="5"/>
  <c r="K3958" i="5"/>
  <c r="K3959" i="5"/>
  <c r="K3960" i="5"/>
  <c r="K3961" i="5"/>
  <c r="K3962" i="5"/>
  <c r="K3963" i="5"/>
  <c r="K3964" i="5"/>
  <c r="K3965" i="5"/>
  <c r="K3966" i="5"/>
  <c r="K3967" i="5"/>
  <c r="K3968" i="5"/>
  <c r="K3969" i="5"/>
  <c r="K3970" i="5"/>
  <c r="K3971" i="5"/>
  <c r="K3972" i="5"/>
  <c r="K3973" i="5"/>
  <c r="K3974" i="5"/>
  <c r="K3975" i="5"/>
  <c r="K3976" i="5"/>
  <c r="K3977" i="5"/>
  <c r="K3978" i="5"/>
  <c r="K3979" i="5"/>
  <c r="K3980" i="5"/>
  <c r="K3981" i="5"/>
  <c r="K3982" i="5"/>
  <c r="K3983" i="5"/>
  <c r="K3984" i="5"/>
  <c r="K3985" i="5"/>
  <c r="K3986" i="5"/>
  <c r="K3987" i="5"/>
  <c r="K3988" i="5"/>
  <c r="K3989" i="5"/>
  <c r="K3990" i="5"/>
  <c r="K3991" i="5"/>
  <c r="K3992" i="5"/>
  <c r="K3993" i="5"/>
  <c r="K3994" i="5"/>
  <c r="K3995" i="5"/>
  <c r="K3996" i="5"/>
  <c r="K3997" i="5"/>
  <c r="K3998" i="5"/>
  <c r="K3999" i="5"/>
  <c r="K4000" i="5"/>
  <c r="K4001" i="5"/>
  <c r="K4002" i="5"/>
  <c r="K4003" i="5"/>
  <c r="K4004" i="5"/>
  <c r="K4005" i="5"/>
  <c r="K4006" i="5"/>
  <c r="K4007" i="5"/>
  <c r="K4008" i="5"/>
  <c r="K4009" i="5"/>
  <c r="K4010" i="5"/>
  <c r="K4011" i="5"/>
  <c r="K4012" i="5"/>
  <c r="K4013" i="5"/>
  <c r="K4014" i="5"/>
  <c r="K4015" i="5"/>
  <c r="K4016" i="5"/>
  <c r="K4017" i="5"/>
  <c r="K4018" i="5"/>
  <c r="K4019" i="5"/>
  <c r="K4020" i="5"/>
  <c r="K4021" i="5"/>
  <c r="K4022" i="5"/>
  <c r="K4023" i="5"/>
  <c r="K4024" i="5"/>
  <c r="K4025" i="5"/>
  <c r="K4026" i="5"/>
  <c r="K4027" i="5"/>
  <c r="K4028" i="5"/>
  <c r="K4029" i="5"/>
  <c r="K4030" i="5"/>
  <c r="K4031" i="5"/>
  <c r="K4032" i="5"/>
  <c r="K4033" i="5"/>
  <c r="K4034" i="5"/>
  <c r="K4035" i="5"/>
  <c r="K4036" i="5"/>
  <c r="K4037" i="5"/>
  <c r="K4038" i="5"/>
  <c r="K4039" i="5"/>
  <c r="K4040" i="5"/>
  <c r="K4041" i="5"/>
  <c r="K4042" i="5"/>
  <c r="K4043" i="5"/>
  <c r="K4044" i="5"/>
  <c r="K4045" i="5"/>
  <c r="K4046" i="5"/>
  <c r="K4047" i="5"/>
  <c r="K4048" i="5"/>
  <c r="K4049" i="5"/>
  <c r="K4050" i="5"/>
  <c r="K4051" i="5"/>
  <c r="K4052" i="5"/>
  <c r="K4053" i="5"/>
  <c r="K4054" i="5"/>
  <c r="K4055" i="5"/>
  <c r="K4056" i="5"/>
  <c r="K4057" i="5"/>
  <c r="K4058" i="5"/>
  <c r="K4059" i="5"/>
  <c r="K4060" i="5"/>
  <c r="K4061" i="5"/>
  <c r="K4062" i="5"/>
  <c r="K4063" i="5"/>
  <c r="K4064" i="5"/>
  <c r="K4065" i="5"/>
  <c r="K4066" i="5"/>
  <c r="K4067" i="5"/>
  <c r="K4068" i="5"/>
  <c r="K4069" i="5"/>
  <c r="K4070" i="5"/>
  <c r="K4071" i="5"/>
  <c r="K4072" i="5"/>
  <c r="K4073" i="5"/>
  <c r="K4074" i="5"/>
  <c r="K4075" i="5"/>
  <c r="K4076" i="5"/>
  <c r="K4077" i="5"/>
  <c r="K4078" i="5"/>
  <c r="K4079" i="5"/>
  <c r="K4080" i="5"/>
  <c r="K4081" i="5"/>
  <c r="K4082" i="5"/>
  <c r="K4083" i="5"/>
  <c r="K4084" i="5"/>
  <c r="K4085" i="5"/>
  <c r="K4086" i="5"/>
  <c r="K4087" i="5"/>
  <c r="K4088" i="5"/>
  <c r="K4089" i="5"/>
  <c r="K4090" i="5"/>
  <c r="K4091" i="5"/>
  <c r="K4092" i="5"/>
  <c r="K4093" i="5"/>
  <c r="K4094" i="5"/>
  <c r="K4095" i="5"/>
  <c r="K4096" i="5"/>
  <c r="K4097" i="5"/>
  <c r="K4098" i="5"/>
  <c r="K4099" i="5"/>
  <c r="K4100" i="5"/>
  <c r="K4101" i="5"/>
  <c r="K4102" i="5"/>
  <c r="K4103" i="5"/>
  <c r="K4104" i="5"/>
  <c r="K4105" i="5"/>
  <c r="K4106" i="5"/>
  <c r="K4107" i="5"/>
  <c r="K4108" i="5"/>
  <c r="K4109" i="5"/>
  <c r="K4110" i="5"/>
  <c r="K4111" i="5"/>
  <c r="K4112" i="5"/>
  <c r="K4113" i="5"/>
  <c r="K4114" i="5"/>
  <c r="K4115" i="5"/>
  <c r="K4116" i="5"/>
  <c r="K4117" i="5"/>
  <c r="K4118" i="5"/>
  <c r="K4119" i="5"/>
  <c r="K4120" i="5"/>
  <c r="K4121" i="5"/>
  <c r="K4122" i="5"/>
  <c r="K4123" i="5"/>
  <c r="K4124" i="5"/>
  <c r="K4125" i="5"/>
  <c r="K4126" i="5"/>
  <c r="K4127" i="5"/>
  <c r="K4128" i="5"/>
  <c r="K4129" i="5"/>
  <c r="K4130" i="5"/>
  <c r="K4131" i="5"/>
  <c r="K4132" i="5"/>
  <c r="K4133" i="5"/>
  <c r="K4134" i="5"/>
  <c r="K4135" i="5"/>
  <c r="K4136" i="5"/>
  <c r="K4137" i="5"/>
  <c r="K4138" i="5"/>
  <c r="K4139" i="5"/>
  <c r="K4140" i="5"/>
  <c r="K4141" i="5"/>
  <c r="K4142" i="5"/>
  <c r="K4143" i="5"/>
  <c r="K4144" i="5"/>
  <c r="K4145" i="5"/>
  <c r="K4146" i="5"/>
  <c r="K4147" i="5"/>
  <c r="K4148" i="5"/>
  <c r="K4149" i="5"/>
  <c r="K4150" i="5"/>
  <c r="K4151" i="5"/>
  <c r="K4152" i="5"/>
  <c r="K4153" i="5"/>
  <c r="K4154" i="5"/>
  <c r="K4155" i="5"/>
  <c r="K4156" i="5"/>
  <c r="K4157" i="5"/>
  <c r="K4158" i="5"/>
  <c r="K4159" i="5"/>
  <c r="K4160" i="5"/>
  <c r="K4161" i="5"/>
  <c r="K4162" i="5"/>
  <c r="K4163" i="5"/>
  <c r="K4164" i="5"/>
  <c r="K4165" i="5"/>
  <c r="K4166" i="5"/>
  <c r="K4167" i="5"/>
  <c r="K4168" i="5"/>
  <c r="K4169" i="5"/>
  <c r="K4170" i="5"/>
  <c r="K4171" i="5"/>
  <c r="K4172" i="5"/>
  <c r="K4173" i="5"/>
  <c r="K4174" i="5"/>
  <c r="K4175" i="5"/>
  <c r="K4176" i="5"/>
  <c r="K4177" i="5"/>
  <c r="K4178" i="5"/>
  <c r="K4179" i="5"/>
  <c r="K4180" i="5"/>
  <c r="K4181" i="5"/>
  <c r="K4182" i="5"/>
  <c r="K4183" i="5"/>
  <c r="K4184" i="5"/>
  <c r="K4185" i="5"/>
  <c r="K4186" i="5"/>
  <c r="K4187" i="5"/>
  <c r="K4188" i="5"/>
  <c r="K4189" i="5"/>
  <c r="K4190" i="5"/>
  <c r="K4191" i="5"/>
  <c r="K4192" i="5"/>
  <c r="K4193" i="5"/>
  <c r="K4194" i="5"/>
  <c r="K4195" i="5"/>
  <c r="K4196" i="5"/>
  <c r="K4197" i="5"/>
  <c r="K4198" i="5"/>
  <c r="K4199" i="5"/>
  <c r="K4200" i="5"/>
  <c r="K4201" i="5"/>
  <c r="K4202" i="5"/>
  <c r="K4203" i="5"/>
  <c r="K4204" i="5"/>
  <c r="K4205" i="5"/>
  <c r="K4206" i="5"/>
  <c r="K4207" i="5"/>
  <c r="K4208" i="5"/>
  <c r="K4209" i="5"/>
  <c r="K4210" i="5"/>
  <c r="K4211" i="5"/>
  <c r="K4212" i="5"/>
  <c r="K4213" i="5"/>
  <c r="K4214" i="5"/>
  <c r="K4215" i="5"/>
  <c r="K4216" i="5"/>
  <c r="K4217" i="5"/>
  <c r="K4218" i="5"/>
  <c r="K4219" i="5"/>
  <c r="K4220" i="5"/>
  <c r="K4221" i="5"/>
  <c r="K4222" i="5"/>
  <c r="K4223" i="5"/>
  <c r="K4224" i="5"/>
  <c r="K4225" i="5"/>
  <c r="K4226" i="5"/>
  <c r="K4227" i="5"/>
  <c r="K4228" i="5"/>
  <c r="K4229" i="5"/>
  <c r="K4230" i="5"/>
  <c r="K4231" i="5"/>
  <c r="K4232" i="5"/>
  <c r="K4233" i="5"/>
  <c r="K4234" i="5"/>
  <c r="K4235" i="5"/>
  <c r="K4236" i="5"/>
  <c r="K4237" i="5"/>
  <c r="K4238" i="5"/>
  <c r="K4239" i="5"/>
  <c r="K4240" i="5"/>
  <c r="K4241" i="5"/>
  <c r="K4242" i="5"/>
  <c r="K4243" i="5"/>
  <c r="K4244" i="5"/>
  <c r="K4245" i="5"/>
  <c r="K4246" i="5"/>
  <c r="K4247" i="5"/>
  <c r="K4248" i="5"/>
  <c r="K4249" i="5"/>
  <c r="K4250" i="5"/>
  <c r="K4251" i="5"/>
  <c r="K4252" i="5"/>
  <c r="K4253" i="5"/>
  <c r="K4254" i="5"/>
  <c r="K4255" i="5"/>
  <c r="K4256" i="5"/>
  <c r="K4257" i="5"/>
  <c r="K4258" i="5"/>
  <c r="K4259" i="5"/>
  <c r="K4260" i="5"/>
  <c r="K4261" i="5"/>
  <c r="K4262" i="5"/>
  <c r="K4263" i="5"/>
  <c r="K4264" i="5"/>
  <c r="K4265" i="5"/>
  <c r="K4266" i="5"/>
  <c r="K4267" i="5"/>
  <c r="K4268" i="5"/>
  <c r="K4269" i="5"/>
  <c r="K4270" i="5"/>
  <c r="K4271" i="5"/>
  <c r="K4272" i="5"/>
  <c r="K4273" i="5"/>
  <c r="K4274" i="5"/>
  <c r="K4275" i="5"/>
  <c r="K4276" i="5"/>
  <c r="K4277" i="5"/>
  <c r="K4278" i="5"/>
  <c r="K4279" i="5"/>
  <c r="K4280" i="5"/>
  <c r="K4281" i="5"/>
  <c r="K4282" i="5"/>
  <c r="K4283" i="5"/>
  <c r="K4284" i="5"/>
  <c r="K4285" i="5"/>
  <c r="K4286" i="5"/>
  <c r="K4287" i="5"/>
  <c r="K4288" i="5"/>
  <c r="K4289" i="5"/>
  <c r="K4290" i="5"/>
  <c r="K4291" i="5"/>
  <c r="K4292" i="5"/>
  <c r="K4293" i="5"/>
  <c r="K4294" i="5"/>
  <c r="K4295" i="5"/>
  <c r="K4296" i="5"/>
  <c r="K4297" i="5"/>
  <c r="K4298" i="5"/>
  <c r="K4299" i="5"/>
  <c r="K4300" i="5"/>
  <c r="K4301" i="5"/>
  <c r="K4302" i="5"/>
  <c r="K4303" i="5"/>
  <c r="K4304" i="5"/>
  <c r="K4305" i="5"/>
  <c r="K4306" i="5"/>
  <c r="K4307" i="5"/>
  <c r="K4308" i="5"/>
  <c r="K4309" i="5"/>
  <c r="K4310" i="5"/>
  <c r="K4311" i="5"/>
  <c r="K4312" i="5"/>
  <c r="K4313" i="5"/>
  <c r="K4314" i="5"/>
  <c r="K4315" i="5"/>
  <c r="K4316" i="5"/>
  <c r="K4317" i="5"/>
  <c r="K4318" i="5"/>
  <c r="K4319" i="5"/>
  <c r="K4320" i="5"/>
  <c r="K4321" i="5"/>
  <c r="K4322" i="5"/>
  <c r="K4323" i="5"/>
  <c r="K4324" i="5"/>
  <c r="K4325" i="5"/>
  <c r="K4326" i="5"/>
  <c r="K4327" i="5"/>
  <c r="K4328" i="5"/>
  <c r="K4329" i="5"/>
  <c r="K4330" i="5"/>
  <c r="K4331" i="5"/>
  <c r="K4332" i="5"/>
  <c r="K4333" i="5"/>
  <c r="K4334" i="5"/>
  <c r="K4335" i="5"/>
  <c r="K4336" i="5"/>
  <c r="K4337" i="5"/>
  <c r="K4338" i="5"/>
  <c r="K4339" i="5"/>
  <c r="K4340" i="5"/>
  <c r="K4341" i="5"/>
  <c r="K4342" i="5"/>
  <c r="K4343" i="5"/>
  <c r="K4344" i="5"/>
  <c r="K4345" i="5"/>
  <c r="K4346" i="5"/>
  <c r="K4347" i="5"/>
  <c r="K4348" i="5"/>
  <c r="K4349" i="5"/>
  <c r="K4350" i="5"/>
  <c r="K4351" i="5"/>
  <c r="K4352" i="5"/>
  <c r="K4353" i="5"/>
  <c r="K4354" i="5"/>
  <c r="K4355" i="5"/>
  <c r="K4356" i="5"/>
  <c r="K4357" i="5"/>
  <c r="K4358" i="5"/>
  <c r="K4359" i="5"/>
  <c r="K4360" i="5"/>
  <c r="K4361" i="5"/>
  <c r="K4362" i="5"/>
  <c r="K4363" i="5"/>
  <c r="K4364" i="5"/>
  <c r="K4365" i="5"/>
  <c r="K4366" i="5"/>
  <c r="K4367" i="5"/>
  <c r="K4368" i="5"/>
  <c r="K4369" i="5"/>
  <c r="K4370" i="5"/>
  <c r="K4371" i="5"/>
  <c r="K4372" i="5"/>
  <c r="K4373" i="5"/>
  <c r="K4374" i="5"/>
  <c r="K4375" i="5"/>
  <c r="K4376" i="5"/>
  <c r="K4377" i="5"/>
  <c r="K4378" i="5"/>
  <c r="K4379" i="5"/>
  <c r="K4380" i="5"/>
  <c r="K4381" i="5"/>
  <c r="K4382" i="5"/>
  <c r="K4383" i="5"/>
  <c r="K4384" i="5"/>
  <c r="K4385" i="5"/>
  <c r="K4386" i="5"/>
  <c r="K4387" i="5"/>
  <c r="K4388" i="5"/>
  <c r="K4389" i="5"/>
  <c r="K4390" i="5"/>
  <c r="K4391" i="5"/>
  <c r="K4392" i="5"/>
  <c r="K4393" i="5"/>
  <c r="K4394" i="5"/>
  <c r="K4395" i="5"/>
  <c r="K4396" i="5"/>
  <c r="K4397" i="5"/>
  <c r="K4398" i="5"/>
  <c r="K4399" i="5"/>
  <c r="K4400" i="5"/>
  <c r="K4401" i="5"/>
  <c r="K4402" i="5"/>
  <c r="K4403" i="5"/>
  <c r="K4404" i="5"/>
  <c r="K4405" i="5"/>
  <c r="K4406" i="5"/>
  <c r="K4407" i="5"/>
  <c r="K4408" i="5"/>
  <c r="K4409" i="5"/>
  <c r="K4410" i="5"/>
  <c r="K4411" i="5"/>
  <c r="K4412" i="5"/>
  <c r="K4413" i="5"/>
  <c r="K4414" i="5"/>
  <c r="K4415" i="5"/>
  <c r="K4416" i="5"/>
  <c r="K4417" i="5"/>
  <c r="K4418" i="5"/>
  <c r="K4419" i="5"/>
  <c r="K4420" i="5"/>
  <c r="K4421" i="5"/>
  <c r="K4422" i="5"/>
  <c r="K4423" i="5"/>
  <c r="K4424" i="5"/>
  <c r="K4425" i="5"/>
  <c r="K4426" i="5"/>
  <c r="K4427" i="5"/>
  <c r="K4428" i="5"/>
  <c r="K4429" i="5"/>
  <c r="K4430" i="5"/>
  <c r="K4431" i="5"/>
  <c r="K4432" i="5"/>
  <c r="K4433" i="5"/>
  <c r="K4434" i="5"/>
  <c r="K4435" i="5"/>
  <c r="K4436" i="5"/>
  <c r="K4437" i="5"/>
  <c r="K4438" i="5"/>
  <c r="K4439" i="5"/>
  <c r="K4440" i="5"/>
  <c r="K4441" i="5"/>
  <c r="K4442" i="5"/>
  <c r="K4443" i="5"/>
  <c r="K4444" i="5"/>
  <c r="K4445" i="5"/>
  <c r="K4446" i="5"/>
  <c r="K4447" i="5"/>
  <c r="K4448" i="5"/>
  <c r="K4449" i="5"/>
  <c r="K4450" i="5"/>
  <c r="K4451" i="5"/>
  <c r="K4452" i="5"/>
  <c r="K4453" i="5"/>
  <c r="K4454" i="5"/>
  <c r="K4455" i="5"/>
  <c r="K4456" i="5"/>
  <c r="K4457" i="5"/>
  <c r="K4458" i="5"/>
  <c r="K4459" i="5"/>
  <c r="K4460" i="5"/>
  <c r="K4461" i="5"/>
  <c r="K4462" i="5"/>
  <c r="K4463" i="5"/>
  <c r="K4464" i="5"/>
  <c r="K4465" i="5"/>
  <c r="K4466" i="5"/>
  <c r="K4467" i="5"/>
  <c r="K4468" i="5"/>
  <c r="K4469" i="5"/>
  <c r="K4470" i="5"/>
  <c r="K4471" i="5"/>
  <c r="K4472" i="5"/>
  <c r="K4473" i="5"/>
  <c r="K4474" i="5"/>
  <c r="K4475" i="5"/>
  <c r="K4476" i="5"/>
  <c r="K4477" i="5"/>
  <c r="K4478" i="5"/>
  <c r="K4479" i="5"/>
  <c r="K4480" i="5"/>
  <c r="K4481" i="5"/>
  <c r="K4482" i="5"/>
  <c r="K4483" i="5"/>
  <c r="K4484" i="5"/>
  <c r="K4485" i="5"/>
  <c r="K4486" i="5"/>
  <c r="K4487" i="5"/>
  <c r="K4488" i="5"/>
  <c r="K4489" i="5"/>
  <c r="K4490" i="5"/>
  <c r="K4491" i="5"/>
  <c r="K4492" i="5"/>
  <c r="K4493" i="5"/>
  <c r="K4494" i="5"/>
  <c r="K4495" i="5"/>
  <c r="K4496" i="5"/>
  <c r="K4497" i="5"/>
  <c r="K4498" i="5"/>
  <c r="K4499" i="5"/>
  <c r="K4500" i="5"/>
  <c r="K4501" i="5"/>
  <c r="K4502" i="5"/>
  <c r="K4503" i="5"/>
  <c r="K4504" i="5"/>
  <c r="K4505" i="5"/>
  <c r="K4506" i="5"/>
  <c r="K4507" i="5"/>
  <c r="K4508" i="5"/>
  <c r="K4509" i="5"/>
  <c r="K4510" i="5"/>
  <c r="K4511" i="5"/>
  <c r="K4512" i="5"/>
  <c r="K4513" i="5"/>
  <c r="K4514" i="5"/>
  <c r="K4515" i="5"/>
  <c r="K4516" i="5"/>
  <c r="K4517" i="5"/>
  <c r="K4518" i="5"/>
  <c r="K4519" i="5"/>
  <c r="K4520" i="5"/>
  <c r="K4521" i="5"/>
  <c r="K4522" i="5"/>
  <c r="K4523" i="5"/>
  <c r="K4524" i="5"/>
  <c r="K4525" i="5"/>
  <c r="K4526" i="5"/>
  <c r="K4527" i="5"/>
  <c r="K4528" i="5"/>
  <c r="K4529" i="5"/>
  <c r="K4530" i="5"/>
  <c r="K4531" i="5"/>
  <c r="K4532" i="5"/>
  <c r="K4533" i="5"/>
  <c r="K4534" i="5"/>
  <c r="K4535" i="5"/>
  <c r="K4536" i="5"/>
  <c r="K4537" i="5"/>
  <c r="K4538" i="5"/>
  <c r="K4539" i="5"/>
  <c r="K4540" i="5"/>
  <c r="K4541" i="5"/>
  <c r="K4542" i="5"/>
  <c r="K4543" i="5"/>
  <c r="K4544" i="5"/>
  <c r="K4545" i="5"/>
  <c r="K4546" i="5"/>
  <c r="K4547" i="5"/>
  <c r="K4548" i="5"/>
  <c r="K4549" i="5"/>
  <c r="K4550" i="5"/>
  <c r="K4551" i="5"/>
  <c r="K4552" i="5"/>
  <c r="K4553" i="5"/>
  <c r="K4554" i="5"/>
  <c r="K4555" i="5"/>
  <c r="K4556" i="5"/>
  <c r="K4557" i="5"/>
  <c r="K4558" i="5"/>
  <c r="K4559" i="5"/>
  <c r="K4560" i="5"/>
  <c r="K4561" i="5"/>
  <c r="K4562" i="5"/>
  <c r="K4563" i="5"/>
  <c r="K4564" i="5"/>
  <c r="K4565" i="5"/>
  <c r="K4566" i="5"/>
  <c r="K4567" i="5"/>
  <c r="K4568" i="5"/>
  <c r="K4569" i="5"/>
  <c r="K4570" i="5"/>
  <c r="K4571" i="5"/>
  <c r="K4572" i="5"/>
  <c r="K4573" i="5"/>
  <c r="K4574" i="5"/>
  <c r="K4575" i="5"/>
  <c r="K4576" i="5"/>
  <c r="K4577" i="5"/>
  <c r="K4578" i="5"/>
  <c r="K4579" i="5"/>
  <c r="K4580" i="5"/>
  <c r="K4581" i="5"/>
  <c r="K4582" i="5"/>
  <c r="K4583" i="5"/>
  <c r="K4584" i="5"/>
  <c r="K4585" i="5"/>
  <c r="K4586" i="5"/>
  <c r="K4587" i="5"/>
  <c r="K4588" i="5"/>
  <c r="K4589" i="5"/>
  <c r="K4590" i="5"/>
  <c r="K4591" i="5"/>
  <c r="K4592" i="5"/>
  <c r="K4593" i="5"/>
  <c r="K4594" i="5"/>
  <c r="K4595" i="5"/>
  <c r="K4596" i="5"/>
  <c r="K4597" i="5"/>
  <c r="K4598" i="5"/>
  <c r="K4599" i="5"/>
  <c r="K4600" i="5"/>
  <c r="K4601" i="5"/>
  <c r="K4602" i="5"/>
  <c r="K4603" i="5"/>
  <c r="K4604" i="5"/>
  <c r="K4605" i="5"/>
  <c r="K4606" i="5"/>
  <c r="K4607" i="5"/>
  <c r="K4608" i="5"/>
  <c r="K4609" i="5"/>
  <c r="K4610" i="5"/>
  <c r="K4611" i="5"/>
  <c r="K4612" i="5"/>
  <c r="K4613" i="5"/>
  <c r="K4614" i="5"/>
  <c r="K4615" i="5"/>
  <c r="K4616" i="5"/>
  <c r="K4617" i="5"/>
  <c r="K4618" i="5"/>
  <c r="K4619" i="5"/>
  <c r="K4620" i="5"/>
  <c r="K4621" i="5"/>
  <c r="K4622" i="5"/>
  <c r="K4623" i="5"/>
  <c r="K4624" i="5"/>
  <c r="K4625" i="5"/>
  <c r="K4626" i="5"/>
  <c r="K4627" i="5"/>
  <c r="K4628" i="5"/>
  <c r="K4629" i="5"/>
  <c r="K4630" i="5"/>
  <c r="K4631" i="5"/>
  <c r="K4632" i="5"/>
  <c r="K4633" i="5"/>
  <c r="K4634" i="5"/>
  <c r="K4635" i="5"/>
  <c r="K4636" i="5"/>
  <c r="K4637" i="5"/>
  <c r="K4638" i="5"/>
  <c r="K4639" i="5"/>
  <c r="K4640" i="5"/>
  <c r="K4641" i="5"/>
  <c r="K4642" i="5"/>
  <c r="K4643" i="5"/>
  <c r="K4644" i="5"/>
  <c r="K4645" i="5"/>
  <c r="K4646" i="5"/>
  <c r="K4647" i="5"/>
  <c r="K4648" i="5"/>
  <c r="K4649" i="5"/>
  <c r="K4650" i="5"/>
  <c r="K4651" i="5"/>
  <c r="K4652" i="5"/>
  <c r="K4653" i="5"/>
  <c r="K4654" i="5"/>
  <c r="K4655" i="5"/>
  <c r="K4656" i="5"/>
  <c r="K4657" i="5"/>
  <c r="K4658" i="5"/>
  <c r="K4659" i="5"/>
  <c r="K4660" i="5"/>
  <c r="K4661" i="5"/>
  <c r="K4662" i="5"/>
  <c r="K4663" i="5"/>
  <c r="K4664" i="5"/>
  <c r="K4665" i="5"/>
  <c r="K4666" i="5"/>
  <c r="K4667" i="5"/>
  <c r="K4668" i="5"/>
  <c r="K4669" i="5"/>
  <c r="K4670" i="5"/>
  <c r="K4671" i="5"/>
  <c r="K4672" i="5"/>
  <c r="K4673" i="5"/>
  <c r="K4674" i="5"/>
  <c r="K4675" i="5"/>
  <c r="K4676" i="5"/>
  <c r="K4677" i="5"/>
  <c r="K4678" i="5"/>
  <c r="K4679" i="5"/>
  <c r="K4680" i="5"/>
  <c r="K4681" i="5"/>
  <c r="K4682" i="5"/>
  <c r="K4683" i="5"/>
  <c r="K4684" i="5"/>
  <c r="K4685" i="5"/>
  <c r="K4686" i="5"/>
  <c r="K4687" i="5"/>
  <c r="K4688" i="5"/>
  <c r="K4689" i="5"/>
  <c r="K4690" i="5"/>
  <c r="K4691" i="5"/>
  <c r="K4692" i="5"/>
  <c r="K4693" i="5"/>
  <c r="K4694" i="5"/>
  <c r="K4695" i="5"/>
  <c r="K4696" i="5"/>
  <c r="K4697" i="5"/>
  <c r="K4698" i="5"/>
  <c r="K4699" i="5"/>
  <c r="K4700" i="5"/>
  <c r="K4701" i="5"/>
  <c r="K4702" i="5"/>
  <c r="K4703" i="5"/>
  <c r="K4704" i="5"/>
  <c r="K4705" i="5"/>
  <c r="K4706" i="5"/>
  <c r="K4707" i="5"/>
  <c r="K4708" i="5"/>
  <c r="K4709" i="5"/>
  <c r="K4710" i="5"/>
  <c r="K4711" i="5"/>
  <c r="K4712" i="5"/>
  <c r="K4713" i="5"/>
  <c r="K4714" i="5"/>
  <c r="K4715" i="5"/>
  <c r="K4716" i="5"/>
  <c r="K4717" i="5"/>
  <c r="K4718" i="5"/>
  <c r="K4719" i="5"/>
  <c r="K4720" i="5"/>
  <c r="K4721" i="5"/>
  <c r="K4722" i="5"/>
  <c r="K4723" i="5"/>
  <c r="K4724" i="5"/>
  <c r="K4725" i="5"/>
  <c r="K4726" i="5"/>
  <c r="K4727" i="5"/>
  <c r="K4728" i="5"/>
  <c r="K4729" i="5"/>
  <c r="K4730" i="5"/>
  <c r="K4731" i="5"/>
  <c r="K4732" i="5"/>
  <c r="K4733" i="5"/>
  <c r="K4734" i="5"/>
  <c r="K4735" i="5"/>
  <c r="K4736" i="5"/>
  <c r="K4737" i="5"/>
  <c r="K4738" i="5"/>
  <c r="K4739" i="5"/>
  <c r="K4740" i="5"/>
  <c r="K4741" i="5"/>
  <c r="K4742" i="5"/>
  <c r="K4743" i="5"/>
  <c r="K4744" i="5"/>
  <c r="K4745" i="5"/>
  <c r="K4746" i="5"/>
  <c r="K4747" i="5"/>
  <c r="K4748" i="5"/>
  <c r="K4749" i="5"/>
  <c r="K4750" i="5"/>
  <c r="K4751" i="5"/>
  <c r="K4752" i="5"/>
  <c r="K4753" i="5"/>
  <c r="K4754" i="5"/>
  <c r="K4755" i="5"/>
  <c r="K4756" i="5"/>
  <c r="K4757" i="5"/>
  <c r="K4758" i="5"/>
  <c r="K4759" i="5"/>
  <c r="K4760" i="5"/>
  <c r="K4761" i="5"/>
  <c r="K4762" i="5"/>
  <c r="K4763" i="5"/>
  <c r="K4764" i="5"/>
  <c r="K4765" i="5"/>
  <c r="K4766" i="5"/>
  <c r="K4767" i="5"/>
  <c r="K4768" i="5"/>
  <c r="K4769" i="5"/>
  <c r="K4770" i="5"/>
  <c r="K4771" i="5"/>
  <c r="K4772" i="5"/>
  <c r="K4773" i="5"/>
  <c r="K4774" i="5"/>
  <c r="K4775" i="5"/>
  <c r="K4776" i="5"/>
  <c r="K4777" i="5"/>
  <c r="K4778" i="5"/>
  <c r="K4779" i="5"/>
  <c r="K4780" i="5"/>
  <c r="K4781" i="5"/>
  <c r="K4782" i="5"/>
  <c r="K4783" i="5"/>
  <c r="K4784" i="5"/>
  <c r="K4785" i="5"/>
  <c r="K4786" i="5"/>
  <c r="K4787" i="5"/>
  <c r="K4788" i="5"/>
  <c r="K4789" i="5"/>
  <c r="K4790" i="5"/>
  <c r="K4791" i="5"/>
  <c r="K4792" i="5"/>
  <c r="K4793" i="5"/>
  <c r="K4794" i="5"/>
  <c r="K4795" i="5"/>
  <c r="K4796" i="5"/>
  <c r="K4797" i="5"/>
  <c r="K4798" i="5"/>
  <c r="K4799" i="5"/>
  <c r="K4800" i="5"/>
  <c r="K4801" i="5"/>
  <c r="K4802" i="5"/>
  <c r="K4803" i="5"/>
  <c r="K4804" i="5"/>
  <c r="K4805" i="5"/>
  <c r="K4806" i="5"/>
  <c r="K4807" i="5"/>
  <c r="K4808" i="5"/>
  <c r="K4809" i="5"/>
  <c r="K4810" i="5"/>
  <c r="K4811" i="5"/>
  <c r="K4812" i="5"/>
  <c r="K4813" i="5"/>
  <c r="K4814" i="5"/>
  <c r="K4815" i="5"/>
  <c r="K4816" i="5"/>
  <c r="K4817" i="5"/>
  <c r="K4818" i="5"/>
  <c r="K4819" i="5"/>
  <c r="K4820" i="5"/>
  <c r="K4821" i="5"/>
  <c r="K4822" i="5"/>
  <c r="K4823" i="5"/>
  <c r="K4824" i="5"/>
  <c r="K4825" i="5"/>
  <c r="K4826" i="5"/>
  <c r="K4827" i="5"/>
  <c r="K4828" i="5"/>
  <c r="K4829" i="5"/>
  <c r="K4830" i="5"/>
  <c r="K4831" i="5"/>
  <c r="K4832" i="5"/>
  <c r="K4833" i="5"/>
  <c r="K4834" i="5"/>
  <c r="K4835" i="5"/>
  <c r="K4836" i="5"/>
  <c r="K4837" i="5"/>
  <c r="K4838" i="5"/>
  <c r="K4839" i="5"/>
  <c r="K4840" i="5"/>
  <c r="K4841" i="5"/>
  <c r="K4842" i="5"/>
  <c r="K4843" i="5"/>
  <c r="K4844" i="5"/>
  <c r="K4845" i="5"/>
  <c r="K4846" i="5"/>
  <c r="K4847" i="5"/>
  <c r="K4848" i="5"/>
  <c r="K4849" i="5"/>
  <c r="K4850" i="5"/>
  <c r="K4851" i="5"/>
  <c r="K4852" i="5"/>
  <c r="K4853" i="5"/>
  <c r="K4854" i="5"/>
  <c r="K4855" i="5"/>
  <c r="K4856" i="5"/>
  <c r="K4857" i="5"/>
  <c r="K4858" i="5"/>
  <c r="K4859" i="5"/>
  <c r="K4860" i="5"/>
  <c r="K4861" i="5"/>
  <c r="K4862" i="5"/>
  <c r="K4863" i="5"/>
  <c r="K4864" i="5"/>
  <c r="K4865" i="5"/>
  <c r="K4866" i="5"/>
  <c r="K4867" i="5"/>
  <c r="K4868" i="5"/>
  <c r="K4869" i="5"/>
  <c r="K4870" i="5"/>
  <c r="K4871" i="5"/>
  <c r="K4872" i="5"/>
  <c r="K4873" i="5"/>
  <c r="K4874" i="5"/>
  <c r="K4875" i="5"/>
  <c r="K4876" i="5"/>
  <c r="K4877" i="5"/>
  <c r="K4878" i="5"/>
  <c r="K4879" i="5"/>
  <c r="K4880" i="5"/>
  <c r="K4881" i="5"/>
  <c r="K4882" i="5"/>
  <c r="K4883" i="5"/>
  <c r="K4884" i="5"/>
  <c r="K4885" i="5"/>
  <c r="K4886" i="5"/>
  <c r="K4887" i="5"/>
  <c r="K4888" i="5"/>
  <c r="K4889" i="5"/>
  <c r="K4890" i="5"/>
  <c r="K4891" i="5"/>
  <c r="K4892" i="5"/>
  <c r="K4893" i="5"/>
  <c r="K4894" i="5"/>
  <c r="K4895" i="5"/>
  <c r="K4896" i="5"/>
  <c r="K4897" i="5"/>
  <c r="K4898" i="5"/>
  <c r="K4899" i="5"/>
  <c r="K4900" i="5"/>
  <c r="K4901" i="5"/>
  <c r="K4902" i="5"/>
  <c r="K4903" i="5"/>
  <c r="K4904" i="5"/>
  <c r="K4905" i="5"/>
  <c r="K4906" i="5"/>
  <c r="K4907" i="5"/>
  <c r="K4908" i="5"/>
  <c r="K4909" i="5"/>
  <c r="K4910" i="5"/>
  <c r="K4911" i="5"/>
  <c r="K4912" i="5"/>
  <c r="K4913" i="5"/>
  <c r="K4914" i="5"/>
  <c r="K4915" i="5"/>
  <c r="K4916" i="5"/>
  <c r="K4917" i="5"/>
  <c r="K4918" i="5"/>
  <c r="K4919" i="5"/>
  <c r="K4920" i="5"/>
  <c r="K4921" i="5"/>
  <c r="K4922" i="5"/>
  <c r="K4923" i="5"/>
  <c r="K4924" i="5"/>
  <c r="K4925" i="5"/>
  <c r="K4926" i="5"/>
  <c r="K4927" i="5"/>
  <c r="K4928" i="5"/>
  <c r="K4929" i="5"/>
  <c r="K4930" i="5"/>
  <c r="K4931" i="5"/>
  <c r="K4932" i="5"/>
  <c r="K4933" i="5"/>
  <c r="K4934" i="5"/>
  <c r="K4935" i="5"/>
  <c r="K4936" i="5"/>
  <c r="K4937" i="5"/>
  <c r="K4938" i="5"/>
  <c r="K4939" i="5"/>
  <c r="K4940" i="5"/>
  <c r="K4941" i="5"/>
  <c r="K4942" i="5"/>
  <c r="K4943" i="5"/>
  <c r="K4944" i="5"/>
  <c r="K4945" i="5"/>
  <c r="K4946" i="5"/>
  <c r="K4947" i="5"/>
  <c r="K4948" i="5"/>
  <c r="K4949" i="5"/>
  <c r="K4950" i="5"/>
  <c r="K4951" i="5"/>
  <c r="K4952" i="5"/>
  <c r="K4953" i="5"/>
  <c r="K4954" i="5"/>
  <c r="K4955" i="5"/>
  <c r="K4956" i="5"/>
  <c r="K4957" i="5"/>
  <c r="K4958" i="5"/>
  <c r="K4959" i="5"/>
  <c r="K4960" i="5"/>
  <c r="K4961" i="5"/>
  <c r="K4962" i="5"/>
  <c r="K4963" i="5"/>
  <c r="K4964" i="5"/>
  <c r="K4965" i="5"/>
  <c r="K4966" i="5"/>
  <c r="K4967" i="5"/>
  <c r="K4968" i="5"/>
  <c r="K4969" i="5"/>
  <c r="K4970" i="5"/>
  <c r="K4971" i="5"/>
  <c r="K4972" i="5"/>
  <c r="K4973" i="5"/>
  <c r="K4974" i="5"/>
  <c r="K4975" i="5"/>
  <c r="K4976" i="5"/>
  <c r="K4977" i="5"/>
  <c r="K4978" i="5"/>
  <c r="K4979" i="5"/>
  <c r="K4980" i="5"/>
  <c r="K4981" i="5"/>
  <c r="K4982" i="5"/>
  <c r="K4983" i="5"/>
  <c r="K4984" i="5"/>
  <c r="K4985" i="5"/>
  <c r="K4986" i="5"/>
  <c r="K4987" i="5"/>
  <c r="K4988" i="5"/>
  <c r="K4989" i="5"/>
  <c r="K4990" i="5"/>
  <c r="K4991" i="5"/>
  <c r="K4992" i="5"/>
  <c r="K4993" i="5"/>
  <c r="K4994" i="5"/>
  <c r="K4995" i="5"/>
  <c r="K4996" i="5"/>
  <c r="K4997" i="5"/>
  <c r="K4998" i="5"/>
  <c r="K4999" i="5"/>
  <c r="K5000" i="5"/>
  <c r="K5001" i="5"/>
  <c r="K5002" i="5"/>
  <c r="K5003" i="5"/>
  <c r="K5004" i="5"/>
  <c r="K5005" i="5"/>
  <c r="K5006" i="5"/>
  <c r="K5007" i="5"/>
  <c r="K5008" i="5"/>
  <c r="K5009" i="5"/>
  <c r="K5010" i="5"/>
  <c r="K5011" i="5"/>
  <c r="K5012" i="5"/>
  <c r="K5013" i="5"/>
  <c r="K5014" i="5"/>
  <c r="K5015" i="5"/>
  <c r="K5016" i="5"/>
  <c r="K5017" i="5"/>
  <c r="K5018" i="5"/>
  <c r="K5019" i="5"/>
  <c r="K5020" i="5"/>
  <c r="K5021" i="5"/>
  <c r="K5022" i="5"/>
  <c r="K5023" i="5"/>
  <c r="K5024" i="5"/>
  <c r="K5025" i="5"/>
  <c r="K5026" i="5"/>
  <c r="K5027" i="5"/>
  <c r="K5028" i="5"/>
  <c r="K5029" i="5"/>
  <c r="K5030" i="5"/>
  <c r="K5031" i="5"/>
  <c r="K5032" i="5"/>
  <c r="K5033" i="5"/>
  <c r="K5034" i="5"/>
  <c r="K5035" i="5"/>
  <c r="K5036" i="5"/>
  <c r="K5037" i="5"/>
  <c r="K5038" i="5"/>
  <c r="K5039" i="5"/>
  <c r="K5040" i="5"/>
  <c r="K5041" i="5"/>
  <c r="K5042" i="5"/>
  <c r="K5043" i="5"/>
  <c r="K5044" i="5"/>
  <c r="K5045" i="5"/>
  <c r="K5046" i="5"/>
  <c r="K5047" i="5"/>
  <c r="K5048" i="5"/>
  <c r="K5049" i="5"/>
  <c r="K5050" i="5"/>
  <c r="K5051" i="5"/>
  <c r="K5052" i="5"/>
  <c r="K5053" i="5"/>
  <c r="K5054" i="5"/>
  <c r="K5055" i="5"/>
  <c r="K5056" i="5"/>
  <c r="K5057" i="5"/>
  <c r="K5058" i="5"/>
  <c r="K5059" i="5"/>
  <c r="K5060" i="5"/>
  <c r="K5061" i="5"/>
  <c r="K5062" i="5"/>
  <c r="K5063" i="5"/>
  <c r="K5064" i="5"/>
  <c r="K5065" i="5"/>
  <c r="K5066" i="5"/>
  <c r="K5067" i="5"/>
  <c r="K5068" i="5"/>
  <c r="K5069" i="5"/>
  <c r="K5070" i="5"/>
  <c r="K5071" i="5"/>
  <c r="K5072" i="5"/>
  <c r="K5073" i="5"/>
  <c r="K5074" i="5"/>
  <c r="K5075" i="5"/>
  <c r="K5076" i="5"/>
  <c r="K5077" i="5"/>
  <c r="K5078" i="5"/>
  <c r="K5079" i="5"/>
  <c r="K5080" i="5"/>
  <c r="K5081" i="5"/>
  <c r="K5082" i="5"/>
  <c r="K5083" i="5"/>
  <c r="K5084" i="5"/>
  <c r="K5085" i="5"/>
  <c r="K5086" i="5"/>
  <c r="K5087" i="5"/>
  <c r="K5088" i="5"/>
  <c r="K5089" i="5"/>
  <c r="K5090" i="5"/>
  <c r="K5091" i="5"/>
  <c r="K5092" i="5"/>
  <c r="K5093" i="5"/>
  <c r="K5094" i="5"/>
  <c r="K5095" i="5"/>
  <c r="K5096" i="5"/>
  <c r="K5097" i="5"/>
  <c r="K5098" i="5"/>
  <c r="K5099" i="5"/>
  <c r="K5100" i="5"/>
  <c r="K5101" i="5"/>
  <c r="K5102" i="5"/>
  <c r="K5103" i="5"/>
  <c r="K5104" i="5"/>
  <c r="K5105" i="5"/>
  <c r="K5106" i="5"/>
  <c r="K5107" i="5"/>
  <c r="K5108" i="5"/>
  <c r="K5109" i="5"/>
  <c r="K5110" i="5"/>
  <c r="K5111" i="5"/>
  <c r="K5112" i="5"/>
  <c r="K5113" i="5"/>
  <c r="K5114" i="5"/>
  <c r="K5115" i="5"/>
  <c r="K5116" i="5"/>
  <c r="K5117" i="5"/>
  <c r="K5118" i="5"/>
  <c r="K5119" i="5"/>
  <c r="K5120" i="5"/>
  <c r="K5121" i="5"/>
  <c r="K5122" i="5"/>
  <c r="K5123" i="5"/>
  <c r="K5124" i="5"/>
  <c r="K5125" i="5"/>
  <c r="K5126" i="5"/>
  <c r="K5127" i="5"/>
  <c r="K5128" i="5"/>
  <c r="K5129" i="5"/>
  <c r="K5130" i="5"/>
  <c r="K5131" i="5"/>
  <c r="K5132" i="5"/>
  <c r="K5133" i="5"/>
  <c r="K5134" i="5"/>
  <c r="K5135" i="5"/>
  <c r="K5136" i="5"/>
  <c r="K5137" i="5"/>
  <c r="K5138" i="5"/>
  <c r="K5139" i="5"/>
  <c r="K5140" i="5"/>
  <c r="K5141" i="5"/>
  <c r="K5142" i="5"/>
  <c r="K5143" i="5"/>
  <c r="K5144" i="5"/>
  <c r="K5145" i="5"/>
  <c r="K5146" i="5"/>
  <c r="K5147" i="5"/>
  <c r="K5148" i="5"/>
  <c r="K5149" i="5"/>
  <c r="K5150" i="5"/>
  <c r="K5151" i="5"/>
  <c r="K5152" i="5"/>
  <c r="K5153" i="5"/>
  <c r="K5154" i="5"/>
  <c r="K5155" i="5"/>
  <c r="K5156" i="5"/>
  <c r="K5157" i="5"/>
  <c r="K5158" i="5"/>
  <c r="K5159" i="5"/>
  <c r="K5160" i="5"/>
  <c r="K5161" i="5"/>
  <c r="K5162" i="5"/>
  <c r="K5163" i="5"/>
  <c r="K5164" i="5"/>
  <c r="K5165" i="5"/>
  <c r="K5166" i="5"/>
  <c r="K5167" i="5"/>
  <c r="K5168" i="5"/>
  <c r="K5169" i="5"/>
  <c r="K5170" i="5"/>
  <c r="K5171" i="5"/>
  <c r="K5172" i="5"/>
  <c r="K5173" i="5"/>
  <c r="K5174" i="5"/>
  <c r="K5175" i="5"/>
  <c r="K5176" i="5"/>
  <c r="K5177" i="5"/>
  <c r="K5178" i="5"/>
  <c r="K5179" i="5"/>
  <c r="K5180" i="5"/>
  <c r="K5181" i="5"/>
  <c r="K5182" i="5"/>
  <c r="K5183" i="5"/>
  <c r="K5184" i="5"/>
  <c r="K5185" i="5"/>
  <c r="K5186" i="5"/>
  <c r="K5187" i="5"/>
  <c r="K5188" i="5"/>
  <c r="K5189" i="5"/>
  <c r="K5190" i="5"/>
  <c r="K5191" i="5"/>
  <c r="K5192" i="5"/>
  <c r="K5193" i="5"/>
  <c r="K5194" i="5"/>
  <c r="K5195" i="5"/>
  <c r="K5196" i="5"/>
  <c r="K5197" i="5"/>
  <c r="K5198" i="5"/>
  <c r="K5199" i="5"/>
  <c r="K5200" i="5"/>
  <c r="K5201" i="5"/>
  <c r="K5202" i="5"/>
  <c r="K5203" i="5"/>
  <c r="K5204" i="5"/>
  <c r="K5205" i="5"/>
  <c r="K5206" i="5"/>
  <c r="K5207" i="5"/>
  <c r="K5208" i="5"/>
  <c r="K5209" i="5"/>
  <c r="K5210" i="5"/>
  <c r="K5211" i="5"/>
  <c r="K5212" i="5"/>
  <c r="K5213" i="5"/>
  <c r="K5214" i="5"/>
  <c r="K5215" i="5"/>
  <c r="K5216" i="5"/>
  <c r="K5217" i="5"/>
  <c r="K5218" i="5"/>
  <c r="K5219" i="5"/>
  <c r="K5220" i="5"/>
  <c r="K5221" i="5"/>
  <c r="K5222" i="5"/>
  <c r="K5223" i="5"/>
  <c r="K5224" i="5"/>
  <c r="K5225" i="5"/>
  <c r="K5226" i="5"/>
  <c r="K5227" i="5"/>
  <c r="K5228" i="5"/>
  <c r="K5229" i="5"/>
  <c r="K5230" i="5"/>
  <c r="K5231" i="5"/>
  <c r="K5232" i="5"/>
  <c r="K5233" i="5"/>
  <c r="K5234" i="5"/>
  <c r="K5235" i="5"/>
  <c r="K5236" i="5"/>
  <c r="K5237" i="5"/>
  <c r="K5238" i="5"/>
  <c r="K5239" i="5"/>
  <c r="K5240" i="5"/>
  <c r="K5241" i="5"/>
  <c r="K5242" i="5"/>
  <c r="K5243" i="5"/>
  <c r="K5244" i="5"/>
  <c r="K5245" i="5"/>
  <c r="K5246" i="5"/>
  <c r="K5247" i="5"/>
  <c r="K5248" i="5"/>
  <c r="K5249" i="5"/>
  <c r="K5250" i="5"/>
  <c r="K5251" i="5"/>
  <c r="K5252" i="5"/>
  <c r="K5253" i="5"/>
  <c r="K5254" i="5"/>
  <c r="K5255" i="5"/>
  <c r="K5256" i="5"/>
  <c r="K5257" i="5"/>
  <c r="K5258" i="5"/>
  <c r="K5259" i="5"/>
  <c r="K5260" i="5"/>
  <c r="K5261" i="5"/>
  <c r="K5262" i="5"/>
  <c r="K5263" i="5"/>
  <c r="K5264" i="5"/>
  <c r="K5265" i="5"/>
  <c r="K5266" i="5"/>
  <c r="K5267" i="5"/>
  <c r="K5268" i="5"/>
  <c r="K5269" i="5"/>
  <c r="K5270" i="5"/>
  <c r="K5271" i="5"/>
  <c r="K5272" i="5"/>
  <c r="K5273" i="5"/>
  <c r="K5274" i="5"/>
  <c r="K5275" i="5"/>
  <c r="K5276" i="5"/>
  <c r="K5277" i="5"/>
  <c r="K5278" i="5"/>
  <c r="K5279" i="5"/>
  <c r="K5280" i="5"/>
  <c r="K5281" i="5"/>
  <c r="K5282" i="5"/>
  <c r="K5283" i="5"/>
  <c r="K5284" i="5"/>
  <c r="K5285" i="5"/>
  <c r="K5286" i="5"/>
  <c r="K5287" i="5"/>
  <c r="K5288" i="5"/>
  <c r="K5289" i="5"/>
  <c r="K5290" i="5"/>
  <c r="K5291" i="5"/>
  <c r="K5292" i="5"/>
  <c r="K5293" i="5"/>
  <c r="K5294" i="5"/>
  <c r="K5295" i="5"/>
  <c r="K5296" i="5"/>
  <c r="K5297" i="5"/>
  <c r="K5298" i="5"/>
  <c r="K5299" i="5"/>
  <c r="K5300" i="5"/>
  <c r="K5301" i="5"/>
  <c r="K5302" i="5"/>
  <c r="K5303" i="5"/>
  <c r="K5304" i="5"/>
  <c r="K5305" i="5"/>
  <c r="K5306" i="5"/>
  <c r="K5307" i="5"/>
  <c r="K5308" i="5"/>
  <c r="K5309" i="5"/>
  <c r="K5310" i="5"/>
  <c r="K5311" i="5"/>
  <c r="K5312" i="5"/>
  <c r="K5313" i="5"/>
  <c r="K5314" i="5"/>
  <c r="K5315" i="5"/>
  <c r="K5316" i="5"/>
  <c r="K5317" i="5"/>
  <c r="K5318" i="5"/>
  <c r="K5319" i="5"/>
  <c r="K5320" i="5"/>
  <c r="K5321" i="5"/>
  <c r="K5322" i="5"/>
  <c r="K5323" i="5"/>
  <c r="K5324" i="5"/>
  <c r="K5325" i="5"/>
  <c r="K5326" i="5"/>
  <c r="K5327" i="5"/>
  <c r="K5328" i="5"/>
  <c r="K5329" i="5"/>
  <c r="K5330" i="5"/>
  <c r="K5331" i="5"/>
  <c r="K5332" i="5"/>
  <c r="K5333" i="5"/>
  <c r="K5334" i="5"/>
  <c r="K5335" i="5"/>
  <c r="K5336" i="5"/>
  <c r="K5337" i="5"/>
  <c r="K5338" i="5"/>
  <c r="K5339" i="5"/>
  <c r="K5340" i="5"/>
  <c r="K5341" i="5"/>
  <c r="K5342" i="5"/>
  <c r="K5343" i="5"/>
  <c r="K5344" i="5"/>
  <c r="K5345" i="5"/>
  <c r="K5346" i="5"/>
  <c r="K5347" i="5"/>
  <c r="K5348" i="5"/>
  <c r="K5349" i="5"/>
  <c r="K5350" i="5"/>
  <c r="K5351" i="5"/>
  <c r="K5352" i="5"/>
  <c r="K5353" i="5"/>
  <c r="K5354" i="5"/>
  <c r="K5355" i="5"/>
  <c r="K5356" i="5"/>
  <c r="K5357" i="5"/>
  <c r="K5358" i="5"/>
  <c r="K5359" i="5"/>
  <c r="K5360" i="5"/>
  <c r="K5361" i="5"/>
  <c r="K5362" i="5"/>
  <c r="K5363" i="5"/>
  <c r="K5364" i="5"/>
  <c r="K5365" i="5"/>
  <c r="K5366" i="5"/>
  <c r="K5367" i="5"/>
  <c r="K5368" i="5"/>
  <c r="K5369" i="5"/>
  <c r="K5370" i="5"/>
  <c r="K5371" i="5"/>
  <c r="K5372" i="5"/>
  <c r="K5373" i="5"/>
  <c r="K5374" i="5"/>
  <c r="K5375" i="5"/>
  <c r="K5376" i="5"/>
  <c r="K5377" i="5"/>
  <c r="K5378" i="5"/>
  <c r="K5379" i="5"/>
  <c r="K5380" i="5"/>
  <c r="K5381" i="5"/>
  <c r="K5382" i="5"/>
  <c r="K5383" i="5"/>
  <c r="K5384" i="5"/>
  <c r="K5385" i="5"/>
  <c r="K5386" i="5"/>
  <c r="K5387" i="5"/>
  <c r="K5388" i="5"/>
  <c r="K5389" i="5"/>
  <c r="K5390" i="5"/>
  <c r="K5391" i="5"/>
  <c r="K5392" i="5"/>
  <c r="K5393" i="5"/>
  <c r="K5394" i="5"/>
  <c r="K5395" i="5"/>
  <c r="K5396" i="5"/>
  <c r="K5397" i="5"/>
  <c r="K5398" i="5"/>
  <c r="K5399" i="5"/>
  <c r="K5400" i="5"/>
  <c r="K5401" i="5"/>
  <c r="K5402" i="5"/>
  <c r="K5403" i="5"/>
  <c r="K5404" i="5"/>
  <c r="K5405" i="5"/>
  <c r="K5406" i="5"/>
  <c r="K5407" i="5"/>
  <c r="K5408" i="5"/>
  <c r="K5409" i="5"/>
  <c r="K5410" i="5"/>
  <c r="K5411" i="5"/>
  <c r="K5412" i="5"/>
  <c r="K5413" i="5"/>
  <c r="K5414" i="5"/>
  <c r="K5415" i="5"/>
  <c r="K5416" i="5"/>
  <c r="K5417" i="5"/>
  <c r="K5418" i="5"/>
  <c r="K5419" i="5"/>
  <c r="K5420" i="5"/>
  <c r="K5421" i="5"/>
  <c r="K5422" i="5"/>
  <c r="K5423" i="5"/>
  <c r="K5424" i="5"/>
  <c r="K5425" i="5"/>
  <c r="K5426" i="5"/>
  <c r="K5427" i="5"/>
  <c r="K5428" i="5"/>
  <c r="K5429" i="5"/>
  <c r="K5430" i="5"/>
  <c r="K5431" i="5"/>
  <c r="K5432" i="5"/>
  <c r="K5433" i="5"/>
  <c r="K5434" i="5"/>
  <c r="K5435" i="5"/>
  <c r="K5436" i="5"/>
  <c r="K5437" i="5"/>
  <c r="K5438" i="5"/>
  <c r="K5439" i="5"/>
  <c r="K5440" i="5"/>
  <c r="K5441" i="5"/>
  <c r="K5442" i="5"/>
  <c r="K5443" i="5"/>
  <c r="K5444" i="5"/>
  <c r="K5445" i="5"/>
  <c r="K5446" i="5"/>
  <c r="K5447" i="5"/>
  <c r="K5448" i="5"/>
  <c r="K5449" i="5"/>
  <c r="K5450" i="5"/>
  <c r="K5451" i="5"/>
  <c r="K5452" i="5"/>
  <c r="K5453" i="5"/>
  <c r="K5454" i="5"/>
  <c r="K5455" i="5"/>
  <c r="K5456" i="5"/>
  <c r="K5457" i="5"/>
  <c r="K5458" i="5"/>
  <c r="K5459" i="5"/>
  <c r="K5460" i="5"/>
  <c r="K5461" i="5"/>
  <c r="K5462" i="5"/>
  <c r="K5463" i="5"/>
  <c r="K5464" i="5"/>
  <c r="K5465" i="5"/>
  <c r="K5466" i="5"/>
  <c r="K5467" i="5"/>
  <c r="K5468" i="5"/>
  <c r="K5469" i="5"/>
  <c r="K5470" i="5"/>
  <c r="K5471" i="5"/>
  <c r="K5472" i="5"/>
  <c r="K5473" i="5"/>
  <c r="K5474" i="5"/>
  <c r="K5475" i="5"/>
  <c r="K5476" i="5"/>
  <c r="K5477" i="5"/>
  <c r="K5478" i="5"/>
  <c r="K5479" i="5"/>
  <c r="K5480" i="5"/>
  <c r="K5481" i="5"/>
  <c r="K5482" i="5"/>
  <c r="K5483" i="5"/>
  <c r="K5484" i="5"/>
  <c r="K5485" i="5"/>
  <c r="K5486" i="5"/>
  <c r="K5487" i="5"/>
  <c r="K5488" i="5"/>
  <c r="K5489" i="5"/>
  <c r="K5490" i="5"/>
  <c r="K5491" i="5"/>
  <c r="K5492" i="5"/>
  <c r="K5493" i="5"/>
  <c r="K5494" i="5"/>
  <c r="K5495" i="5"/>
  <c r="K5496" i="5"/>
  <c r="K5497" i="5"/>
  <c r="K5498" i="5"/>
  <c r="K5499" i="5"/>
  <c r="K5500" i="5"/>
  <c r="K5501" i="5"/>
  <c r="K5502" i="5"/>
  <c r="K5503" i="5"/>
  <c r="K5504" i="5"/>
  <c r="K5505" i="5"/>
  <c r="K5506" i="5"/>
  <c r="K5507" i="5"/>
  <c r="K5508" i="5"/>
  <c r="K5509" i="5"/>
  <c r="K5510" i="5"/>
  <c r="K5511" i="5"/>
  <c r="K5512" i="5"/>
  <c r="K5513" i="5"/>
  <c r="K5514" i="5"/>
  <c r="K5515" i="5"/>
  <c r="K5516" i="5"/>
  <c r="K5517" i="5"/>
  <c r="K5518" i="5"/>
  <c r="K5519" i="5"/>
  <c r="K5520" i="5"/>
  <c r="K5521" i="5"/>
  <c r="K5522" i="5"/>
  <c r="K5523" i="5"/>
  <c r="K5524" i="5"/>
  <c r="K5525" i="5"/>
  <c r="K5526" i="5"/>
  <c r="K5527" i="5"/>
  <c r="K5528" i="5"/>
  <c r="K5529" i="5"/>
  <c r="K5530" i="5"/>
  <c r="K5531" i="5"/>
  <c r="K5532" i="5"/>
  <c r="K5533" i="5"/>
  <c r="K5534" i="5"/>
  <c r="K5535" i="5"/>
  <c r="K5536" i="5"/>
  <c r="K5537" i="5"/>
  <c r="K5538" i="5"/>
  <c r="K5539" i="5"/>
  <c r="K5540" i="5"/>
  <c r="K5541" i="5"/>
  <c r="K5542" i="5"/>
  <c r="K5543" i="5"/>
  <c r="K5544" i="5"/>
  <c r="K5545" i="5"/>
  <c r="K5546" i="5"/>
  <c r="K5547" i="5"/>
  <c r="K5548" i="5"/>
  <c r="K5549" i="5"/>
  <c r="K5550" i="5"/>
  <c r="K5551" i="5"/>
  <c r="K5552" i="5"/>
  <c r="K5553" i="5"/>
  <c r="K5554" i="5"/>
  <c r="K5555" i="5"/>
  <c r="K5556" i="5"/>
  <c r="K5557" i="5"/>
  <c r="K5558" i="5"/>
  <c r="K5559" i="5"/>
  <c r="K5560" i="5"/>
  <c r="K5561" i="5"/>
  <c r="K5562" i="5"/>
  <c r="K5563" i="5"/>
  <c r="K5564" i="5"/>
  <c r="K5565" i="5"/>
  <c r="K5566" i="5"/>
  <c r="K5567" i="5"/>
  <c r="K5568" i="5"/>
  <c r="K5569" i="5"/>
  <c r="K5570" i="5"/>
  <c r="K5571" i="5"/>
  <c r="K5572" i="5"/>
  <c r="K5573" i="5"/>
  <c r="K5574" i="5"/>
  <c r="K5575" i="5"/>
  <c r="K5576" i="5"/>
  <c r="K5577" i="5"/>
  <c r="K5578" i="5"/>
  <c r="K5579" i="5"/>
  <c r="K5580" i="5"/>
  <c r="K5581" i="5"/>
  <c r="K5582" i="5"/>
  <c r="K5583" i="5"/>
  <c r="K5584" i="5"/>
  <c r="K5585" i="5"/>
  <c r="K5586" i="5"/>
  <c r="K5587" i="5"/>
  <c r="K5588" i="5"/>
  <c r="K5589" i="5"/>
  <c r="K5590" i="5"/>
  <c r="K5591" i="5"/>
  <c r="K5592" i="5"/>
  <c r="K5593" i="5"/>
  <c r="K5594" i="5"/>
  <c r="K5595" i="5"/>
  <c r="K5596" i="5"/>
  <c r="K5597" i="5"/>
  <c r="K5598" i="5"/>
  <c r="K5599" i="5"/>
  <c r="K5600" i="5"/>
  <c r="K5601" i="5"/>
  <c r="K5602" i="5"/>
  <c r="K5603" i="5"/>
  <c r="K5604" i="5"/>
  <c r="K5605" i="5"/>
  <c r="K5606" i="5"/>
  <c r="K5607" i="5"/>
  <c r="K5608" i="5"/>
  <c r="K5609" i="5"/>
  <c r="K5610" i="5"/>
  <c r="K5611" i="5"/>
  <c r="K5612" i="5"/>
  <c r="F5612" i="5"/>
  <c r="G5612" i="5" s="1"/>
  <c r="F5611" i="5"/>
  <c r="G5611" i="5" s="1"/>
  <c r="F5610" i="5"/>
  <c r="G5610" i="5" s="1"/>
  <c r="F5609" i="5"/>
  <c r="G5609" i="5" s="1"/>
  <c r="F5608" i="5"/>
  <c r="G5608" i="5" s="1"/>
  <c r="F5607" i="5"/>
  <c r="G5607" i="5" s="1"/>
  <c r="F5606" i="5"/>
  <c r="G5606" i="5" s="1"/>
  <c r="F5605" i="5"/>
  <c r="G5605" i="5" s="1"/>
  <c r="F5604" i="5"/>
  <c r="G5604" i="5" s="1"/>
  <c r="F5603" i="5"/>
  <c r="G5603" i="5" s="1"/>
  <c r="F5602" i="5"/>
  <c r="G5602" i="5" s="1"/>
  <c r="F5601" i="5"/>
  <c r="G5601" i="5" s="1"/>
  <c r="F5600" i="5"/>
  <c r="G5600" i="5" s="1"/>
  <c r="F5599" i="5"/>
  <c r="G5599" i="5" s="1"/>
  <c r="F5598" i="5"/>
  <c r="G5598" i="5" s="1"/>
  <c r="F5597" i="5"/>
  <c r="G5597" i="5" s="1"/>
  <c r="F5596" i="5"/>
  <c r="G5596" i="5" s="1"/>
  <c r="F5595" i="5"/>
  <c r="G5595" i="5" s="1"/>
  <c r="F5594" i="5"/>
  <c r="G5594" i="5" s="1"/>
  <c r="F5593" i="5"/>
  <c r="G5593" i="5" s="1"/>
  <c r="F5592" i="5"/>
  <c r="G5592" i="5" s="1"/>
  <c r="F5591" i="5"/>
  <c r="G5591" i="5" s="1"/>
  <c r="F5590" i="5"/>
  <c r="G5590" i="5" s="1"/>
  <c r="F5589" i="5"/>
  <c r="G5589" i="5" s="1"/>
  <c r="F5588" i="5"/>
  <c r="G5588" i="5" s="1"/>
  <c r="F5587" i="5"/>
  <c r="G5587" i="5" s="1"/>
  <c r="F5586" i="5"/>
  <c r="G5586" i="5" s="1"/>
  <c r="F5585" i="5"/>
  <c r="G5585" i="5" s="1"/>
  <c r="F5584" i="5"/>
  <c r="G5584" i="5" s="1"/>
  <c r="F5583" i="5"/>
  <c r="G5583" i="5" s="1"/>
  <c r="F5582" i="5"/>
  <c r="G5582" i="5" s="1"/>
  <c r="F5581" i="5"/>
  <c r="G5581" i="5" s="1"/>
  <c r="F5580" i="5"/>
  <c r="G5580" i="5" s="1"/>
  <c r="F5579" i="5"/>
  <c r="G5579" i="5" s="1"/>
  <c r="F5578" i="5"/>
  <c r="G5578" i="5" s="1"/>
  <c r="F5577" i="5"/>
  <c r="G5577" i="5" s="1"/>
  <c r="F5576" i="5"/>
  <c r="G5576" i="5" s="1"/>
  <c r="F5575" i="5"/>
  <c r="G5575" i="5" s="1"/>
  <c r="F5574" i="5"/>
  <c r="G5574" i="5" s="1"/>
  <c r="F5573" i="5"/>
  <c r="G5573" i="5" s="1"/>
  <c r="F5572" i="5"/>
  <c r="G5572" i="5" s="1"/>
  <c r="F5571" i="5"/>
  <c r="G5571" i="5" s="1"/>
  <c r="F5570" i="5"/>
  <c r="G5570" i="5" s="1"/>
  <c r="F5569" i="5"/>
  <c r="G5569" i="5" s="1"/>
  <c r="F5568" i="5"/>
  <c r="G5568" i="5" s="1"/>
  <c r="F5567" i="5"/>
  <c r="G5567" i="5" s="1"/>
  <c r="F5566" i="5"/>
  <c r="G5566" i="5" s="1"/>
  <c r="F5565" i="5"/>
  <c r="G5565" i="5" s="1"/>
  <c r="F5564" i="5"/>
  <c r="G5564" i="5" s="1"/>
  <c r="F5563" i="5"/>
  <c r="G5563" i="5" s="1"/>
  <c r="F5562" i="5"/>
  <c r="G5562" i="5" s="1"/>
  <c r="F5561" i="5"/>
  <c r="G5561" i="5" s="1"/>
  <c r="F5560" i="5"/>
  <c r="G5560" i="5" s="1"/>
  <c r="F5559" i="5"/>
  <c r="G5559" i="5" s="1"/>
  <c r="F5558" i="5"/>
  <c r="G5558" i="5" s="1"/>
  <c r="F5557" i="5"/>
  <c r="G5557" i="5" s="1"/>
  <c r="F5556" i="5"/>
  <c r="G5556" i="5" s="1"/>
  <c r="F5555" i="5"/>
  <c r="G5555" i="5" s="1"/>
  <c r="F5554" i="5"/>
  <c r="G5554" i="5" s="1"/>
  <c r="F5553" i="5"/>
  <c r="G5553" i="5" s="1"/>
  <c r="F5552" i="5"/>
  <c r="G5552" i="5" s="1"/>
  <c r="F5551" i="5"/>
  <c r="G5551" i="5" s="1"/>
  <c r="F5550" i="5"/>
  <c r="G5550" i="5" s="1"/>
  <c r="F5549" i="5"/>
  <c r="G5549" i="5" s="1"/>
  <c r="F5548" i="5"/>
  <c r="G5548" i="5" s="1"/>
  <c r="F5547" i="5"/>
  <c r="G5547" i="5" s="1"/>
  <c r="F5546" i="5"/>
  <c r="G5546" i="5" s="1"/>
  <c r="F5545" i="5"/>
  <c r="G5545" i="5" s="1"/>
  <c r="F5544" i="5"/>
  <c r="G5544" i="5" s="1"/>
  <c r="F5543" i="5"/>
  <c r="G5543" i="5" s="1"/>
  <c r="F5542" i="5"/>
  <c r="G5542" i="5" s="1"/>
  <c r="F5541" i="5"/>
  <c r="G5541" i="5" s="1"/>
  <c r="F5540" i="5"/>
  <c r="G5540" i="5" s="1"/>
  <c r="F5539" i="5"/>
  <c r="G5539" i="5" s="1"/>
  <c r="F5538" i="5"/>
  <c r="G5538" i="5" s="1"/>
  <c r="F5537" i="5"/>
  <c r="G5537" i="5" s="1"/>
  <c r="F5536" i="5"/>
  <c r="G5536" i="5" s="1"/>
  <c r="F5535" i="5"/>
  <c r="G5535" i="5" s="1"/>
  <c r="F5534" i="5"/>
  <c r="G5534" i="5" s="1"/>
  <c r="F5533" i="5"/>
  <c r="G5533" i="5" s="1"/>
  <c r="F5532" i="5"/>
  <c r="G5532" i="5" s="1"/>
  <c r="F5531" i="5"/>
  <c r="G5531" i="5" s="1"/>
  <c r="F5530" i="5"/>
  <c r="G5530" i="5" s="1"/>
  <c r="F5529" i="5"/>
  <c r="G5529" i="5" s="1"/>
  <c r="F5528" i="5"/>
  <c r="G5528" i="5" s="1"/>
  <c r="F5527" i="5"/>
  <c r="G5527" i="5" s="1"/>
  <c r="F5526" i="5"/>
  <c r="G5526" i="5" s="1"/>
  <c r="F5525" i="5"/>
  <c r="G5525" i="5" s="1"/>
  <c r="F5524" i="5"/>
  <c r="G5524" i="5" s="1"/>
  <c r="F5523" i="5"/>
  <c r="G5523" i="5" s="1"/>
  <c r="F5522" i="5"/>
  <c r="G5522" i="5" s="1"/>
  <c r="F5521" i="5"/>
  <c r="G5521" i="5" s="1"/>
  <c r="F5520" i="5"/>
  <c r="G5520" i="5" s="1"/>
  <c r="F5519" i="5"/>
  <c r="G5519" i="5" s="1"/>
  <c r="F5518" i="5"/>
  <c r="G5518" i="5" s="1"/>
  <c r="F5517" i="5"/>
  <c r="G5517" i="5" s="1"/>
  <c r="F5516" i="5"/>
  <c r="G5516" i="5" s="1"/>
  <c r="F5515" i="5"/>
  <c r="G5515" i="5" s="1"/>
  <c r="F5514" i="5"/>
  <c r="G5514" i="5" s="1"/>
  <c r="F5513" i="5"/>
  <c r="G5513" i="5" s="1"/>
  <c r="F5512" i="5"/>
  <c r="G5512" i="5" s="1"/>
  <c r="F5511" i="5"/>
  <c r="G5511" i="5" s="1"/>
  <c r="F5510" i="5"/>
  <c r="G5510" i="5" s="1"/>
  <c r="F5509" i="5"/>
  <c r="G5509" i="5" s="1"/>
  <c r="G5508" i="5"/>
  <c r="F5508" i="5"/>
  <c r="F5507" i="5"/>
  <c r="G5507" i="5" s="1"/>
  <c r="F5506" i="5"/>
  <c r="G5506" i="5" s="1"/>
  <c r="F5505" i="5"/>
  <c r="G5505" i="5" s="1"/>
  <c r="F5504" i="5"/>
  <c r="G5504" i="5" s="1"/>
  <c r="F5503" i="5"/>
  <c r="G5503" i="5" s="1"/>
  <c r="F5502" i="5"/>
  <c r="G5502" i="5" s="1"/>
  <c r="F5501" i="5"/>
  <c r="G5501" i="5" s="1"/>
  <c r="F5500" i="5"/>
  <c r="G5500" i="5" s="1"/>
  <c r="F5499" i="5"/>
  <c r="G5499" i="5" s="1"/>
  <c r="F5498" i="5"/>
  <c r="G5498" i="5" s="1"/>
  <c r="F5497" i="5"/>
  <c r="G5497" i="5" s="1"/>
  <c r="F5496" i="5"/>
  <c r="G5496" i="5" s="1"/>
  <c r="F5495" i="5"/>
  <c r="G5495" i="5" s="1"/>
  <c r="F5494" i="5"/>
  <c r="G5494" i="5" s="1"/>
  <c r="F5493" i="5"/>
  <c r="G5493" i="5" s="1"/>
  <c r="F5492" i="5"/>
  <c r="G5492" i="5" s="1"/>
  <c r="F5491" i="5"/>
  <c r="G5491" i="5" s="1"/>
  <c r="F5490" i="5"/>
  <c r="G5490" i="5" s="1"/>
  <c r="F5489" i="5"/>
  <c r="G5489" i="5" s="1"/>
  <c r="F5488" i="5"/>
  <c r="G5488" i="5" s="1"/>
  <c r="F5487" i="5"/>
  <c r="G5487" i="5" s="1"/>
  <c r="F5486" i="5"/>
  <c r="G5486" i="5" s="1"/>
  <c r="F5485" i="5"/>
  <c r="G5485" i="5" s="1"/>
  <c r="F5484" i="5"/>
  <c r="G5484" i="5" s="1"/>
  <c r="F5483" i="5"/>
  <c r="G5483" i="5" s="1"/>
  <c r="F5482" i="5"/>
  <c r="G5482" i="5" s="1"/>
  <c r="F5481" i="5"/>
  <c r="G5481" i="5" s="1"/>
  <c r="F5480" i="5"/>
  <c r="G5480" i="5" s="1"/>
  <c r="F5479" i="5"/>
  <c r="G5479" i="5" s="1"/>
  <c r="F5478" i="5"/>
  <c r="G5478" i="5" s="1"/>
  <c r="F5477" i="5"/>
  <c r="G5477" i="5" s="1"/>
  <c r="F5476" i="5"/>
  <c r="G5476" i="5" s="1"/>
  <c r="F5475" i="5"/>
  <c r="G5475" i="5" s="1"/>
  <c r="F5474" i="5"/>
  <c r="G5474" i="5" s="1"/>
  <c r="F5473" i="5"/>
  <c r="G5473" i="5" s="1"/>
  <c r="F5472" i="5"/>
  <c r="G5472" i="5" s="1"/>
  <c r="F5471" i="5"/>
  <c r="G5471" i="5" s="1"/>
  <c r="F5470" i="5"/>
  <c r="G5470" i="5" s="1"/>
  <c r="F5469" i="5"/>
  <c r="G5469" i="5" s="1"/>
  <c r="F5468" i="5"/>
  <c r="G5468" i="5" s="1"/>
  <c r="F5467" i="5"/>
  <c r="G5467" i="5" s="1"/>
  <c r="F5466" i="5"/>
  <c r="G5466" i="5" s="1"/>
  <c r="F5465" i="5"/>
  <c r="G5465" i="5" s="1"/>
  <c r="F5464" i="5"/>
  <c r="G5464" i="5" s="1"/>
  <c r="F5463" i="5"/>
  <c r="G5463" i="5" s="1"/>
  <c r="F5462" i="5"/>
  <c r="G5462" i="5" s="1"/>
  <c r="F5461" i="5"/>
  <c r="G5461" i="5" s="1"/>
  <c r="F5460" i="5"/>
  <c r="G5460" i="5" s="1"/>
  <c r="F5459" i="5"/>
  <c r="G5459" i="5" s="1"/>
  <c r="F5458" i="5"/>
  <c r="G5458" i="5" s="1"/>
  <c r="F5457" i="5"/>
  <c r="G5457" i="5" s="1"/>
  <c r="F5456" i="5"/>
  <c r="G5456" i="5" s="1"/>
  <c r="F5455" i="5"/>
  <c r="G5455" i="5" s="1"/>
  <c r="F5454" i="5"/>
  <c r="G5454" i="5" s="1"/>
  <c r="F5453" i="5"/>
  <c r="G5453" i="5" s="1"/>
  <c r="F5452" i="5"/>
  <c r="G5452" i="5" s="1"/>
  <c r="F5451" i="5"/>
  <c r="G5451" i="5" s="1"/>
  <c r="F5450" i="5"/>
  <c r="G5450" i="5" s="1"/>
  <c r="F5449" i="5"/>
  <c r="G5449" i="5" s="1"/>
  <c r="F5448" i="5"/>
  <c r="G5448" i="5" s="1"/>
  <c r="F5447" i="5"/>
  <c r="G5447" i="5" s="1"/>
  <c r="F5446" i="5"/>
  <c r="G5446" i="5" s="1"/>
  <c r="F5445" i="5"/>
  <c r="G5445" i="5" s="1"/>
  <c r="F5444" i="5"/>
  <c r="G5444" i="5" s="1"/>
  <c r="F5443" i="5"/>
  <c r="G5443" i="5" s="1"/>
  <c r="F5442" i="5"/>
  <c r="G5442" i="5" s="1"/>
  <c r="F5441" i="5"/>
  <c r="G5441" i="5" s="1"/>
  <c r="F5440" i="5"/>
  <c r="G5440" i="5" s="1"/>
  <c r="F5439" i="5"/>
  <c r="G5439" i="5" s="1"/>
  <c r="F5438" i="5"/>
  <c r="G5438" i="5" s="1"/>
  <c r="F5437" i="5"/>
  <c r="G5437" i="5" s="1"/>
  <c r="F5436" i="5"/>
  <c r="G5436" i="5" s="1"/>
  <c r="F5435" i="5"/>
  <c r="G5435" i="5" s="1"/>
  <c r="F5434" i="5"/>
  <c r="G5434" i="5" s="1"/>
  <c r="F5433" i="5"/>
  <c r="G5433" i="5" s="1"/>
  <c r="F5432" i="5"/>
  <c r="G5432" i="5" s="1"/>
  <c r="F5431" i="5"/>
  <c r="G5431" i="5" s="1"/>
  <c r="F5430" i="5"/>
  <c r="G5430" i="5" s="1"/>
  <c r="F5429" i="5"/>
  <c r="G5429" i="5" s="1"/>
  <c r="F5428" i="5"/>
  <c r="G5428" i="5" s="1"/>
  <c r="F5427" i="5"/>
  <c r="G5427" i="5" s="1"/>
  <c r="F5426" i="5"/>
  <c r="G5426" i="5" s="1"/>
  <c r="F5425" i="5"/>
  <c r="G5425" i="5" s="1"/>
  <c r="F5424" i="5"/>
  <c r="G5424" i="5" s="1"/>
  <c r="F5423" i="5"/>
  <c r="G5423" i="5" s="1"/>
  <c r="F5422" i="5"/>
  <c r="G5422" i="5" s="1"/>
  <c r="F5421" i="5"/>
  <c r="G5421" i="5" s="1"/>
  <c r="F5420" i="5"/>
  <c r="G5420" i="5" s="1"/>
  <c r="F5419" i="5"/>
  <c r="G5419" i="5" s="1"/>
  <c r="F5418" i="5"/>
  <c r="G5418" i="5" s="1"/>
  <c r="F5417" i="5"/>
  <c r="G5417" i="5" s="1"/>
  <c r="F5416" i="5"/>
  <c r="G5416" i="5" s="1"/>
  <c r="F5415" i="5"/>
  <c r="G5415" i="5" s="1"/>
  <c r="F5414" i="5"/>
  <c r="G5414" i="5" s="1"/>
  <c r="F5413" i="5"/>
  <c r="G5413" i="5" s="1"/>
  <c r="F5412" i="5"/>
  <c r="G5412" i="5" s="1"/>
  <c r="F5411" i="5"/>
  <c r="G5411" i="5" s="1"/>
  <c r="F5410" i="5"/>
  <c r="G5410" i="5" s="1"/>
  <c r="F5409" i="5"/>
  <c r="G5409" i="5" s="1"/>
  <c r="F5408" i="5"/>
  <c r="G5408" i="5" s="1"/>
  <c r="F5407" i="5"/>
  <c r="G5407" i="5" s="1"/>
  <c r="F5406" i="5"/>
  <c r="G5406" i="5" s="1"/>
  <c r="F5405" i="5"/>
  <c r="G5405" i="5" s="1"/>
  <c r="F5404" i="5"/>
  <c r="G5404" i="5" s="1"/>
  <c r="F5403" i="5"/>
  <c r="G5403" i="5" s="1"/>
  <c r="F5402" i="5"/>
  <c r="G5402" i="5" s="1"/>
  <c r="F5401" i="5"/>
  <c r="G5401" i="5" s="1"/>
  <c r="F5400" i="5"/>
  <c r="G5400" i="5" s="1"/>
  <c r="F5399" i="5"/>
  <c r="G5399" i="5" s="1"/>
  <c r="F5398" i="5"/>
  <c r="G5398" i="5" s="1"/>
  <c r="F5397" i="5"/>
  <c r="G5397" i="5" s="1"/>
  <c r="F5396" i="5"/>
  <c r="G5396" i="5" s="1"/>
  <c r="F5395" i="5"/>
  <c r="G5395" i="5" s="1"/>
  <c r="F5394" i="5"/>
  <c r="G5394" i="5" s="1"/>
  <c r="F5393" i="5"/>
  <c r="G5393" i="5" s="1"/>
  <c r="F5392" i="5"/>
  <c r="G5392" i="5" s="1"/>
  <c r="F5391" i="5"/>
  <c r="G5391" i="5" s="1"/>
  <c r="F5390" i="5"/>
  <c r="G5390" i="5" s="1"/>
  <c r="F5389" i="5"/>
  <c r="G5389" i="5" s="1"/>
  <c r="F5388" i="5"/>
  <c r="G5388" i="5" s="1"/>
  <c r="F5387" i="5"/>
  <c r="G5387" i="5" s="1"/>
  <c r="F5386" i="5"/>
  <c r="G5386" i="5" s="1"/>
  <c r="F5385" i="5"/>
  <c r="G5385" i="5" s="1"/>
  <c r="F5384" i="5"/>
  <c r="G5384" i="5" s="1"/>
  <c r="F5383" i="5"/>
  <c r="G5383" i="5" s="1"/>
  <c r="F5382" i="5"/>
  <c r="G5382" i="5" s="1"/>
  <c r="F5381" i="5"/>
  <c r="G5381" i="5" s="1"/>
  <c r="F5380" i="5"/>
  <c r="G5380" i="5" s="1"/>
  <c r="F5379" i="5"/>
  <c r="G5379" i="5" s="1"/>
  <c r="F5378" i="5"/>
  <c r="G5378" i="5" s="1"/>
  <c r="F5377" i="5"/>
  <c r="G5377" i="5" s="1"/>
  <c r="F5376" i="5"/>
  <c r="G5376" i="5" s="1"/>
  <c r="F5375" i="5"/>
  <c r="G5375" i="5" s="1"/>
  <c r="F5374" i="5"/>
  <c r="G5374" i="5" s="1"/>
  <c r="F5373" i="5"/>
  <c r="G5373" i="5" s="1"/>
  <c r="F5372" i="5"/>
  <c r="G5372" i="5" s="1"/>
  <c r="F5371" i="5"/>
  <c r="G5371" i="5" s="1"/>
  <c r="F5370" i="5"/>
  <c r="G5370" i="5" s="1"/>
  <c r="F5369" i="5"/>
  <c r="G5369" i="5" s="1"/>
  <c r="F5368" i="5"/>
  <c r="G5368" i="5" s="1"/>
  <c r="F5367" i="5"/>
  <c r="G5367" i="5" s="1"/>
  <c r="F5366" i="5"/>
  <c r="G5366" i="5" s="1"/>
  <c r="F5365" i="5"/>
  <c r="G5365" i="5" s="1"/>
  <c r="F5364" i="5"/>
  <c r="G5364" i="5" s="1"/>
  <c r="F5363" i="5"/>
  <c r="G5363" i="5" s="1"/>
  <c r="F5362" i="5"/>
  <c r="G5362" i="5" s="1"/>
  <c r="F5361" i="5"/>
  <c r="G5361" i="5" s="1"/>
  <c r="F5360" i="5"/>
  <c r="G5360" i="5" s="1"/>
  <c r="F5359" i="5"/>
  <c r="G5359" i="5" s="1"/>
  <c r="F5358" i="5"/>
  <c r="G5358" i="5" s="1"/>
  <c r="F5357" i="5"/>
  <c r="G5357" i="5" s="1"/>
  <c r="F5356" i="5"/>
  <c r="G5356" i="5" s="1"/>
  <c r="F5355" i="5"/>
  <c r="G5355" i="5" s="1"/>
  <c r="F5354" i="5"/>
  <c r="G5354" i="5" s="1"/>
  <c r="F5353" i="5"/>
  <c r="G5353" i="5" s="1"/>
  <c r="F5352" i="5"/>
  <c r="G5352" i="5" s="1"/>
  <c r="F5351" i="5"/>
  <c r="G5351" i="5" s="1"/>
  <c r="F5350" i="5"/>
  <c r="G5350" i="5" s="1"/>
  <c r="F5349" i="5"/>
  <c r="G5349" i="5" s="1"/>
  <c r="F5348" i="5"/>
  <c r="G5348" i="5" s="1"/>
  <c r="F5347" i="5"/>
  <c r="G5347" i="5" s="1"/>
  <c r="F5346" i="5"/>
  <c r="G5346" i="5" s="1"/>
  <c r="F5345" i="5"/>
  <c r="G5345" i="5" s="1"/>
  <c r="F5344" i="5"/>
  <c r="G5344" i="5" s="1"/>
  <c r="F5343" i="5"/>
  <c r="G5343" i="5" s="1"/>
  <c r="F5342" i="5"/>
  <c r="G5342" i="5" s="1"/>
  <c r="F5341" i="5"/>
  <c r="G5341" i="5" s="1"/>
  <c r="F5340" i="5"/>
  <c r="G5340" i="5" s="1"/>
  <c r="F5339" i="5"/>
  <c r="G5339" i="5" s="1"/>
  <c r="F5338" i="5"/>
  <c r="G5338" i="5" s="1"/>
  <c r="F5337" i="5"/>
  <c r="G5337" i="5" s="1"/>
  <c r="F5336" i="5"/>
  <c r="G5336" i="5" s="1"/>
  <c r="F5335" i="5"/>
  <c r="G5335" i="5" s="1"/>
  <c r="F5334" i="5"/>
  <c r="G5334" i="5" s="1"/>
  <c r="F5333" i="5"/>
  <c r="G5333" i="5" s="1"/>
  <c r="F5332" i="5"/>
  <c r="G5332" i="5" s="1"/>
  <c r="F5331" i="5"/>
  <c r="G5331" i="5" s="1"/>
  <c r="F5330" i="5"/>
  <c r="G5330" i="5" s="1"/>
  <c r="F5329" i="5"/>
  <c r="G5329" i="5" s="1"/>
  <c r="F5328" i="5"/>
  <c r="G5328" i="5" s="1"/>
  <c r="F5327" i="5"/>
  <c r="G5327" i="5" s="1"/>
  <c r="F5326" i="5"/>
  <c r="G5326" i="5" s="1"/>
  <c r="F5325" i="5"/>
  <c r="G5325" i="5" s="1"/>
  <c r="F5324" i="5"/>
  <c r="G5324" i="5" s="1"/>
  <c r="F5323" i="5"/>
  <c r="G5323" i="5" s="1"/>
  <c r="F5322" i="5"/>
  <c r="G5322" i="5" s="1"/>
  <c r="F5321" i="5"/>
  <c r="G5321" i="5" s="1"/>
  <c r="F5320" i="5"/>
  <c r="G5320" i="5" s="1"/>
  <c r="F5319" i="5"/>
  <c r="G5319" i="5" s="1"/>
  <c r="F5318" i="5"/>
  <c r="G5318" i="5" s="1"/>
  <c r="F5317" i="5"/>
  <c r="G5317" i="5" s="1"/>
  <c r="F5316" i="5"/>
  <c r="G5316" i="5" s="1"/>
  <c r="F5315" i="5"/>
  <c r="G5315" i="5" s="1"/>
  <c r="F5314" i="5"/>
  <c r="G5314" i="5" s="1"/>
  <c r="F5313" i="5"/>
  <c r="G5313" i="5" s="1"/>
  <c r="F5312" i="5"/>
  <c r="G5312" i="5" s="1"/>
  <c r="F5311" i="5"/>
  <c r="G5311" i="5" s="1"/>
  <c r="F5310" i="5"/>
  <c r="G5310" i="5" s="1"/>
  <c r="F5309" i="5"/>
  <c r="G5309" i="5" s="1"/>
  <c r="F5308" i="5"/>
  <c r="G5308" i="5" s="1"/>
  <c r="F5307" i="5"/>
  <c r="G5307" i="5" s="1"/>
  <c r="F5306" i="5"/>
  <c r="G5306" i="5" s="1"/>
  <c r="F5305" i="5"/>
  <c r="G5305" i="5" s="1"/>
  <c r="F5304" i="5"/>
  <c r="G5304" i="5" s="1"/>
  <c r="F5303" i="5"/>
  <c r="G5303" i="5" s="1"/>
  <c r="F5302" i="5"/>
  <c r="G5302" i="5" s="1"/>
  <c r="F5301" i="5"/>
  <c r="G5301" i="5" s="1"/>
  <c r="F5300" i="5"/>
  <c r="G5300" i="5" s="1"/>
  <c r="F5299" i="5"/>
  <c r="G5299" i="5" s="1"/>
  <c r="F5298" i="5"/>
  <c r="G5298" i="5" s="1"/>
  <c r="F5297" i="5"/>
  <c r="G5297" i="5" s="1"/>
  <c r="F5296" i="5"/>
  <c r="G5296" i="5" s="1"/>
  <c r="F5295" i="5"/>
  <c r="G5295" i="5" s="1"/>
  <c r="F5294" i="5"/>
  <c r="G5294" i="5" s="1"/>
  <c r="F5293" i="5"/>
  <c r="G5293" i="5" s="1"/>
  <c r="F5292" i="5"/>
  <c r="G5292" i="5" s="1"/>
  <c r="F5291" i="5"/>
  <c r="G5291" i="5" s="1"/>
  <c r="F5290" i="5"/>
  <c r="G5290" i="5" s="1"/>
  <c r="F5289" i="5"/>
  <c r="G5289" i="5" s="1"/>
  <c r="F5288" i="5"/>
  <c r="G5288" i="5" s="1"/>
  <c r="F5287" i="5"/>
  <c r="G5287" i="5" s="1"/>
  <c r="F5286" i="5"/>
  <c r="G5286" i="5" s="1"/>
  <c r="F5285" i="5"/>
  <c r="G5285" i="5" s="1"/>
  <c r="F5284" i="5"/>
  <c r="G5284" i="5" s="1"/>
  <c r="F5283" i="5"/>
  <c r="G5283" i="5" s="1"/>
  <c r="F5282" i="5"/>
  <c r="G5282" i="5" s="1"/>
  <c r="F5281" i="5"/>
  <c r="G5281" i="5" s="1"/>
  <c r="F5280" i="5"/>
  <c r="G5280" i="5" s="1"/>
  <c r="F5279" i="5"/>
  <c r="G5279" i="5" s="1"/>
  <c r="F5278" i="5"/>
  <c r="G5278" i="5" s="1"/>
  <c r="F5277" i="5"/>
  <c r="G5277" i="5" s="1"/>
  <c r="F5276" i="5"/>
  <c r="G5276" i="5" s="1"/>
  <c r="F5275" i="5"/>
  <c r="G5275" i="5" s="1"/>
  <c r="F5274" i="5"/>
  <c r="G5274" i="5" s="1"/>
  <c r="F5273" i="5"/>
  <c r="G5273" i="5" s="1"/>
  <c r="F5272" i="5"/>
  <c r="G5272" i="5" s="1"/>
  <c r="F5271" i="5"/>
  <c r="G5271" i="5" s="1"/>
  <c r="F5270" i="5"/>
  <c r="G5270" i="5" s="1"/>
  <c r="F5269" i="5"/>
  <c r="G5269" i="5" s="1"/>
  <c r="F5268" i="5"/>
  <c r="G5268" i="5" s="1"/>
  <c r="F5267" i="5"/>
  <c r="G5267" i="5" s="1"/>
  <c r="F5266" i="5"/>
  <c r="G5266" i="5" s="1"/>
  <c r="F5265" i="5"/>
  <c r="G5265" i="5" s="1"/>
  <c r="F5264" i="5"/>
  <c r="G5264" i="5" s="1"/>
  <c r="F5263" i="5"/>
  <c r="G5263" i="5" s="1"/>
  <c r="F5262" i="5"/>
  <c r="G5262" i="5" s="1"/>
  <c r="F5261" i="5"/>
  <c r="G5261" i="5" s="1"/>
  <c r="F5260" i="5"/>
  <c r="G5260" i="5" s="1"/>
  <c r="F5259" i="5"/>
  <c r="G5259" i="5" s="1"/>
  <c r="F5258" i="5"/>
  <c r="G5258" i="5" s="1"/>
  <c r="F5257" i="5"/>
  <c r="G5257" i="5" s="1"/>
  <c r="F5256" i="5"/>
  <c r="G5256" i="5" s="1"/>
  <c r="F5255" i="5"/>
  <c r="G5255" i="5" s="1"/>
  <c r="F5254" i="5"/>
  <c r="G5254" i="5" s="1"/>
  <c r="F5253" i="5"/>
  <c r="G5253" i="5" s="1"/>
  <c r="F5252" i="5"/>
  <c r="G5252" i="5" s="1"/>
  <c r="F5251" i="5"/>
  <c r="G5251" i="5" s="1"/>
  <c r="F5250" i="5"/>
  <c r="G5250" i="5" s="1"/>
  <c r="F5249" i="5"/>
  <c r="G5249" i="5" s="1"/>
  <c r="F5248" i="5"/>
  <c r="G5248" i="5" s="1"/>
  <c r="F5247" i="5"/>
  <c r="G5247" i="5" s="1"/>
  <c r="F5246" i="5"/>
  <c r="G5246" i="5" s="1"/>
  <c r="F5245" i="5"/>
  <c r="G5245" i="5" s="1"/>
  <c r="F5244" i="5"/>
  <c r="G5244" i="5" s="1"/>
  <c r="F5243" i="5"/>
  <c r="G5243" i="5" s="1"/>
  <c r="F5242" i="5"/>
  <c r="G5242" i="5" s="1"/>
  <c r="F5241" i="5"/>
  <c r="G5241" i="5" s="1"/>
  <c r="F5240" i="5"/>
  <c r="G5240" i="5" s="1"/>
  <c r="F5239" i="5"/>
  <c r="G5239" i="5" s="1"/>
  <c r="F5238" i="5"/>
  <c r="G5238" i="5" s="1"/>
  <c r="F5237" i="5"/>
  <c r="G5237" i="5" s="1"/>
  <c r="F5236" i="5"/>
  <c r="G5236" i="5" s="1"/>
  <c r="F5235" i="5"/>
  <c r="G5235" i="5" s="1"/>
  <c r="F5234" i="5"/>
  <c r="G5234" i="5" s="1"/>
  <c r="F5233" i="5"/>
  <c r="G5233" i="5" s="1"/>
  <c r="F5232" i="5"/>
  <c r="G5232" i="5" s="1"/>
  <c r="F5231" i="5"/>
  <c r="G5231" i="5" s="1"/>
  <c r="F5230" i="5"/>
  <c r="G5230" i="5" s="1"/>
  <c r="F5229" i="5"/>
  <c r="G5229" i="5" s="1"/>
  <c r="F5228" i="5"/>
  <c r="G5228" i="5" s="1"/>
  <c r="F5227" i="5"/>
  <c r="G5227" i="5" s="1"/>
  <c r="F5226" i="5"/>
  <c r="G5226" i="5" s="1"/>
  <c r="F5225" i="5"/>
  <c r="G5225" i="5" s="1"/>
  <c r="F5224" i="5"/>
  <c r="G5224" i="5" s="1"/>
  <c r="F5223" i="5"/>
  <c r="G5223" i="5" s="1"/>
  <c r="F5222" i="5"/>
  <c r="G5222" i="5" s="1"/>
  <c r="F5221" i="5"/>
  <c r="G5221" i="5" s="1"/>
  <c r="F5220" i="5"/>
  <c r="G5220" i="5" s="1"/>
  <c r="F5219" i="5"/>
  <c r="G5219" i="5" s="1"/>
  <c r="F5218" i="5"/>
  <c r="G5218" i="5" s="1"/>
  <c r="F5217" i="5"/>
  <c r="G5217" i="5" s="1"/>
  <c r="F5216" i="5"/>
  <c r="G5216" i="5" s="1"/>
  <c r="F5215" i="5"/>
  <c r="G5215" i="5" s="1"/>
  <c r="F5214" i="5"/>
  <c r="G5214" i="5" s="1"/>
  <c r="F5213" i="5"/>
  <c r="G5213" i="5" s="1"/>
  <c r="F5212" i="5"/>
  <c r="G5212" i="5" s="1"/>
  <c r="F5211" i="5"/>
  <c r="G5211" i="5" s="1"/>
  <c r="F5210" i="5"/>
  <c r="G5210" i="5" s="1"/>
  <c r="F5209" i="5"/>
  <c r="G5209" i="5" s="1"/>
  <c r="F5208" i="5"/>
  <c r="G5208" i="5" s="1"/>
  <c r="F5207" i="5"/>
  <c r="G5207" i="5" s="1"/>
  <c r="F5206" i="5"/>
  <c r="G5206" i="5" s="1"/>
  <c r="F5205" i="5"/>
  <c r="G5205" i="5" s="1"/>
  <c r="F5204" i="5"/>
  <c r="G5204" i="5" s="1"/>
  <c r="F5203" i="5"/>
  <c r="G5203" i="5" s="1"/>
  <c r="F5202" i="5"/>
  <c r="G5202" i="5" s="1"/>
  <c r="F5201" i="5"/>
  <c r="G5201" i="5" s="1"/>
  <c r="F5200" i="5"/>
  <c r="G5200" i="5" s="1"/>
  <c r="F5199" i="5"/>
  <c r="G5199" i="5" s="1"/>
  <c r="F5198" i="5"/>
  <c r="G5198" i="5" s="1"/>
  <c r="F5197" i="5"/>
  <c r="G5197" i="5" s="1"/>
  <c r="F5196" i="5"/>
  <c r="G5196" i="5" s="1"/>
  <c r="F5195" i="5"/>
  <c r="G5195" i="5" s="1"/>
  <c r="F5194" i="5"/>
  <c r="G5194" i="5" s="1"/>
  <c r="F5193" i="5"/>
  <c r="G5193" i="5" s="1"/>
  <c r="F5192" i="5"/>
  <c r="G5192" i="5" s="1"/>
  <c r="F5191" i="5"/>
  <c r="G5191" i="5" s="1"/>
  <c r="F5190" i="5"/>
  <c r="G5190" i="5" s="1"/>
  <c r="F5189" i="5"/>
  <c r="G5189" i="5" s="1"/>
  <c r="F5188" i="5"/>
  <c r="G5188" i="5" s="1"/>
  <c r="F5187" i="5"/>
  <c r="G5187" i="5" s="1"/>
  <c r="F5186" i="5"/>
  <c r="G5186" i="5" s="1"/>
  <c r="F5185" i="5"/>
  <c r="G5185" i="5" s="1"/>
  <c r="F5184" i="5"/>
  <c r="G5184" i="5" s="1"/>
  <c r="F5183" i="5"/>
  <c r="G5183" i="5" s="1"/>
  <c r="F5182" i="5"/>
  <c r="G5182" i="5" s="1"/>
  <c r="F5181" i="5"/>
  <c r="G5181" i="5" s="1"/>
  <c r="F5180" i="5"/>
  <c r="G5180" i="5" s="1"/>
  <c r="F5179" i="5"/>
  <c r="G5179" i="5" s="1"/>
  <c r="F5178" i="5"/>
  <c r="G5178" i="5" s="1"/>
  <c r="F5177" i="5"/>
  <c r="G5177" i="5" s="1"/>
  <c r="F5176" i="5"/>
  <c r="G5176" i="5" s="1"/>
  <c r="F5175" i="5"/>
  <c r="G5175" i="5" s="1"/>
  <c r="F5174" i="5"/>
  <c r="G5174" i="5" s="1"/>
  <c r="F5173" i="5"/>
  <c r="G5173" i="5" s="1"/>
  <c r="F5172" i="5"/>
  <c r="G5172" i="5" s="1"/>
  <c r="F5171" i="5"/>
  <c r="G5171" i="5" s="1"/>
  <c r="F5170" i="5"/>
  <c r="G5170" i="5" s="1"/>
  <c r="F5169" i="5"/>
  <c r="G5169" i="5" s="1"/>
  <c r="F5168" i="5"/>
  <c r="G5168" i="5" s="1"/>
  <c r="F5167" i="5"/>
  <c r="G5167" i="5" s="1"/>
  <c r="F5166" i="5"/>
  <c r="G5166" i="5" s="1"/>
  <c r="F5165" i="5"/>
  <c r="G5165" i="5" s="1"/>
  <c r="F5164" i="5"/>
  <c r="G5164" i="5" s="1"/>
  <c r="F5163" i="5"/>
  <c r="G5163" i="5" s="1"/>
  <c r="F5162" i="5"/>
  <c r="G5162" i="5" s="1"/>
  <c r="F5161" i="5"/>
  <c r="G5161" i="5" s="1"/>
  <c r="F5160" i="5"/>
  <c r="G5160" i="5" s="1"/>
  <c r="F5159" i="5"/>
  <c r="G5159" i="5" s="1"/>
  <c r="F5158" i="5"/>
  <c r="G5158" i="5" s="1"/>
  <c r="F5157" i="5"/>
  <c r="G5157" i="5" s="1"/>
  <c r="F5156" i="5"/>
  <c r="G5156" i="5" s="1"/>
  <c r="F5155" i="5"/>
  <c r="G5155" i="5" s="1"/>
  <c r="F5154" i="5"/>
  <c r="G5154" i="5" s="1"/>
  <c r="F5153" i="5"/>
  <c r="G5153" i="5" s="1"/>
  <c r="F5152" i="5"/>
  <c r="G5152" i="5" s="1"/>
  <c r="F5151" i="5"/>
  <c r="G5151" i="5" s="1"/>
  <c r="F5150" i="5"/>
  <c r="G5150" i="5" s="1"/>
  <c r="F5149" i="5"/>
  <c r="G5149" i="5" s="1"/>
  <c r="F5148" i="5"/>
  <c r="G5148" i="5" s="1"/>
  <c r="F5147" i="5"/>
  <c r="G5147" i="5" s="1"/>
  <c r="F5146" i="5"/>
  <c r="G5146" i="5" s="1"/>
  <c r="F5145" i="5"/>
  <c r="G5145" i="5" s="1"/>
  <c r="F5144" i="5"/>
  <c r="G5144" i="5" s="1"/>
  <c r="F5143" i="5"/>
  <c r="G5143" i="5" s="1"/>
  <c r="F5142" i="5"/>
  <c r="G5142" i="5" s="1"/>
  <c r="F5141" i="5"/>
  <c r="G5141" i="5" s="1"/>
  <c r="F5140" i="5"/>
  <c r="G5140" i="5" s="1"/>
  <c r="F5139" i="5"/>
  <c r="G5139" i="5" s="1"/>
  <c r="F5138" i="5"/>
  <c r="G5138" i="5" s="1"/>
  <c r="F5137" i="5"/>
  <c r="G5137" i="5" s="1"/>
  <c r="F5136" i="5"/>
  <c r="G5136" i="5" s="1"/>
  <c r="F5135" i="5"/>
  <c r="G5135" i="5" s="1"/>
  <c r="F5134" i="5"/>
  <c r="G5134" i="5" s="1"/>
  <c r="F5133" i="5"/>
  <c r="G5133" i="5" s="1"/>
  <c r="F5132" i="5"/>
  <c r="G5132" i="5" s="1"/>
  <c r="F5131" i="5"/>
  <c r="G5131" i="5" s="1"/>
  <c r="F5130" i="5"/>
  <c r="G5130" i="5" s="1"/>
  <c r="F5129" i="5"/>
  <c r="G5129" i="5" s="1"/>
  <c r="F5128" i="5"/>
  <c r="G5128" i="5" s="1"/>
  <c r="F5127" i="5"/>
  <c r="G5127" i="5" s="1"/>
  <c r="F5126" i="5"/>
  <c r="G5126" i="5" s="1"/>
  <c r="F5125" i="5"/>
  <c r="G5125" i="5" s="1"/>
  <c r="F5124" i="5"/>
  <c r="G5124" i="5" s="1"/>
  <c r="F5123" i="5"/>
  <c r="G5123" i="5" s="1"/>
  <c r="F5122" i="5"/>
  <c r="G5122" i="5" s="1"/>
  <c r="F5121" i="5"/>
  <c r="G5121" i="5" s="1"/>
  <c r="F5120" i="5"/>
  <c r="G5120" i="5" s="1"/>
  <c r="F5119" i="5"/>
  <c r="G5119" i="5" s="1"/>
  <c r="F5118" i="5"/>
  <c r="G5118" i="5" s="1"/>
  <c r="F5117" i="5"/>
  <c r="G5117" i="5" s="1"/>
  <c r="F5116" i="5"/>
  <c r="G5116" i="5" s="1"/>
  <c r="F5115" i="5"/>
  <c r="G5115" i="5" s="1"/>
  <c r="F5114" i="5"/>
  <c r="G5114" i="5" s="1"/>
  <c r="F5113" i="5"/>
  <c r="G5113" i="5" s="1"/>
  <c r="F5112" i="5"/>
  <c r="G5112" i="5" s="1"/>
  <c r="F5111" i="5"/>
  <c r="G5111" i="5" s="1"/>
  <c r="F5110" i="5"/>
  <c r="G5110" i="5" s="1"/>
  <c r="F5109" i="5"/>
  <c r="G5109" i="5" s="1"/>
  <c r="F5108" i="5"/>
  <c r="G5108" i="5" s="1"/>
  <c r="F5107" i="5"/>
  <c r="G5107" i="5" s="1"/>
  <c r="F5106" i="5"/>
  <c r="G5106" i="5" s="1"/>
  <c r="F5105" i="5"/>
  <c r="G5105" i="5" s="1"/>
  <c r="F5104" i="5"/>
  <c r="G5104" i="5" s="1"/>
  <c r="F5103" i="5"/>
  <c r="G5103" i="5" s="1"/>
  <c r="F5102" i="5"/>
  <c r="G5102" i="5" s="1"/>
  <c r="F5101" i="5"/>
  <c r="G5101" i="5" s="1"/>
  <c r="F5100" i="5"/>
  <c r="G5100" i="5" s="1"/>
  <c r="F5099" i="5"/>
  <c r="G5099" i="5" s="1"/>
  <c r="F5098" i="5"/>
  <c r="G5098" i="5" s="1"/>
  <c r="F5097" i="5"/>
  <c r="G5097" i="5" s="1"/>
  <c r="F5096" i="5"/>
  <c r="G5096" i="5" s="1"/>
  <c r="F5095" i="5"/>
  <c r="G5095" i="5" s="1"/>
  <c r="F5094" i="5"/>
  <c r="G5094" i="5" s="1"/>
  <c r="F5093" i="5"/>
  <c r="G5093" i="5" s="1"/>
  <c r="F5092" i="5"/>
  <c r="G5092" i="5" s="1"/>
  <c r="F5091" i="5"/>
  <c r="G5091" i="5" s="1"/>
  <c r="F5090" i="5"/>
  <c r="G5090" i="5" s="1"/>
  <c r="F5089" i="5"/>
  <c r="G5089" i="5" s="1"/>
  <c r="F5088" i="5"/>
  <c r="G5088" i="5" s="1"/>
  <c r="F5087" i="5"/>
  <c r="G5087" i="5" s="1"/>
  <c r="F5086" i="5"/>
  <c r="G5086" i="5" s="1"/>
  <c r="F5085" i="5"/>
  <c r="G5085" i="5" s="1"/>
  <c r="F5084" i="5"/>
  <c r="G5084" i="5" s="1"/>
  <c r="F5083" i="5"/>
  <c r="G5083" i="5" s="1"/>
  <c r="F5082" i="5"/>
  <c r="G5082" i="5" s="1"/>
  <c r="F5081" i="5"/>
  <c r="G5081" i="5" s="1"/>
  <c r="F5080" i="5"/>
  <c r="G5080" i="5" s="1"/>
  <c r="F5079" i="5"/>
  <c r="G5079" i="5" s="1"/>
  <c r="F5078" i="5"/>
  <c r="G5078" i="5" s="1"/>
  <c r="F5077" i="5"/>
  <c r="G5077" i="5" s="1"/>
  <c r="F5076" i="5"/>
  <c r="G5076" i="5" s="1"/>
  <c r="F5075" i="5"/>
  <c r="G5075" i="5" s="1"/>
  <c r="F5074" i="5"/>
  <c r="G5074" i="5" s="1"/>
  <c r="F5073" i="5"/>
  <c r="G5073" i="5" s="1"/>
  <c r="F5072" i="5"/>
  <c r="G5072" i="5" s="1"/>
  <c r="F5071" i="5"/>
  <c r="G5071" i="5" s="1"/>
  <c r="F5070" i="5"/>
  <c r="G5070" i="5" s="1"/>
  <c r="F5069" i="5"/>
  <c r="G5069" i="5" s="1"/>
  <c r="F5068" i="5"/>
  <c r="G5068" i="5" s="1"/>
  <c r="F5067" i="5"/>
  <c r="G5067" i="5" s="1"/>
  <c r="F5066" i="5"/>
  <c r="G5066" i="5" s="1"/>
  <c r="F5065" i="5"/>
  <c r="G5065" i="5" s="1"/>
  <c r="F5064" i="5"/>
  <c r="G5064" i="5" s="1"/>
  <c r="F5063" i="5"/>
  <c r="G5063" i="5" s="1"/>
  <c r="F5062" i="5"/>
  <c r="G5062" i="5" s="1"/>
  <c r="F5061" i="5"/>
  <c r="G5061" i="5" s="1"/>
  <c r="F5060" i="5"/>
  <c r="G5060" i="5" s="1"/>
  <c r="F5059" i="5"/>
  <c r="G5059" i="5" s="1"/>
  <c r="F5058" i="5"/>
  <c r="G5058" i="5" s="1"/>
  <c r="F5057" i="5"/>
  <c r="G5057" i="5" s="1"/>
  <c r="F5056" i="5"/>
  <c r="G5056" i="5" s="1"/>
  <c r="F5055" i="5"/>
  <c r="G5055" i="5" s="1"/>
  <c r="F5054" i="5"/>
  <c r="G5054" i="5" s="1"/>
  <c r="F5053" i="5"/>
  <c r="G5053" i="5" s="1"/>
  <c r="F5052" i="5"/>
  <c r="G5052" i="5" s="1"/>
  <c r="F5051" i="5"/>
  <c r="G5051" i="5" s="1"/>
  <c r="F5050" i="5"/>
  <c r="G5050" i="5" s="1"/>
  <c r="F5049" i="5"/>
  <c r="G5049" i="5" s="1"/>
  <c r="F5048" i="5"/>
  <c r="G5048" i="5" s="1"/>
  <c r="F5047" i="5"/>
  <c r="G5047" i="5" s="1"/>
  <c r="F5046" i="5"/>
  <c r="G5046" i="5" s="1"/>
  <c r="F5045" i="5"/>
  <c r="G5045" i="5" s="1"/>
  <c r="F5044" i="5"/>
  <c r="G5044" i="5" s="1"/>
  <c r="F5043" i="5"/>
  <c r="G5043" i="5" s="1"/>
  <c r="F5042" i="5"/>
  <c r="G5042" i="5" s="1"/>
  <c r="F5041" i="5"/>
  <c r="G5041" i="5" s="1"/>
  <c r="F5040" i="5"/>
  <c r="G5040" i="5" s="1"/>
  <c r="F5039" i="5"/>
  <c r="G5039" i="5" s="1"/>
  <c r="F5038" i="5"/>
  <c r="G5038" i="5" s="1"/>
  <c r="F5037" i="5"/>
  <c r="G5037" i="5" s="1"/>
  <c r="F5036" i="5"/>
  <c r="G5036" i="5" s="1"/>
  <c r="F5035" i="5"/>
  <c r="G5035" i="5" s="1"/>
  <c r="F5034" i="5"/>
  <c r="G5034" i="5" s="1"/>
  <c r="F5033" i="5"/>
  <c r="G5033" i="5" s="1"/>
  <c r="F5032" i="5"/>
  <c r="G5032" i="5" s="1"/>
  <c r="F5031" i="5"/>
  <c r="G5031" i="5" s="1"/>
  <c r="F5030" i="5"/>
  <c r="G5030" i="5" s="1"/>
  <c r="F5029" i="5"/>
  <c r="G5029" i="5" s="1"/>
  <c r="F5028" i="5"/>
  <c r="G5028" i="5" s="1"/>
  <c r="F5027" i="5"/>
  <c r="G5027" i="5" s="1"/>
  <c r="F5026" i="5"/>
  <c r="G5026" i="5" s="1"/>
  <c r="F5025" i="5"/>
  <c r="G5025" i="5" s="1"/>
  <c r="F5024" i="5"/>
  <c r="G5024" i="5" s="1"/>
  <c r="F5023" i="5"/>
  <c r="G5023" i="5" s="1"/>
  <c r="F5022" i="5"/>
  <c r="G5022" i="5" s="1"/>
  <c r="F5021" i="5"/>
  <c r="G5021" i="5" s="1"/>
  <c r="F5020" i="5"/>
  <c r="G5020" i="5" s="1"/>
  <c r="F5019" i="5"/>
  <c r="G5019" i="5" s="1"/>
  <c r="F5018" i="5"/>
  <c r="G5018" i="5" s="1"/>
  <c r="F5017" i="5"/>
  <c r="G5017" i="5" s="1"/>
  <c r="F5016" i="5"/>
  <c r="G5016" i="5" s="1"/>
  <c r="F5015" i="5"/>
  <c r="G5015" i="5" s="1"/>
  <c r="F5014" i="5"/>
  <c r="G5014" i="5" s="1"/>
  <c r="F5013" i="5"/>
  <c r="G5013" i="5" s="1"/>
  <c r="F5012" i="5"/>
  <c r="G5012" i="5" s="1"/>
  <c r="F5011" i="5"/>
  <c r="G5011" i="5" s="1"/>
  <c r="F5010" i="5"/>
  <c r="G5010" i="5" s="1"/>
  <c r="F5009" i="5"/>
  <c r="G5009" i="5" s="1"/>
  <c r="F5008" i="5"/>
  <c r="G5008" i="5" s="1"/>
  <c r="F5007" i="5"/>
  <c r="G5007" i="5" s="1"/>
  <c r="F5006" i="5"/>
  <c r="G5006" i="5" s="1"/>
  <c r="F5005" i="5"/>
  <c r="G5005" i="5" s="1"/>
  <c r="F5004" i="5"/>
  <c r="G5004" i="5" s="1"/>
  <c r="F5003" i="5"/>
  <c r="G5003" i="5" s="1"/>
  <c r="F5002" i="5"/>
  <c r="G5002" i="5" s="1"/>
  <c r="F5001" i="5"/>
  <c r="G5001" i="5" s="1"/>
  <c r="F5000" i="5"/>
  <c r="G5000" i="5" s="1"/>
  <c r="F4999" i="5"/>
  <c r="G4999" i="5" s="1"/>
  <c r="F4998" i="5"/>
  <c r="G4998" i="5" s="1"/>
  <c r="F4997" i="5"/>
  <c r="G4997" i="5" s="1"/>
  <c r="F4996" i="5"/>
  <c r="G4996" i="5" s="1"/>
  <c r="F4995" i="5"/>
  <c r="G4995" i="5" s="1"/>
  <c r="F4994" i="5"/>
  <c r="G4994" i="5" s="1"/>
  <c r="F4993" i="5"/>
  <c r="G4993" i="5" s="1"/>
  <c r="F4992" i="5"/>
  <c r="G4992" i="5" s="1"/>
  <c r="F4991" i="5"/>
  <c r="G4991" i="5" s="1"/>
  <c r="F4990" i="5"/>
  <c r="G4990" i="5" s="1"/>
  <c r="F4989" i="5"/>
  <c r="G4989" i="5" s="1"/>
  <c r="F4988" i="5"/>
  <c r="G4988" i="5" s="1"/>
  <c r="F4987" i="5"/>
  <c r="G4987" i="5" s="1"/>
  <c r="F4986" i="5"/>
  <c r="G4986" i="5" s="1"/>
  <c r="F4985" i="5"/>
  <c r="G4985" i="5" s="1"/>
  <c r="F4984" i="5"/>
  <c r="G4984" i="5" s="1"/>
  <c r="F4983" i="5"/>
  <c r="G4983" i="5" s="1"/>
  <c r="F4982" i="5"/>
  <c r="G4982" i="5" s="1"/>
  <c r="F4981" i="5"/>
  <c r="G4981" i="5" s="1"/>
  <c r="F4980" i="5"/>
  <c r="G4980" i="5" s="1"/>
  <c r="F4979" i="5"/>
  <c r="G4979" i="5" s="1"/>
  <c r="F4978" i="5"/>
  <c r="G4978" i="5" s="1"/>
  <c r="F4977" i="5"/>
  <c r="G4977" i="5" s="1"/>
  <c r="F4976" i="5"/>
  <c r="G4976" i="5" s="1"/>
  <c r="F4975" i="5"/>
  <c r="G4975" i="5" s="1"/>
  <c r="F4974" i="5"/>
  <c r="G4974" i="5" s="1"/>
  <c r="F4973" i="5"/>
  <c r="G4973" i="5" s="1"/>
  <c r="F4972" i="5"/>
  <c r="G4972" i="5" s="1"/>
  <c r="F4971" i="5"/>
  <c r="G4971" i="5" s="1"/>
  <c r="F4970" i="5"/>
  <c r="G4970" i="5" s="1"/>
  <c r="F4969" i="5"/>
  <c r="G4969" i="5" s="1"/>
  <c r="F4968" i="5"/>
  <c r="G4968" i="5" s="1"/>
  <c r="F4967" i="5"/>
  <c r="G4967" i="5" s="1"/>
  <c r="F4966" i="5"/>
  <c r="G4966" i="5" s="1"/>
  <c r="F4965" i="5"/>
  <c r="G4965" i="5" s="1"/>
  <c r="F4964" i="5"/>
  <c r="G4964" i="5" s="1"/>
  <c r="F4963" i="5"/>
  <c r="G4963" i="5" s="1"/>
  <c r="F4962" i="5"/>
  <c r="G4962" i="5" s="1"/>
  <c r="F4961" i="5"/>
  <c r="G4961" i="5" s="1"/>
  <c r="F4960" i="5"/>
  <c r="G4960" i="5" s="1"/>
  <c r="F4959" i="5"/>
  <c r="G4959" i="5" s="1"/>
  <c r="F4958" i="5"/>
  <c r="G4958" i="5" s="1"/>
  <c r="F4957" i="5"/>
  <c r="G4957" i="5" s="1"/>
  <c r="F4956" i="5"/>
  <c r="G4956" i="5" s="1"/>
  <c r="F4955" i="5"/>
  <c r="G4955" i="5" s="1"/>
  <c r="F4954" i="5"/>
  <c r="G4954" i="5" s="1"/>
  <c r="F4953" i="5"/>
  <c r="G4953" i="5" s="1"/>
  <c r="F4952" i="5"/>
  <c r="G4952" i="5" s="1"/>
  <c r="F4951" i="5"/>
  <c r="G4951" i="5" s="1"/>
  <c r="F4950" i="5"/>
  <c r="G4950" i="5" s="1"/>
  <c r="F4949" i="5"/>
  <c r="G4949" i="5" s="1"/>
  <c r="F4948" i="5"/>
  <c r="G4948" i="5" s="1"/>
  <c r="F4947" i="5"/>
  <c r="G4947" i="5" s="1"/>
  <c r="F4946" i="5"/>
  <c r="G4946" i="5" s="1"/>
  <c r="F4945" i="5"/>
  <c r="G4945" i="5" s="1"/>
  <c r="F4944" i="5"/>
  <c r="G4944" i="5" s="1"/>
  <c r="F4943" i="5"/>
  <c r="G4943" i="5" s="1"/>
  <c r="F4942" i="5"/>
  <c r="G4942" i="5" s="1"/>
  <c r="F4941" i="5"/>
  <c r="G4941" i="5" s="1"/>
  <c r="F4940" i="5"/>
  <c r="G4940" i="5" s="1"/>
  <c r="F4939" i="5"/>
  <c r="G4939" i="5" s="1"/>
  <c r="F4938" i="5"/>
  <c r="G4938" i="5" s="1"/>
  <c r="F4937" i="5"/>
  <c r="G4937" i="5" s="1"/>
  <c r="F4936" i="5"/>
  <c r="G4936" i="5" s="1"/>
  <c r="F4935" i="5"/>
  <c r="G4935" i="5" s="1"/>
  <c r="F4934" i="5"/>
  <c r="G4934" i="5" s="1"/>
  <c r="F4933" i="5"/>
  <c r="G4933" i="5" s="1"/>
  <c r="F4932" i="5"/>
  <c r="G4932" i="5" s="1"/>
  <c r="F4931" i="5"/>
  <c r="G4931" i="5" s="1"/>
  <c r="F4930" i="5"/>
  <c r="G4930" i="5" s="1"/>
  <c r="F4929" i="5"/>
  <c r="G4929" i="5" s="1"/>
  <c r="F4928" i="5"/>
  <c r="G4928" i="5" s="1"/>
  <c r="F4927" i="5"/>
  <c r="G4927" i="5" s="1"/>
  <c r="F4926" i="5"/>
  <c r="G4926" i="5" s="1"/>
  <c r="F4925" i="5"/>
  <c r="G4925" i="5" s="1"/>
  <c r="F4924" i="5"/>
  <c r="G4924" i="5" s="1"/>
  <c r="F4923" i="5"/>
  <c r="G4923" i="5" s="1"/>
  <c r="F4922" i="5"/>
  <c r="G4922" i="5" s="1"/>
  <c r="F4921" i="5"/>
  <c r="G4921" i="5" s="1"/>
  <c r="F4920" i="5"/>
  <c r="G4920" i="5" s="1"/>
  <c r="F4919" i="5"/>
  <c r="G4919" i="5" s="1"/>
  <c r="F4918" i="5"/>
  <c r="G4918" i="5" s="1"/>
  <c r="F4917" i="5"/>
  <c r="G4917" i="5" s="1"/>
  <c r="F4916" i="5"/>
  <c r="G4916" i="5" s="1"/>
  <c r="F4915" i="5"/>
  <c r="G4915" i="5" s="1"/>
  <c r="F4914" i="5"/>
  <c r="G4914" i="5" s="1"/>
  <c r="F4913" i="5"/>
  <c r="G4913" i="5" s="1"/>
  <c r="F4912" i="5"/>
  <c r="G4912" i="5" s="1"/>
  <c r="F4911" i="5"/>
  <c r="G4911" i="5" s="1"/>
  <c r="F4910" i="5"/>
  <c r="G4910" i="5" s="1"/>
  <c r="F4909" i="5"/>
  <c r="G4909" i="5" s="1"/>
  <c r="F4908" i="5"/>
  <c r="G4908" i="5" s="1"/>
  <c r="F4907" i="5"/>
  <c r="G4907" i="5" s="1"/>
  <c r="F4906" i="5"/>
  <c r="G4906" i="5" s="1"/>
  <c r="F4905" i="5"/>
  <c r="G4905" i="5" s="1"/>
  <c r="F4904" i="5"/>
  <c r="G4904" i="5" s="1"/>
  <c r="F4903" i="5"/>
  <c r="G4903" i="5" s="1"/>
  <c r="F4902" i="5"/>
  <c r="G4902" i="5" s="1"/>
  <c r="F4901" i="5"/>
  <c r="G4901" i="5" s="1"/>
  <c r="F4900" i="5"/>
  <c r="G4900" i="5" s="1"/>
  <c r="F4899" i="5"/>
  <c r="G4899" i="5" s="1"/>
  <c r="F4898" i="5"/>
  <c r="G4898" i="5" s="1"/>
  <c r="F4897" i="5"/>
  <c r="G4897" i="5" s="1"/>
  <c r="F4896" i="5"/>
  <c r="G4896" i="5" s="1"/>
  <c r="F4895" i="5"/>
  <c r="G4895" i="5" s="1"/>
  <c r="F4894" i="5"/>
  <c r="G4894" i="5" s="1"/>
  <c r="F4893" i="5"/>
  <c r="G4893" i="5" s="1"/>
  <c r="F4892" i="5"/>
  <c r="G4892" i="5" s="1"/>
  <c r="F4891" i="5"/>
  <c r="G4891" i="5" s="1"/>
  <c r="F4890" i="5"/>
  <c r="G4890" i="5" s="1"/>
  <c r="F4889" i="5"/>
  <c r="G4889" i="5" s="1"/>
  <c r="F4888" i="5"/>
  <c r="G4888" i="5" s="1"/>
  <c r="F4887" i="5"/>
  <c r="G4887" i="5" s="1"/>
  <c r="F4886" i="5"/>
  <c r="G4886" i="5" s="1"/>
  <c r="F4885" i="5"/>
  <c r="G4885" i="5" s="1"/>
  <c r="F4884" i="5"/>
  <c r="G4884" i="5" s="1"/>
  <c r="F4883" i="5"/>
  <c r="G4883" i="5" s="1"/>
  <c r="F4882" i="5"/>
  <c r="G4882" i="5" s="1"/>
  <c r="F4881" i="5"/>
  <c r="G4881" i="5" s="1"/>
  <c r="F4880" i="5"/>
  <c r="G4880" i="5" s="1"/>
  <c r="F4879" i="5"/>
  <c r="G4879" i="5" s="1"/>
  <c r="F4878" i="5"/>
  <c r="G4878" i="5" s="1"/>
  <c r="F4877" i="5"/>
  <c r="G4877" i="5" s="1"/>
  <c r="F4876" i="5"/>
  <c r="G4876" i="5" s="1"/>
  <c r="F4875" i="5"/>
  <c r="G4875" i="5" s="1"/>
  <c r="F4874" i="5"/>
  <c r="G4874" i="5" s="1"/>
  <c r="F4873" i="5"/>
  <c r="G4873" i="5" s="1"/>
  <c r="F4872" i="5"/>
  <c r="G4872" i="5" s="1"/>
  <c r="F4871" i="5"/>
  <c r="G4871" i="5" s="1"/>
  <c r="F4870" i="5"/>
  <c r="G4870" i="5" s="1"/>
  <c r="F4869" i="5"/>
  <c r="G4869" i="5" s="1"/>
  <c r="F4868" i="5"/>
  <c r="G4868" i="5" s="1"/>
  <c r="F4867" i="5"/>
  <c r="G4867" i="5" s="1"/>
  <c r="F4866" i="5"/>
  <c r="G4866" i="5" s="1"/>
  <c r="F4865" i="5"/>
  <c r="G4865" i="5" s="1"/>
  <c r="F4864" i="5"/>
  <c r="G4864" i="5" s="1"/>
  <c r="F4863" i="5"/>
  <c r="G4863" i="5" s="1"/>
  <c r="F4862" i="5"/>
  <c r="G4862" i="5" s="1"/>
  <c r="F4861" i="5"/>
  <c r="G4861" i="5" s="1"/>
  <c r="F4860" i="5"/>
  <c r="G4860" i="5" s="1"/>
  <c r="F4859" i="5"/>
  <c r="G4859" i="5" s="1"/>
  <c r="F4858" i="5"/>
  <c r="G4858" i="5" s="1"/>
  <c r="F4857" i="5"/>
  <c r="G4857" i="5" s="1"/>
  <c r="F4856" i="5"/>
  <c r="G4856" i="5" s="1"/>
  <c r="F4855" i="5"/>
  <c r="G4855" i="5" s="1"/>
  <c r="F4854" i="5"/>
  <c r="G4854" i="5" s="1"/>
  <c r="F4853" i="5"/>
  <c r="G4853" i="5" s="1"/>
  <c r="F4852" i="5"/>
  <c r="G4852" i="5" s="1"/>
  <c r="F4851" i="5"/>
  <c r="G4851" i="5" s="1"/>
  <c r="F4850" i="5"/>
  <c r="G4850" i="5" s="1"/>
  <c r="F4849" i="5"/>
  <c r="G4849" i="5" s="1"/>
  <c r="F4848" i="5"/>
  <c r="G4848" i="5" s="1"/>
  <c r="F4847" i="5"/>
  <c r="G4847" i="5" s="1"/>
  <c r="F4846" i="5"/>
  <c r="G4846" i="5" s="1"/>
  <c r="F4845" i="5"/>
  <c r="G4845" i="5" s="1"/>
  <c r="F4844" i="5"/>
  <c r="G4844" i="5" s="1"/>
  <c r="F4843" i="5"/>
  <c r="G4843" i="5" s="1"/>
  <c r="F4842" i="5"/>
  <c r="G4842" i="5" s="1"/>
  <c r="F4841" i="5"/>
  <c r="G4841" i="5" s="1"/>
  <c r="F4840" i="5"/>
  <c r="G4840" i="5" s="1"/>
  <c r="F4839" i="5"/>
  <c r="G4839" i="5" s="1"/>
  <c r="F4838" i="5"/>
  <c r="G4838" i="5" s="1"/>
  <c r="F4837" i="5"/>
  <c r="G4837" i="5" s="1"/>
  <c r="F4836" i="5"/>
  <c r="G4836" i="5" s="1"/>
  <c r="F4835" i="5"/>
  <c r="G4835" i="5" s="1"/>
  <c r="F4834" i="5"/>
  <c r="G4834" i="5" s="1"/>
  <c r="F4833" i="5"/>
  <c r="G4833" i="5" s="1"/>
  <c r="F4832" i="5"/>
  <c r="G4832" i="5" s="1"/>
  <c r="F4831" i="5"/>
  <c r="G4831" i="5" s="1"/>
  <c r="F4830" i="5"/>
  <c r="G4830" i="5" s="1"/>
  <c r="F4829" i="5"/>
  <c r="G4829" i="5" s="1"/>
  <c r="F4828" i="5"/>
  <c r="G4828" i="5" s="1"/>
  <c r="F4827" i="5"/>
  <c r="G4827" i="5" s="1"/>
  <c r="F4826" i="5"/>
  <c r="G4826" i="5" s="1"/>
  <c r="F4825" i="5"/>
  <c r="G4825" i="5" s="1"/>
  <c r="F4824" i="5"/>
  <c r="G4824" i="5" s="1"/>
  <c r="F4823" i="5"/>
  <c r="G4823" i="5" s="1"/>
  <c r="F4822" i="5"/>
  <c r="G4822" i="5" s="1"/>
  <c r="F4821" i="5"/>
  <c r="G4821" i="5" s="1"/>
  <c r="F4820" i="5"/>
  <c r="G4820" i="5" s="1"/>
  <c r="F4819" i="5"/>
  <c r="G4819" i="5" s="1"/>
  <c r="F4818" i="5"/>
  <c r="G4818" i="5" s="1"/>
  <c r="F4817" i="5"/>
  <c r="G4817" i="5" s="1"/>
  <c r="F4816" i="5"/>
  <c r="G4816" i="5" s="1"/>
  <c r="F4815" i="5"/>
  <c r="G4815" i="5" s="1"/>
  <c r="F4814" i="5"/>
  <c r="G4814" i="5" s="1"/>
  <c r="F4813" i="5"/>
  <c r="G4813" i="5" s="1"/>
  <c r="F4812" i="5"/>
  <c r="G4812" i="5" s="1"/>
  <c r="F4811" i="5"/>
  <c r="G4811" i="5" s="1"/>
  <c r="F4810" i="5"/>
  <c r="G4810" i="5" s="1"/>
  <c r="F4809" i="5"/>
  <c r="G4809" i="5" s="1"/>
  <c r="F4808" i="5"/>
  <c r="G4808" i="5" s="1"/>
  <c r="F4807" i="5"/>
  <c r="G4807" i="5" s="1"/>
  <c r="F4806" i="5"/>
  <c r="G4806" i="5" s="1"/>
  <c r="F4805" i="5"/>
  <c r="G4805" i="5" s="1"/>
  <c r="F4804" i="5"/>
  <c r="G4804" i="5" s="1"/>
  <c r="F4803" i="5"/>
  <c r="G4803" i="5" s="1"/>
  <c r="F4802" i="5"/>
  <c r="G4802" i="5" s="1"/>
  <c r="F4801" i="5"/>
  <c r="G4801" i="5" s="1"/>
  <c r="F4800" i="5"/>
  <c r="G4800" i="5" s="1"/>
  <c r="F4799" i="5"/>
  <c r="G4799" i="5" s="1"/>
  <c r="F4798" i="5"/>
  <c r="G4798" i="5" s="1"/>
  <c r="F4797" i="5"/>
  <c r="G4797" i="5" s="1"/>
  <c r="F4796" i="5"/>
  <c r="G4796" i="5" s="1"/>
  <c r="F4795" i="5"/>
  <c r="G4795" i="5" s="1"/>
  <c r="F4794" i="5"/>
  <c r="G4794" i="5" s="1"/>
  <c r="F4793" i="5"/>
  <c r="G4793" i="5" s="1"/>
  <c r="F4792" i="5"/>
  <c r="G4792" i="5" s="1"/>
  <c r="F4791" i="5"/>
  <c r="G4791" i="5" s="1"/>
  <c r="F4790" i="5"/>
  <c r="G4790" i="5" s="1"/>
  <c r="F4789" i="5"/>
  <c r="G4789" i="5" s="1"/>
  <c r="F4788" i="5"/>
  <c r="G4788" i="5" s="1"/>
  <c r="F4787" i="5"/>
  <c r="G4787" i="5" s="1"/>
  <c r="F4786" i="5"/>
  <c r="G4786" i="5" s="1"/>
  <c r="F4785" i="5"/>
  <c r="G4785" i="5" s="1"/>
  <c r="F4784" i="5"/>
  <c r="G4784" i="5" s="1"/>
  <c r="F4783" i="5"/>
  <c r="G4783" i="5" s="1"/>
  <c r="F4782" i="5"/>
  <c r="G4782" i="5" s="1"/>
  <c r="F4781" i="5"/>
  <c r="G4781" i="5" s="1"/>
  <c r="F4780" i="5"/>
  <c r="G4780" i="5" s="1"/>
  <c r="F4779" i="5"/>
  <c r="G4779" i="5" s="1"/>
  <c r="F4778" i="5"/>
  <c r="G4778" i="5" s="1"/>
  <c r="F4777" i="5"/>
  <c r="G4777" i="5" s="1"/>
  <c r="F4776" i="5"/>
  <c r="G4776" i="5" s="1"/>
  <c r="F4775" i="5"/>
  <c r="G4775" i="5" s="1"/>
  <c r="F4774" i="5"/>
  <c r="G4774" i="5" s="1"/>
  <c r="F4773" i="5"/>
  <c r="G4773" i="5" s="1"/>
  <c r="F4772" i="5"/>
  <c r="G4772" i="5" s="1"/>
  <c r="F4771" i="5"/>
  <c r="G4771" i="5" s="1"/>
  <c r="F4770" i="5"/>
  <c r="G4770" i="5" s="1"/>
  <c r="F4769" i="5"/>
  <c r="G4769" i="5" s="1"/>
  <c r="F4768" i="5"/>
  <c r="G4768" i="5" s="1"/>
  <c r="F4767" i="5"/>
  <c r="G4767" i="5" s="1"/>
  <c r="F4766" i="5"/>
  <c r="G4766" i="5" s="1"/>
  <c r="F4765" i="5"/>
  <c r="G4765" i="5" s="1"/>
  <c r="F4764" i="5"/>
  <c r="G4764" i="5" s="1"/>
  <c r="F4763" i="5"/>
  <c r="G4763" i="5" s="1"/>
  <c r="F4762" i="5"/>
  <c r="G4762" i="5" s="1"/>
  <c r="F4761" i="5"/>
  <c r="G4761" i="5" s="1"/>
  <c r="F4760" i="5"/>
  <c r="G4760" i="5" s="1"/>
  <c r="F4759" i="5"/>
  <c r="G4759" i="5" s="1"/>
  <c r="F4758" i="5"/>
  <c r="G4758" i="5" s="1"/>
  <c r="F4757" i="5"/>
  <c r="G4757" i="5" s="1"/>
  <c r="F4756" i="5"/>
  <c r="G4756" i="5" s="1"/>
  <c r="F4755" i="5"/>
  <c r="G4755" i="5" s="1"/>
  <c r="F4754" i="5"/>
  <c r="G4754" i="5" s="1"/>
  <c r="F4753" i="5"/>
  <c r="G4753" i="5" s="1"/>
  <c r="F4752" i="5"/>
  <c r="G4752" i="5" s="1"/>
  <c r="F4751" i="5"/>
  <c r="G4751" i="5" s="1"/>
  <c r="F4750" i="5"/>
  <c r="G4750" i="5" s="1"/>
  <c r="F4749" i="5"/>
  <c r="G4749" i="5" s="1"/>
  <c r="F4748" i="5"/>
  <c r="G4748" i="5" s="1"/>
  <c r="F4747" i="5"/>
  <c r="G4747" i="5" s="1"/>
  <c r="F4746" i="5"/>
  <c r="G4746" i="5" s="1"/>
  <c r="F4745" i="5"/>
  <c r="G4745" i="5" s="1"/>
  <c r="F4744" i="5"/>
  <c r="G4744" i="5" s="1"/>
  <c r="F4743" i="5"/>
  <c r="G4743" i="5" s="1"/>
  <c r="F4742" i="5"/>
  <c r="G4742" i="5" s="1"/>
  <c r="F4741" i="5"/>
  <c r="G4741" i="5" s="1"/>
  <c r="F4740" i="5"/>
  <c r="G4740" i="5" s="1"/>
  <c r="F4739" i="5"/>
  <c r="G4739" i="5" s="1"/>
  <c r="F4738" i="5"/>
  <c r="G4738" i="5" s="1"/>
  <c r="F4737" i="5"/>
  <c r="G4737" i="5" s="1"/>
  <c r="F4736" i="5"/>
  <c r="G4736" i="5" s="1"/>
  <c r="F4735" i="5"/>
  <c r="G4735" i="5" s="1"/>
  <c r="F4734" i="5"/>
  <c r="G4734" i="5" s="1"/>
  <c r="F4733" i="5"/>
  <c r="G4733" i="5" s="1"/>
  <c r="F4732" i="5"/>
  <c r="G4732" i="5" s="1"/>
  <c r="F4731" i="5"/>
  <c r="G4731" i="5" s="1"/>
  <c r="F4730" i="5"/>
  <c r="G4730" i="5" s="1"/>
  <c r="F4729" i="5"/>
  <c r="G4729" i="5" s="1"/>
  <c r="F4728" i="5"/>
  <c r="G4728" i="5" s="1"/>
  <c r="F4727" i="5"/>
  <c r="G4727" i="5" s="1"/>
  <c r="F4726" i="5"/>
  <c r="G4726" i="5" s="1"/>
  <c r="F4725" i="5"/>
  <c r="G4725" i="5" s="1"/>
  <c r="F4724" i="5"/>
  <c r="G4724" i="5" s="1"/>
  <c r="F4723" i="5"/>
  <c r="G4723" i="5" s="1"/>
  <c r="F4722" i="5"/>
  <c r="G4722" i="5" s="1"/>
  <c r="F4721" i="5"/>
  <c r="G4721" i="5" s="1"/>
  <c r="F4720" i="5"/>
  <c r="G4720" i="5" s="1"/>
  <c r="F4719" i="5"/>
  <c r="G4719" i="5" s="1"/>
  <c r="F4718" i="5"/>
  <c r="G4718" i="5" s="1"/>
  <c r="F4717" i="5"/>
  <c r="G4717" i="5" s="1"/>
  <c r="F4716" i="5"/>
  <c r="G4716" i="5" s="1"/>
  <c r="F4715" i="5"/>
  <c r="G4715" i="5" s="1"/>
  <c r="F4714" i="5"/>
  <c r="G4714" i="5" s="1"/>
  <c r="F4713" i="5"/>
  <c r="G4713" i="5" s="1"/>
  <c r="F4712" i="5"/>
  <c r="G4712" i="5" s="1"/>
  <c r="F4711" i="5"/>
  <c r="G4711" i="5" s="1"/>
  <c r="F4710" i="5"/>
  <c r="G4710" i="5" s="1"/>
  <c r="F4709" i="5"/>
  <c r="G4709" i="5" s="1"/>
  <c r="F4708" i="5"/>
  <c r="G4708" i="5" s="1"/>
  <c r="F4707" i="5"/>
  <c r="G4707" i="5" s="1"/>
  <c r="F4706" i="5"/>
  <c r="G4706" i="5" s="1"/>
  <c r="F4705" i="5"/>
  <c r="G4705" i="5" s="1"/>
  <c r="F4704" i="5"/>
  <c r="G4704" i="5" s="1"/>
  <c r="F4703" i="5"/>
  <c r="G4703" i="5" s="1"/>
  <c r="F4702" i="5"/>
  <c r="G4702" i="5" s="1"/>
  <c r="F4701" i="5"/>
  <c r="G4701" i="5" s="1"/>
  <c r="F4700" i="5"/>
  <c r="G4700" i="5" s="1"/>
  <c r="F4699" i="5"/>
  <c r="G4699" i="5" s="1"/>
  <c r="F4698" i="5"/>
  <c r="G4698" i="5" s="1"/>
  <c r="F4697" i="5"/>
  <c r="G4697" i="5" s="1"/>
  <c r="F4696" i="5"/>
  <c r="G4696" i="5" s="1"/>
  <c r="F4695" i="5"/>
  <c r="G4695" i="5" s="1"/>
  <c r="F4694" i="5"/>
  <c r="G4694" i="5" s="1"/>
  <c r="F4693" i="5"/>
  <c r="G4693" i="5" s="1"/>
  <c r="F4692" i="5"/>
  <c r="G4692" i="5" s="1"/>
  <c r="F4691" i="5"/>
  <c r="G4691" i="5" s="1"/>
  <c r="F4690" i="5"/>
  <c r="G4690" i="5" s="1"/>
  <c r="F4689" i="5"/>
  <c r="G4689" i="5" s="1"/>
  <c r="F4688" i="5"/>
  <c r="G4688" i="5" s="1"/>
  <c r="F4687" i="5"/>
  <c r="G4687" i="5" s="1"/>
  <c r="F4686" i="5"/>
  <c r="G4686" i="5" s="1"/>
  <c r="F4685" i="5"/>
  <c r="G4685" i="5" s="1"/>
  <c r="F4684" i="5"/>
  <c r="G4684" i="5" s="1"/>
  <c r="F4683" i="5"/>
  <c r="G4683" i="5" s="1"/>
  <c r="F4682" i="5"/>
  <c r="G4682" i="5" s="1"/>
  <c r="F4681" i="5"/>
  <c r="G4681" i="5" s="1"/>
  <c r="F4680" i="5"/>
  <c r="G4680" i="5" s="1"/>
  <c r="F4679" i="5"/>
  <c r="G4679" i="5" s="1"/>
  <c r="F4678" i="5"/>
  <c r="G4678" i="5" s="1"/>
  <c r="F4677" i="5"/>
  <c r="G4677" i="5" s="1"/>
  <c r="F4676" i="5"/>
  <c r="G4676" i="5" s="1"/>
  <c r="F4675" i="5"/>
  <c r="G4675" i="5" s="1"/>
  <c r="F4674" i="5"/>
  <c r="G4674" i="5" s="1"/>
  <c r="F4673" i="5"/>
  <c r="G4673" i="5" s="1"/>
  <c r="F4672" i="5"/>
  <c r="G4672" i="5" s="1"/>
  <c r="F4671" i="5"/>
  <c r="G4671" i="5" s="1"/>
  <c r="F4670" i="5"/>
  <c r="G4670" i="5" s="1"/>
  <c r="F4669" i="5"/>
  <c r="G4669" i="5" s="1"/>
  <c r="F4668" i="5"/>
  <c r="G4668" i="5" s="1"/>
  <c r="F4667" i="5"/>
  <c r="G4667" i="5" s="1"/>
  <c r="F4666" i="5"/>
  <c r="G4666" i="5" s="1"/>
  <c r="F4665" i="5"/>
  <c r="G4665" i="5" s="1"/>
  <c r="F4664" i="5"/>
  <c r="G4664" i="5" s="1"/>
  <c r="F4663" i="5"/>
  <c r="G4663" i="5" s="1"/>
  <c r="F4662" i="5"/>
  <c r="G4662" i="5" s="1"/>
  <c r="F4661" i="5"/>
  <c r="G4661" i="5" s="1"/>
  <c r="F4660" i="5"/>
  <c r="G4660" i="5" s="1"/>
  <c r="F4659" i="5"/>
  <c r="G4659" i="5" s="1"/>
  <c r="F4658" i="5"/>
  <c r="G4658" i="5" s="1"/>
  <c r="F4657" i="5"/>
  <c r="G4657" i="5" s="1"/>
  <c r="F4656" i="5"/>
  <c r="G4656" i="5" s="1"/>
  <c r="F4655" i="5"/>
  <c r="G4655" i="5" s="1"/>
  <c r="F4654" i="5"/>
  <c r="G4654" i="5" s="1"/>
  <c r="F4653" i="5"/>
  <c r="G4653" i="5" s="1"/>
  <c r="F4652" i="5"/>
  <c r="G4652" i="5" s="1"/>
  <c r="F4651" i="5"/>
  <c r="G4651" i="5" s="1"/>
  <c r="F4650" i="5"/>
  <c r="G4650" i="5" s="1"/>
  <c r="F4649" i="5"/>
  <c r="G4649" i="5" s="1"/>
  <c r="F4648" i="5"/>
  <c r="G4648" i="5" s="1"/>
  <c r="F4647" i="5"/>
  <c r="G4647" i="5" s="1"/>
  <c r="F4646" i="5"/>
  <c r="G4646" i="5" s="1"/>
  <c r="F4645" i="5"/>
  <c r="G4645" i="5" s="1"/>
  <c r="F4644" i="5"/>
  <c r="G4644" i="5" s="1"/>
  <c r="F4643" i="5"/>
  <c r="G4643" i="5" s="1"/>
  <c r="F4642" i="5"/>
  <c r="G4642" i="5" s="1"/>
  <c r="F4641" i="5"/>
  <c r="G4641" i="5" s="1"/>
  <c r="F4640" i="5"/>
  <c r="G4640" i="5" s="1"/>
  <c r="F4639" i="5"/>
  <c r="G4639" i="5" s="1"/>
  <c r="F4638" i="5"/>
  <c r="G4638" i="5" s="1"/>
  <c r="F4637" i="5"/>
  <c r="G4637" i="5" s="1"/>
  <c r="F4636" i="5"/>
  <c r="G4636" i="5" s="1"/>
  <c r="F4635" i="5"/>
  <c r="G4635" i="5" s="1"/>
  <c r="F4634" i="5"/>
  <c r="G4634" i="5" s="1"/>
  <c r="F4633" i="5"/>
  <c r="G4633" i="5" s="1"/>
  <c r="F4632" i="5"/>
  <c r="G4632" i="5" s="1"/>
  <c r="F4631" i="5"/>
  <c r="G4631" i="5" s="1"/>
  <c r="F4630" i="5"/>
  <c r="G4630" i="5" s="1"/>
  <c r="F4629" i="5"/>
  <c r="G4629" i="5" s="1"/>
  <c r="F4628" i="5"/>
  <c r="G4628" i="5" s="1"/>
  <c r="F4627" i="5"/>
  <c r="G4627" i="5" s="1"/>
  <c r="F4626" i="5"/>
  <c r="G4626" i="5" s="1"/>
  <c r="F4625" i="5"/>
  <c r="G4625" i="5" s="1"/>
  <c r="F4624" i="5"/>
  <c r="G4624" i="5" s="1"/>
  <c r="F4623" i="5"/>
  <c r="G4623" i="5" s="1"/>
  <c r="F4622" i="5"/>
  <c r="G4622" i="5" s="1"/>
  <c r="F4621" i="5"/>
  <c r="G4621" i="5" s="1"/>
  <c r="F4620" i="5"/>
  <c r="G4620" i="5" s="1"/>
  <c r="F4619" i="5"/>
  <c r="G4619" i="5" s="1"/>
  <c r="F4618" i="5"/>
  <c r="G4618" i="5" s="1"/>
  <c r="F4617" i="5"/>
  <c r="G4617" i="5" s="1"/>
  <c r="F4616" i="5"/>
  <c r="G4616" i="5" s="1"/>
  <c r="F4615" i="5"/>
  <c r="G4615" i="5" s="1"/>
  <c r="F4614" i="5"/>
  <c r="G4614" i="5" s="1"/>
  <c r="F4613" i="5"/>
  <c r="G4613" i="5" s="1"/>
  <c r="F4612" i="5"/>
  <c r="G4612" i="5" s="1"/>
  <c r="F4611" i="5"/>
  <c r="G4611" i="5" s="1"/>
  <c r="F4610" i="5"/>
  <c r="G4610" i="5" s="1"/>
  <c r="F4609" i="5"/>
  <c r="G4609" i="5" s="1"/>
  <c r="F4608" i="5"/>
  <c r="G4608" i="5" s="1"/>
  <c r="F4607" i="5"/>
  <c r="G4607" i="5" s="1"/>
  <c r="F4606" i="5"/>
  <c r="G4606" i="5" s="1"/>
  <c r="F4605" i="5"/>
  <c r="G4605" i="5" s="1"/>
  <c r="F4604" i="5"/>
  <c r="G4604" i="5" s="1"/>
  <c r="F4603" i="5"/>
  <c r="G4603" i="5" s="1"/>
  <c r="F4602" i="5"/>
  <c r="G4602" i="5" s="1"/>
  <c r="F4601" i="5"/>
  <c r="G4601" i="5" s="1"/>
  <c r="F4600" i="5"/>
  <c r="G4600" i="5" s="1"/>
  <c r="F4599" i="5"/>
  <c r="G4599" i="5" s="1"/>
  <c r="F4598" i="5"/>
  <c r="G4598" i="5" s="1"/>
  <c r="F4597" i="5"/>
  <c r="G4597" i="5" s="1"/>
  <c r="F4596" i="5"/>
  <c r="G4596" i="5" s="1"/>
  <c r="F4595" i="5"/>
  <c r="G4595" i="5" s="1"/>
  <c r="F4594" i="5"/>
  <c r="G4594" i="5" s="1"/>
  <c r="F4593" i="5"/>
  <c r="G4593" i="5" s="1"/>
  <c r="F4592" i="5"/>
  <c r="G4592" i="5" s="1"/>
  <c r="F4591" i="5"/>
  <c r="G4591" i="5" s="1"/>
  <c r="F4590" i="5"/>
  <c r="G4590" i="5" s="1"/>
  <c r="F4589" i="5"/>
  <c r="G4589" i="5" s="1"/>
  <c r="F4588" i="5"/>
  <c r="G4588" i="5" s="1"/>
  <c r="F4587" i="5"/>
  <c r="G4587" i="5" s="1"/>
  <c r="F4586" i="5"/>
  <c r="G4586" i="5" s="1"/>
  <c r="F4585" i="5"/>
  <c r="G4585" i="5" s="1"/>
  <c r="F4584" i="5"/>
  <c r="G4584" i="5" s="1"/>
  <c r="F4583" i="5"/>
  <c r="G4583" i="5" s="1"/>
  <c r="F4582" i="5"/>
  <c r="G4582" i="5" s="1"/>
  <c r="F4581" i="5"/>
  <c r="G4581" i="5" s="1"/>
  <c r="F4580" i="5"/>
  <c r="G4580" i="5" s="1"/>
  <c r="F4579" i="5"/>
  <c r="G4579" i="5" s="1"/>
  <c r="F4578" i="5"/>
  <c r="G4578" i="5" s="1"/>
  <c r="F4577" i="5"/>
  <c r="G4577" i="5" s="1"/>
  <c r="F4576" i="5"/>
  <c r="G4576" i="5" s="1"/>
  <c r="F4575" i="5"/>
  <c r="G4575" i="5" s="1"/>
  <c r="F4574" i="5"/>
  <c r="G4574" i="5" s="1"/>
  <c r="F4573" i="5"/>
  <c r="G4573" i="5" s="1"/>
  <c r="F4572" i="5"/>
  <c r="G4572" i="5" s="1"/>
  <c r="F4571" i="5"/>
  <c r="G4571" i="5" s="1"/>
  <c r="F4570" i="5"/>
  <c r="G4570" i="5" s="1"/>
  <c r="F4569" i="5"/>
  <c r="G4569" i="5" s="1"/>
  <c r="F4568" i="5"/>
  <c r="G4568" i="5" s="1"/>
  <c r="F4567" i="5"/>
  <c r="G4567" i="5" s="1"/>
  <c r="F4566" i="5"/>
  <c r="G4566" i="5" s="1"/>
  <c r="F4565" i="5"/>
  <c r="G4565" i="5" s="1"/>
  <c r="F4564" i="5"/>
  <c r="G4564" i="5" s="1"/>
  <c r="F4563" i="5"/>
  <c r="G4563" i="5" s="1"/>
  <c r="F4562" i="5"/>
  <c r="G4562" i="5" s="1"/>
  <c r="F4561" i="5"/>
  <c r="G4561" i="5" s="1"/>
  <c r="F4560" i="5"/>
  <c r="G4560" i="5" s="1"/>
  <c r="F4559" i="5"/>
  <c r="G4559" i="5" s="1"/>
  <c r="F4558" i="5"/>
  <c r="G4558" i="5" s="1"/>
  <c r="F4557" i="5"/>
  <c r="G4557" i="5" s="1"/>
  <c r="F4556" i="5"/>
  <c r="G4556" i="5" s="1"/>
  <c r="F4555" i="5"/>
  <c r="G4555" i="5" s="1"/>
  <c r="F4554" i="5"/>
  <c r="G4554" i="5" s="1"/>
  <c r="F4553" i="5"/>
  <c r="G4553" i="5" s="1"/>
  <c r="F4552" i="5"/>
  <c r="G4552" i="5" s="1"/>
  <c r="F4551" i="5"/>
  <c r="G4551" i="5" s="1"/>
  <c r="F4550" i="5"/>
  <c r="G4550" i="5" s="1"/>
  <c r="F4549" i="5"/>
  <c r="G4549" i="5" s="1"/>
  <c r="F4548" i="5"/>
  <c r="G4548" i="5" s="1"/>
  <c r="F4547" i="5"/>
  <c r="G4547" i="5" s="1"/>
  <c r="F4546" i="5"/>
  <c r="G4546" i="5" s="1"/>
  <c r="F4545" i="5"/>
  <c r="G4545" i="5" s="1"/>
  <c r="F4544" i="5"/>
  <c r="G4544" i="5" s="1"/>
  <c r="F4543" i="5"/>
  <c r="G4543" i="5" s="1"/>
  <c r="F4542" i="5"/>
  <c r="G4542" i="5" s="1"/>
  <c r="F4541" i="5"/>
  <c r="G4541" i="5" s="1"/>
  <c r="F4540" i="5"/>
  <c r="G4540" i="5" s="1"/>
  <c r="F4539" i="5"/>
  <c r="G4539" i="5" s="1"/>
  <c r="F4538" i="5"/>
  <c r="G4538" i="5" s="1"/>
  <c r="F4537" i="5"/>
  <c r="G4537" i="5" s="1"/>
  <c r="F4536" i="5"/>
  <c r="G4536" i="5" s="1"/>
  <c r="F4535" i="5"/>
  <c r="G4535" i="5" s="1"/>
  <c r="F4534" i="5"/>
  <c r="G4534" i="5" s="1"/>
  <c r="F4533" i="5"/>
  <c r="G4533" i="5" s="1"/>
  <c r="F4532" i="5"/>
  <c r="G4532" i="5" s="1"/>
  <c r="F4531" i="5"/>
  <c r="G4531" i="5" s="1"/>
  <c r="F4530" i="5"/>
  <c r="G4530" i="5" s="1"/>
  <c r="F4529" i="5"/>
  <c r="G4529" i="5" s="1"/>
  <c r="F4528" i="5"/>
  <c r="G4528" i="5" s="1"/>
  <c r="F4527" i="5"/>
  <c r="G4527" i="5" s="1"/>
  <c r="F4526" i="5"/>
  <c r="G4526" i="5" s="1"/>
  <c r="F4525" i="5"/>
  <c r="G4525" i="5" s="1"/>
  <c r="F4524" i="5"/>
  <c r="G4524" i="5" s="1"/>
  <c r="F4523" i="5"/>
  <c r="G4523" i="5" s="1"/>
  <c r="F4522" i="5"/>
  <c r="G4522" i="5" s="1"/>
  <c r="F4521" i="5"/>
  <c r="G4521" i="5" s="1"/>
  <c r="F4520" i="5"/>
  <c r="G4520" i="5" s="1"/>
  <c r="F4519" i="5"/>
  <c r="G4519" i="5" s="1"/>
  <c r="F4518" i="5"/>
  <c r="G4518" i="5" s="1"/>
  <c r="F4517" i="5"/>
  <c r="G4517" i="5" s="1"/>
  <c r="F4516" i="5"/>
  <c r="G4516" i="5" s="1"/>
  <c r="F4515" i="5"/>
  <c r="G4515" i="5" s="1"/>
  <c r="F4514" i="5"/>
  <c r="G4514" i="5" s="1"/>
  <c r="F4513" i="5"/>
  <c r="G4513" i="5" s="1"/>
  <c r="F4512" i="5"/>
  <c r="G4512" i="5" s="1"/>
  <c r="F4511" i="5"/>
  <c r="G4511" i="5" s="1"/>
  <c r="F4510" i="5"/>
  <c r="G4510" i="5" s="1"/>
  <c r="F4509" i="5"/>
  <c r="G4509" i="5" s="1"/>
  <c r="F4508" i="5"/>
  <c r="G4508" i="5" s="1"/>
  <c r="F4507" i="5"/>
  <c r="G4507" i="5" s="1"/>
  <c r="F4506" i="5"/>
  <c r="G4506" i="5" s="1"/>
  <c r="F4505" i="5"/>
  <c r="G4505" i="5" s="1"/>
  <c r="F4504" i="5"/>
  <c r="G4504" i="5" s="1"/>
  <c r="F4503" i="5"/>
  <c r="G4503" i="5" s="1"/>
  <c r="F4502" i="5"/>
  <c r="G4502" i="5" s="1"/>
  <c r="F4501" i="5"/>
  <c r="G4501" i="5" s="1"/>
  <c r="F4500" i="5"/>
  <c r="G4500" i="5" s="1"/>
  <c r="F4499" i="5"/>
  <c r="G4499" i="5" s="1"/>
  <c r="F4498" i="5"/>
  <c r="G4498" i="5" s="1"/>
  <c r="F4497" i="5"/>
  <c r="G4497" i="5" s="1"/>
  <c r="F4496" i="5"/>
  <c r="G4496" i="5" s="1"/>
  <c r="F4495" i="5"/>
  <c r="G4495" i="5" s="1"/>
  <c r="F4494" i="5"/>
  <c r="G4494" i="5" s="1"/>
  <c r="F4493" i="5"/>
  <c r="G4493" i="5" s="1"/>
  <c r="F4492" i="5"/>
  <c r="G4492" i="5" s="1"/>
  <c r="F4491" i="5"/>
  <c r="G4491" i="5" s="1"/>
  <c r="F4490" i="5"/>
  <c r="G4490" i="5" s="1"/>
  <c r="F4489" i="5"/>
  <c r="G4489" i="5" s="1"/>
  <c r="F4488" i="5"/>
  <c r="G4488" i="5" s="1"/>
  <c r="F4487" i="5"/>
  <c r="G4487" i="5" s="1"/>
  <c r="F4486" i="5"/>
  <c r="G4486" i="5" s="1"/>
  <c r="F4485" i="5"/>
  <c r="G4485" i="5" s="1"/>
  <c r="F4484" i="5"/>
  <c r="G4484" i="5" s="1"/>
  <c r="F4483" i="5"/>
  <c r="G4483" i="5" s="1"/>
  <c r="F4482" i="5"/>
  <c r="G4482" i="5" s="1"/>
  <c r="F4481" i="5"/>
  <c r="G4481" i="5" s="1"/>
  <c r="F4480" i="5"/>
  <c r="G4480" i="5" s="1"/>
  <c r="F4479" i="5"/>
  <c r="G4479" i="5" s="1"/>
  <c r="F4478" i="5"/>
  <c r="G4478" i="5" s="1"/>
  <c r="F4477" i="5"/>
  <c r="G4477" i="5" s="1"/>
  <c r="F4476" i="5"/>
  <c r="G4476" i="5" s="1"/>
  <c r="F4475" i="5"/>
  <c r="G4475" i="5" s="1"/>
  <c r="F4474" i="5"/>
  <c r="G4474" i="5" s="1"/>
  <c r="F4473" i="5"/>
  <c r="G4473" i="5" s="1"/>
  <c r="F4472" i="5"/>
  <c r="G4472" i="5" s="1"/>
  <c r="F4471" i="5"/>
  <c r="G4471" i="5" s="1"/>
  <c r="F4470" i="5"/>
  <c r="G4470" i="5" s="1"/>
  <c r="F4469" i="5"/>
  <c r="G4469" i="5" s="1"/>
  <c r="F4468" i="5"/>
  <c r="G4468" i="5" s="1"/>
  <c r="F4467" i="5"/>
  <c r="G4467" i="5" s="1"/>
  <c r="F4466" i="5"/>
  <c r="G4466" i="5" s="1"/>
  <c r="F4465" i="5"/>
  <c r="G4465" i="5" s="1"/>
  <c r="F4464" i="5"/>
  <c r="G4464" i="5" s="1"/>
  <c r="F4463" i="5"/>
  <c r="G4463" i="5" s="1"/>
  <c r="F4462" i="5"/>
  <c r="G4462" i="5" s="1"/>
  <c r="F4461" i="5"/>
  <c r="G4461" i="5" s="1"/>
  <c r="F4460" i="5"/>
  <c r="G4460" i="5" s="1"/>
  <c r="F4459" i="5"/>
  <c r="G4459" i="5" s="1"/>
  <c r="F4458" i="5"/>
  <c r="G4458" i="5" s="1"/>
  <c r="F4457" i="5"/>
  <c r="G4457" i="5" s="1"/>
  <c r="F4456" i="5"/>
  <c r="G4456" i="5" s="1"/>
  <c r="F4455" i="5"/>
  <c r="G4455" i="5" s="1"/>
  <c r="F4454" i="5"/>
  <c r="G4454" i="5" s="1"/>
  <c r="F4453" i="5"/>
  <c r="G4453" i="5" s="1"/>
  <c r="F4452" i="5"/>
  <c r="G4452" i="5" s="1"/>
  <c r="F4451" i="5"/>
  <c r="G4451" i="5" s="1"/>
  <c r="F4450" i="5"/>
  <c r="G4450" i="5" s="1"/>
  <c r="F4449" i="5"/>
  <c r="G4449" i="5" s="1"/>
  <c r="F4448" i="5"/>
  <c r="G4448" i="5" s="1"/>
  <c r="F4447" i="5"/>
  <c r="G4447" i="5" s="1"/>
  <c r="F4446" i="5"/>
  <c r="G4446" i="5" s="1"/>
  <c r="F4445" i="5"/>
  <c r="G4445" i="5" s="1"/>
  <c r="F4444" i="5"/>
  <c r="G4444" i="5" s="1"/>
  <c r="F4443" i="5"/>
  <c r="G4443" i="5" s="1"/>
  <c r="F4442" i="5"/>
  <c r="G4442" i="5" s="1"/>
  <c r="F4441" i="5"/>
  <c r="G4441" i="5" s="1"/>
  <c r="F4440" i="5"/>
  <c r="G4440" i="5" s="1"/>
  <c r="F4439" i="5"/>
  <c r="G4439" i="5" s="1"/>
  <c r="F4438" i="5"/>
  <c r="G4438" i="5" s="1"/>
  <c r="F4437" i="5"/>
  <c r="G4437" i="5" s="1"/>
  <c r="F4436" i="5"/>
  <c r="G4436" i="5" s="1"/>
  <c r="F4435" i="5"/>
  <c r="G4435" i="5" s="1"/>
  <c r="F4434" i="5"/>
  <c r="G4434" i="5" s="1"/>
  <c r="F4433" i="5"/>
  <c r="G4433" i="5" s="1"/>
  <c r="F4432" i="5"/>
  <c r="G4432" i="5" s="1"/>
  <c r="F4431" i="5"/>
  <c r="G4431" i="5" s="1"/>
  <c r="F4430" i="5"/>
  <c r="G4430" i="5" s="1"/>
  <c r="F4429" i="5"/>
  <c r="G4429" i="5" s="1"/>
  <c r="F4428" i="5"/>
  <c r="G4428" i="5" s="1"/>
  <c r="F4427" i="5"/>
  <c r="G4427" i="5" s="1"/>
  <c r="F4426" i="5"/>
  <c r="G4426" i="5" s="1"/>
  <c r="F4425" i="5"/>
  <c r="G4425" i="5" s="1"/>
  <c r="F4424" i="5"/>
  <c r="G4424" i="5" s="1"/>
  <c r="F4423" i="5"/>
  <c r="G4423" i="5" s="1"/>
  <c r="F4422" i="5"/>
  <c r="G4422" i="5" s="1"/>
  <c r="F4421" i="5"/>
  <c r="G4421" i="5" s="1"/>
  <c r="F4420" i="5"/>
  <c r="G4420" i="5" s="1"/>
  <c r="F4419" i="5"/>
  <c r="G4419" i="5" s="1"/>
  <c r="F4418" i="5"/>
  <c r="G4418" i="5" s="1"/>
  <c r="F4417" i="5"/>
  <c r="G4417" i="5" s="1"/>
  <c r="F4416" i="5"/>
  <c r="G4416" i="5" s="1"/>
  <c r="F4415" i="5"/>
  <c r="G4415" i="5" s="1"/>
  <c r="F4414" i="5"/>
  <c r="G4414" i="5" s="1"/>
  <c r="F4413" i="5"/>
  <c r="G4413" i="5" s="1"/>
  <c r="F4412" i="5"/>
  <c r="G4412" i="5" s="1"/>
  <c r="F4411" i="5"/>
  <c r="G4411" i="5" s="1"/>
  <c r="F4410" i="5"/>
  <c r="G4410" i="5" s="1"/>
  <c r="F4409" i="5"/>
  <c r="G4409" i="5" s="1"/>
  <c r="F4408" i="5"/>
  <c r="G4408" i="5" s="1"/>
  <c r="F4407" i="5"/>
  <c r="G4407" i="5" s="1"/>
  <c r="F4406" i="5"/>
  <c r="G4406" i="5" s="1"/>
  <c r="F4405" i="5"/>
  <c r="G4405" i="5" s="1"/>
  <c r="F4404" i="5"/>
  <c r="G4404" i="5" s="1"/>
  <c r="F4403" i="5"/>
  <c r="G4403" i="5" s="1"/>
  <c r="F4402" i="5"/>
  <c r="G4402" i="5" s="1"/>
  <c r="F4401" i="5"/>
  <c r="G4401" i="5" s="1"/>
  <c r="F4400" i="5"/>
  <c r="G4400" i="5" s="1"/>
  <c r="F4399" i="5"/>
  <c r="G4399" i="5" s="1"/>
  <c r="F4398" i="5"/>
  <c r="G4398" i="5" s="1"/>
  <c r="F4397" i="5"/>
  <c r="G4397" i="5" s="1"/>
  <c r="F4396" i="5"/>
  <c r="G4396" i="5" s="1"/>
  <c r="F4395" i="5"/>
  <c r="G4395" i="5" s="1"/>
  <c r="F4394" i="5"/>
  <c r="G4394" i="5" s="1"/>
  <c r="F4393" i="5"/>
  <c r="G4393" i="5" s="1"/>
  <c r="F4392" i="5"/>
  <c r="G4392" i="5" s="1"/>
  <c r="F4391" i="5"/>
  <c r="G4391" i="5" s="1"/>
  <c r="F4390" i="5"/>
  <c r="G4390" i="5" s="1"/>
  <c r="F4389" i="5"/>
  <c r="G4389" i="5" s="1"/>
  <c r="F4388" i="5"/>
  <c r="G4388" i="5" s="1"/>
  <c r="F4387" i="5"/>
  <c r="G4387" i="5" s="1"/>
  <c r="F4386" i="5"/>
  <c r="G4386" i="5" s="1"/>
  <c r="F4385" i="5"/>
  <c r="G4385" i="5" s="1"/>
  <c r="F4384" i="5"/>
  <c r="G4384" i="5" s="1"/>
  <c r="F4383" i="5"/>
  <c r="G4383" i="5" s="1"/>
  <c r="F4382" i="5"/>
  <c r="G4382" i="5" s="1"/>
  <c r="F4381" i="5"/>
  <c r="G4381" i="5" s="1"/>
  <c r="F4380" i="5"/>
  <c r="G4380" i="5" s="1"/>
  <c r="F4379" i="5"/>
  <c r="G4379" i="5" s="1"/>
  <c r="F4378" i="5"/>
  <c r="G4378" i="5" s="1"/>
  <c r="F4377" i="5"/>
  <c r="G4377" i="5" s="1"/>
  <c r="F4376" i="5"/>
  <c r="G4376" i="5" s="1"/>
  <c r="F4375" i="5"/>
  <c r="G4375" i="5" s="1"/>
  <c r="F4374" i="5"/>
  <c r="G4374" i="5" s="1"/>
  <c r="F4373" i="5"/>
  <c r="G4373" i="5" s="1"/>
  <c r="F4372" i="5"/>
  <c r="G4372" i="5" s="1"/>
  <c r="F4371" i="5"/>
  <c r="G4371" i="5" s="1"/>
  <c r="F4370" i="5"/>
  <c r="G4370" i="5" s="1"/>
  <c r="F4369" i="5"/>
  <c r="G4369" i="5" s="1"/>
  <c r="F4368" i="5"/>
  <c r="G4368" i="5" s="1"/>
  <c r="F4367" i="5"/>
  <c r="G4367" i="5" s="1"/>
  <c r="F4366" i="5"/>
  <c r="G4366" i="5" s="1"/>
  <c r="F4365" i="5"/>
  <c r="G4365" i="5" s="1"/>
  <c r="F4364" i="5"/>
  <c r="G4364" i="5" s="1"/>
  <c r="F4363" i="5"/>
  <c r="G4363" i="5" s="1"/>
  <c r="F4362" i="5"/>
  <c r="G4362" i="5" s="1"/>
  <c r="F4361" i="5"/>
  <c r="G4361" i="5" s="1"/>
  <c r="F4360" i="5"/>
  <c r="G4360" i="5" s="1"/>
  <c r="F4359" i="5"/>
  <c r="G4359" i="5" s="1"/>
  <c r="F4358" i="5"/>
  <c r="G4358" i="5" s="1"/>
  <c r="F4357" i="5"/>
  <c r="G4357" i="5" s="1"/>
  <c r="F4356" i="5"/>
  <c r="G4356" i="5" s="1"/>
  <c r="F4355" i="5"/>
  <c r="G4355" i="5" s="1"/>
  <c r="F4354" i="5"/>
  <c r="G4354" i="5" s="1"/>
  <c r="F4353" i="5"/>
  <c r="G4353" i="5" s="1"/>
  <c r="F4352" i="5"/>
  <c r="G4352" i="5" s="1"/>
  <c r="F4351" i="5"/>
  <c r="G4351" i="5" s="1"/>
  <c r="F4350" i="5"/>
  <c r="G4350" i="5" s="1"/>
  <c r="F4349" i="5"/>
  <c r="G4349" i="5" s="1"/>
  <c r="F4348" i="5"/>
  <c r="G4348" i="5" s="1"/>
  <c r="F4347" i="5"/>
  <c r="G4347" i="5" s="1"/>
  <c r="F4346" i="5"/>
  <c r="G4346" i="5" s="1"/>
  <c r="F4345" i="5"/>
  <c r="G4345" i="5" s="1"/>
  <c r="F4344" i="5"/>
  <c r="G4344" i="5" s="1"/>
  <c r="F4343" i="5"/>
  <c r="G4343" i="5" s="1"/>
  <c r="F4342" i="5"/>
  <c r="G4342" i="5" s="1"/>
  <c r="F4341" i="5"/>
  <c r="G4341" i="5" s="1"/>
  <c r="F4340" i="5"/>
  <c r="G4340" i="5" s="1"/>
  <c r="F4339" i="5"/>
  <c r="G4339" i="5" s="1"/>
  <c r="F4338" i="5"/>
  <c r="G4338" i="5" s="1"/>
  <c r="F4337" i="5"/>
  <c r="G4337" i="5" s="1"/>
  <c r="F4336" i="5"/>
  <c r="G4336" i="5" s="1"/>
  <c r="F4335" i="5"/>
  <c r="G4335" i="5" s="1"/>
  <c r="F4334" i="5"/>
  <c r="G4334" i="5" s="1"/>
  <c r="F4333" i="5"/>
  <c r="G4333" i="5" s="1"/>
  <c r="F4332" i="5"/>
  <c r="G4332" i="5" s="1"/>
  <c r="F4331" i="5"/>
  <c r="G4331" i="5" s="1"/>
  <c r="F4330" i="5"/>
  <c r="G4330" i="5" s="1"/>
  <c r="F4329" i="5"/>
  <c r="G4329" i="5" s="1"/>
  <c r="F4328" i="5"/>
  <c r="G4328" i="5" s="1"/>
  <c r="F4327" i="5"/>
  <c r="G4327" i="5" s="1"/>
  <c r="F4326" i="5"/>
  <c r="G4326" i="5" s="1"/>
  <c r="F4325" i="5"/>
  <c r="G4325" i="5" s="1"/>
  <c r="F4324" i="5"/>
  <c r="G4324" i="5" s="1"/>
  <c r="F4323" i="5"/>
  <c r="G4323" i="5" s="1"/>
  <c r="F4322" i="5"/>
  <c r="G4322" i="5" s="1"/>
  <c r="F4321" i="5"/>
  <c r="G4321" i="5" s="1"/>
  <c r="F4320" i="5"/>
  <c r="G4320" i="5" s="1"/>
  <c r="F4319" i="5"/>
  <c r="G4319" i="5" s="1"/>
  <c r="F4318" i="5"/>
  <c r="G4318" i="5" s="1"/>
  <c r="F4317" i="5"/>
  <c r="G4317" i="5" s="1"/>
  <c r="F4316" i="5"/>
  <c r="G4316" i="5" s="1"/>
  <c r="F4315" i="5"/>
  <c r="G4315" i="5" s="1"/>
  <c r="F4314" i="5"/>
  <c r="G4314" i="5" s="1"/>
  <c r="F4313" i="5"/>
  <c r="G4313" i="5" s="1"/>
  <c r="F4312" i="5"/>
  <c r="G4312" i="5" s="1"/>
  <c r="F4311" i="5"/>
  <c r="G4311" i="5" s="1"/>
  <c r="F4310" i="5"/>
  <c r="G4310" i="5" s="1"/>
  <c r="F4309" i="5"/>
  <c r="G4309" i="5" s="1"/>
  <c r="F4308" i="5"/>
  <c r="G4308" i="5" s="1"/>
  <c r="F4307" i="5"/>
  <c r="G4307" i="5" s="1"/>
  <c r="F4306" i="5"/>
  <c r="G4306" i="5" s="1"/>
  <c r="F4305" i="5"/>
  <c r="G4305" i="5" s="1"/>
  <c r="F4304" i="5"/>
  <c r="G4304" i="5" s="1"/>
  <c r="F4303" i="5"/>
  <c r="G4303" i="5" s="1"/>
  <c r="F4302" i="5"/>
  <c r="G4302" i="5" s="1"/>
  <c r="F4301" i="5"/>
  <c r="G4301" i="5" s="1"/>
  <c r="F4300" i="5"/>
  <c r="G4300" i="5" s="1"/>
  <c r="F4299" i="5"/>
  <c r="G4299" i="5" s="1"/>
  <c r="F4298" i="5"/>
  <c r="G4298" i="5" s="1"/>
  <c r="F4297" i="5"/>
  <c r="G4297" i="5" s="1"/>
  <c r="F4296" i="5"/>
  <c r="G4296" i="5" s="1"/>
  <c r="F4295" i="5"/>
  <c r="G4295" i="5" s="1"/>
  <c r="F4294" i="5"/>
  <c r="G4294" i="5" s="1"/>
  <c r="F4293" i="5"/>
  <c r="G4293" i="5" s="1"/>
  <c r="F4292" i="5"/>
  <c r="G4292" i="5" s="1"/>
  <c r="F4291" i="5"/>
  <c r="G4291" i="5" s="1"/>
  <c r="F4290" i="5"/>
  <c r="G4290" i="5" s="1"/>
  <c r="F4289" i="5"/>
  <c r="G4289" i="5" s="1"/>
  <c r="F4288" i="5"/>
  <c r="G4288" i="5" s="1"/>
  <c r="F4287" i="5"/>
  <c r="G4287" i="5" s="1"/>
  <c r="F4286" i="5"/>
  <c r="G4286" i="5" s="1"/>
  <c r="F4285" i="5"/>
  <c r="G4285" i="5" s="1"/>
  <c r="F4284" i="5"/>
  <c r="G4284" i="5" s="1"/>
  <c r="F4283" i="5"/>
  <c r="G4283" i="5" s="1"/>
  <c r="F4282" i="5"/>
  <c r="G4282" i="5" s="1"/>
  <c r="F4281" i="5"/>
  <c r="G4281" i="5" s="1"/>
  <c r="F4280" i="5"/>
  <c r="G4280" i="5" s="1"/>
  <c r="F4279" i="5"/>
  <c r="G4279" i="5" s="1"/>
  <c r="F4278" i="5"/>
  <c r="G4278" i="5" s="1"/>
  <c r="F4277" i="5"/>
  <c r="G4277" i="5" s="1"/>
  <c r="F4276" i="5"/>
  <c r="G4276" i="5" s="1"/>
  <c r="F4275" i="5"/>
  <c r="G4275" i="5" s="1"/>
  <c r="F4274" i="5"/>
  <c r="G4274" i="5" s="1"/>
  <c r="F4273" i="5"/>
  <c r="G4273" i="5" s="1"/>
  <c r="F4272" i="5"/>
  <c r="G4272" i="5" s="1"/>
  <c r="F4271" i="5"/>
  <c r="G4271" i="5" s="1"/>
  <c r="F4270" i="5"/>
  <c r="G4270" i="5" s="1"/>
  <c r="F4269" i="5"/>
  <c r="G4269" i="5" s="1"/>
  <c r="F4268" i="5"/>
  <c r="G4268" i="5" s="1"/>
  <c r="F4267" i="5"/>
  <c r="G4267" i="5" s="1"/>
  <c r="F4266" i="5"/>
  <c r="G4266" i="5" s="1"/>
  <c r="F4265" i="5"/>
  <c r="G4265" i="5" s="1"/>
  <c r="F4264" i="5"/>
  <c r="G4264" i="5" s="1"/>
  <c r="F4263" i="5"/>
  <c r="G4263" i="5" s="1"/>
  <c r="F4262" i="5"/>
  <c r="G4262" i="5" s="1"/>
  <c r="F4261" i="5"/>
  <c r="G4261" i="5" s="1"/>
  <c r="F4260" i="5"/>
  <c r="G4260" i="5" s="1"/>
  <c r="F4259" i="5"/>
  <c r="G4259" i="5" s="1"/>
  <c r="F4258" i="5"/>
  <c r="G4258" i="5" s="1"/>
  <c r="F4257" i="5"/>
  <c r="G4257" i="5" s="1"/>
  <c r="F4256" i="5"/>
  <c r="G4256" i="5" s="1"/>
  <c r="F4255" i="5"/>
  <c r="G4255" i="5" s="1"/>
  <c r="F4254" i="5"/>
  <c r="G4254" i="5" s="1"/>
  <c r="F4253" i="5"/>
  <c r="G4253" i="5" s="1"/>
  <c r="F4252" i="5"/>
  <c r="G4252" i="5" s="1"/>
  <c r="F4251" i="5"/>
  <c r="G4251" i="5" s="1"/>
  <c r="F4250" i="5"/>
  <c r="G4250" i="5" s="1"/>
  <c r="F4249" i="5"/>
  <c r="G4249" i="5" s="1"/>
  <c r="F4248" i="5"/>
  <c r="G4248" i="5" s="1"/>
  <c r="F4247" i="5"/>
  <c r="G4247" i="5" s="1"/>
  <c r="F4246" i="5"/>
  <c r="G4246" i="5" s="1"/>
  <c r="F4245" i="5"/>
  <c r="G4245" i="5" s="1"/>
  <c r="F4244" i="5"/>
  <c r="G4244" i="5" s="1"/>
  <c r="F4243" i="5"/>
  <c r="G4243" i="5" s="1"/>
  <c r="F4242" i="5"/>
  <c r="G4242" i="5" s="1"/>
  <c r="F4241" i="5"/>
  <c r="G4241" i="5" s="1"/>
  <c r="F4240" i="5"/>
  <c r="G4240" i="5" s="1"/>
  <c r="F4239" i="5"/>
  <c r="G4239" i="5" s="1"/>
  <c r="F4238" i="5"/>
  <c r="G4238" i="5" s="1"/>
  <c r="F4237" i="5"/>
  <c r="G4237" i="5" s="1"/>
  <c r="F4236" i="5"/>
  <c r="G4236" i="5" s="1"/>
  <c r="F4235" i="5"/>
  <c r="G4235" i="5" s="1"/>
  <c r="F4234" i="5"/>
  <c r="G4234" i="5" s="1"/>
  <c r="F4233" i="5"/>
  <c r="G4233" i="5" s="1"/>
  <c r="F4232" i="5"/>
  <c r="G4232" i="5" s="1"/>
  <c r="F4231" i="5"/>
  <c r="G4231" i="5" s="1"/>
  <c r="F4230" i="5"/>
  <c r="G4230" i="5" s="1"/>
  <c r="F4229" i="5"/>
  <c r="G4229" i="5" s="1"/>
  <c r="F4228" i="5"/>
  <c r="G4228" i="5" s="1"/>
  <c r="F4227" i="5"/>
  <c r="G4227" i="5" s="1"/>
  <c r="F4226" i="5"/>
  <c r="G4226" i="5" s="1"/>
  <c r="F4225" i="5"/>
  <c r="G4225" i="5" s="1"/>
  <c r="F4224" i="5"/>
  <c r="G4224" i="5" s="1"/>
  <c r="F4223" i="5"/>
  <c r="G4223" i="5" s="1"/>
  <c r="F4222" i="5"/>
  <c r="G4222" i="5" s="1"/>
  <c r="F4221" i="5"/>
  <c r="G4221" i="5" s="1"/>
  <c r="F4220" i="5"/>
  <c r="G4220" i="5" s="1"/>
  <c r="F4219" i="5"/>
  <c r="G4219" i="5" s="1"/>
  <c r="F4218" i="5"/>
  <c r="G4218" i="5" s="1"/>
  <c r="F4217" i="5"/>
  <c r="G4217" i="5" s="1"/>
  <c r="F4216" i="5"/>
  <c r="G4216" i="5" s="1"/>
  <c r="F4215" i="5"/>
  <c r="G4215" i="5" s="1"/>
  <c r="F4214" i="5"/>
  <c r="G4214" i="5" s="1"/>
  <c r="F4213" i="5"/>
  <c r="G4213" i="5" s="1"/>
  <c r="F4212" i="5"/>
  <c r="G4212" i="5" s="1"/>
  <c r="F4211" i="5"/>
  <c r="G4211" i="5" s="1"/>
  <c r="F4210" i="5"/>
  <c r="G4210" i="5" s="1"/>
  <c r="F4209" i="5"/>
  <c r="G4209" i="5" s="1"/>
  <c r="F4208" i="5"/>
  <c r="G4208" i="5" s="1"/>
  <c r="F4207" i="5"/>
  <c r="G4207" i="5" s="1"/>
  <c r="F4206" i="5"/>
  <c r="G4206" i="5" s="1"/>
  <c r="F4205" i="5"/>
  <c r="G4205" i="5" s="1"/>
  <c r="F4204" i="5"/>
  <c r="G4204" i="5" s="1"/>
  <c r="F4203" i="5"/>
  <c r="G4203" i="5" s="1"/>
  <c r="F4202" i="5"/>
  <c r="G4202" i="5" s="1"/>
  <c r="F4201" i="5"/>
  <c r="G4201" i="5" s="1"/>
  <c r="F4200" i="5"/>
  <c r="G4200" i="5" s="1"/>
  <c r="F4199" i="5"/>
  <c r="G4199" i="5" s="1"/>
  <c r="F4198" i="5"/>
  <c r="G4198" i="5" s="1"/>
  <c r="F4197" i="5"/>
  <c r="G4197" i="5" s="1"/>
  <c r="F4196" i="5"/>
  <c r="G4196" i="5" s="1"/>
  <c r="F4195" i="5"/>
  <c r="G4195" i="5" s="1"/>
  <c r="F4194" i="5"/>
  <c r="G4194" i="5" s="1"/>
  <c r="F4193" i="5"/>
  <c r="G4193" i="5" s="1"/>
  <c r="F4192" i="5"/>
  <c r="G4192" i="5" s="1"/>
  <c r="F4191" i="5"/>
  <c r="G4191" i="5" s="1"/>
  <c r="F4190" i="5"/>
  <c r="G4190" i="5" s="1"/>
  <c r="F4189" i="5"/>
  <c r="G4189" i="5" s="1"/>
  <c r="F4188" i="5"/>
  <c r="G4188" i="5" s="1"/>
  <c r="F4187" i="5"/>
  <c r="G4187" i="5" s="1"/>
  <c r="F4186" i="5"/>
  <c r="G4186" i="5" s="1"/>
  <c r="F4185" i="5"/>
  <c r="G4185" i="5" s="1"/>
  <c r="F4184" i="5"/>
  <c r="G4184" i="5" s="1"/>
  <c r="F4183" i="5"/>
  <c r="G4183" i="5" s="1"/>
  <c r="F4182" i="5"/>
  <c r="G4182" i="5" s="1"/>
  <c r="F4181" i="5"/>
  <c r="G4181" i="5" s="1"/>
  <c r="F4180" i="5"/>
  <c r="G4180" i="5" s="1"/>
  <c r="F4179" i="5"/>
  <c r="G4179" i="5" s="1"/>
  <c r="F4178" i="5"/>
  <c r="G4178" i="5" s="1"/>
  <c r="F4177" i="5"/>
  <c r="G4177" i="5" s="1"/>
  <c r="F4176" i="5"/>
  <c r="G4176" i="5" s="1"/>
  <c r="F4175" i="5"/>
  <c r="G4175" i="5" s="1"/>
  <c r="F4174" i="5"/>
  <c r="G4174" i="5" s="1"/>
  <c r="F4173" i="5"/>
  <c r="G4173" i="5" s="1"/>
  <c r="F4172" i="5"/>
  <c r="G4172" i="5" s="1"/>
  <c r="F4171" i="5"/>
  <c r="G4171" i="5" s="1"/>
  <c r="F4170" i="5"/>
  <c r="G4170" i="5" s="1"/>
  <c r="F4169" i="5"/>
  <c r="G4169" i="5" s="1"/>
  <c r="F4168" i="5"/>
  <c r="G4168" i="5" s="1"/>
  <c r="F4167" i="5"/>
  <c r="G4167" i="5" s="1"/>
  <c r="F4166" i="5"/>
  <c r="G4166" i="5" s="1"/>
  <c r="F4165" i="5"/>
  <c r="G4165" i="5" s="1"/>
  <c r="F4164" i="5"/>
  <c r="G4164" i="5" s="1"/>
  <c r="F4163" i="5"/>
  <c r="G4163" i="5" s="1"/>
  <c r="F4162" i="5"/>
  <c r="G4162" i="5" s="1"/>
  <c r="F4161" i="5"/>
  <c r="G4161" i="5" s="1"/>
  <c r="F4160" i="5"/>
  <c r="G4160" i="5" s="1"/>
  <c r="F4159" i="5"/>
  <c r="G4159" i="5" s="1"/>
  <c r="F4158" i="5"/>
  <c r="G4158" i="5" s="1"/>
  <c r="F4157" i="5"/>
  <c r="G4157" i="5" s="1"/>
  <c r="F4156" i="5"/>
  <c r="G4156" i="5" s="1"/>
  <c r="F4155" i="5"/>
  <c r="G4155" i="5" s="1"/>
  <c r="F4154" i="5"/>
  <c r="G4154" i="5" s="1"/>
  <c r="F4153" i="5"/>
  <c r="G4153" i="5" s="1"/>
  <c r="F4152" i="5"/>
  <c r="G4152" i="5" s="1"/>
  <c r="F4151" i="5"/>
  <c r="G4151" i="5" s="1"/>
  <c r="F4150" i="5"/>
  <c r="G4150" i="5" s="1"/>
  <c r="F4149" i="5"/>
  <c r="G4149" i="5" s="1"/>
  <c r="F4148" i="5"/>
  <c r="G4148" i="5" s="1"/>
  <c r="F4147" i="5"/>
  <c r="G4147" i="5" s="1"/>
  <c r="F4146" i="5"/>
  <c r="G4146" i="5" s="1"/>
  <c r="F4145" i="5"/>
  <c r="G4145" i="5" s="1"/>
  <c r="F4144" i="5"/>
  <c r="G4144" i="5" s="1"/>
  <c r="F4143" i="5"/>
  <c r="G4143" i="5" s="1"/>
  <c r="F4142" i="5"/>
  <c r="G4142" i="5" s="1"/>
  <c r="F4141" i="5"/>
  <c r="G4141" i="5" s="1"/>
  <c r="F4140" i="5"/>
  <c r="G4140" i="5" s="1"/>
  <c r="F4139" i="5"/>
  <c r="G4139" i="5" s="1"/>
  <c r="F4138" i="5"/>
  <c r="G4138" i="5" s="1"/>
  <c r="F4137" i="5"/>
  <c r="G4137" i="5" s="1"/>
  <c r="F4136" i="5"/>
  <c r="G4136" i="5" s="1"/>
  <c r="F4135" i="5"/>
  <c r="G4135" i="5" s="1"/>
  <c r="F4134" i="5"/>
  <c r="G4134" i="5" s="1"/>
  <c r="F4133" i="5"/>
  <c r="G4133" i="5" s="1"/>
  <c r="F4132" i="5"/>
  <c r="G4132" i="5" s="1"/>
  <c r="F4131" i="5"/>
  <c r="G4131" i="5" s="1"/>
  <c r="F4130" i="5"/>
  <c r="G4130" i="5" s="1"/>
  <c r="F4129" i="5"/>
  <c r="G4129" i="5" s="1"/>
  <c r="F4128" i="5"/>
  <c r="G4128" i="5" s="1"/>
  <c r="F4127" i="5"/>
  <c r="G4127" i="5" s="1"/>
  <c r="F4126" i="5"/>
  <c r="G4126" i="5" s="1"/>
  <c r="F4125" i="5"/>
  <c r="G4125" i="5" s="1"/>
  <c r="F4124" i="5"/>
  <c r="G4124" i="5" s="1"/>
  <c r="F4123" i="5"/>
  <c r="G4123" i="5" s="1"/>
  <c r="F4122" i="5"/>
  <c r="G4122" i="5" s="1"/>
  <c r="F4121" i="5"/>
  <c r="G4121" i="5" s="1"/>
  <c r="F4120" i="5"/>
  <c r="G4120" i="5" s="1"/>
  <c r="F4119" i="5"/>
  <c r="G4119" i="5" s="1"/>
  <c r="F4118" i="5"/>
  <c r="G4118" i="5" s="1"/>
  <c r="F4117" i="5"/>
  <c r="G4117" i="5" s="1"/>
  <c r="F4116" i="5"/>
  <c r="G4116" i="5" s="1"/>
  <c r="F4115" i="5"/>
  <c r="G4115" i="5" s="1"/>
  <c r="F4114" i="5"/>
  <c r="G4114" i="5" s="1"/>
  <c r="F4113" i="5"/>
  <c r="G4113" i="5" s="1"/>
  <c r="F4112" i="5"/>
  <c r="G4112" i="5" s="1"/>
  <c r="F4111" i="5"/>
  <c r="G4111" i="5" s="1"/>
  <c r="F4110" i="5"/>
  <c r="G4110" i="5" s="1"/>
  <c r="F4109" i="5"/>
  <c r="G4109" i="5" s="1"/>
  <c r="F4108" i="5"/>
  <c r="G4108" i="5" s="1"/>
  <c r="F4107" i="5"/>
  <c r="G4107" i="5" s="1"/>
  <c r="F4106" i="5"/>
  <c r="G4106" i="5" s="1"/>
  <c r="F4105" i="5"/>
  <c r="G4105" i="5" s="1"/>
  <c r="F4104" i="5"/>
  <c r="G4104" i="5" s="1"/>
  <c r="F4103" i="5"/>
  <c r="G4103" i="5" s="1"/>
  <c r="F4102" i="5"/>
  <c r="G4102" i="5" s="1"/>
  <c r="F4101" i="5"/>
  <c r="G4101" i="5" s="1"/>
  <c r="F4100" i="5"/>
  <c r="G4100" i="5" s="1"/>
  <c r="F4099" i="5"/>
  <c r="G4099" i="5" s="1"/>
  <c r="F4098" i="5"/>
  <c r="G4098" i="5" s="1"/>
  <c r="F4097" i="5"/>
  <c r="G4097" i="5" s="1"/>
  <c r="F4096" i="5"/>
  <c r="G4096" i="5" s="1"/>
  <c r="F4095" i="5"/>
  <c r="G4095" i="5" s="1"/>
  <c r="F4094" i="5"/>
  <c r="G4094" i="5" s="1"/>
  <c r="F4093" i="5"/>
  <c r="G4093" i="5" s="1"/>
  <c r="F4092" i="5"/>
  <c r="G4092" i="5" s="1"/>
  <c r="F4091" i="5"/>
  <c r="G4091" i="5" s="1"/>
  <c r="F4090" i="5"/>
  <c r="G4090" i="5" s="1"/>
  <c r="F4089" i="5"/>
  <c r="G4089" i="5" s="1"/>
  <c r="F4088" i="5"/>
  <c r="G4088" i="5" s="1"/>
  <c r="F4087" i="5"/>
  <c r="G4087" i="5" s="1"/>
  <c r="F4086" i="5"/>
  <c r="G4086" i="5" s="1"/>
  <c r="F4085" i="5"/>
  <c r="G4085" i="5" s="1"/>
  <c r="F4084" i="5"/>
  <c r="G4084" i="5" s="1"/>
  <c r="F4083" i="5"/>
  <c r="G4083" i="5" s="1"/>
  <c r="F4082" i="5"/>
  <c r="G4082" i="5" s="1"/>
  <c r="F4081" i="5"/>
  <c r="G4081" i="5" s="1"/>
  <c r="F4080" i="5"/>
  <c r="G4080" i="5" s="1"/>
  <c r="F4079" i="5"/>
  <c r="G4079" i="5" s="1"/>
  <c r="F4078" i="5"/>
  <c r="G4078" i="5" s="1"/>
  <c r="F4077" i="5"/>
  <c r="G4077" i="5" s="1"/>
  <c r="F4076" i="5"/>
  <c r="G4076" i="5" s="1"/>
  <c r="F4075" i="5"/>
  <c r="G4075" i="5" s="1"/>
  <c r="F4074" i="5"/>
  <c r="G4074" i="5" s="1"/>
  <c r="F4073" i="5"/>
  <c r="G4073" i="5" s="1"/>
  <c r="F4072" i="5"/>
  <c r="G4072" i="5" s="1"/>
  <c r="F4071" i="5"/>
  <c r="G4071" i="5" s="1"/>
  <c r="F4070" i="5"/>
  <c r="G4070" i="5" s="1"/>
  <c r="F4069" i="5"/>
  <c r="G4069" i="5" s="1"/>
  <c r="F4068" i="5"/>
  <c r="G4068" i="5" s="1"/>
  <c r="F4067" i="5"/>
  <c r="G4067" i="5" s="1"/>
  <c r="F4066" i="5"/>
  <c r="G4066" i="5" s="1"/>
  <c r="F4065" i="5"/>
  <c r="G4065" i="5" s="1"/>
  <c r="F4064" i="5"/>
  <c r="G4064" i="5" s="1"/>
  <c r="F4063" i="5"/>
  <c r="G4063" i="5" s="1"/>
  <c r="F4062" i="5"/>
  <c r="G4062" i="5" s="1"/>
  <c r="F4061" i="5"/>
  <c r="G4061" i="5" s="1"/>
  <c r="F4060" i="5"/>
  <c r="G4060" i="5" s="1"/>
  <c r="F4059" i="5"/>
  <c r="G4059" i="5" s="1"/>
  <c r="F4058" i="5"/>
  <c r="G4058" i="5" s="1"/>
  <c r="F4057" i="5"/>
  <c r="G4057" i="5" s="1"/>
  <c r="F4056" i="5"/>
  <c r="G4056" i="5" s="1"/>
  <c r="F4055" i="5"/>
  <c r="G4055" i="5" s="1"/>
  <c r="F4054" i="5"/>
  <c r="G4054" i="5" s="1"/>
  <c r="F4053" i="5"/>
  <c r="G4053" i="5" s="1"/>
  <c r="F4052" i="5"/>
  <c r="G4052" i="5" s="1"/>
  <c r="F4051" i="5"/>
  <c r="G4051" i="5" s="1"/>
  <c r="F4050" i="5"/>
  <c r="G4050" i="5" s="1"/>
  <c r="F4049" i="5"/>
  <c r="G4049" i="5" s="1"/>
  <c r="F4048" i="5"/>
  <c r="G4048" i="5" s="1"/>
  <c r="F4047" i="5"/>
  <c r="G4047" i="5" s="1"/>
  <c r="F4046" i="5"/>
  <c r="G4046" i="5" s="1"/>
  <c r="F4045" i="5"/>
  <c r="G4045" i="5" s="1"/>
  <c r="F4044" i="5"/>
  <c r="G4044" i="5" s="1"/>
  <c r="F4043" i="5"/>
  <c r="G4043" i="5" s="1"/>
  <c r="F4042" i="5"/>
  <c r="G4042" i="5" s="1"/>
  <c r="F4041" i="5"/>
  <c r="G4041" i="5" s="1"/>
  <c r="F4040" i="5"/>
  <c r="G4040" i="5" s="1"/>
  <c r="F4039" i="5"/>
  <c r="G4039" i="5" s="1"/>
  <c r="F4038" i="5"/>
  <c r="G4038" i="5" s="1"/>
  <c r="F4037" i="5"/>
  <c r="G4037" i="5" s="1"/>
  <c r="F4036" i="5"/>
  <c r="G4036" i="5" s="1"/>
  <c r="F4035" i="5"/>
  <c r="G4035" i="5" s="1"/>
  <c r="F4034" i="5"/>
  <c r="G4034" i="5" s="1"/>
  <c r="F4033" i="5"/>
  <c r="G4033" i="5" s="1"/>
  <c r="F4032" i="5"/>
  <c r="G4032" i="5" s="1"/>
  <c r="F4031" i="5"/>
  <c r="G4031" i="5" s="1"/>
  <c r="F4030" i="5"/>
  <c r="G4030" i="5" s="1"/>
  <c r="F4029" i="5"/>
  <c r="G4029" i="5" s="1"/>
  <c r="F4028" i="5"/>
  <c r="G4028" i="5" s="1"/>
  <c r="F4027" i="5"/>
  <c r="G4027" i="5" s="1"/>
  <c r="F4026" i="5"/>
  <c r="G4026" i="5" s="1"/>
  <c r="F4025" i="5"/>
  <c r="G4025" i="5" s="1"/>
  <c r="F4024" i="5"/>
  <c r="G4024" i="5" s="1"/>
  <c r="F4023" i="5"/>
  <c r="G4023" i="5" s="1"/>
  <c r="F4022" i="5"/>
  <c r="G4022" i="5" s="1"/>
  <c r="F4021" i="5"/>
  <c r="G4021" i="5" s="1"/>
  <c r="F4020" i="5"/>
  <c r="G4020" i="5" s="1"/>
  <c r="F4019" i="5"/>
  <c r="G4019" i="5" s="1"/>
  <c r="F4018" i="5"/>
  <c r="G4018" i="5" s="1"/>
  <c r="F4017" i="5"/>
  <c r="G4017" i="5" s="1"/>
  <c r="F4016" i="5"/>
  <c r="G4016" i="5" s="1"/>
  <c r="F4015" i="5"/>
  <c r="G4015" i="5" s="1"/>
  <c r="F4014" i="5"/>
  <c r="G4014" i="5" s="1"/>
  <c r="F4013" i="5"/>
  <c r="G4013" i="5" s="1"/>
  <c r="F4012" i="5"/>
  <c r="G4012" i="5" s="1"/>
  <c r="F4011" i="5"/>
  <c r="G4011" i="5" s="1"/>
  <c r="F4010" i="5"/>
  <c r="G4010" i="5" s="1"/>
  <c r="F4009" i="5"/>
  <c r="G4009" i="5" s="1"/>
  <c r="F4008" i="5"/>
  <c r="G4008" i="5" s="1"/>
  <c r="F4007" i="5"/>
  <c r="G4007" i="5" s="1"/>
  <c r="F4006" i="5"/>
  <c r="G4006" i="5" s="1"/>
  <c r="F4005" i="5"/>
  <c r="G4005" i="5" s="1"/>
  <c r="F4004" i="5"/>
  <c r="G4004" i="5" s="1"/>
  <c r="F4003" i="5"/>
  <c r="G4003" i="5" s="1"/>
  <c r="F4002" i="5"/>
  <c r="G4002" i="5" s="1"/>
  <c r="F4001" i="5"/>
  <c r="G4001" i="5" s="1"/>
  <c r="F4000" i="5"/>
  <c r="G4000" i="5" s="1"/>
  <c r="F3999" i="5"/>
  <c r="G3999" i="5" s="1"/>
  <c r="F3998" i="5"/>
  <c r="G3998" i="5" s="1"/>
  <c r="F3997" i="5"/>
  <c r="G3997" i="5" s="1"/>
  <c r="F3996" i="5"/>
  <c r="G3996" i="5" s="1"/>
  <c r="F3995" i="5"/>
  <c r="G3995" i="5" s="1"/>
  <c r="F3994" i="5"/>
  <c r="G3994" i="5" s="1"/>
  <c r="F3993" i="5"/>
  <c r="G3993" i="5" s="1"/>
  <c r="F3992" i="5"/>
  <c r="G3992" i="5" s="1"/>
  <c r="F3991" i="5"/>
  <c r="G3991" i="5" s="1"/>
  <c r="F3990" i="5"/>
  <c r="G3990" i="5" s="1"/>
  <c r="F3989" i="5"/>
  <c r="G3989" i="5" s="1"/>
  <c r="F3988" i="5"/>
  <c r="G3988" i="5" s="1"/>
  <c r="F3987" i="5"/>
  <c r="G3987" i="5" s="1"/>
  <c r="F3986" i="5"/>
  <c r="G3986" i="5" s="1"/>
  <c r="F3985" i="5"/>
  <c r="G3985" i="5" s="1"/>
  <c r="F3984" i="5"/>
  <c r="G3984" i="5" s="1"/>
  <c r="F3983" i="5"/>
  <c r="G3983" i="5" s="1"/>
  <c r="F3982" i="5"/>
  <c r="G3982" i="5" s="1"/>
  <c r="F3981" i="5"/>
  <c r="G3981" i="5" s="1"/>
  <c r="F3980" i="5"/>
  <c r="G3980" i="5" s="1"/>
  <c r="F3979" i="5"/>
  <c r="G3979" i="5" s="1"/>
  <c r="F3978" i="5"/>
  <c r="G3978" i="5" s="1"/>
  <c r="F3977" i="5"/>
  <c r="G3977" i="5" s="1"/>
  <c r="F3976" i="5"/>
  <c r="G3976" i="5" s="1"/>
  <c r="F3975" i="5"/>
  <c r="G3975" i="5" s="1"/>
  <c r="F3974" i="5"/>
  <c r="G3974" i="5" s="1"/>
  <c r="F3973" i="5"/>
  <c r="G3973" i="5" s="1"/>
  <c r="F3972" i="5"/>
  <c r="G3972" i="5" s="1"/>
  <c r="F3971" i="5"/>
  <c r="G3971" i="5" s="1"/>
  <c r="F3970" i="5"/>
  <c r="G3970" i="5" s="1"/>
  <c r="F3969" i="5"/>
  <c r="G3969" i="5" s="1"/>
  <c r="F3968" i="5"/>
  <c r="G3968" i="5" s="1"/>
  <c r="F3967" i="5"/>
  <c r="G3967" i="5" s="1"/>
  <c r="F3966" i="5"/>
  <c r="G3966" i="5" s="1"/>
  <c r="F3965" i="5"/>
  <c r="G3965" i="5" s="1"/>
  <c r="F3964" i="5"/>
  <c r="G3964" i="5" s="1"/>
  <c r="F3963" i="5"/>
  <c r="G3963" i="5" s="1"/>
  <c r="F3962" i="5"/>
  <c r="G3962" i="5" s="1"/>
  <c r="F3961" i="5"/>
  <c r="G3961" i="5" s="1"/>
  <c r="F3960" i="5"/>
  <c r="G3960" i="5" s="1"/>
  <c r="F3959" i="5"/>
  <c r="G3959" i="5" s="1"/>
  <c r="F3958" i="5"/>
  <c r="G3958" i="5" s="1"/>
  <c r="F3957" i="5"/>
  <c r="G3957" i="5" s="1"/>
  <c r="F3956" i="5"/>
  <c r="G3956" i="5" s="1"/>
  <c r="F3955" i="5"/>
  <c r="G3955" i="5" s="1"/>
  <c r="F3954" i="5"/>
  <c r="G3954" i="5" s="1"/>
  <c r="F3953" i="5"/>
  <c r="G3953" i="5" s="1"/>
  <c r="F3952" i="5"/>
  <c r="G3952" i="5" s="1"/>
  <c r="F3951" i="5"/>
  <c r="G3951" i="5" s="1"/>
  <c r="F3950" i="5"/>
  <c r="G3950" i="5" s="1"/>
  <c r="F3949" i="5"/>
  <c r="G3949" i="5" s="1"/>
  <c r="F3948" i="5"/>
  <c r="G3948" i="5" s="1"/>
  <c r="F3947" i="5"/>
  <c r="G3947" i="5" s="1"/>
  <c r="F3946" i="5"/>
  <c r="G3946" i="5" s="1"/>
  <c r="F3945" i="5"/>
  <c r="G3945" i="5" s="1"/>
  <c r="F3944" i="5"/>
  <c r="G3944" i="5" s="1"/>
  <c r="F3943" i="5"/>
  <c r="G3943" i="5" s="1"/>
  <c r="F3942" i="5"/>
  <c r="G3942" i="5" s="1"/>
  <c r="F3941" i="5"/>
  <c r="G3941" i="5" s="1"/>
  <c r="F3940" i="5"/>
  <c r="G3940" i="5" s="1"/>
  <c r="F3939" i="5"/>
  <c r="G3939" i="5" s="1"/>
  <c r="F3938" i="5"/>
  <c r="G3938" i="5" s="1"/>
  <c r="F3937" i="5"/>
  <c r="G3937" i="5" s="1"/>
  <c r="F3936" i="5"/>
  <c r="G3936" i="5" s="1"/>
  <c r="F3935" i="5"/>
  <c r="G3935" i="5" s="1"/>
  <c r="F3934" i="5"/>
  <c r="G3934" i="5" s="1"/>
  <c r="F3933" i="5"/>
  <c r="G3933" i="5" s="1"/>
  <c r="F3932" i="5"/>
  <c r="G3932" i="5" s="1"/>
  <c r="F3931" i="5"/>
  <c r="G3931" i="5" s="1"/>
  <c r="F3930" i="5"/>
  <c r="G3930" i="5" s="1"/>
  <c r="F3929" i="5"/>
  <c r="G3929" i="5" s="1"/>
  <c r="F3928" i="5"/>
  <c r="G3928" i="5" s="1"/>
  <c r="F3927" i="5"/>
  <c r="G3927" i="5" s="1"/>
  <c r="F3926" i="5"/>
  <c r="G3926" i="5" s="1"/>
  <c r="F3925" i="5"/>
  <c r="G3925" i="5" s="1"/>
  <c r="F3924" i="5"/>
  <c r="G3924" i="5" s="1"/>
  <c r="F3923" i="5"/>
  <c r="G3923" i="5" s="1"/>
  <c r="F3922" i="5"/>
  <c r="G3922" i="5" s="1"/>
  <c r="F3921" i="5"/>
  <c r="G3921" i="5" s="1"/>
  <c r="F3920" i="5"/>
  <c r="G3920" i="5" s="1"/>
  <c r="F3919" i="5"/>
  <c r="G3919" i="5" s="1"/>
  <c r="F3918" i="5"/>
  <c r="G3918" i="5" s="1"/>
  <c r="F3917" i="5"/>
  <c r="G3917" i="5" s="1"/>
  <c r="F3916" i="5"/>
  <c r="G3916" i="5" s="1"/>
  <c r="F3915" i="5"/>
  <c r="G3915" i="5" s="1"/>
  <c r="F3914" i="5"/>
  <c r="G3914" i="5" s="1"/>
  <c r="F3913" i="5"/>
  <c r="G3913" i="5" s="1"/>
  <c r="F3912" i="5"/>
  <c r="G3912" i="5" s="1"/>
  <c r="F3911" i="5"/>
  <c r="G3911" i="5" s="1"/>
  <c r="F3910" i="5"/>
  <c r="G3910" i="5" s="1"/>
  <c r="F3909" i="5"/>
  <c r="G3909" i="5" s="1"/>
  <c r="F3908" i="5"/>
  <c r="G3908" i="5" s="1"/>
  <c r="F3907" i="5"/>
  <c r="G3907" i="5" s="1"/>
  <c r="F3906" i="5"/>
  <c r="G3906" i="5" s="1"/>
  <c r="F3905" i="5"/>
  <c r="G3905" i="5" s="1"/>
  <c r="F3904" i="5"/>
  <c r="G3904" i="5" s="1"/>
  <c r="F3903" i="5"/>
  <c r="G3903" i="5" s="1"/>
  <c r="F3902" i="5"/>
  <c r="G3902" i="5" s="1"/>
  <c r="F3901" i="5"/>
  <c r="G3901" i="5" s="1"/>
  <c r="F3900" i="5"/>
  <c r="G3900" i="5" s="1"/>
  <c r="F3899" i="5"/>
  <c r="G3899" i="5" s="1"/>
  <c r="F3898" i="5"/>
  <c r="G3898" i="5" s="1"/>
  <c r="F3897" i="5"/>
  <c r="G3897" i="5" s="1"/>
  <c r="F3896" i="5"/>
  <c r="G3896" i="5" s="1"/>
  <c r="F3895" i="5"/>
  <c r="G3895" i="5" s="1"/>
  <c r="F3894" i="5"/>
  <c r="G3894" i="5" s="1"/>
  <c r="F3893" i="5"/>
  <c r="G3893" i="5" s="1"/>
  <c r="F3892" i="5"/>
  <c r="G3892" i="5" s="1"/>
  <c r="F3891" i="5"/>
  <c r="G3891" i="5" s="1"/>
  <c r="F3890" i="5"/>
  <c r="G3890" i="5" s="1"/>
  <c r="F3889" i="5"/>
  <c r="G3889" i="5" s="1"/>
  <c r="F3888" i="5"/>
  <c r="G3888" i="5" s="1"/>
  <c r="F3887" i="5"/>
  <c r="G3887" i="5" s="1"/>
  <c r="F3886" i="5"/>
  <c r="G3886" i="5" s="1"/>
  <c r="F3885" i="5"/>
  <c r="G3885" i="5" s="1"/>
  <c r="F3884" i="5"/>
  <c r="G3884" i="5" s="1"/>
  <c r="F3883" i="5"/>
  <c r="G3883" i="5" s="1"/>
  <c r="F3882" i="5"/>
  <c r="G3882" i="5" s="1"/>
  <c r="F3881" i="5"/>
  <c r="G3881" i="5" s="1"/>
  <c r="F3880" i="5"/>
  <c r="G3880" i="5" s="1"/>
  <c r="F3879" i="5"/>
  <c r="G3879" i="5" s="1"/>
  <c r="F3878" i="5"/>
  <c r="G3878" i="5" s="1"/>
  <c r="F3877" i="5"/>
  <c r="G3877" i="5" s="1"/>
  <c r="F3876" i="5"/>
  <c r="G3876" i="5" s="1"/>
  <c r="F3875" i="5"/>
  <c r="G3875" i="5" s="1"/>
  <c r="F3874" i="5"/>
  <c r="G3874" i="5" s="1"/>
  <c r="F3873" i="5"/>
  <c r="G3873" i="5" s="1"/>
  <c r="F3872" i="5"/>
  <c r="G3872" i="5" s="1"/>
  <c r="F3871" i="5"/>
  <c r="G3871" i="5" s="1"/>
  <c r="F3870" i="5"/>
  <c r="G3870" i="5" s="1"/>
  <c r="F3869" i="5"/>
  <c r="G3869" i="5" s="1"/>
  <c r="F3868" i="5"/>
  <c r="G3868" i="5" s="1"/>
  <c r="F3867" i="5"/>
  <c r="G3867" i="5" s="1"/>
  <c r="F3866" i="5"/>
  <c r="G3866" i="5" s="1"/>
  <c r="F3865" i="5"/>
  <c r="G3865" i="5" s="1"/>
  <c r="F3864" i="5"/>
  <c r="G3864" i="5" s="1"/>
  <c r="F3863" i="5"/>
  <c r="G3863" i="5" s="1"/>
  <c r="F3862" i="5"/>
  <c r="G3862" i="5" s="1"/>
  <c r="F3861" i="5"/>
  <c r="G3861" i="5" s="1"/>
  <c r="F3860" i="5"/>
  <c r="G3860" i="5" s="1"/>
  <c r="F3859" i="5"/>
  <c r="G3859" i="5" s="1"/>
  <c r="F3858" i="5"/>
  <c r="G3858" i="5" s="1"/>
  <c r="F3857" i="5"/>
  <c r="G3857" i="5" s="1"/>
  <c r="F3856" i="5"/>
  <c r="G3856" i="5" s="1"/>
  <c r="F3855" i="5"/>
  <c r="G3855" i="5" s="1"/>
  <c r="F3854" i="5"/>
  <c r="G3854" i="5" s="1"/>
  <c r="F3853" i="5"/>
  <c r="G3853" i="5" s="1"/>
  <c r="F3852" i="5"/>
  <c r="G3852" i="5" s="1"/>
  <c r="F3851" i="5"/>
  <c r="G3851" i="5" s="1"/>
  <c r="F3850" i="5"/>
  <c r="G3850" i="5" s="1"/>
  <c r="F3849" i="5"/>
  <c r="G3849" i="5" s="1"/>
  <c r="F3848" i="5"/>
  <c r="G3848" i="5" s="1"/>
  <c r="F3847" i="5"/>
  <c r="G3847" i="5" s="1"/>
  <c r="F3846" i="5"/>
  <c r="G3846" i="5" s="1"/>
  <c r="F3845" i="5"/>
  <c r="G3845" i="5" s="1"/>
  <c r="F3844" i="5"/>
  <c r="G3844" i="5" s="1"/>
  <c r="F3843" i="5"/>
  <c r="G3843" i="5" s="1"/>
  <c r="F3842" i="5"/>
  <c r="G3842" i="5" s="1"/>
  <c r="F3841" i="5"/>
  <c r="G3841" i="5" s="1"/>
  <c r="F3840" i="5"/>
  <c r="G3840" i="5" s="1"/>
  <c r="F3839" i="5"/>
  <c r="G3839" i="5" s="1"/>
  <c r="F3838" i="5"/>
  <c r="G3838" i="5" s="1"/>
  <c r="F3837" i="5"/>
  <c r="G3837" i="5" s="1"/>
  <c r="F3836" i="5"/>
  <c r="G3836" i="5" s="1"/>
  <c r="F3835" i="5"/>
  <c r="G3835" i="5" s="1"/>
  <c r="F3834" i="5"/>
  <c r="G3834" i="5" s="1"/>
  <c r="F3833" i="5"/>
  <c r="G3833" i="5" s="1"/>
  <c r="F3832" i="5"/>
  <c r="G3832" i="5" s="1"/>
  <c r="F3831" i="5"/>
  <c r="G3831" i="5" s="1"/>
  <c r="F3830" i="5"/>
  <c r="G3830" i="5" s="1"/>
  <c r="F3829" i="5"/>
  <c r="G3829" i="5" s="1"/>
  <c r="F3828" i="5"/>
  <c r="G3828" i="5" s="1"/>
  <c r="F3827" i="5"/>
  <c r="G3827" i="5" s="1"/>
  <c r="F3826" i="5"/>
  <c r="G3826" i="5" s="1"/>
  <c r="F3825" i="5"/>
  <c r="G3825" i="5" s="1"/>
  <c r="F3824" i="5"/>
  <c r="G3824" i="5" s="1"/>
  <c r="F3823" i="5"/>
  <c r="G3823" i="5" s="1"/>
  <c r="F3822" i="5"/>
  <c r="G3822" i="5" s="1"/>
  <c r="F3821" i="5"/>
  <c r="G3821" i="5" s="1"/>
  <c r="F3820" i="5"/>
  <c r="G3820" i="5" s="1"/>
  <c r="F3819" i="5"/>
  <c r="G3819" i="5" s="1"/>
  <c r="F3818" i="5"/>
  <c r="G3818" i="5" s="1"/>
  <c r="F3817" i="5"/>
  <c r="G3817" i="5" s="1"/>
  <c r="F3816" i="5"/>
  <c r="G3816" i="5" s="1"/>
  <c r="F3815" i="5"/>
  <c r="G3815" i="5" s="1"/>
  <c r="F3814" i="5"/>
  <c r="G3814" i="5" s="1"/>
  <c r="F3813" i="5"/>
  <c r="G3813" i="5" s="1"/>
  <c r="F3812" i="5"/>
  <c r="G3812" i="5" s="1"/>
  <c r="F3811" i="5"/>
  <c r="G3811" i="5" s="1"/>
  <c r="F3810" i="5"/>
  <c r="G3810" i="5" s="1"/>
  <c r="F3809" i="5"/>
  <c r="G3809" i="5" s="1"/>
  <c r="F3808" i="5"/>
  <c r="G3808" i="5" s="1"/>
  <c r="F3807" i="5"/>
  <c r="G3807" i="5" s="1"/>
  <c r="F3806" i="5"/>
  <c r="G3806" i="5" s="1"/>
  <c r="F3805" i="5"/>
  <c r="G3805" i="5" s="1"/>
  <c r="F3804" i="5"/>
  <c r="G3804" i="5" s="1"/>
  <c r="F3803" i="5"/>
  <c r="G3803" i="5" s="1"/>
  <c r="F3802" i="5"/>
  <c r="G3802" i="5" s="1"/>
  <c r="F3801" i="5"/>
  <c r="G3801" i="5" s="1"/>
  <c r="F3800" i="5"/>
  <c r="G3800" i="5" s="1"/>
  <c r="F3799" i="5"/>
  <c r="G3799" i="5" s="1"/>
  <c r="F3798" i="5"/>
  <c r="G3798" i="5" s="1"/>
  <c r="F3797" i="5"/>
  <c r="G3797" i="5" s="1"/>
  <c r="F3796" i="5"/>
  <c r="G3796" i="5" s="1"/>
  <c r="F3795" i="5"/>
  <c r="G3795" i="5" s="1"/>
  <c r="F3794" i="5"/>
  <c r="G3794" i="5" s="1"/>
  <c r="F3793" i="5"/>
  <c r="G3793" i="5" s="1"/>
  <c r="F3792" i="5"/>
  <c r="G3792" i="5" s="1"/>
  <c r="F3791" i="5"/>
  <c r="G3791" i="5" s="1"/>
  <c r="F3790" i="5"/>
  <c r="G3790" i="5" s="1"/>
  <c r="F3789" i="5"/>
  <c r="G3789" i="5" s="1"/>
  <c r="F3788" i="5"/>
  <c r="G3788" i="5" s="1"/>
  <c r="F3787" i="5"/>
  <c r="G3787" i="5" s="1"/>
  <c r="F3786" i="5"/>
  <c r="G3786" i="5" s="1"/>
  <c r="F3785" i="5"/>
  <c r="G3785" i="5" s="1"/>
  <c r="F3784" i="5"/>
  <c r="G3784" i="5" s="1"/>
  <c r="F3783" i="5"/>
  <c r="G3783" i="5" s="1"/>
  <c r="F3782" i="5"/>
  <c r="G3782" i="5" s="1"/>
  <c r="F3781" i="5"/>
  <c r="G3781" i="5" s="1"/>
  <c r="F3780" i="5"/>
  <c r="G3780" i="5" s="1"/>
  <c r="F3779" i="5"/>
  <c r="G3779" i="5" s="1"/>
  <c r="F3778" i="5"/>
  <c r="G3778" i="5" s="1"/>
  <c r="F3777" i="5"/>
  <c r="G3777" i="5" s="1"/>
  <c r="F3776" i="5"/>
  <c r="G3776" i="5" s="1"/>
  <c r="F3775" i="5"/>
  <c r="G3775" i="5" s="1"/>
  <c r="F3774" i="5"/>
  <c r="G3774" i="5" s="1"/>
  <c r="F3773" i="5"/>
  <c r="G3773" i="5" s="1"/>
  <c r="F3772" i="5"/>
  <c r="G3772" i="5" s="1"/>
  <c r="F3771" i="5"/>
  <c r="G3771" i="5" s="1"/>
  <c r="F3770" i="5"/>
  <c r="G3770" i="5" s="1"/>
  <c r="F3769" i="5"/>
  <c r="G3769" i="5" s="1"/>
  <c r="F3768" i="5"/>
  <c r="G3768" i="5" s="1"/>
  <c r="F3767" i="5"/>
  <c r="G3767" i="5" s="1"/>
  <c r="F3766" i="5"/>
  <c r="G3766" i="5" s="1"/>
  <c r="F3765" i="5"/>
  <c r="G3765" i="5" s="1"/>
  <c r="F3764" i="5"/>
  <c r="G3764" i="5" s="1"/>
  <c r="F3763" i="5"/>
  <c r="G3763" i="5" s="1"/>
  <c r="F3762" i="5"/>
  <c r="G3762" i="5" s="1"/>
  <c r="F3761" i="5"/>
  <c r="G3761" i="5" s="1"/>
  <c r="F3760" i="5"/>
  <c r="G3760" i="5" s="1"/>
  <c r="F3759" i="5"/>
  <c r="G3759" i="5" s="1"/>
  <c r="F3758" i="5"/>
  <c r="G3758" i="5" s="1"/>
  <c r="F3757" i="5"/>
  <c r="G3757" i="5" s="1"/>
  <c r="F3756" i="5"/>
  <c r="G3756" i="5" s="1"/>
  <c r="F3755" i="5"/>
  <c r="G3755" i="5" s="1"/>
  <c r="F3754" i="5"/>
  <c r="G3754" i="5" s="1"/>
  <c r="F3753" i="5"/>
  <c r="G3753" i="5" s="1"/>
  <c r="F3752" i="5"/>
  <c r="G3752" i="5" s="1"/>
  <c r="F3751" i="5"/>
  <c r="G3751" i="5" s="1"/>
  <c r="F3750" i="5"/>
  <c r="G3750" i="5" s="1"/>
  <c r="F3749" i="5"/>
  <c r="G3749" i="5" s="1"/>
  <c r="F3748" i="5"/>
  <c r="G3748" i="5" s="1"/>
  <c r="F3747" i="5"/>
  <c r="G3747" i="5" s="1"/>
  <c r="F3746" i="5"/>
  <c r="G3746" i="5" s="1"/>
  <c r="F3745" i="5"/>
  <c r="G3745" i="5" s="1"/>
  <c r="F3744" i="5"/>
  <c r="G3744" i="5" s="1"/>
  <c r="F3743" i="5"/>
  <c r="G3743" i="5" s="1"/>
  <c r="F3742" i="5"/>
  <c r="G3742" i="5" s="1"/>
  <c r="F3741" i="5"/>
  <c r="G3741" i="5" s="1"/>
  <c r="F3740" i="5"/>
  <c r="G3740" i="5" s="1"/>
  <c r="F3739" i="5"/>
  <c r="G3739" i="5" s="1"/>
  <c r="F3738" i="5"/>
  <c r="G3738" i="5" s="1"/>
  <c r="F3737" i="5"/>
  <c r="G3737" i="5" s="1"/>
  <c r="F3736" i="5"/>
  <c r="G3736" i="5" s="1"/>
  <c r="F3735" i="5"/>
  <c r="G3735" i="5" s="1"/>
  <c r="F3734" i="5"/>
  <c r="G3734" i="5" s="1"/>
  <c r="F3733" i="5"/>
  <c r="G3733" i="5" s="1"/>
  <c r="F3732" i="5"/>
  <c r="G3732" i="5" s="1"/>
  <c r="F3731" i="5"/>
  <c r="G3731" i="5" s="1"/>
  <c r="F3730" i="5"/>
  <c r="G3730" i="5" s="1"/>
  <c r="F3729" i="5"/>
  <c r="G3729" i="5" s="1"/>
  <c r="F3728" i="5"/>
  <c r="G3728" i="5" s="1"/>
  <c r="F3727" i="5"/>
  <c r="G3727" i="5" s="1"/>
  <c r="F3726" i="5"/>
  <c r="G3726" i="5" s="1"/>
  <c r="F3725" i="5"/>
  <c r="G3725" i="5" s="1"/>
  <c r="F3724" i="5"/>
  <c r="G3724" i="5" s="1"/>
  <c r="F3723" i="5"/>
  <c r="G3723" i="5" s="1"/>
  <c r="F3722" i="5"/>
  <c r="G3722" i="5" s="1"/>
  <c r="F3721" i="5"/>
  <c r="G3721" i="5" s="1"/>
  <c r="F3720" i="5"/>
  <c r="G3720" i="5" s="1"/>
  <c r="F3719" i="5"/>
  <c r="G3719" i="5" s="1"/>
  <c r="F3718" i="5"/>
  <c r="G3718" i="5" s="1"/>
  <c r="F3717" i="5"/>
  <c r="G3717" i="5" s="1"/>
  <c r="F3716" i="5"/>
  <c r="G3716" i="5" s="1"/>
  <c r="F3715" i="5"/>
  <c r="G3715" i="5" s="1"/>
  <c r="F3714" i="5"/>
  <c r="G3714" i="5" s="1"/>
  <c r="F3713" i="5"/>
  <c r="G3713" i="5" s="1"/>
  <c r="F3712" i="5"/>
  <c r="G3712" i="5" s="1"/>
  <c r="F3711" i="5"/>
  <c r="G3711" i="5" s="1"/>
  <c r="F3710" i="5"/>
  <c r="G3710" i="5" s="1"/>
  <c r="F3709" i="5"/>
  <c r="G3709" i="5" s="1"/>
  <c r="F3708" i="5"/>
  <c r="G3708" i="5" s="1"/>
  <c r="F3707" i="5"/>
  <c r="G3707" i="5" s="1"/>
  <c r="F3706" i="5"/>
  <c r="G3706" i="5" s="1"/>
  <c r="F3705" i="5"/>
  <c r="G3705" i="5" s="1"/>
  <c r="F3704" i="5"/>
  <c r="G3704" i="5" s="1"/>
  <c r="F3703" i="5"/>
  <c r="G3703" i="5" s="1"/>
  <c r="F3702" i="5"/>
  <c r="G3702" i="5" s="1"/>
  <c r="F3701" i="5"/>
  <c r="G3701" i="5" s="1"/>
  <c r="F3700" i="5"/>
  <c r="G3700" i="5" s="1"/>
  <c r="F3699" i="5"/>
  <c r="G3699" i="5" s="1"/>
  <c r="F3698" i="5"/>
  <c r="G3698" i="5" s="1"/>
  <c r="F3697" i="5"/>
  <c r="G3697" i="5" s="1"/>
  <c r="F3696" i="5"/>
  <c r="G3696" i="5" s="1"/>
  <c r="F3695" i="5"/>
  <c r="G3695" i="5" s="1"/>
  <c r="F3694" i="5"/>
  <c r="G3694" i="5" s="1"/>
  <c r="F3693" i="5"/>
  <c r="G3693" i="5" s="1"/>
  <c r="F3692" i="5"/>
  <c r="G3692" i="5" s="1"/>
  <c r="F3691" i="5"/>
  <c r="G3691" i="5" s="1"/>
  <c r="F3690" i="5"/>
  <c r="G3690" i="5" s="1"/>
  <c r="F3689" i="5"/>
  <c r="G3689" i="5" s="1"/>
  <c r="F3688" i="5"/>
  <c r="G3688" i="5" s="1"/>
  <c r="F3687" i="5"/>
  <c r="G3687" i="5" s="1"/>
  <c r="F3686" i="5"/>
  <c r="G3686" i="5" s="1"/>
  <c r="F3685" i="5"/>
  <c r="G3685" i="5" s="1"/>
  <c r="F3684" i="5"/>
  <c r="G3684" i="5" s="1"/>
  <c r="F3683" i="5"/>
  <c r="G3683" i="5" s="1"/>
  <c r="F3682" i="5"/>
  <c r="G3682" i="5" s="1"/>
  <c r="F3681" i="5"/>
  <c r="G3681" i="5" s="1"/>
  <c r="F3680" i="5"/>
  <c r="G3680" i="5" s="1"/>
  <c r="F3679" i="5"/>
  <c r="G3679" i="5" s="1"/>
  <c r="F3678" i="5"/>
  <c r="G3678" i="5" s="1"/>
  <c r="F3677" i="5"/>
  <c r="G3677" i="5" s="1"/>
  <c r="F3676" i="5"/>
  <c r="G3676" i="5" s="1"/>
  <c r="F3675" i="5"/>
  <c r="G3675" i="5" s="1"/>
  <c r="F3674" i="5"/>
  <c r="G3674" i="5" s="1"/>
  <c r="F3673" i="5"/>
  <c r="G3673" i="5" s="1"/>
  <c r="F3672" i="5"/>
  <c r="G3672" i="5" s="1"/>
  <c r="F3671" i="5"/>
  <c r="G3671" i="5" s="1"/>
  <c r="F3670" i="5"/>
  <c r="G3670" i="5" s="1"/>
  <c r="F3669" i="5"/>
  <c r="G3669" i="5" s="1"/>
  <c r="F3668" i="5"/>
  <c r="G3668" i="5" s="1"/>
  <c r="F3667" i="5"/>
  <c r="G3667" i="5" s="1"/>
  <c r="F3666" i="5"/>
  <c r="G3666" i="5" s="1"/>
  <c r="F3665" i="5"/>
  <c r="G3665" i="5" s="1"/>
  <c r="F3664" i="5"/>
  <c r="G3664" i="5" s="1"/>
  <c r="F3663" i="5"/>
  <c r="G3663" i="5" s="1"/>
  <c r="F3662" i="5"/>
  <c r="G3662" i="5" s="1"/>
  <c r="F3661" i="5"/>
  <c r="G3661" i="5" s="1"/>
  <c r="F3660" i="5"/>
  <c r="G3660" i="5" s="1"/>
  <c r="F3659" i="5"/>
  <c r="G3659" i="5" s="1"/>
  <c r="F3658" i="5"/>
  <c r="G3658" i="5" s="1"/>
  <c r="F3657" i="5"/>
  <c r="G3657" i="5" s="1"/>
  <c r="F3656" i="5"/>
  <c r="G3656" i="5" s="1"/>
  <c r="F3655" i="5"/>
  <c r="G3655" i="5" s="1"/>
  <c r="F3654" i="5"/>
  <c r="G3654" i="5" s="1"/>
  <c r="F3653" i="5"/>
  <c r="G3653" i="5" s="1"/>
  <c r="F3652" i="5"/>
  <c r="G3652" i="5" s="1"/>
  <c r="F3651" i="5"/>
  <c r="G3651" i="5" s="1"/>
  <c r="F3650" i="5"/>
  <c r="G3650" i="5" s="1"/>
  <c r="F3649" i="5"/>
  <c r="G3649" i="5" s="1"/>
  <c r="F3648" i="5"/>
  <c r="G3648" i="5" s="1"/>
  <c r="F3647" i="5"/>
  <c r="G3647" i="5" s="1"/>
  <c r="F3646" i="5"/>
  <c r="G3646" i="5" s="1"/>
  <c r="F3645" i="5"/>
  <c r="G3645" i="5" s="1"/>
  <c r="F3644" i="5"/>
  <c r="G3644" i="5" s="1"/>
  <c r="F3643" i="5"/>
  <c r="G3643" i="5" s="1"/>
  <c r="F3642" i="5"/>
  <c r="G3642" i="5" s="1"/>
  <c r="F3641" i="5"/>
  <c r="G3641" i="5" s="1"/>
  <c r="F3640" i="5"/>
  <c r="G3640" i="5" s="1"/>
  <c r="F3639" i="5"/>
  <c r="G3639" i="5" s="1"/>
  <c r="F3638" i="5"/>
  <c r="G3638" i="5" s="1"/>
  <c r="F3637" i="5"/>
  <c r="G3637" i="5" s="1"/>
  <c r="F3636" i="5"/>
  <c r="G3636" i="5" s="1"/>
  <c r="F3635" i="5"/>
  <c r="G3635" i="5" s="1"/>
  <c r="F3634" i="5"/>
  <c r="G3634" i="5" s="1"/>
  <c r="F3633" i="5"/>
  <c r="G3633" i="5" s="1"/>
  <c r="F3632" i="5"/>
  <c r="G3632" i="5" s="1"/>
  <c r="F3631" i="5"/>
  <c r="G3631" i="5" s="1"/>
  <c r="F3630" i="5"/>
  <c r="G3630" i="5" s="1"/>
  <c r="F3629" i="5"/>
  <c r="G3629" i="5" s="1"/>
  <c r="F3628" i="5"/>
  <c r="G3628" i="5" s="1"/>
  <c r="F3627" i="5"/>
  <c r="G3627" i="5" s="1"/>
  <c r="F3626" i="5"/>
  <c r="G3626" i="5" s="1"/>
  <c r="F3625" i="5"/>
  <c r="G3625" i="5" s="1"/>
  <c r="F3624" i="5"/>
  <c r="G3624" i="5" s="1"/>
  <c r="F3623" i="5"/>
  <c r="G3623" i="5" s="1"/>
  <c r="F3622" i="5"/>
  <c r="G3622" i="5" s="1"/>
  <c r="F3621" i="5"/>
  <c r="G3621" i="5" s="1"/>
  <c r="F3620" i="5"/>
  <c r="G3620" i="5" s="1"/>
  <c r="F3619" i="5"/>
  <c r="G3619" i="5" s="1"/>
  <c r="F3618" i="5"/>
  <c r="G3618" i="5" s="1"/>
  <c r="F3617" i="5"/>
  <c r="G3617" i="5" s="1"/>
  <c r="F3616" i="5"/>
  <c r="G3616" i="5" s="1"/>
  <c r="F3615" i="5"/>
  <c r="G3615" i="5" s="1"/>
  <c r="F3614" i="5"/>
  <c r="G3614" i="5" s="1"/>
  <c r="F3613" i="5"/>
  <c r="G3613" i="5" s="1"/>
  <c r="F3612" i="5"/>
  <c r="G3612" i="5" s="1"/>
  <c r="F3611" i="5"/>
  <c r="G3611" i="5" s="1"/>
  <c r="F3610" i="5"/>
  <c r="G3610" i="5" s="1"/>
  <c r="F3609" i="5"/>
  <c r="G3609" i="5" s="1"/>
  <c r="F3608" i="5"/>
  <c r="G3608" i="5" s="1"/>
  <c r="F3607" i="5"/>
  <c r="G3607" i="5" s="1"/>
  <c r="F3606" i="5"/>
  <c r="G3606" i="5" s="1"/>
  <c r="F3605" i="5"/>
  <c r="G3605" i="5" s="1"/>
  <c r="F3604" i="5"/>
  <c r="G3604" i="5" s="1"/>
  <c r="F3603" i="5"/>
  <c r="G3603" i="5" s="1"/>
  <c r="F3602" i="5"/>
  <c r="G3602" i="5" s="1"/>
  <c r="F3601" i="5"/>
  <c r="G3601" i="5" s="1"/>
  <c r="F3600" i="5"/>
  <c r="G3600" i="5" s="1"/>
  <c r="F3599" i="5"/>
  <c r="G3599" i="5" s="1"/>
  <c r="F3598" i="5"/>
  <c r="G3598" i="5" s="1"/>
  <c r="F3597" i="5"/>
  <c r="G3597" i="5" s="1"/>
  <c r="F3596" i="5"/>
  <c r="G3596" i="5" s="1"/>
  <c r="F3595" i="5"/>
  <c r="G3595" i="5" s="1"/>
  <c r="F3594" i="5"/>
  <c r="G3594" i="5" s="1"/>
  <c r="F3593" i="5"/>
  <c r="G3593" i="5" s="1"/>
  <c r="F3592" i="5"/>
  <c r="G3592" i="5" s="1"/>
  <c r="F3591" i="5"/>
  <c r="G3591" i="5" s="1"/>
  <c r="F3590" i="5"/>
  <c r="G3590" i="5" s="1"/>
  <c r="F3589" i="5"/>
  <c r="G3589" i="5" s="1"/>
  <c r="F3588" i="5"/>
  <c r="G3588" i="5" s="1"/>
  <c r="F3587" i="5"/>
  <c r="G3587" i="5" s="1"/>
  <c r="F3586" i="5"/>
  <c r="G3586" i="5" s="1"/>
  <c r="F3585" i="5"/>
  <c r="G3585" i="5" s="1"/>
  <c r="F3584" i="5"/>
  <c r="G3584" i="5" s="1"/>
  <c r="F3583" i="5"/>
  <c r="G3583" i="5" s="1"/>
  <c r="F3582" i="5"/>
  <c r="G3582" i="5" s="1"/>
  <c r="F3581" i="5"/>
  <c r="G3581" i="5" s="1"/>
  <c r="F3580" i="5"/>
  <c r="G3580" i="5" s="1"/>
  <c r="F3579" i="5"/>
  <c r="G3579" i="5" s="1"/>
  <c r="F3578" i="5"/>
  <c r="G3578" i="5" s="1"/>
  <c r="F3577" i="5"/>
  <c r="G3577" i="5" s="1"/>
  <c r="F3576" i="5"/>
  <c r="G3576" i="5" s="1"/>
  <c r="F3575" i="5"/>
  <c r="G3575" i="5" s="1"/>
  <c r="F3574" i="5"/>
  <c r="G3574" i="5" s="1"/>
  <c r="F3573" i="5"/>
  <c r="G3573" i="5" s="1"/>
  <c r="F3572" i="5"/>
  <c r="G3572" i="5" s="1"/>
  <c r="F3571" i="5"/>
  <c r="G3571" i="5" s="1"/>
  <c r="F3570" i="5"/>
  <c r="G3570" i="5" s="1"/>
  <c r="F3569" i="5"/>
  <c r="G3569" i="5" s="1"/>
  <c r="F3568" i="5"/>
  <c r="G3568" i="5" s="1"/>
  <c r="F3567" i="5"/>
  <c r="G3567" i="5" s="1"/>
  <c r="F3566" i="5"/>
  <c r="G3566" i="5" s="1"/>
  <c r="F3565" i="5"/>
  <c r="G3565" i="5" s="1"/>
  <c r="F3564" i="5"/>
  <c r="G3564" i="5" s="1"/>
  <c r="F3563" i="5"/>
  <c r="G3563" i="5" s="1"/>
  <c r="F3562" i="5"/>
  <c r="G3562" i="5" s="1"/>
  <c r="F3561" i="5"/>
  <c r="G3561" i="5" s="1"/>
  <c r="F3560" i="5"/>
  <c r="G3560" i="5" s="1"/>
  <c r="F3559" i="5"/>
  <c r="G3559" i="5" s="1"/>
  <c r="F3558" i="5"/>
  <c r="G3558" i="5" s="1"/>
  <c r="F3557" i="5"/>
  <c r="G3557" i="5" s="1"/>
  <c r="F3556" i="5"/>
  <c r="G3556" i="5" s="1"/>
  <c r="F3555" i="5"/>
  <c r="G3555" i="5" s="1"/>
  <c r="F3554" i="5"/>
  <c r="G3554" i="5" s="1"/>
  <c r="F3553" i="5"/>
  <c r="G3553" i="5" s="1"/>
  <c r="F3552" i="5"/>
  <c r="G3552" i="5" s="1"/>
  <c r="F3551" i="5"/>
  <c r="G3551" i="5" s="1"/>
  <c r="F3550" i="5"/>
  <c r="G3550" i="5" s="1"/>
  <c r="F3549" i="5"/>
  <c r="G3549" i="5" s="1"/>
  <c r="F3548" i="5"/>
  <c r="G3548" i="5" s="1"/>
  <c r="F3547" i="5"/>
  <c r="G3547" i="5" s="1"/>
  <c r="F3546" i="5"/>
  <c r="G3546" i="5" s="1"/>
  <c r="F3545" i="5"/>
  <c r="G3545" i="5" s="1"/>
  <c r="F3544" i="5"/>
  <c r="G3544" i="5" s="1"/>
  <c r="F3543" i="5"/>
  <c r="G3543" i="5" s="1"/>
  <c r="F3542" i="5"/>
  <c r="G3542" i="5" s="1"/>
  <c r="F3541" i="5"/>
  <c r="G3541" i="5" s="1"/>
  <c r="F3540" i="5"/>
  <c r="G3540" i="5" s="1"/>
  <c r="F3539" i="5"/>
  <c r="G3539" i="5" s="1"/>
  <c r="F3538" i="5"/>
  <c r="G3538" i="5" s="1"/>
  <c r="F3537" i="5"/>
  <c r="G3537" i="5" s="1"/>
  <c r="F3536" i="5"/>
  <c r="G3536" i="5" s="1"/>
  <c r="F3535" i="5"/>
  <c r="G3535" i="5" s="1"/>
  <c r="F3534" i="5"/>
  <c r="G3534" i="5" s="1"/>
  <c r="F3533" i="5"/>
  <c r="G3533" i="5" s="1"/>
  <c r="F3532" i="5"/>
  <c r="G3532" i="5" s="1"/>
  <c r="F3531" i="5"/>
  <c r="G3531" i="5" s="1"/>
  <c r="F3530" i="5"/>
  <c r="G3530" i="5" s="1"/>
  <c r="F3529" i="5"/>
  <c r="G3529" i="5" s="1"/>
  <c r="F3528" i="5"/>
  <c r="G3528" i="5" s="1"/>
  <c r="F3527" i="5"/>
  <c r="G3527" i="5" s="1"/>
  <c r="F3526" i="5"/>
  <c r="G3526" i="5" s="1"/>
  <c r="F3525" i="5"/>
  <c r="G3525" i="5" s="1"/>
  <c r="F3524" i="5"/>
  <c r="G3524" i="5" s="1"/>
  <c r="F3523" i="5"/>
  <c r="G3523" i="5" s="1"/>
  <c r="F3522" i="5"/>
  <c r="G3522" i="5" s="1"/>
  <c r="F3521" i="5"/>
  <c r="G3521" i="5" s="1"/>
  <c r="F3520" i="5"/>
  <c r="G3520" i="5" s="1"/>
  <c r="F3519" i="5"/>
  <c r="G3519" i="5" s="1"/>
  <c r="F3518" i="5"/>
  <c r="G3518" i="5" s="1"/>
  <c r="F3517" i="5"/>
  <c r="G3517" i="5" s="1"/>
  <c r="F3516" i="5"/>
  <c r="G3516" i="5" s="1"/>
  <c r="F3515" i="5"/>
  <c r="G3515" i="5" s="1"/>
  <c r="F3514" i="5"/>
  <c r="G3514" i="5" s="1"/>
  <c r="F3513" i="5"/>
  <c r="G3513" i="5" s="1"/>
  <c r="F3512" i="5"/>
  <c r="G3512" i="5" s="1"/>
  <c r="F3511" i="5"/>
  <c r="G3511" i="5" s="1"/>
  <c r="F3510" i="5"/>
  <c r="G3510" i="5" s="1"/>
  <c r="F3509" i="5"/>
  <c r="G3509" i="5" s="1"/>
  <c r="F3508" i="5"/>
  <c r="G3508" i="5" s="1"/>
  <c r="F3507" i="5"/>
  <c r="G3507" i="5" s="1"/>
  <c r="F3506" i="5"/>
  <c r="G3506" i="5" s="1"/>
  <c r="F3505" i="5"/>
  <c r="G3505" i="5" s="1"/>
  <c r="F3504" i="5"/>
  <c r="G3504" i="5" s="1"/>
  <c r="F3503" i="5"/>
  <c r="G3503" i="5" s="1"/>
  <c r="F3502" i="5"/>
  <c r="G3502" i="5" s="1"/>
  <c r="F3501" i="5"/>
  <c r="G3501" i="5" s="1"/>
  <c r="F3500" i="5"/>
  <c r="G3500" i="5" s="1"/>
  <c r="F3499" i="5"/>
  <c r="G3499" i="5" s="1"/>
  <c r="F3498" i="5"/>
  <c r="G3498" i="5" s="1"/>
  <c r="F3497" i="5"/>
  <c r="G3497" i="5" s="1"/>
  <c r="F3496" i="5"/>
  <c r="G3496" i="5" s="1"/>
  <c r="F3495" i="5"/>
  <c r="G3495" i="5" s="1"/>
  <c r="F3494" i="5"/>
  <c r="G3494" i="5" s="1"/>
  <c r="F3493" i="5"/>
  <c r="G3493" i="5" s="1"/>
  <c r="F3492" i="5"/>
  <c r="G3492" i="5" s="1"/>
  <c r="F3491" i="5"/>
  <c r="G3491" i="5" s="1"/>
  <c r="F3490" i="5"/>
  <c r="G3490" i="5" s="1"/>
  <c r="F3489" i="5"/>
  <c r="G3489" i="5" s="1"/>
  <c r="F3488" i="5"/>
  <c r="G3488" i="5" s="1"/>
  <c r="F3487" i="5"/>
  <c r="G3487" i="5" s="1"/>
  <c r="F3486" i="5"/>
  <c r="G3486" i="5" s="1"/>
  <c r="F3485" i="5"/>
  <c r="G3485" i="5" s="1"/>
  <c r="F3484" i="5"/>
  <c r="G3484" i="5" s="1"/>
  <c r="F3483" i="5"/>
  <c r="G3483" i="5" s="1"/>
  <c r="F3482" i="5"/>
  <c r="G3482" i="5" s="1"/>
  <c r="F3481" i="5"/>
  <c r="G3481" i="5" s="1"/>
  <c r="F3480" i="5"/>
  <c r="G3480" i="5" s="1"/>
  <c r="F3479" i="5"/>
  <c r="G3479" i="5" s="1"/>
  <c r="F3478" i="5"/>
  <c r="G3478" i="5" s="1"/>
  <c r="F3477" i="5"/>
  <c r="G3477" i="5" s="1"/>
  <c r="F3476" i="5"/>
  <c r="G3476" i="5" s="1"/>
  <c r="F3475" i="5"/>
  <c r="G3475" i="5" s="1"/>
  <c r="F3474" i="5"/>
  <c r="G3474" i="5" s="1"/>
  <c r="F3473" i="5"/>
  <c r="G3473" i="5" s="1"/>
  <c r="F3472" i="5"/>
  <c r="G3472" i="5" s="1"/>
  <c r="F3471" i="5"/>
  <c r="G3471" i="5" s="1"/>
  <c r="F3470" i="5"/>
  <c r="G3470" i="5" s="1"/>
  <c r="F3469" i="5"/>
  <c r="G3469" i="5" s="1"/>
  <c r="F3468" i="5"/>
  <c r="G3468" i="5" s="1"/>
  <c r="F3467" i="5"/>
  <c r="G3467" i="5" s="1"/>
  <c r="F3466" i="5"/>
  <c r="G3466" i="5" s="1"/>
  <c r="F3465" i="5"/>
  <c r="G3465" i="5" s="1"/>
  <c r="F3464" i="5"/>
  <c r="G3464" i="5" s="1"/>
  <c r="F3463" i="5"/>
  <c r="G3463" i="5" s="1"/>
  <c r="F3462" i="5"/>
  <c r="G3462" i="5" s="1"/>
  <c r="F3461" i="5"/>
  <c r="G3461" i="5" s="1"/>
  <c r="F3460" i="5"/>
  <c r="G3460" i="5" s="1"/>
  <c r="F3459" i="5"/>
  <c r="G3459" i="5" s="1"/>
  <c r="F3458" i="5"/>
  <c r="G3458" i="5" s="1"/>
  <c r="F3457" i="5"/>
  <c r="G3457" i="5" s="1"/>
  <c r="F3456" i="5"/>
  <c r="G3456" i="5" s="1"/>
  <c r="F3455" i="5"/>
  <c r="G3455" i="5" s="1"/>
  <c r="F3454" i="5"/>
  <c r="G3454" i="5" s="1"/>
  <c r="F3453" i="5"/>
  <c r="G3453" i="5" s="1"/>
  <c r="F3452" i="5"/>
  <c r="G3452" i="5" s="1"/>
  <c r="F3451" i="5"/>
  <c r="G3451" i="5" s="1"/>
  <c r="F3450" i="5"/>
  <c r="G3450" i="5" s="1"/>
  <c r="F3449" i="5"/>
  <c r="G3449" i="5" s="1"/>
  <c r="F3448" i="5"/>
  <c r="G3448" i="5" s="1"/>
  <c r="F3447" i="5"/>
  <c r="G3447" i="5" s="1"/>
  <c r="F3446" i="5"/>
  <c r="G3446" i="5" s="1"/>
  <c r="F3445" i="5"/>
  <c r="G3445" i="5" s="1"/>
  <c r="F3444" i="5"/>
  <c r="G3444" i="5" s="1"/>
  <c r="F3443" i="5"/>
  <c r="G3443" i="5" s="1"/>
  <c r="F3442" i="5"/>
  <c r="G3442" i="5" s="1"/>
  <c r="F3441" i="5"/>
  <c r="G3441" i="5" s="1"/>
  <c r="F3440" i="5"/>
  <c r="G3440" i="5" s="1"/>
  <c r="F3439" i="5"/>
  <c r="G3439" i="5" s="1"/>
  <c r="F3438" i="5"/>
  <c r="G3438" i="5" s="1"/>
  <c r="F3437" i="5"/>
  <c r="G3437" i="5" s="1"/>
  <c r="F3436" i="5"/>
  <c r="G3436" i="5" s="1"/>
  <c r="F3435" i="5"/>
  <c r="G3435" i="5" s="1"/>
  <c r="F3434" i="5"/>
  <c r="G3434" i="5" s="1"/>
  <c r="F3433" i="5"/>
  <c r="G3433" i="5" s="1"/>
  <c r="F3432" i="5"/>
  <c r="G3432" i="5" s="1"/>
  <c r="F3431" i="5"/>
  <c r="G3431" i="5" s="1"/>
  <c r="F3430" i="5"/>
  <c r="G3430" i="5" s="1"/>
  <c r="F3429" i="5"/>
  <c r="G3429" i="5" s="1"/>
  <c r="F3428" i="5"/>
  <c r="G3428" i="5" s="1"/>
  <c r="F3427" i="5"/>
  <c r="G3427" i="5" s="1"/>
  <c r="F3426" i="5"/>
  <c r="G3426" i="5" s="1"/>
  <c r="F3425" i="5"/>
  <c r="G3425" i="5" s="1"/>
  <c r="F3424" i="5"/>
  <c r="G3424" i="5" s="1"/>
  <c r="F3423" i="5"/>
  <c r="G3423" i="5" s="1"/>
  <c r="F3422" i="5"/>
  <c r="G3422" i="5" s="1"/>
  <c r="F3421" i="5"/>
  <c r="G3421" i="5" s="1"/>
  <c r="F3420" i="5"/>
  <c r="G3420" i="5" s="1"/>
  <c r="F3419" i="5"/>
  <c r="G3419" i="5" s="1"/>
  <c r="F3418" i="5"/>
  <c r="G3418" i="5" s="1"/>
  <c r="F3417" i="5"/>
  <c r="G3417" i="5" s="1"/>
  <c r="F3416" i="5"/>
  <c r="G3416" i="5" s="1"/>
  <c r="F3415" i="5"/>
  <c r="G3415" i="5" s="1"/>
  <c r="F3414" i="5"/>
  <c r="G3414" i="5" s="1"/>
  <c r="F3413" i="5"/>
  <c r="G3413" i="5" s="1"/>
  <c r="F3412" i="5"/>
  <c r="G3412" i="5" s="1"/>
  <c r="F3411" i="5"/>
  <c r="G3411" i="5" s="1"/>
  <c r="F3410" i="5"/>
  <c r="G3410" i="5" s="1"/>
  <c r="F3409" i="5"/>
  <c r="G3409" i="5" s="1"/>
  <c r="F3408" i="5"/>
  <c r="G3408" i="5" s="1"/>
  <c r="F3407" i="5"/>
  <c r="G3407" i="5" s="1"/>
  <c r="F3406" i="5"/>
  <c r="G3406" i="5" s="1"/>
  <c r="F3405" i="5"/>
  <c r="G3405" i="5" s="1"/>
  <c r="F3404" i="5"/>
  <c r="G3404" i="5" s="1"/>
  <c r="F3403" i="5"/>
  <c r="G3403" i="5" s="1"/>
  <c r="F3402" i="5"/>
  <c r="G3402" i="5" s="1"/>
  <c r="F3401" i="5"/>
  <c r="G3401" i="5" s="1"/>
  <c r="F3400" i="5"/>
  <c r="G3400" i="5" s="1"/>
  <c r="F3399" i="5"/>
  <c r="G3399" i="5" s="1"/>
  <c r="F3398" i="5"/>
  <c r="G3398" i="5" s="1"/>
  <c r="F3397" i="5"/>
  <c r="G3397" i="5" s="1"/>
  <c r="F3396" i="5"/>
  <c r="G3396" i="5" s="1"/>
  <c r="F3395" i="5"/>
  <c r="G3395" i="5" s="1"/>
  <c r="F3394" i="5"/>
  <c r="G3394" i="5" s="1"/>
  <c r="F3393" i="5"/>
  <c r="G3393" i="5" s="1"/>
  <c r="F3392" i="5"/>
  <c r="G3392" i="5" s="1"/>
  <c r="F3391" i="5"/>
  <c r="G3391" i="5" s="1"/>
  <c r="F3390" i="5"/>
  <c r="G3390" i="5" s="1"/>
  <c r="F3389" i="5"/>
  <c r="G3389" i="5" s="1"/>
  <c r="F3388" i="5"/>
  <c r="G3388" i="5" s="1"/>
  <c r="F3387" i="5"/>
  <c r="G3387" i="5" s="1"/>
  <c r="F3386" i="5"/>
  <c r="G3386" i="5" s="1"/>
  <c r="F3385" i="5"/>
  <c r="G3385" i="5" s="1"/>
  <c r="F3384" i="5"/>
  <c r="G3384" i="5" s="1"/>
  <c r="F3383" i="5"/>
  <c r="G3383" i="5" s="1"/>
  <c r="F3382" i="5"/>
  <c r="G3382" i="5" s="1"/>
  <c r="F3381" i="5"/>
  <c r="G3381" i="5" s="1"/>
  <c r="F3380" i="5"/>
  <c r="G3380" i="5" s="1"/>
  <c r="F3379" i="5"/>
  <c r="G3379" i="5" s="1"/>
  <c r="F3378" i="5"/>
  <c r="G3378" i="5" s="1"/>
  <c r="F3377" i="5"/>
  <c r="G3377" i="5" s="1"/>
  <c r="F3376" i="5"/>
  <c r="G3376" i="5" s="1"/>
  <c r="F3375" i="5"/>
  <c r="G3375" i="5" s="1"/>
  <c r="F3374" i="5"/>
  <c r="G3374" i="5" s="1"/>
  <c r="F3373" i="5"/>
  <c r="G3373" i="5" s="1"/>
  <c r="F3372" i="5"/>
  <c r="G3372" i="5" s="1"/>
  <c r="F3371" i="5"/>
  <c r="G3371" i="5" s="1"/>
  <c r="F3370" i="5"/>
  <c r="G3370" i="5" s="1"/>
  <c r="F3369" i="5"/>
  <c r="G3369" i="5" s="1"/>
  <c r="F3368" i="5"/>
  <c r="G3368" i="5" s="1"/>
  <c r="F3367" i="5"/>
  <c r="G3367" i="5" s="1"/>
  <c r="F3366" i="5"/>
  <c r="G3366" i="5" s="1"/>
  <c r="F3365" i="5"/>
  <c r="G3365" i="5" s="1"/>
  <c r="F3364" i="5"/>
  <c r="G3364" i="5" s="1"/>
  <c r="F3363" i="5"/>
  <c r="G3363" i="5" s="1"/>
  <c r="F3362" i="5"/>
  <c r="G3362" i="5" s="1"/>
  <c r="F3361" i="5"/>
  <c r="G3361" i="5" s="1"/>
  <c r="F3360" i="5"/>
  <c r="G3360" i="5" s="1"/>
  <c r="F3359" i="5"/>
  <c r="G3359" i="5" s="1"/>
  <c r="F3358" i="5"/>
  <c r="G3358" i="5" s="1"/>
  <c r="F3357" i="5"/>
  <c r="G3357" i="5" s="1"/>
  <c r="F3356" i="5"/>
  <c r="G3356" i="5" s="1"/>
  <c r="F3355" i="5"/>
  <c r="G3355" i="5" s="1"/>
  <c r="F3354" i="5"/>
  <c r="G3354" i="5" s="1"/>
  <c r="F3353" i="5"/>
  <c r="G3353" i="5" s="1"/>
  <c r="F3352" i="5"/>
  <c r="G3352" i="5" s="1"/>
  <c r="F3351" i="5"/>
  <c r="G3351" i="5" s="1"/>
  <c r="F3350" i="5"/>
  <c r="G3350" i="5" s="1"/>
  <c r="F3349" i="5"/>
  <c r="G3349" i="5" s="1"/>
  <c r="F3348" i="5"/>
  <c r="G3348" i="5" s="1"/>
  <c r="F3347" i="5"/>
  <c r="G3347" i="5" s="1"/>
  <c r="F3346" i="5"/>
  <c r="G3346" i="5" s="1"/>
  <c r="F3345" i="5"/>
  <c r="G3345" i="5" s="1"/>
  <c r="F3344" i="5"/>
  <c r="G3344" i="5" s="1"/>
  <c r="F3343" i="5"/>
  <c r="G3343" i="5" s="1"/>
  <c r="F3342" i="5"/>
  <c r="G3342" i="5" s="1"/>
  <c r="F3341" i="5"/>
  <c r="G3341" i="5" s="1"/>
  <c r="F3340" i="5"/>
  <c r="G3340" i="5" s="1"/>
  <c r="F3339" i="5"/>
  <c r="G3339" i="5" s="1"/>
  <c r="F3338" i="5"/>
  <c r="G3338" i="5" s="1"/>
  <c r="F3337" i="5"/>
  <c r="G3337" i="5" s="1"/>
  <c r="F3336" i="5"/>
  <c r="G3336" i="5" s="1"/>
  <c r="F3335" i="5"/>
  <c r="G3335" i="5" s="1"/>
  <c r="F3334" i="5"/>
  <c r="G3334" i="5" s="1"/>
  <c r="F3333" i="5"/>
  <c r="G3333" i="5" s="1"/>
  <c r="F3332" i="5"/>
  <c r="G3332" i="5" s="1"/>
  <c r="F3331" i="5"/>
  <c r="G3331" i="5" s="1"/>
  <c r="F3330" i="5"/>
  <c r="G3330" i="5" s="1"/>
  <c r="F3329" i="5"/>
  <c r="G3329" i="5" s="1"/>
  <c r="F3328" i="5"/>
  <c r="G3328" i="5" s="1"/>
  <c r="F3327" i="5"/>
  <c r="G3327" i="5" s="1"/>
  <c r="F3326" i="5"/>
  <c r="G3326" i="5" s="1"/>
  <c r="F3325" i="5"/>
  <c r="G3325" i="5" s="1"/>
  <c r="F3324" i="5"/>
  <c r="G3324" i="5" s="1"/>
  <c r="F3323" i="5"/>
  <c r="G3323" i="5" s="1"/>
  <c r="F3322" i="5"/>
  <c r="G3322" i="5" s="1"/>
  <c r="F3321" i="5"/>
  <c r="G3321" i="5" s="1"/>
  <c r="F3320" i="5"/>
  <c r="G3320" i="5" s="1"/>
  <c r="F3319" i="5"/>
  <c r="G3319" i="5" s="1"/>
  <c r="F3318" i="5"/>
  <c r="G3318" i="5" s="1"/>
  <c r="F3317" i="5"/>
  <c r="G3317" i="5" s="1"/>
  <c r="F3316" i="5"/>
  <c r="G3316" i="5" s="1"/>
  <c r="F3315" i="5"/>
  <c r="G3315" i="5" s="1"/>
  <c r="F3314" i="5"/>
  <c r="G3314" i="5" s="1"/>
  <c r="F3313" i="5"/>
  <c r="G3313" i="5" s="1"/>
  <c r="F3312" i="5"/>
  <c r="G3312" i="5" s="1"/>
  <c r="F3311" i="5"/>
  <c r="G3311" i="5" s="1"/>
  <c r="F3310" i="5"/>
  <c r="G3310" i="5" s="1"/>
  <c r="F3309" i="5"/>
  <c r="G3309" i="5" s="1"/>
  <c r="F3308" i="5"/>
  <c r="G3308" i="5" s="1"/>
  <c r="F3307" i="5"/>
  <c r="G3307" i="5" s="1"/>
  <c r="F3306" i="5"/>
  <c r="G3306" i="5" s="1"/>
  <c r="F3305" i="5"/>
  <c r="G3305" i="5" s="1"/>
  <c r="F3304" i="5"/>
  <c r="G3304" i="5" s="1"/>
  <c r="F3303" i="5"/>
  <c r="G3303" i="5" s="1"/>
  <c r="F3302" i="5"/>
  <c r="G3302" i="5" s="1"/>
  <c r="F3301" i="5"/>
  <c r="G3301" i="5" s="1"/>
  <c r="F3300" i="5"/>
  <c r="G3300" i="5" s="1"/>
  <c r="F3299" i="5"/>
  <c r="G3299" i="5" s="1"/>
  <c r="F3298" i="5"/>
  <c r="G3298" i="5" s="1"/>
  <c r="F3297" i="5"/>
  <c r="G3297" i="5" s="1"/>
  <c r="F3296" i="5"/>
  <c r="G3296" i="5" s="1"/>
  <c r="F3295" i="5"/>
  <c r="G3295" i="5" s="1"/>
  <c r="F3294" i="5"/>
  <c r="G3294" i="5" s="1"/>
  <c r="F3293" i="5"/>
  <c r="G3293" i="5" s="1"/>
  <c r="F3292" i="5"/>
  <c r="G3292" i="5" s="1"/>
  <c r="F3291" i="5"/>
  <c r="G3291" i="5" s="1"/>
  <c r="F3290" i="5"/>
  <c r="G3290" i="5" s="1"/>
  <c r="F3289" i="5"/>
  <c r="G3289" i="5" s="1"/>
  <c r="F3288" i="5"/>
  <c r="G3288" i="5" s="1"/>
  <c r="F3287" i="5"/>
  <c r="G3287" i="5" s="1"/>
  <c r="F3286" i="5"/>
  <c r="G3286" i="5" s="1"/>
  <c r="F3285" i="5"/>
  <c r="G3285" i="5" s="1"/>
  <c r="F3284" i="5"/>
  <c r="G3284" i="5" s="1"/>
  <c r="F3283" i="5"/>
  <c r="G3283" i="5" s="1"/>
  <c r="F3282" i="5"/>
  <c r="G3282" i="5" s="1"/>
  <c r="F3281" i="5"/>
  <c r="G3281" i="5" s="1"/>
  <c r="F3280" i="5"/>
  <c r="G3280" i="5" s="1"/>
  <c r="F3279" i="5"/>
  <c r="G3279" i="5" s="1"/>
  <c r="F3278" i="5"/>
  <c r="G3278" i="5" s="1"/>
  <c r="F3277" i="5"/>
  <c r="G3277" i="5" s="1"/>
  <c r="F3276" i="5"/>
  <c r="G3276" i="5" s="1"/>
  <c r="F3275" i="5"/>
  <c r="G3275" i="5" s="1"/>
  <c r="F3274" i="5"/>
  <c r="G3274" i="5" s="1"/>
  <c r="F3273" i="5"/>
  <c r="G3273" i="5" s="1"/>
  <c r="F3272" i="5"/>
  <c r="G3272" i="5" s="1"/>
  <c r="F3271" i="5"/>
  <c r="G3271" i="5" s="1"/>
  <c r="F3270" i="5"/>
  <c r="G3270" i="5" s="1"/>
  <c r="F3269" i="5"/>
  <c r="G3269" i="5" s="1"/>
  <c r="F3268" i="5"/>
  <c r="G3268" i="5" s="1"/>
  <c r="F3267" i="5"/>
  <c r="G3267" i="5" s="1"/>
  <c r="F3266" i="5"/>
  <c r="G3266" i="5" s="1"/>
  <c r="F3265" i="5"/>
  <c r="G3265" i="5" s="1"/>
  <c r="F3264" i="5"/>
  <c r="G3264" i="5" s="1"/>
  <c r="F3263" i="5"/>
  <c r="G3263" i="5" s="1"/>
  <c r="F3262" i="5"/>
  <c r="G3262" i="5" s="1"/>
  <c r="F3261" i="5"/>
  <c r="G3261" i="5" s="1"/>
  <c r="F3260" i="5"/>
  <c r="G3260" i="5" s="1"/>
  <c r="F3259" i="5"/>
  <c r="G3259" i="5" s="1"/>
  <c r="F3258" i="5"/>
  <c r="G3258" i="5" s="1"/>
  <c r="F3257" i="5"/>
  <c r="G3257" i="5" s="1"/>
  <c r="F3256" i="5"/>
  <c r="G3256" i="5" s="1"/>
  <c r="F3255" i="5"/>
  <c r="G3255" i="5" s="1"/>
  <c r="F3254" i="5"/>
  <c r="G3254" i="5" s="1"/>
  <c r="F3253" i="5"/>
  <c r="G3253" i="5" s="1"/>
  <c r="F3252" i="5"/>
  <c r="G3252" i="5" s="1"/>
  <c r="F3251" i="5"/>
  <c r="G3251" i="5" s="1"/>
  <c r="F3250" i="5"/>
  <c r="G3250" i="5" s="1"/>
  <c r="F3249" i="5"/>
  <c r="G3249" i="5" s="1"/>
  <c r="F3248" i="5"/>
  <c r="G3248" i="5" s="1"/>
  <c r="F3247" i="5"/>
  <c r="G3247" i="5" s="1"/>
  <c r="F3246" i="5"/>
  <c r="G3246" i="5" s="1"/>
  <c r="F3245" i="5"/>
  <c r="G3245" i="5" s="1"/>
  <c r="F3244" i="5"/>
  <c r="G3244" i="5" s="1"/>
  <c r="F3243" i="5"/>
  <c r="G3243" i="5" s="1"/>
  <c r="F3242" i="5"/>
  <c r="G3242" i="5" s="1"/>
  <c r="F3241" i="5"/>
  <c r="G3241" i="5" s="1"/>
  <c r="F3240" i="5"/>
  <c r="G3240" i="5" s="1"/>
  <c r="F3239" i="5"/>
  <c r="G3239" i="5" s="1"/>
  <c r="F3238" i="5"/>
  <c r="G3238" i="5" s="1"/>
  <c r="F3237" i="5"/>
  <c r="G3237" i="5" s="1"/>
  <c r="F3236" i="5"/>
  <c r="G3236" i="5" s="1"/>
  <c r="F3235" i="5"/>
  <c r="G3235" i="5" s="1"/>
  <c r="F3234" i="5"/>
  <c r="G3234" i="5" s="1"/>
  <c r="F3233" i="5"/>
  <c r="G3233" i="5" s="1"/>
  <c r="F3232" i="5"/>
  <c r="G3232" i="5" s="1"/>
  <c r="F3231" i="5"/>
  <c r="G3231" i="5" s="1"/>
  <c r="F3230" i="5"/>
  <c r="G3230" i="5" s="1"/>
  <c r="F3229" i="5"/>
  <c r="G3229" i="5" s="1"/>
  <c r="F3228" i="5"/>
  <c r="G3228" i="5" s="1"/>
  <c r="F3227" i="5"/>
  <c r="G3227" i="5" s="1"/>
  <c r="F3226" i="5"/>
  <c r="G3226" i="5" s="1"/>
  <c r="F3225" i="5"/>
  <c r="G3225" i="5" s="1"/>
  <c r="F3224" i="5"/>
  <c r="G3224" i="5" s="1"/>
  <c r="F3223" i="5"/>
  <c r="G3223" i="5" s="1"/>
  <c r="F3222" i="5"/>
  <c r="G3222" i="5" s="1"/>
  <c r="F3221" i="5"/>
  <c r="G3221" i="5" s="1"/>
  <c r="F3220" i="5"/>
  <c r="G3220" i="5" s="1"/>
  <c r="F3219" i="5"/>
  <c r="G3219" i="5" s="1"/>
  <c r="F3218" i="5"/>
  <c r="G3218" i="5" s="1"/>
  <c r="F3217" i="5"/>
  <c r="G3217" i="5" s="1"/>
  <c r="F3216" i="5"/>
  <c r="G3216" i="5" s="1"/>
  <c r="F3215" i="5"/>
  <c r="G3215" i="5" s="1"/>
  <c r="F3214" i="5"/>
  <c r="G3214" i="5" s="1"/>
  <c r="F3213" i="5"/>
  <c r="G3213" i="5" s="1"/>
  <c r="F3212" i="5"/>
  <c r="G3212" i="5" s="1"/>
  <c r="F3211" i="5"/>
  <c r="G3211" i="5" s="1"/>
  <c r="F3210" i="5"/>
  <c r="G3210" i="5" s="1"/>
  <c r="F3209" i="5"/>
  <c r="G3209" i="5" s="1"/>
  <c r="F3208" i="5"/>
  <c r="G3208" i="5" s="1"/>
  <c r="F3207" i="5"/>
  <c r="G3207" i="5" s="1"/>
  <c r="F3206" i="5"/>
  <c r="G3206" i="5" s="1"/>
  <c r="F3205" i="5"/>
  <c r="G3205" i="5" s="1"/>
  <c r="F3204" i="5"/>
  <c r="G3204" i="5" s="1"/>
  <c r="F3203" i="5"/>
  <c r="G3203" i="5" s="1"/>
  <c r="F3202" i="5"/>
  <c r="G3202" i="5" s="1"/>
  <c r="F3201" i="5"/>
  <c r="G3201" i="5" s="1"/>
  <c r="F3200" i="5"/>
  <c r="G3200" i="5" s="1"/>
  <c r="F3199" i="5"/>
  <c r="G3199" i="5" s="1"/>
  <c r="F3198" i="5"/>
  <c r="G3198" i="5" s="1"/>
  <c r="F3197" i="5"/>
  <c r="G3197" i="5" s="1"/>
  <c r="F3196" i="5"/>
  <c r="G3196" i="5" s="1"/>
  <c r="F3195" i="5"/>
  <c r="G3195" i="5" s="1"/>
  <c r="F3194" i="5"/>
  <c r="G3194" i="5" s="1"/>
  <c r="F3193" i="5"/>
  <c r="G3193" i="5" s="1"/>
  <c r="F3192" i="5"/>
  <c r="G3192" i="5" s="1"/>
  <c r="F3191" i="5"/>
  <c r="G3191" i="5" s="1"/>
  <c r="F3190" i="5"/>
  <c r="G3190" i="5" s="1"/>
  <c r="F3189" i="5"/>
  <c r="G3189" i="5" s="1"/>
  <c r="F3188" i="5"/>
  <c r="G3188" i="5" s="1"/>
  <c r="F3187" i="5"/>
  <c r="G3187" i="5" s="1"/>
  <c r="F3186" i="5"/>
  <c r="G3186" i="5" s="1"/>
  <c r="F3185" i="5"/>
  <c r="G3185" i="5" s="1"/>
  <c r="F3184" i="5"/>
  <c r="G3184" i="5" s="1"/>
  <c r="F3183" i="5"/>
  <c r="G3183" i="5" s="1"/>
  <c r="F3182" i="5"/>
  <c r="G3182" i="5" s="1"/>
  <c r="F3181" i="5"/>
  <c r="G3181" i="5" s="1"/>
  <c r="F3180" i="5"/>
  <c r="G3180" i="5" s="1"/>
  <c r="F3179" i="5"/>
  <c r="G3179" i="5" s="1"/>
  <c r="F3178" i="5"/>
  <c r="G3178" i="5" s="1"/>
  <c r="F3177" i="5"/>
  <c r="G3177" i="5" s="1"/>
  <c r="F3176" i="5"/>
  <c r="G3176" i="5" s="1"/>
  <c r="F3175" i="5"/>
  <c r="G3175" i="5" s="1"/>
  <c r="F3174" i="5"/>
  <c r="G3174" i="5" s="1"/>
  <c r="F3173" i="5"/>
  <c r="G3173" i="5" s="1"/>
  <c r="F3172" i="5"/>
  <c r="G3172" i="5" s="1"/>
  <c r="F3171" i="5"/>
  <c r="G3171" i="5" s="1"/>
  <c r="F3170" i="5"/>
  <c r="G3170" i="5" s="1"/>
  <c r="F3169" i="5"/>
  <c r="G3169" i="5" s="1"/>
  <c r="F3168" i="5"/>
  <c r="G3168" i="5" s="1"/>
  <c r="F3167" i="5"/>
  <c r="G3167" i="5" s="1"/>
  <c r="F3166" i="5"/>
  <c r="G3166" i="5" s="1"/>
  <c r="F3165" i="5"/>
  <c r="G3165" i="5" s="1"/>
  <c r="F3164" i="5"/>
  <c r="G3164" i="5" s="1"/>
  <c r="F3163" i="5"/>
  <c r="G3163" i="5" s="1"/>
  <c r="F3162" i="5"/>
  <c r="G3162" i="5" s="1"/>
  <c r="F3161" i="5"/>
  <c r="G3161" i="5" s="1"/>
  <c r="F3160" i="5"/>
  <c r="G3160" i="5" s="1"/>
  <c r="F3159" i="5"/>
  <c r="G3159" i="5" s="1"/>
  <c r="F3158" i="5"/>
  <c r="G3158" i="5" s="1"/>
  <c r="F3157" i="5"/>
  <c r="G3157" i="5" s="1"/>
  <c r="F3156" i="5"/>
  <c r="G3156" i="5" s="1"/>
  <c r="F3155" i="5"/>
  <c r="G3155" i="5" s="1"/>
  <c r="F3154" i="5"/>
  <c r="G3154" i="5" s="1"/>
  <c r="F3153" i="5"/>
  <c r="G3153" i="5" s="1"/>
  <c r="F3152" i="5"/>
  <c r="G3152" i="5" s="1"/>
  <c r="F3151" i="5"/>
  <c r="G3151" i="5" s="1"/>
  <c r="F3150" i="5"/>
  <c r="G3150" i="5" s="1"/>
  <c r="F3149" i="5"/>
  <c r="G3149" i="5" s="1"/>
  <c r="F3148" i="5"/>
  <c r="G3148" i="5" s="1"/>
  <c r="F3147" i="5"/>
  <c r="G3147" i="5" s="1"/>
  <c r="F3146" i="5"/>
  <c r="G3146" i="5" s="1"/>
  <c r="F3145" i="5"/>
  <c r="G3145" i="5" s="1"/>
  <c r="F3144" i="5"/>
  <c r="G3144" i="5" s="1"/>
  <c r="F3143" i="5"/>
  <c r="G3143" i="5" s="1"/>
  <c r="F3142" i="5"/>
  <c r="G3142" i="5" s="1"/>
  <c r="F3141" i="5"/>
  <c r="G3141" i="5" s="1"/>
  <c r="F3140" i="5"/>
  <c r="G3140" i="5" s="1"/>
  <c r="F3139" i="5"/>
  <c r="G3139" i="5" s="1"/>
  <c r="F3138" i="5"/>
  <c r="G3138" i="5" s="1"/>
  <c r="F3137" i="5"/>
  <c r="G3137" i="5" s="1"/>
  <c r="F3136" i="5"/>
  <c r="G3136" i="5" s="1"/>
  <c r="F3135" i="5"/>
  <c r="G3135" i="5" s="1"/>
  <c r="F3134" i="5"/>
  <c r="G3134" i="5" s="1"/>
  <c r="F3133" i="5"/>
  <c r="G3133" i="5" s="1"/>
  <c r="F3132" i="5"/>
  <c r="G3132" i="5" s="1"/>
  <c r="F3131" i="5"/>
  <c r="G3131" i="5" s="1"/>
  <c r="F3130" i="5"/>
  <c r="G3130" i="5" s="1"/>
  <c r="F3129" i="5"/>
  <c r="G3129" i="5" s="1"/>
  <c r="F3128" i="5"/>
  <c r="G3128" i="5" s="1"/>
  <c r="F3127" i="5"/>
  <c r="G3127" i="5" s="1"/>
  <c r="F3126" i="5"/>
  <c r="G3126" i="5" s="1"/>
  <c r="F3125" i="5"/>
  <c r="G3125" i="5" s="1"/>
  <c r="F3124" i="5"/>
  <c r="G3124" i="5" s="1"/>
  <c r="F3123" i="5"/>
  <c r="G3123" i="5" s="1"/>
  <c r="F3122" i="5"/>
  <c r="G3122" i="5" s="1"/>
  <c r="F3121" i="5"/>
  <c r="G3121" i="5" s="1"/>
  <c r="F3120" i="5"/>
  <c r="G3120" i="5" s="1"/>
  <c r="F3119" i="5"/>
  <c r="G3119" i="5" s="1"/>
  <c r="F3118" i="5"/>
  <c r="G3118" i="5" s="1"/>
  <c r="F3117" i="5"/>
  <c r="G3117" i="5" s="1"/>
  <c r="F3116" i="5"/>
  <c r="G3116" i="5" s="1"/>
  <c r="F3115" i="5"/>
  <c r="G3115" i="5" s="1"/>
  <c r="F3114" i="5"/>
  <c r="G3114" i="5" s="1"/>
  <c r="F3113" i="5"/>
  <c r="G3113" i="5" s="1"/>
  <c r="F3112" i="5"/>
  <c r="G3112" i="5" s="1"/>
  <c r="F3111" i="5"/>
  <c r="G3111" i="5" s="1"/>
  <c r="F3110" i="5"/>
  <c r="G3110" i="5" s="1"/>
  <c r="F3109" i="5"/>
  <c r="G3109" i="5" s="1"/>
  <c r="F3108" i="5"/>
  <c r="G3108" i="5" s="1"/>
  <c r="F3107" i="5"/>
  <c r="G3107" i="5" s="1"/>
  <c r="F3106" i="5"/>
  <c r="G3106" i="5" s="1"/>
  <c r="F3105" i="5"/>
  <c r="G3105" i="5" s="1"/>
  <c r="F3104" i="5"/>
  <c r="G3104" i="5" s="1"/>
  <c r="F3103" i="5"/>
  <c r="G3103" i="5" s="1"/>
  <c r="F3102" i="5"/>
  <c r="G3102" i="5" s="1"/>
  <c r="F3101" i="5"/>
  <c r="G3101" i="5" s="1"/>
  <c r="F3100" i="5"/>
  <c r="G3100" i="5" s="1"/>
  <c r="F3099" i="5"/>
  <c r="G3099" i="5" s="1"/>
  <c r="F3098" i="5"/>
  <c r="G3098" i="5" s="1"/>
  <c r="F3097" i="5"/>
  <c r="G3097" i="5" s="1"/>
  <c r="F3096" i="5"/>
  <c r="G3096" i="5" s="1"/>
  <c r="F3095" i="5"/>
  <c r="G3095" i="5" s="1"/>
  <c r="F3094" i="5"/>
  <c r="G3094" i="5" s="1"/>
  <c r="F3093" i="5"/>
  <c r="G3093" i="5" s="1"/>
  <c r="F3092" i="5"/>
  <c r="G3092" i="5" s="1"/>
  <c r="F3091" i="5"/>
  <c r="G3091" i="5" s="1"/>
  <c r="F3090" i="5"/>
  <c r="G3090" i="5" s="1"/>
  <c r="F3089" i="5"/>
  <c r="G3089" i="5" s="1"/>
  <c r="F3088" i="5"/>
  <c r="G3088" i="5" s="1"/>
  <c r="F3087" i="5"/>
  <c r="G3087" i="5" s="1"/>
  <c r="F3086" i="5"/>
  <c r="G3086" i="5" s="1"/>
  <c r="F3085" i="5"/>
  <c r="G3085" i="5" s="1"/>
  <c r="F3084" i="5"/>
  <c r="G3084" i="5" s="1"/>
  <c r="F3083" i="5"/>
  <c r="G3083" i="5" s="1"/>
  <c r="F3082" i="5"/>
  <c r="G3082" i="5" s="1"/>
  <c r="F3081" i="5"/>
  <c r="G3081" i="5" s="1"/>
  <c r="F3080" i="5"/>
  <c r="G3080" i="5" s="1"/>
  <c r="F3079" i="5"/>
  <c r="G3079" i="5" s="1"/>
  <c r="F3078" i="5"/>
  <c r="G3078" i="5" s="1"/>
  <c r="F3077" i="5"/>
  <c r="G3077" i="5" s="1"/>
  <c r="F3076" i="5"/>
  <c r="G3076" i="5" s="1"/>
  <c r="F3075" i="5"/>
  <c r="G3075" i="5" s="1"/>
  <c r="F3074" i="5"/>
  <c r="G3074" i="5" s="1"/>
  <c r="F3073" i="5"/>
  <c r="G3073" i="5" s="1"/>
  <c r="F3072" i="5"/>
  <c r="G3072" i="5" s="1"/>
  <c r="F3071" i="5"/>
  <c r="G3071" i="5" s="1"/>
  <c r="F3070" i="5"/>
  <c r="G3070" i="5" s="1"/>
  <c r="F3069" i="5"/>
  <c r="G3069" i="5" s="1"/>
  <c r="F3068" i="5"/>
  <c r="G3068" i="5" s="1"/>
  <c r="F3067" i="5"/>
  <c r="G3067" i="5" s="1"/>
  <c r="F3066" i="5"/>
  <c r="G3066" i="5" s="1"/>
  <c r="F3065" i="5"/>
  <c r="G3065" i="5" s="1"/>
  <c r="F3064" i="5"/>
  <c r="G3064" i="5" s="1"/>
  <c r="F3063" i="5"/>
  <c r="G3063" i="5" s="1"/>
  <c r="F3062" i="5"/>
  <c r="G3062" i="5" s="1"/>
  <c r="F3061" i="5"/>
  <c r="G3061" i="5" s="1"/>
  <c r="F3060" i="5"/>
  <c r="G3060" i="5" s="1"/>
  <c r="F3059" i="5"/>
  <c r="G3059" i="5" s="1"/>
  <c r="F3058" i="5"/>
  <c r="G3058" i="5" s="1"/>
  <c r="F3057" i="5"/>
  <c r="G3057" i="5" s="1"/>
  <c r="F3056" i="5"/>
  <c r="G3056" i="5" s="1"/>
  <c r="F3055" i="5"/>
  <c r="G3055" i="5" s="1"/>
  <c r="F3054" i="5"/>
  <c r="G3054" i="5" s="1"/>
  <c r="F3053" i="5"/>
  <c r="G3053" i="5" s="1"/>
  <c r="F3052" i="5"/>
  <c r="G3052" i="5" s="1"/>
  <c r="F3051" i="5"/>
  <c r="G3051" i="5" s="1"/>
  <c r="F3050" i="5"/>
  <c r="G3050" i="5" s="1"/>
  <c r="F3049" i="5"/>
  <c r="G3049" i="5" s="1"/>
  <c r="F3048" i="5"/>
  <c r="G3048" i="5" s="1"/>
  <c r="F3047" i="5"/>
  <c r="G3047" i="5" s="1"/>
  <c r="F3046" i="5"/>
  <c r="G3046" i="5" s="1"/>
  <c r="F3045" i="5"/>
  <c r="G3045" i="5" s="1"/>
  <c r="F3044" i="5"/>
  <c r="G3044" i="5" s="1"/>
  <c r="F3043" i="5"/>
  <c r="G3043" i="5" s="1"/>
  <c r="F3042" i="5"/>
  <c r="G3042" i="5" s="1"/>
  <c r="F3041" i="5"/>
  <c r="G3041" i="5" s="1"/>
  <c r="F3040" i="5"/>
  <c r="G3040" i="5" s="1"/>
  <c r="F3039" i="5"/>
  <c r="G3039" i="5" s="1"/>
  <c r="F3038" i="5"/>
  <c r="G3038" i="5" s="1"/>
  <c r="F3037" i="5"/>
  <c r="G3037" i="5" s="1"/>
  <c r="F3036" i="5"/>
  <c r="G3036" i="5" s="1"/>
  <c r="F3035" i="5"/>
  <c r="G3035" i="5" s="1"/>
  <c r="F3034" i="5"/>
  <c r="G3034" i="5" s="1"/>
  <c r="F3033" i="5"/>
  <c r="G3033" i="5" s="1"/>
  <c r="F3032" i="5"/>
  <c r="G3032" i="5" s="1"/>
  <c r="F3031" i="5"/>
  <c r="G3031" i="5" s="1"/>
  <c r="F3030" i="5"/>
  <c r="G3030" i="5" s="1"/>
  <c r="F3029" i="5"/>
  <c r="G3029" i="5" s="1"/>
  <c r="F3028" i="5"/>
  <c r="G3028" i="5" s="1"/>
  <c r="F3027" i="5"/>
  <c r="G3027" i="5" s="1"/>
  <c r="F3026" i="5"/>
  <c r="G3026" i="5" s="1"/>
  <c r="F3025" i="5"/>
  <c r="G3025" i="5" s="1"/>
  <c r="F3024" i="5"/>
  <c r="G3024" i="5" s="1"/>
  <c r="F3023" i="5"/>
  <c r="G3023" i="5" s="1"/>
  <c r="F3022" i="5"/>
  <c r="G3022" i="5" s="1"/>
  <c r="F3021" i="5"/>
  <c r="G3021" i="5" s="1"/>
  <c r="F3020" i="5"/>
  <c r="G3020" i="5" s="1"/>
  <c r="F3019" i="5"/>
  <c r="G3019" i="5" s="1"/>
  <c r="F3018" i="5"/>
  <c r="G3018" i="5" s="1"/>
  <c r="F3017" i="5"/>
  <c r="G3017" i="5" s="1"/>
  <c r="F3016" i="5"/>
  <c r="G3016" i="5" s="1"/>
  <c r="F3015" i="5"/>
  <c r="G3015" i="5" s="1"/>
  <c r="F3014" i="5"/>
  <c r="G3014" i="5" s="1"/>
  <c r="F3013" i="5"/>
  <c r="G3013" i="5" s="1"/>
  <c r="F3012" i="5"/>
  <c r="G3012" i="5" s="1"/>
  <c r="F3011" i="5"/>
  <c r="G3011" i="5" s="1"/>
  <c r="F3010" i="5"/>
  <c r="G3010" i="5" s="1"/>
  <c r="F3009" i="5"/>
  <c r="G3009" i="5" s="1"/>
  <c r="F3008" i="5"/>
  <c r="G3008" i="5" s="1"/>
  <c r="F3007" i="5"/>
  <c r="G3007" i="5" s="1"/>
  <c r="F3006" i="5"/>
  <c r="G3006" i="5" s="1"/>
  <c r="F3005" i="5"/>
  <c r="G3005" i="5" s="1"/>
  <c r="F3004" i="5"/>
  <c r="G3004" i="5" s="1"/>
  <c r="F3003" i="5"/>
  <c r="G3003" i="5" s="1"/>
  <c r="F3002" i="5"/>
  <c r="G3002" i="5" s="1"/>
  <c r="F3001" i="5"/>
  <c r="G3001" i="5" s="1"/>
  <c r="F3000" i="5"/>
  <c r="G3000" i="5" s="1"/>
  <c r="F2999" i="5"/>
  <c r="G2999" i="5" s="1"/>
  <c r="F2998" i="5"/>
  <c r="G2998" i="5" s="1"/>
  <c r="F2997" i="5"/>
  <c r="G2997" i="5" s="1"/>
  <c r="F2996" i="5"/>
  <c r="G2996" i="5" s="1"/>
  <c r="F2995" i="5"/>
  <c r="G2995" i="5" s="1"/>
  <c r="F2994" i="5"/>
  <c r="G2994" i="5" s="1"/>
  <c r="F2993" i="5"/>
  <c r="G2993" i="5" s="1"/>
  <c r="F2992" i="5"/>
  <c r="G2992" i="5" s="1"/>
  <c r="F2991" i="5"/>
  <c r="G2991" i="5" s="1"/>
  <c r="F2990" i="5"/>
  <c r="G2990" i="5" s="1"/>
  <c r="F2989" i="5"/>
  <c r="G2989" i="5" s="1"/>
  <c r="F2988" i="5"/>
  <c r="G2988" i="5" s="1"/>
  <c r="F2987" i="5"/>
  <c r="G2987" i="5" s="1"/>
  <c r="F2986" i="5"/>
  <c r="G2986" i="5" s="1"/>
  <c r="F2985" i="5"/>
  <c r="G2985" i="5" s="1"/>
  <c r="F2984" i="5"/>
  <c r="G2984" i="5" s="1"/>
  <c r="F2983" i="5"/>
  <c r="G2983" i="5" s="1"/>
  <c r="F2982" i="5"/>
  <c r="G2982" i="5" s="1"/>
  <c r="F2981" i="5"/>
  <c r="G2981" i="5" s="1"/>
  <c r="F2980" i="5"/>
  <c r="G2980" i="5" s="1"/>
  <c r="F2979" i="5"/>
  <c r="G2979" i="5" s="1"/>
  <c r="F2978" i="5"/>
  <c r="G2978" i="5" s="1"/>
  <c r="F2977" i="5"/>
  <c r="G2977" i="5" s="1"/>
  <c r="F2976" i="5"/>
  <c r="G2976" i="5" s="1"/>
  <c r="F2975" i="5"/>
  <c r="G2975" i="5" s="1"/>
  <c r="F2974" i="5"/>
  <c r="G2974" i="5" s="1"/>
  <c r="F2973" i="5"/>
  <c r="G2973" i="5" s="1"/>
  <c r="F2972" i="5"/>
  <c r="G2972" i="5" s="1"/>
  <c r="F2971" i="5"/>
  <c r="G2971" i="5" s="1"/>
  <c r="F2970" i="5"/>
  <c r="G2970" i="5" s="1"/>
  <c r="F2969" i="5"/>
  <c r="G2969" i="5" s="1"/>
  <c r="F2968" i="5"/>
  <c r="G2968" i="5" s="1"/>
  <c r="F2967" i="5"/>
  <c r="G2967" i="5" s="1"/>
  <c r="F2966" i="5"/>
  <c r="G2966" i="5" s="1"/>
  <c r="F2965" i="5"/>
  <c r="G2965" i="5" s="1"/>
  <c r="F2964" i="5"/>
  <c r="G2964" i="5" s="1"/>
  <c r="F2963" i="5"/>
  <c r="G2963" i="5" s="1"/>
  <c r="F2962" i="5"/>
  <c r="G2962" i="5" s="1"/>
  <c r="F2961" i="5"/>
  <c r="G2961" i="5" s="1"/>
  <c r="F2960" i="5"/>
  <c r="G2960" i="5" s="1"/>
  <c r="F2959" i="5"/>
  <c r="G2959" i="5" s="1"/>
  <c r="F2958" i="5"/>
  <c r="G2958" i="5" s="1"/>
  <c r="F2957" i="5"/>
  <c r="G2957" i="5" s="1"/>
  <c r="F2956" i="5"/>
  <c r="G2956" i="5" s="1"/>
  <c r="F2955" i="5"/>
  <c r="G2955" i="5" s="1"/>
  <c r="F2954" i="5"/>
  <c r="G2954" i="5" s="1"/>
  <c r="F2953" i="5"/>
  <c r="G2953" i="5" s="1"/>
  <c r="F2952" i="5"/>
  <c r="G2952" i="5" s="1"/>
  <c r="F2951" i="5"/>
  <c r="G2951" i="5" s="1"/>
  <c r="F2950" i="5"/>
  <c r="G2950" i="5" s="1"/>
  <c r="F2949" i="5"/>
  <c r="G2949" i="5" s="1"/>
  <c r="F2948" i="5"/>
  <c r="G2948" i="5" s="1"/>
  <c r="F2947" i="5"/>
  <c r="G2947" i="5" s="1"/>
  <c r="F2946" i="5"/>
  <c r="G2946" i="5" s="1"/>
  <c r="F2945" i="5"/>
  <c r="G2945" i="5" s="1"/>
  <c r="F2944" i="5"/>
  <c r="G2944" i="5" s="1"/>
  <c r="F2943" i="5"/>
  <c r="G2943" i="5" s="1"/>
  <c r="F2942" i="5"/>
  <c r="G2942" i="5" s="1"/>
  <c r="F2941" i="5"/>
  <c r="G2941" i="5" s="1"/>
  <c r="F2940" i="5"/>
  <c r="G2940" i="5" s="1"/>
  <c r="F2939" i="5"/>
  <c r="G2939" i="5" s="1"/>
  <c r="F2938" i="5"/>
  <c r="G2938" i="5" s="1"/>
  <c r="F2937" i="5"/>
  <c r="G2937" i="5" s="1"/>
  <c r="F2936" i="5"/>
  <c r="G2936" i="5" s="1"/>
  <c r="F2935" i="5"/>
  <c r="G2935" i="5" s="1"/>
  <c r="F2934" i="5"/>
  <c r="G2934" i="5" s="1"/>
  <c r="F2933" i="5"/>
  <c r="G2933" i="5" s="1"/>
  <c r="F2932" i="5"/>
  <c r="G2932" i="5" s="1"/>
  <c r="F2931" i="5"/>
  <c r="G2931" i="5" s="1"/>
  <c r="F2930" i="5"/>
  <c r="G2930" i="5" s="1"/>
  <c r="F2929" i="5"/>
  <c r="G2929" i="5" s="1"/>
  <c r="F2928" i="5"/>
  <c r="G2928" i="5" s="1"/>
  <c r="F2927" i="5"/>
  <c r="G2927" i="5" s="1"/>
  <c r="F2926" i="5"/>
  <c r="G2926" i="5" s="1"/>
  <c r="F2925" i="5"/>
  <c r="G2925" i="5" s="1"/>
  <c r="F2924" i="5"/>
  <c r="G2924" i="5" s="1"/>
  <c r="F2923" i="5"/>
  <c r="G2923" i="5" s="1"/>
  <c r="F2922" i="5"/>
  <c r="G2922" i="5" s="1"/>
  <c r="F2921" i="5"/>
  <c r="G2921" i="5" s="1"/>
  <c r="F2920" i="5"/>
  <c r="G2920" i="5" s="1"/>
  <c r="F2919" i="5"/>
  <c r="G2919" i="5" s="1"/>
  <c r="F2918" i="5"/>
  <c r="G2918" i="5" s="1"/>
  <c r="F2917" i="5"/>
  <c r="G2917" i="5" s="1"/>
  <c r="F2916" i="5"/>
  <c r="G2916" i="5" s="1"/>
  <c r="F2915" i="5"/>
  <c r="G2915" i="5" s="1"/>
  <c r="F2914" i="5"/>
  <c r="G2914" i="5" s="1"/>
  <c r="F2913" i="5"/>
  <c r="G2913" i="5" s="1"/>
  <c r="F2912" i="5"/>
  <c r="G2912" i="5" s="1"/>
  <c r="F2911" i="5"/>
  <c r="G2911" i="5" s="1"/>
  <c r="F2910" i="5"/>
  <c r="G2910" i="5" s="1"/>
  <c r="F2909" i="5"/>
  <c r="G2909" i="5" s="1"/>
  <c r="F2908" i="5"/>
  <c r="G2908" i="5" s="1"/>
  <c r="F2907" i="5"/>
  <c r="G2907" i="5" s="1"/>
  <c r="F2906" i="5"/>
  <c r="G2906" i="5" s="1"/>
  <c r="F2905" i="5"/>
  <c r="G2905" i="5" s="1"/>
  <c r="F2904" i="5"/>
  <c r="G2904" i="5" s="1"/>
  <c r="F2903" i="5"/>
  <c r="G2903" i="5" s="1"/>
  <c r="F2902" i="5"/>
  <c r="G2902" i="5" s="1"/>
  <c r="F2901" i="5"/>
  <c r="G2901" i="5" s="1"/>
  <c r="F2900" i="5"/>
  <c r="G2900" i="5" s="1"/>
  <c r="F2899" i="5"/>
  <c r="G2899" i="5" s="1"/>
  <c r="F2898" i="5"/>
  <c r="G2898" i="5" s="1"/>
  <c r="F2897" i="5"/>
  <c r="G2897" i="5" s="1"/>
  <c r="F2896" i="5"/>
  <c r="G2896" i="5" s="1"/>
  <c r="F2895" i="5"/>
  <c r="G2895" i="5" s="1"/>
  <c r="F2894" i="5"/>
  <c r="G2894" i="5" s="1"/>
  <c r="F2893" i="5"/>
  <c r="G2893" i="5" s="1"/>
  <c r="F2892" i="5"/>
  <c r="G2892" i="5" s="1"/>
  <c r="F2891" i="5"/>
  <c r="G2891" i="5" s="1"/>
  <c r="F2890" i="5"/>
  <c r="G2890" i="5" s="1"/>
  <c r="F2889" i="5"/>
  <c r="G2889" i="5" s="1"/>
  <c r="F2888" i="5"/>
  <c r="G2888" i="5" s="1"/>
  <c r="F2887" i="5"/>
  <c r="G2887" i="5" s="1"/>
  <c r="F2886" i="5"/>
  <c r="G2886" i="5" s="1"/>
  <c r="F2885" i="5"/>
  <c r="G2885" i="5" s="1"/>
  <c r="F2884" i="5"/>
  <c r="G2884" i="5" s="1"/>
  <c r="F2883" i="5"/>
  <c r="G2883" i="5" s="1"/>
  <c r="F2882" i="5"/>
  <c r="G2882" i="5" s="1"/>
  <c r="F2881" i="5"/>
  <c r="G2881" i="5" s="1"/>
  <c r="F2880" i="5"/>
  <c r="G2880" i="5" s="1"/>
  <c r="F2879" i="5"/>
  <c r="G2879" i="5" s="1"/>
  <c r="F2878" i="5"/>
  <c r="G2878" i="5" s="1"/>
  <c r="F2877" i="5"/>
  <c r="G2877" i="5" s="1"/>
  <c r="F2876" i="5"/>
  <c r="G2876" i="5" s="1"/>
  <c r="F2875" i="5"/>
  <c r="G2875" i="5" s="1"/>
  <c r="F2874" i="5"/>
  <c r="G2874" i="5" s="1"/>
  <c r="F2873" i="5"/>
  <c r="G2873" i="5" s="1"/>
  <c r="F2872" i="5"/>
  <c r="G2872" i="5" s="1"/>
  <c r="F2871" i="5"/>
  <c r="G2871" i="5" s="1"/>
  <c r="F2870" i="5"/>
  <c r="G2870" i="5" s="1"/>
  <c r="F2869" i="5"/>
  <c r="G2869" i="5" s="1"/>
  <c r="F2868" i="5"/>
  <c r="G2868" i="5" s="1"/>
  <c r="F2867" i="5"/>
  <c r="G2867" i="5" s="1"/>
  <c r="F2866" i="5"/>
  <c r="G2866" i="5" s="1"/>
  <c r="F2865" i="5"/>
  <c r="G2865" i="5" s="1"/>
  <c r="F2864" i="5"/>
  <c r="G2864" i="5" s="1"/>
  <c r="F2863" i="5"/>
  <c r="G2863" i="5" s="1"/>
  <c r="F2862" i="5"/>
  <c r="G2862" i="5" s="1"/>
  <c r="F2861" i="5"/>
  <c r="G2861" i="5" s="1"/>
  <c r="F2860" i="5"/>
  <c r="G2860" i="5" s="1"/>
  <c r="F2859" i="5"/>
  <c r="G2859" i="5" s="1"/>
  <c r="F2858" i="5"/>
  <c r="G2858" i="5" s="1"/>
  <c r="F2857" i="5"/>
  <c r="G2857" i="5" s="1"/>
  <c r="F2856" i="5"/>
  <c r="G2856" i="5" s="1"/>
  <c r="F2855" i="5"/>
  <c r="G2855" i="5" s="1"/>
  <c r="F2854" i="5"/>
  <c r="G2854" i="5" s="1"/>
  <c r="F2853" i="5"/>
  <c r="G2853" i="5" s="1"/>
  <c r="F2852" i="5"/>
  <c r="G2852" i="5" s="1"/>
  <c r="F2851" i="5"/>
  <c r="G2851" i="5" s="1"/>
  <c r="F2850" i="5"/>
  <c r="G2850" i="5" s="1"/>
  <c r="F2849" i="5"/>
  <c r="G2849" i="5" s="1"/>
  <c r="F2848" i="5"/>
  <c r="G2848" i="5" s="1"/>
  <c r="F2847" i="5"/>
  <c r="G2847" i="5" s="1"/>
  <c r="F2846" i="5"/>
  <c r="G2846" i="5" s="1"/>
  <c r="F2845" i="5"/>
  <c r="G2845" i="5" s="1"/>
  <c r="F2844" i="5"/>
  <c r="G2844" i="5" s="1"/>
  <c r="F2843" i="5"/>
  <c r="G2843" i="5" s="1"/>
  <c r="F2842" i="5"/>
  <c r="G2842" i="5" s="1"/>
  <c r="F2841" i="5"/>
  <c r="G2841" i="5" s="1"/>
  <c r="F2840" i="5"/>
  <c r="G2840" i="5" s="1"/>
  <c r="F2839" i="5"/>
  <c r="G2839" i="5" s="1"/>
  <c r="F2838" i="5"/>
  <c r="G2838" i="5" s="1"/>
  <c r="F2837" i="5"/>
  <c r="G2837" i="5" s="1"/>
  <c r="F2836" i="5"/>
  <c r="G2836" i="5" s="1"/>
  <c r="F2835" i="5"/>
  <c r="G2835" i="5" s="1"/>
  <c r="F2834" i="5"/>
  <c r="G2834" i="5" s="1"/>
  <c r="F2833" i="5"/>
  <c r="G2833" i="5" s="1"/>
  <c r="F2832" i="5"/>
  <c r="G2832" i="5" s="1"/>
  <c r="F2831" i="5"/>
  <c r="G2831" i="5" s="1"/>
  <c r="F2830" i="5"/>
  <c r="G2830" i="5" s="1"/>
  <c r="F2829" i="5"/>
  <c r="G2829" i="5" s="1"/>
  <c r="F2828" i="5"/>
  <c r="G2828" i="5" s="1"/>
  <c r="F2827" i="5"/>
  <c r="G2827" i="5" s="1"/>
  <c r="F2826" i="5"/>
  <c r="G2826" i="5" s="1"/>
  <c r="F2825" i="5"/>
  <c r="G2825" i="5" s="1"/>
  <c r="F2824" i="5"/>
  <c r="G2824" i="5" s="1"/>
  <c r="F2823" i="5"/>
  <c r="G2823" i="5" s="1"/>
  <c r="F2822" i="5"/>
  <c r="G2822" i="5" s="1"/>
  <c r="F2821" i="5"/>
  <c r="G2821" i="5" s="1"/>
  <c r="F2820" i="5"/>
  <c r="G2820" i="5" s="1"/>
  <c r="F2819" i="5"/>
  <c r="G2819" i="5" s="1"/>
  <c r="F2818" i="5"/>
  <c r="G2818" i="5" s="1"/>
  <c r="F2817" i="5"/>
  <c r="G2817" i="5" s="1"/>
  <c r="F2816" i="5"/>
  <c r="G2816" i="5" s="1"/>
  <c r="F2815" i="5"/>
  <c r="G2815" i="5" s="1"/>
  <c r="F2814" i="5"/>
  <c r="G2814" i="5" s="1"/>
  <c r="F2813" i="5"/>
  <c r="G2813" i="5" s="1"/>
  <c r="F2812" i="5"/>
  <c r="G2812" i="5" s="1"/>
  <c r="F2811" i="5"/>
  <c r="G2811" i="5" s="1"/>
  <c r="F2810" i="5"/>
  <c r="G2810" i="5" s="1"/>
  <c r="F2809" i="5"/>
  <c r="G2809" i="5" s="1"/>
  <c r="F2808" i="5"/>
  <c r="G2808" i="5" s="1"/>
  <c r="F2807" i="5"/>
  <c r="G2807" i="5" s="1"/>
  <c r="F2806" i="5"/>
  <c r="G2806" i="5" s="1"/>
  <c r="F2805" i="5"/>
  <c r="G2805" i="5" s="1"/>
  <c r="F2804" i="5"/>
  <c r="G2804" i="5" s="1"/>
  <c r="F2803" i="5"/>
  <c r="G2803" i="5" s="1"/>
  <c r="F2802" i="5"/>
  <c r="G2802" i="5" s="1"/>
  <c r="F2801" i="5"/>
  <c r="G2801" i="5" s="1"/>
  <c r="F2800" i="5"/>
  <c r="G2800" i="5" s="1"/>
  <c r="F2799" i="5"/>
  <c r="G2799" i="5" s="1"/>
  <c r="F2798" i="5"/>
  <c r="G2798" i="5" s="1"/>
  <c r="F2797" i="5"/>
  <c r="G2797" i="5" s="1"/>
  <c r="F2796" i="5"/>
  <c r="G2796" i="5" s="1"/>
  <c r="F2795" i="5"/>
  <c r="G2795" i="5" s="1"/>
  <c r="F2794" i="5"/>
  <c r="G2794" i="5" s="1"/>
  <c r="F2793" i="5"/>
  <c r="G2793" i="5" s="1"/>
  <c r="F2792" i="5"/>
  <c r="G2792" i="5" s="1"/>
  <c r="F2791" i="5"/>
  <c r="G2791" i="5" s="1"/>
  <c r="F2790" i="5"/>
  <c r="G2790" i="5" s="1"/>
  <c r="F2789" i="5"/>
  <c r="G2789" i="5" s="1"/>
  <c r="F2788" i="5"/>
  <c r="G2788" i="5" s="1"/>
  <c r="F2787" i="5"/>
  <c r="G2787" i="5" s="1"/>
  <c r="F2786" i="5"/>
  <c r="G2786" i="5" s="1"/>
  <c r="F2785" i="5"/>
  <c r="G2785" i="5" s="1"/>
  <c r="F2784" i="5"/>
  <c r="G2784" i="5" s="1"/>
  <c r="F2783" i="5"/>
  <c r="G2783" i="5" s="1"/>
  <c r="F2782" i="5"/>
  <c r="G2782" i="5" s="1"/>
  <c r="F2781" i="5"/>
  <c r="G2781" i="5" s="1"/>
  <c r="F2780" i="5"/>
  <c r="G2780" i="5" s="1"/>
  <c r="F2779" i="5"/>
  <c r="G2779" i="5" s="1"/>
  <c r="F2778" i="5"/>
  <c r="G2778" i="5" s="1"/>
  <c r="F2777" i="5"/>
  <c r="G2777" i="5" s="1"/>
  <c r="F2776" i="5"/>
  <c r="G2776" i="5" s="1"/>
  <c r="F2775" i="5"/>
  <c r="G2775" i="5" s="1"/>
  <c r="F2774" i="5"/>
  <c r="G2774" i="5" s="1"/>
  <c r="F2773" i="5"/>
  <c r="G2773" i="5" s="1"/>
  <c r="F2772" i="5"/>
  <c r="G2772" i="5" s="1"/>
  <c r="F2771" i="5"/>
  <c r="G2771" i="5" s="1"/>
  <c r="F2770" i="5"/>
  <c r="G2770" i="5" s="1"/>
  <c r="F2769" i="5"/>
  <c r="G2769" i="5" s="1"/>
  <c r="F2768" i="5"/>
  <c r="G2768" i="5" s="1"/>
  <c r="F2767" i="5"/>
  <c r="G2767" i="5" s="1"/>
  <c r="F2766" i="5"/>
  <c r="G2766" i="5" s="1"/>
  <c r="F2765" i="5"/>
  <c r="G2765" i="5" s="1"/>
  <c r="F2764" i="5"/>
  <c r="G2764" i="5" s="1"/>
  <c r="F2763" i="5"/>
  <c r="G2763" i="5" s="1"/>
  <c r="F2762" i="5"/>
  <c r="G2762" i="5" s="1"/>
  <c r="F2761" i="5"/>
  <c r="G2761" i="5" s="1"/>
  <c r="F2760" i="5"/>
  <c r="G2760" i="5" s="1"/>
  <c r="F2759" i="5"/>
  <c r="G2759" i="5" s="1"/>
  <c r="F2758" i="5"/>
  <c r="G2758" i="5" s="1"/>
  <c r="F2757" i="5"/>
  <c r="G2757" i="5" s="1"/>
  <c r="F2756" i="5"/>
  <c r="G2756" i="5" s="1"/>
  <c r="F2755" i="5"/>
  <c r="G2755" i="5" s="1"/>
  <c r="F2754" i="5"/>
  <c r="G2754" i="5" s="1"/>
  <c r="F2753" i="5"/>
  <c r="G2753" i="5" s="1"/>
  <c r="F2752" i="5"/>
  <c r="G2752" i="5" s="1"/>
  <c r="F2751" i="5"/>
  <c r="G2751" i="5" s="1"/>
  <c r="F2750" i="5"/>
  <c r="G2750" i="5" s="1"/>
  <c r="F2749" i="5"/>
  <c r="G2749" i="5" s="1"/>
  <c r="F2748" i="5"/>
  <c r="G2748" i="5" s="1"/>
  <c r="F2747" i="5"/>
  <c r="G2747" i="5" s="1"/>
  <c r="F2746" i="5"/>
  <c r="G2746" i="5" s="1"/>
  <c r="F2745" i="5"/>
  <c r="G2745" i="5" s="1"/>
  <c r="F2744" i="5"/>
  <c r="G2744" i="5" s="1"/>
  <c r="F2743" i="5"/>
  <c r="G2743" i="5" s="1"/>
  <c r="F2742" i="5"/>
  <c r="G2742" i="5" s="1"/>
  <c r="F2741" i="5"/>
  <c r="G2741" i="5" s="1"/>
  <c r="F2740" i="5"/>
  <c r="G2740" i="5" s="1"/>
  <c r="F2739" i="5"/>
  <c r="G2739" i="5" s="1"/>
  <c r="F2738" i="5"/>
  <c r="G2738" i="5" s="1"/>
  <c r="F2737" i="5"/>
  <c r="G2737" i="5" s="1"/>
  <c r="F2736" i="5"/>
  <c r="G2736" i="5" s="1"/>
  <c r="F2735" i="5"/>
  <c r="G2735" i="5" s="1"/>
  <c r="F2734" i="5"/>
  <c r="G2734" i="5" s="1"/>
  <c r="F2733" i="5"/>
  <c r="G2733" i="5" s="1"/>
  <c r="F2732" i="5"/>
  <c r="G2732" i="5" s="1"/>
  <c r="F2731" i="5"/>
  <c r="G2731" i="5" s="1"/>
  <c r="F2730" i="5"/>
  <c r="G2730" i="5" s="1"/>
  <c r="F2729" i="5"/>
  <c r="G2729" i="5" s="1"/>
  <c r="F2728" i="5"/>
  <c r="G2728" i="5" s="1"/>
  <c r="F2727" i="5"/>
  <c r="G2727" i="5" s="1"/>
  <c r="F2726" i="5"/>
  <c r="G2726" i="5" s="1"/>
  <c r="F2725" i="5"/>
  <c r="G2725" i="5" s="1"/>
  <c r="F2724" i="5"/>
  <c r="G2724" i="5" s="1"/>
  <c r="F2723" i="5"/>
  <c r="G2723" i="5" s="1"/>
  <c r="F2722" i="5"/>
  <c r="G2722" i="5" s="1"/>
  <c r="F2721" i="5"/>
  <c r="G2721" i="5" s="1"/>
  <c r="F2720" i="5"/>
  <c r="G2720" i="5" s="1"/>
  <c r="F2719" i="5"/>
  <c r="G2719" i="5" s="1"/>
  <c r="F2718" i="5"/>
  <c r="G2718" i="5" s="1"/>
  <c r="F2717" i="5"/>
  <c r="G2717" i="5" s="1"/>
  <c r="F2716" i="5"/>
  <c r="G2716" i="5" s="1"/>
  <c r="F2715" i="5"/>
  <c r="G2715" i="5" s="1"/>
  <c r="F2714" i="5"/>
  <c r="G2714" i="5" s="1"/>
  <c r="F2713" i="5"/>
  <c r="G2713" i="5" s="1"/>
  <c r="F2712" i="5"/>
  <c r="G2712" i="5" s="1"/>
  <c r="F2711" i="5"/>
  <c r="G2711" i="5" s="1"/>
  <c r="F2710" i="5"/>
  <c r="G2710" i="5" s="1"/>
  <c r="F2709" i="5"/>
  <c r="G2709" i="5" s="1"/>
  <c r="F2708" i="5"/>
  <c r="G2708" i="5" s="1"/>
  <c r="F2707" i="5"/>
  <c r="G2707" i="5" s="1"/>
  <c r="F2706" i="5"/>
  <c r="G2706" i="5" s="1"/>
  <c r="F2705" i="5"/>
  <c r="G2705" i="5" s="1"/>
  <c r="F2704" i="5"/>
  <c r="G2704" i="5" s="1"/>
  <c r="F2703" i="5"/>
  <c r="G2703" i="5" s="1"/>
  <c r="F2702" i="5"/>
  <c r="G2702" i="5" s="1"/>
  <c r="F2701" i="5"/>
  <c r="G2701" i="5" s="1"/>
  <c r="F2700" i="5"/>
  <c r="G2700" i="5" s="1"/>
  <c r="F2699" i="5"/>
  <c r="G2699" i="5" s="1"/>
  <c r="F2698" i="5"/>
  <c r="G2698" i="5" s="1"/>
  <c r="F2697" i="5"/>
  <c r="G2697" i="5" s="1"/>
  <c r="F2696" i="5"/>
  <c r="G2696" i="5" s="1"/>
  <c r="F2695" i="5"/>
  <c r="G2695" i="5" s="1"/>
  <c r="F2694" i="5"/>
  <c r="G2694" i="5" s="1"/>
  <c r="F2693" i="5"/>
  <c r="G2693" i="5" s="1"/>
  <c r="F2692" i="5"/>
  <c r="G2692" i="5" s="1"/>
  <c r="F2691" i="5"/>
  <c r="G2691" i="5" s="1"/>
  <c r="F2690" i="5"/>
  <c r="G2690" i="5" s="1"/>
  <c r="F2689" i="5"/>
  <c r="G2689" i="5" s="1"/>
  <c r="F2688" i="5"/>
  <c r="G2688" i="5" s="1"/>
  <c r="F2687" i="5"/>
  <c r="G2687" i="5" s="1"/>
  <c r="F2686" i="5"/>
  <c r="G2686" i="5" s="1"/>
  <c r="F2685" i="5"/>
  <c r="G2685" i="5" s="1"/>
  <c r="F2684" i="5"/>
  <c r="G2684" i="5" s="1"/>
  <c r="F2683" i="5"/>
  <c r="G2683" i="5" s="1"/>
  <c r="F2682" i="5"/>
  <c r="G2682" i="5" s="1"/>
  <c r="F2681" i="5"/>
  <c r="G2681" i="5" s="1"/>
  <c r="F2680" i="5"/>
  <c r="G2680" i="5" s="1"/>
  <c r="F2679" i="5"/>
  <c r="G2679" i="5" s="1"/>
  <c r="F2678" i="5"/>
  <c r="G2678" i="5" s="1"/>
  <c r="F2677" i="5"/>
  <c r="G2677" i="5" s="1"/>
  <c r="F2676" i="5"/>
  <c r="G2676" i="5" s="1"/>
  <c r="F2675" i="5"/>
  <c r="G2675" i="5" s="1"/>
  <c r="F2674" i="5"/>
  <c r="G2674" i="5" s="1"/>
  <c r="F2673" i="5"/>
  <c r="G2673" i="5" s="1"/>
  <c r="F2672" i="5"/>
  <c r="G2672" i="5" s="1"/>
  <c r="F2671" i="5"/>
  <c r="G2671" i="5" s="1"/>
  <c r="F2670" i="5"/>
  <c r="G2670" i="5" s="1"/>
  <c r="F2669" i="5"/>
  <c r="G2669" i="5" s="1"/>
  <c r="F2668" i="5"/>
  <c r="G2668" i="5" s="1"/>
  <c r="F2667" i="5"/>
  <c r="G2667" i="5" s="1"/>
  <c r="F2666" i="5"/>
  <c r="G2666" i="5" s="1"/>
  <c r="F2665" i="5"/>
  <c r="G2665" i="5" s="1"/>
  <c r="F2664" i="5"/>
  <c r="G2664" i="5" s="1"/>
  <c r="F2663" i="5"/>
  <c r="G2663" i="5" s="1"/>
  <c r="F2662" i="5"/>
  <c r="G2662" i="5" s="1"/>
  <c r="F2661" i="5"/>
  <c r="G2661" i="5" s="1"/>
  <c r="F2660" i="5"/>
  <c r="G2660" i="5" s="1"/>
  <c r="F2659" i="5"/>
  <c r="G2659" i="5" s="1"/>
  <c r="F2658" i="5"/>
  <c r="G2658" i="5" s="1"/>
  <c r="F2657" i="5"/>
  <c r="G2657" i="5" s="1"/>
  <c r="F2656" i="5"/>
  <c r="G2656" i="5" s="1"/>
  <c r="F2655" i="5"/>
  <c r="G2655" i="5" s="1"/>
  <c r="F2654" i="5"/>
  <c r="G2654" i="5" s="1"/>
  <c r="F2653" i="5"/>
  <c r="G2653" i="5" s="1"/>
  <c r="F2652" i="5"/>
  <c r="G2652" i="5" s="1"/>
  <c r="F2651" i="5"/>
  <c r="G2651" i="5" s="1"/>
  <c r="F2650" i="5"/>
  <c r="G2650" i="5" s="1"/>
  <c r="F2649" i="5"/>
  <c r="G2649" i="5" s="1"/>
  <c r="F2648" i="5"/>
  <c r="G2648" i="5" s="1"/>
  <c r="F2647" i="5"/>
  <c r="G2647" i="5" s="1"/>
  <c r="F2646" i="5"/>
  <c r="G2646" i="5" s="1"/>
  <c r="F2645" i="5"/>
  <c r="G2645" i="5" s="1"/>
  <c r="F2644" i="5"/>
  <c r="G2644" i="5" s="1"/>
  <c r="F2643" i="5"/>
  <c r="G2643" i="5" s="1"/>
  <c r="F2642" i="5"/>
  <c r="G2642" i="5" s="1"/>
  <c r="F2641" i="5"/>
  <c r="G2641" i="5" s="1"/>
  <c r="F2640" i="5"/>
  <c r="G2640" i="5" s="1"/>
  <c r="F2639" i="5"/>
  <c r="G2639" i="5" s="1"/>
  <c r="F2638" i="5"/>
  <c r="G2638" i="5" s="1"/>
  <c r="F2637" i="5"/>
  <c r="G2637" i="5" s="1"/>
  <c r="F2636" i="5"/>
  <c r="G2636" i="5" s="1"/>
  <c r="F2635" i="5"/>
  <c r="G2635" i="5" s="1"/>
  <c r="F2634" i="5"/>
  <c r="G2634" i="5" s="1"/>
  <c r="F2633" i="5"/>
  <c r="G2633" i="5" s="1"/>
  <c r="F2632" i="5"/>
  <c r="G2632" i="5" s="1"/>
  <c r="F2631" i="5"/>
  <c r="G2631" i="5" s="1"/>
  <c r="F2630" i="5"/>
  <c r="G2630" i="5" s="1"/>
  <c r="F2629" i="5"/>
  <c r="G2629" i="5" s="1"/>
  <c r="F2628" i="5"/>
  <c r="G2628" i="5" s="1"/>
  <c r="F2627" i="5"/>
  <c r="G2627" i="5" s="1"/>
  <c r="F2626" i="5"/>
  <c r="G2626" i="5" s="1"/>
  <c r="F2625" i="5"/>
  <c r="G2625" i="5" s="1"/>
  <c r="F2624" i="5"/>
  <c r="G2624" i="5" s="1"/>
  <c r="F2623" i="5"/>
  <c r="G2623" i="5" s="1"/>
  <c r="F2622" i="5"/>
  <c r="G2622" i="5" s="1"/>
  <c r="F2621" i="5"/>
  <c r="G2621" i="5" s="1"/>
  <c r="F2620" i="5"/>
  <c r="G2620" i="5" s="1"/>
  <c r="F2619" i="5"/>
  <c r="G2619" i="5" s="1"/>
  <c r="F2618" i="5"/>
  <c r="G2618" i="5" s="1"/>
  <c r="F2617" i="5"/>
  <c r="G2617" i="5" s="1"/>
  <c r="F2616" i="5"/>
  <c r="G2616" i="5" s="1"/>
  <c r="F2615" i="5"/>
  <c r="G2615" i="5" s="1"/>
  <c r="F2614" i="5"/>
  <c r="G2614" i="5" s="1"/>
  <c r="F2613" i="5"/>
  <c r="G2613" i="5" s="1"/>
  <c r="F2612" i="5"/>
  <c r="G2612" i="5" s="1"/>
  <c r="F2611" i="5"/>
  <c r="G2611" i="5" s="1"/>
  <c r="F2610" i="5"/>
  <c r="G2610" i="5" s="1"/>
  <c r="F2609" i="5"/>
  <c r="G2609" i="5" s="1"/>
  <c r="F2608" i="5"/>
  <c r="G2608" i="5" s="1"/>
  <c r="F2607" i="5"/>
  <c r="G2607" i="5" s="1"/>
  <c r="F2606" i="5"/>
  <c r="G2606" i="5" s="1"/>
  <c r="F2605" i="5"/>
  <c r="G2605" i="5" s="1"/>
  <c r="F2604" i="5"/>
  <c r="G2604" i="5" s="1"/>
  <c r="F2603" i="5"/>
  <c r="G2603" i="5" s="1"/>
  <c r="F2602" i="5"/>
  <c r="G2602" i="5" s="1"/>
  <c r="F2601" i="5"/>
  <c r="G2601" i="5" s="1"/>
  <c r="F2600" i="5"/>
  <c r="G2600" i="5" s="1"/>
  <c r="F2599" i="5"/>
  <c r="G2599" i="5" s="1"/>
  <c r="F2598" i="5"/>
  <c r="G2598" i="5" s="1"/>
  <c r="F2597" i="5"/>
  <c r="G2597" i="5" s="1"/>
  <c r="F2596" i="5"/>
  <c r="G2596" i="5" s="1"/>
  <c r="F2595" i="5"/>
  <c r="G2595" i="5" s="1"/>
  <c r="F2594" i="5"/>
  <c r="G2594" i="5" s="1"/>
  <c r="F2593" i="5"/>
  <c r="G2593" i="5" s="1"/>
  <c r="F2592" i="5"/>
  <c r="G2592" i="5" s="1"/>
  <c r="F2591" i="5"/>
  <c r="G2591" i="5" s="1"/>
  <c r="F2590" i="5"/>
  <c r="G2590" i="5" s="1"/>
  <c r="F2589" i="5"/>
  <c r="G2589" i="5" s="1"/>
  <c r="F2588" i="5"/>
  <c r="G2588" i="5" s="1"/>
  <c r="F2587" i="5"/>
  <c r="G2587" i="5" s="1"/>
  <c r="F2586" i="5"/>
  <c r="G2586" i="5" s="1"/>
  <c r="F2585" i="5"/>
  <c r="G2585" i="5" s="1"/>
  <c r="F2584" i="5"/>
  <c r="G2584" i="5" s="1"/>
  <c r="F2583" i="5"/>
  <c r="G2583" i="5" s="1"/>
  <c r="F2582" i="5"/>
  <c r="G2582" i="5" s="1"/>
  <c r="F2581" i="5"/>
  <c r="G2581" i="5" s="1"/>
  <c r="F2580" i="5"/>
  <c r="G2580" i="5" s="1"/>
  <c r="F2579" i="5"/>
  <c r="G2579" i="5" s="1"/>
  <c r="F2578" i="5"/>
  <c r="G2578" i="5" s="1"/>
  <c r="F2577" i="5"/>
  <c r="G2577" i="5" s="1"/>
  <c r="F2576" i="5"/>
  <c r="G2576" i="5" s="1"/>
  <c r="F2575" i="5"/>
  <c r="G2575" i="5" s="1"/>
  <c r="F2574" i="5"/>
  <c r="G2574" i="5" s="1"/>
  <c r="F2573" i="5"/>
  <c r="G2573" i="5" s="1"/>
  <c r="F2572" i="5"/>
  <c r="G2572" i="5" s="1"/>
  <c r="F2571" i="5"/>
  <c r="G2571" i="5" s="1"/>
  <c r="F2570" i="5"/>
  <c r="G2570" i="5" s="1"/>
  <c r="F2569" i="5"/>
  <c r="G2569" i="5" s="1"/>
  <c r="F2568" i="5"/>
  <c r="G2568" i="5" s="1"/>
  <c r="F2567" i="5"/>
  <c r="G2567" i="5" s="1"/>
  <c r="F2566" i="5"/>
  <c r="G2566" i="5" s="1"/>
  <c r="F2565" i="5"/>
  <c r="G2565" i="5" s="1"/>
  <c r="F2564" i="5"/>
  <c r="G2564" i="5" s="1"/>
  <c r="F2563" i="5"/>
  <c r="G2563" i="5" s="1"/>
  <c r="F2562" i="5"/>
  <c r="G2562" i="5" s="1"/>
  <c r="F2561" i="5"/>
  <c r="G2561" i="5" s="1"/>
  <c r="F2560" i="5"/>
  <c r="G2560" i="5" s="1"/>
  <c r="F2559" i="5"/>
  <c r="G2559" i="5" s="1"/>
  <c r="F2558" i="5"/>
  <c r="G2558" i="5" s="1"/>
  <c r="F2557" i="5"/>
  <c r="G2557" i="5" s="1"/>
  <c r="F2556" i="5"/>
  <c r="G2556" i="5" s="1"/>
  <c r="F2555" i="5"/>
  <c r="G2555" i="5" s="1"/>
  <c r="F2554" i="5"/>
  <c r="G2554" i="5" s="1"/>
  <c r="F2553" i="5"/>
  <c r="G2553" i="5" s="1"/>
  <c r="F2552" i="5"/>
  <c r="G2552" i="5" s="1"/>
  <c r="F2551" i="5"/>
  <c r="G2551" i="5" s="1"/>
  <c r="F2550" i="5"/>
  <c r="G2550" i="5" s="1"/>
  <c r="F2549" i="5"/>
  <c r="G2549" i="5" s="1"/>
  <c r="F2548" i="5"/>
  <c r="G2548" i="5" s="1"/>
  <c r="F2547" i="5"/>
  <c r="G2547" i="5" s="1"/>
  <c r="F2546" i="5"/>
  <c r="G2546" i="5" s="1"/>
  <c r="F2545" i="5"/>
  <c r="G2545" i="5" s="1"/>
  <c r="F2544" i="5"/>
  <c r="G2544" i="5" s="1"/>
  <c r="F2543" i="5"/>
  <c r="G2543" i="5" s="1"/>
  <c r="F2542" i="5"/>
  <c r="G2542" i="5" s="1"/>
  <c r="F2541" i="5"/>
  <c r="G2541" i="5" s="1"/>
  <c r="F2540" i="5"/>
  <c r="G2540" i="5" s="1"/>
  <c r="F2539" i="5"/>
  <c r="G2539" i="5" s="1"/>
  <c r="F2538" i="5"/>
  <c r="G2538" i="5" s="1"/>
  <c r="F2537" i="5"/>
  <c r="G2537" i="5" s="1"/>
  <c r="F2536" i="5"/>
  <c r="G2536" i="5" s="1"/>
  <c r="F2535" i="5"/>
  <c r="G2535" i="5" s="1"/>
  <c r="F2534" i="5"/>
  <c r="G2534" i="5" s="1"/>
  <c r="F2533" i="5"/>
  <c r="G2533" i="5" s="1"/>
  <c r="F2532" i="5"/>
  <c r="G2532" i="5" s="1"/>
  <c r="F2531" i="5"/>
  <c r="G2531" i="5" s="1"/>
  <c r="F2530" i="5"/>
  <c r="G2530" i="5" s="1"/>
  <c r="F2529" i="5"/>
  <c r="G2529" i="5" s="1"/>
  <c r="F2528" i="5"/>
  <c r="G2528" i="5" s="1"/>
  <c r="F2527" i="5"/>
  <c r="G2527" i="5" s="1"/>
  <c r="F2526" i="5"/>
  <c r="G2526" i="5" s="1"/>
  <c r="F2525" i="5"/>
  <c r="G2525" i="5" s="1"/>
  <c r="F2524" i="5"/>
  <c r="G2524" i="5" s="1"/>
  <c r="F2523" i="5"/>
  <c r="G2523" i="5" s="1"/>
  <c r="F2522" i="5"/>
  <c r="G2522" i="5" s="1"/>
  <c r="F2521" i="5"/>
  <c r="G2521" i="5" s="1"/>
  <c r="F2520" i="5"/>
  <c r="G2520" i="5" s="1"/>
  <c r="F2519" i="5"/>
  <c r="G2519" i="5" s="1"/>
  <c r="F2518" i="5"/>
  <c r="G2518" i="5" s="1"/>
  <c r="F2517" i="5"/>
  <c r="G2517" i="5" s="1"/>
  <c r="F2516" i="5"/>
  <c r="G2516" i="5" s="1"/>
  <c r="F2515" i="5"/>
  <c r="G2515" i="5" s="1"/>
  <c r="F2514" i="5"/>
  <c r="G2514" i="5" s="1"/>
  <c r="F2513" i="5"/>
  <c r="G2513" i="5" s="1"/>
  <c r="F2512" i="5"/>
  <c r="G2512" i="5" s="1"/>
  <c r="F2511" i="5"/>
  <c r="G2511" i="5" s="1"/>
  <c r="F2510" i="5"/>
  <c r="G2510" i="5" s="1"/>
  <c r="F2509" i="5"/>
  <c r="G2509" i="5" s="1"/>
  <c r="F2508" i="5"/>
  <c r="G2508" i="5" s="1"/>
  <c r="F2507" i="5"/>
  <c r="G2507" i="5" s="1"/>
  <c r="F2506" i="5"/>
  <c r="G2506" i="5" s="1"/>
  <c r="F2505" i="5"/>
  <c r="G2505" i="5" s="1"/>
  <c r="F2504" i="5"/>
  <c r="G2504" i="5" s="1"/>
  <c r="F2503" i="5"/>
  <c r="G2503" i="5" s="1"/>
  <c r="F2502" i="5"/>
  <c r="G2502" i="5" s="1"/>
  <c r="F2501" i="5"/>
  <c r="G2501" i="5" s="1"/>
  <c r="F2500" i="5"/>
  <c r="G2500" i="5" s="1"/>
  <c r="F2499" i="5"/>
  <c r="G2499" i="5" s="1"/>
  <c r="F2498" i="5"/>
  <c r="G2498" i="5" s="1"/>
  <c r="F2497" i="5"/>
  <c r="G2497" i="5" s="1"/>
  <c r="F2496" i="5"/>
  <c r="G2496" i="5" s="1"/>
  <c r="F2495" i="5"/>
  <c r="G2495" i="5" s="1"/>
  <c r="F2494" i="5"/>
  <c r="G2494" i="5" s="1"/>
  <c r="F2493" i="5"/>
  <c r="G2493" i="5" s="1"/>
  <c r="F2492" i="5"/>
  <c r="G2492" i="5" s="1"/>
  <c r="F2491" i="5"/>
  <c r="G2491" i="5" s="1"/>
  <c r="F2490" i="5"/>
  <c r="G2490" i="5" s="1"/>
  <c r="F2489" i="5"/>
  <c r="G2489" i="5" s="1"/>
  <c r="F2488" i="5"/>
  <c r="G2488" i="5" s="1"/>
  <c r="F2487" i="5"/>
  <c r="G2487" i="5" s="1"/>
  <c r="F2486" i="5"/>
  <c r="G2486" i="5" s="1"/>
  <c r="F2485" i="5"/>
  <c r="G2485" i="5" s="1"/>
  <c r="F2484" i="5"/>
  <c r="G2484" i="5" s="1"/>
  <c r="F2483" i="5"/>
  <c r="G2483" i="5" s="1"/>
  <c r="F2482" i="5"/>
  <c r="G2482" i="5" s="1"/>
  <c r="F2481" i="5"/>
  <c r="G2481" i="5" s="1"/>
  <c r="F2480" i="5"/>
  <c r="G2480" i="5" s="1"/>
  <c r="F2479" i="5"/>
  <c r="G2479" i="5" s="1"/>
  <c r="F2478" i="5"/>
  <c r="G2478" i="5" s="1"/>
  <c r="F2477" i="5"/>
  <c r="G2477" i="5" s="1"/>
  <c r="F2476" i="5"/>
  <c r="G2476" i="5" s="1"/>
  <c r="F2475" i="5"/>
  <c r="G2475" i="5" s="1"/>
  <c r="F2474" i="5"/>
  <c r="G2474" i="5" s="1"/>
  <c r="F2473" i="5"/>
  <c r="G2473" i="5" s="1"/>
  <c r="F2472" i="5"/>
  <c r="G2472" i="5" s="1"/>
  <c r="F2471" i="5"/>
  <c r="G2471" i="5" s="1"/>
  <c r="F2470" i="5"/>
  <c r="G2470" i="5" s="1"/>
  <c r="F2469" i="5"/>
  <c r="G2469" i="5" s="1"/>
  <c r="F2468" i="5"/>
  <c r="G2468" i="5" s="1"/>
  <c r="F2467" i="5"/>
  <c r="G2467" i="5" s="1"/>
  <c r="F2466" i="5"/>
  <c r="G2466" i="5" s="1"/>
  <c r="F2465" i="5"/>
  <c r="G2465" i="5" s="1"/>
  <c r="F2464" i="5"/>
  <c r="G2464" i="5" s="1"/>
  <c r="F2463" i="5"/>
  <c r="G2463" i="5" s="1"/>
  <c r="F2462" i="5"/>
  <c r="G2462" i="5" s="1"/>
  <c r="F2461" i="5"/>
  <c r="G2461" i="5" s="1"/>
  <c r="F2460" i="5"/>
  <c r="G2460" i="5" s="1"/>
  <c r="F2459" i="5"/>
  <c r="G2459" i="5" s="1"/>
  <c r="F2458" i="5"/>
  <c r="G2458" i="5" s="1"/>
  <c r="F2457" i="5"/>
  <c r="G2457" i="5" s="1"/>
  <c r="F2456" i="5"/>
  <c r="G2456" i="5" s="1"/>
  <c r="F2455" i="5"/>
  <c r="G2455" i="5" s="1"/>
  <c r="F2454" i="5"/>
  <c r="G2454" i="5" s="1"/>
  <c r="F2453" i="5"/>
  <c r="G2453" i="5" s="1"/>
  <c r="F2452" i="5"/>
  <c r="G2452" i="5" s="1"/>
  <c r="F2451" i="5"/>
  <c r="G2451" i="5" s="1"/>
  <c r="F2450" i="5"/>
  <c r="G2450" i="5" s="1"/>
  <c r="F2449" i="5"/>
  <c r="G2449" i="5" s="1"/>
  <c r="F2448" i="5"/>
  <c r="G2448" i="5" s="1"/>
  <c r="F2447" i="5"/>
  <c r="G2447" i="5" s="1"/>
  <c r="F2446" i="5"/>
  <c r="G2446" i="5" s="1"/>
  <c r="F2445" i="5"/>
  <c r="G2445" i="5" s="1"/>
  <c r="F2444" i="5"/>
  <c r="G2444" i="5" s="1"/>
  <c r="F2443" i="5"/>
  <c r="G2443" i="5" s="1"/>
  <c r="F2442" i="5"/>
  <c r="G2442" i="5" s="1"/>
  <c r="F2441" i="5"/>
  <c r="G2441" i="5" s="1"/>
  <c r="F2440" i="5"/>
  <c r="G2440" i="5" s="1"/>
  <c r="F2439" i="5"/>
  <c r="G2439" i="5" s="1"/>
  <c r="F2438" i="5"/>
  <c r="G2438" i="5" s="1"/>
  <c r="F2437" i="5"/>
  <c r="G2437" i="5" s="1"/>
  <c r="F2436" i="5"/>
  <c r="G2436" i="5" s="1"/>
  <c r="F2435" i="5"/>
  <c r="G2435" i="5" s="1"/>
  <c r="F2434" i="5"/>
  <c r="G2434" i="5" s="1"/>
  <c r="F2433" i="5"/>
  <c r="G2433" i="5" s="1"/>
  <c r="F2432" i="5"/>
  <c r="G2432" i="5" s="1"/>
  <c r="F2431" i="5"/>
  <c r="G2431" i="5" s="1"/>
  <c r="F2430" i="5"/>
  <c r="G2430" i="5" s="1"/>
  <c r="F2429" i="5"/>
  <c r="G2429" i="5" s="1"/>
  <c r="F2428" i="5"/>
  <c r="G2428" i="5" s="1"/>
  <c r="F2427" i="5"/>
  <c r="G2427" i="5" s="1"/>
  <c r="F2426" i="5"/>
  <c r="G2426" i="5" s="1"/>
  <c r="F2425" i="5"/>
  <c r="G2425" i="5" s="1"/>
  <c r="F2424" i="5"/>
  <c r="G2424" i="5" s="1"/>
  <c r="F2423" i="5"/>
  <c r="G2423" i="5" s="1"/>
  <c r="F2422" i="5"/>
  <c r="G2422" i="5" s="1"/>
  <c r="F2421" i="5"/>
  <c r="G2421" i="5" s="1"/>
  <c r="F2420" i="5"/>
  <c r="G2420" i="5" s="1"/>
  <c r="F2419" i="5"/>
  <c r="G2419" i="5" s="1"/>
  <c r="F2418" i="5"/>
  <c r="G2418" i="5" s="1"/>
  <c r="F2417" i="5"/>
  <c r="G2417" i="5" s="1"/>
  <c r="F2416" i="5"/>
  <c r="G2416" i="5" s="1"/>
  <c r="F2415" i="5"/>
  <c r="G2415" i="5" s="1"/>
  <c r="F2414" i="5"/>
  <c r="G2414" i="5" s="1"/>
  <c r="F2413" i="5"/>
  <c r="G2413" i="5" s="1"/>
  <c r="F2412" i="5"/>
  <c r="G2412" i="5" s="1"/>
  <c r="F2411" i="5"/>
  <c r="G2411" i="5" s="1"/>
  <c r="F2410" i="5"/>
  <c r="G2410" i="5" s="1"/>
  <c r="F2409" i="5"/>
  <c r="G2409" i="5" s="1"/>
  <c r="F2408" i="5"/>
  <c r="G2408" i="5" s="1"/>
  <c r="F2407" i="5"/>
  <c r="G2407" i="5" s="1"/>
  <c r="F2406" i="5"/>
  <c r="G2406" i="5" s="1"/>
  <c r="F2405" i="5"/>
  <c r="G2405" i="5" s="1"/>
  <c r="F2404" i="5"/>
  <c r="G2404" i="5" s="1"/>
  <c r="F2403" i="5"/>
  <c r="G2403" i="5" s="1"/>
  <c r="F2402" i="5"/>
  <c r="G2402" i="5" s="1"/>
  <c r="F2401" i="5"/>
  <c r="G2401" i="5" s="1"/>
  <c r="F2400" i="5"/>
  <c r="G2400" i="5" s="1"/>
  <c r="F2399" i="5"/>
  <c r="G2399" i="5" s="1"/>
  <c r="F2398" i="5"/>
  <c r="G2398" i="5" s="1"/>
  <c r="F2397" i="5"/>
  <c r="G2397" i="5" s="1"/>
  <c r="F2396" i="5"/>
  <c r="G2396" i="5" s="1"/>
  <c r="F2395" i="5"/>
  <c r="G2395" i="5" s="1"/>
  <c r="F2394" i="5"/>
  <c r="G2394" i="5" s="1"/>
  <c r="F2393" i="5"/>
  <c r="G2393" i="5" s="1"/>
  <c r="F2392" i="5"/>
  <c r="G2392" i="5" s="1"/>
  <c r="F2391" i="5"/>
  <c r="G2391" i="5" s="1"/>
  <c r="F2390" i="5"/>
  <c r="G2390" i="5" s="1"/>
  <c r="F2389" i="5"/>
  <c r="G2389" i="5" s="1"/>
  <c r="F2388" i="5"/>
  <c r="G2388" i="5" s="1"/>
  <c r="F2387" i="5"/>
  <c r="G2387" i="5" s="1"/>
  <c r="F2386" i="5"/>
  <c r="G2386" i="5" s="1"/>
  <c r="F2385" i="5"/>
  <c r="G2385" i="5" s="1"/>
  <c r="F2384" i="5"/>
  <c r="G2384" i="5" s="1"/>
  <c r="F2383" i="5"/>
  <c r="G2383" i="5" s="1"/>
  <c r="F2382" i="5"/>
  <c r="G2382" i="5" s="1"/>
  <c r="F2381" i="5"/>
  <c r="G2381" i="5" s="1"/>
  <c r="F2380" i="5"/>
  <c r="G2380" i="5" s="1"/>
  <c r="F2379" i="5"/>
  <c r="G2379" i="5" s="1"/>
  <c r="F2378" i="5"/>
  <c r="G2378" i="5" s="1"/>
  <c r="F2377" i="5"/>
  <c r="G2377" i="5" s="1"/>
  <c r="F2376" i="5"/>
  <c r="G2376" i="5" s="1"/>
  <c r="F2375" i="5"/>
  <c r="G2375" i="5" s="1"/>
  <c r="F2374" i="5"/>
  <c r="G2374" i="5" s="1"/>
  <c r="F2373" i="5"/>
  <c r="G2373" i="5" s="1"/>
  <c r="F2372" i="5"/>
  <c r="G2372" i="5" s="1"/>
  <c r="F2371" i="5"/>
  <c r="G2371" i="5" s="1"/>
  <c r="F2370" i="5"/>
  <c r="G2370" i="5" s="1"/>
  <c r="F2369" i="5"/>
  <c r="G2369" i="5" s="1"/>
  <c r="F2368" i="5"/>
  <c r="G2368" i="5" s="1"/>
  <c r="F2367" i="5"/>
  <c r="G2367" i="5" s="1"/>
  <c r="F2366" i="5"/>
  <c r="G2366" i="5" s="1"/>
  <c r="F2365" i="5"/>
  <c r="G2365" i="5" s="1"/>
  <c r="F2364" i="5"/>
  <c r="G2364" i="5" s="1"/>
  <c r="F2363" i="5"/>
  <c r="G2363" i="5" s="1"/>
  <c r="F2362" i="5"/>
  <c r="G2362" i="5" s="1"/>
  <c r="F2361" i="5"/>
  <c r="G2361" i="5" s="1"/>
  <c r="F2360" i="5"/>
  <c r="G2360" i="5" s="1"/>
  <c r="F2359" i="5"/>
  <c r="G2359" i="5" s="1"/>
  <c r="F2358" i="5"/>
  <c r="G2358" i="5" s="1"/>
  <c r="F2357" i="5"/>
  <c r="G2357" i="5" s="1"/>
  <c r="F2356" i="5"/>
  <c r="G2356" i="5" s="1"/>
  <c r="F2355" i="5"/>
  <c r="G2355" i="5" s="1"/>
  <c r="F2354" i="5"/>
  <c r="G2354" i="5" s="1"/>
  <c r="F2353" i="5"/>
  <c r="G2353" i="5" s="1"/>
  <c r="F2352" i="5"/>
  <c r="G2352" i="5" s="1"/>
  <c r="F2351" i="5"/>
  <c r="G2351" i="5" s="1"/>
  <c r="F2350" i="5"/>
  <c r="G2350" i="5" s="1"/>
  <c r="F2349" i="5"/>
  <c r="G2349" i="5" s="1"/>
  <c r="F2348" i="5"/>
  <c r="G2348" i="5" s="1"/>
  <c r="F2347" i="5"/>
  <c r="G2347" i="5" s="1"/>
  <c r="F2346" i="5"/>
  <c r="G2346" i="5" s="1"/>
  <c r="F2345" i="5"/>
  <c r="G2345" i="5" s="1"/>
  <c r="F2344" i="5"/>
  <c r="G2344" i="5" s="1"/>
  <c r="F2343" i="5"/>
  <c r="G2343" i="5" s="1"/>
  <c r="F2342" i="5"/>
  <c r="G2342" i="5" s="1"/>
  <c r="F2341" i="5"/>
  <c r="G2341" i="5" s="1"/>
  <c r="F2340" i="5"/>
  <c r="G2340" i="5" s="1"/>
  <c r="F2339" i="5"/>
  <c r="G2339" i="5" s="1"/>
  <c r="F2338" i="5"/>
  <c r="G2338" i="5" s="1"/>
  <c r="F2337" i="5"/>
  <c r="G2337" i="5" s="1"/>
  <c r="F2336" i="5"/>
  <c r="G2336" i="5" s="1"/>
  <c r="F2335" i="5"/>
  <c r="G2335" i="5" s="1"/>
  <c r="F2334" i="5"/>
  <c r="G2334" i="5" s="1"/>
  <c r="F2333" i="5"/>
  <c r="G2333" i="5" s="1"/>
  <c r="F2332" i="5"/>
  <c r="G2332" i="5" s="1"/>
  <c r="F2331" i="5"/>
  <c r="G2331" i="5" s="1"/>
  <c r="F2330" i="5"/>
  <c r="G2330" i="5" s="1"/>
  <c r="F2329" i="5"/>
  <c r="G2329" i="5" s="1"/>
  <c r="F2328" i="5"/>
  <c r="G2328" i="5" s="1"/>
  <c r="F2327" i="5"/>
  <c r="G2327" i="5" s="1"/>
  <c r="F2326" i="5"/>
  <c r="G2326" i="5" s="1"/>
  <c r="F2325" i="5"/>
  <c r="G2325" i="5" s="1"/>
  <c r="F2324" i="5"/>
  <c r="G2324" i="5" s="1"/>
  <c r="F2323" i="5"/>
  <c r="G2323" i="5" s="1"/>
  <c r="F2322" i="5"/>
  <c r="G2322" i="5" s="1"/>
  <c r="F2321" i="5"/>
  <c r="G2321" i="5" s="1"/>
  <c r="F2320" i="5"/>
  <c r="G2320" i="5" s="1"/>
  <c r="F2319" i="5"/>
  <c r="G2319" i="5" s="1"/>
  <c r="F2318" i="5"/>
  <c r="G2318" i="5" s="1"/>
  <c r="F2317" i="5"/>
  <c r="G2317" i="5" s="1"/>
  <c r="F2316" i="5"/>
  <c r="G2316" i="5" s="1"/>
  <c r="F2315" i="5"/>
  <c r="G2315" i="5" s="1"/>
  <c r="F2314" i="5"/>
  <c r="G2314" i="5" s="1"/>
  <c r="F2313" i="5"/>
  <c r="G2313" i="5" s="1"/>
  <c r="F2312" i="5"/>
  <c r="G2312" i="5" s="1"/>
  <c r="F2311" i="5"/>
  <c r="G2311" i="5" s="1"/>
  <c r="F2310" i="5"/>
  <c r="G2310" i="5" s="1"/>
  <c r="F2309" i="5"/>
  <c r="G2309" i="5" s="1"/>
  <c r="F2308" i="5"/>
  <c r="G2308" i="5" s="1"/>
  <c r="F2307" i="5"/>
  <c r="G2307" i="5" s="1"/>
  <c r="F2306" i="5"/>
  <c r="G2306" i="5" s="1"/>
  <c r="F2305" i="5"/>
  <c r="G2305" i="5" s="1"/>
  <c r="F2304" i="5"/>
  <c r="G2304" i="5" s="1"/>
  <c r="F2303" i="5"/>
  <c r="G2303" i="5" s="1"/>
  <c r="F2302" i="5"/>
  <c r="G2302" i="5" s="1"/>
  <c r="F2301" i="5"/>
  <c r="G2301" i="5" s="1"/>
  <c r="F2300" i="5"/>
  <c r="G2300" i="5" s="1"/>
  <c r="F2299" i="5"/>
  <c r="G2299" i="5" s="1"/>
  <c r="F2298" i="5"/>
  <c r="G2298" i="5" s="1"/>
  <c r="F2297" i="5"/>
  <c r="G2297" i="5" s="1"/>
  <c r="F2296" i="5"/>
  <c r="G2296" i="5" s="1"/>
  <c r="F2295" i="5"/>
  <c r="G2295" i="5" s="1"/>
  <c r="F2294" i="5"/>
  <c r="G2294" i="5" s="1"/>
  <c r="F2293" i="5"/>
  <c r="G2293" i="5" s="1"/>
  <c r="F2292" i="5"/>
  <c r="G2292" i="5" s="1"/>
  <c r="F2291" i="5"/>
  <c r="G2291" i="5" s="1"/>
  <c r="F2290" i="5"/>
  <c r="G2290" i="5" s="1"/>
  <c r="F2289" i="5"/>
  <c r="G2289" i="5" s="1"/>
  <c r="F2288" i="5"/>
  <c r="G2288" i="5" s="1"/>
  <c r="F2287" i="5"/>
  <c r="G2287" i="5" s="1"/>
  <c r="F2286" i="5"/>
  <c r="G2286" i="5" s="1"/>
  <c r="F2285" i="5"/>
  <c r="G2285" i="5" s="1"/>
  <c r="F2284" i="5"/>
  <c r="G2284" i="5" s="1"/>
  <c r="F2283" i="5"/>
  <c r="G2283" i="5" s="1"/>
  <c r="F2282" i="5"/>
  <c r="G2282" i="5" s="1"/>
  <c r="F2281" i="5"/>
  <c r="G2281" i="5" s="1"/>
  <c r="F2280" i="5"/>
  <c r="G2280" i="5" s="1"/>
  <c r="F2279" i="5"/>
  <c r="G2279" i="5" s="1"/>
  <c r="F2278" i="5"/>
  <c r="G2278" i="5" s="1"/>
  <c r="F2277" i="5"/>
  <c r="G2277" i="5" s="1"/>
  <c r="F2276" i="5"/>
  <c r="G2276" i="5" s="1"/>
  <c r="F2275" i="5"/>
  <c r="G2275" i="5" s="1"/>
  <c r="F2274" i="5"/>
  <c r="G2274" i="5" s="1"/>
  <c r="F2273" i="5"/>
  <c r="G2273" i="5" s="1"/>
  <c r="F2272" i="5"/>
  <c r="G2272" i="5" s="1"/>
  <c r="F2271" i="5"/>
  <c r="G2271" i="5" s="1"/>
  <c r="F2270" i="5"/>
  <c r="G2270" i="5" s="1"/>
  <c r="F2269" i="5"/>
  <c r="G2269" i="5" s="1"/>
  <c r="F2268" i="5"/>
  <c r="G2268" i="5" s="1"/>
  <c r="F2267" i="5"/>
  <c r="G2267" i="5" s="1"/>
  <c r="F2266" i="5"/>
  <c r="G2266" i="5" s="1"/>
  <c r="F2265" i="5"/>
  <c r="G2265" i="5" s="1"/>
  <c r="F2264" i="5"/>
  <c r="G2264" i="5" s="1"/>
  <c r="F2263" i="5"/>
  <c r="G2263" i="5" s="1"/>
  <c r="F2262" i="5"/>
  <c r="G2262" i="5" s="1"/>
  <c r="F2261" i="5"/>
  <c r="G2261" i="5" s="1"/>
  <c r="F2260" i="5"/>
  <c r="G2260" i="5" s="1"/>
  <c r="F2259" i="5"/>
  <c r="G2259" i="5" s="1"/>
  <c r="F2258" i="5"/>
  <c r="G2258" i="5" s="1"/>
  <c r="F2257" i="5"/>
  <c r="G2257" i="5" s="1"/>
  <c r="F2256" i="5"/>
  <c r="G2256" i="5" s="1"/>
  <c r="F2255" i="5"/>
  <c r="G2255" i="5" s="1"/>
  <c r="F2254" i="5"/>
  <c r="G2254" i="5" s="1"/>
  <c r="F2253" i="5"/>
  <c r="G2253" i="5" s="1"/>
  <c r="F2252" i="5"/>
  <c r="G2252" i="5" s="1"/>
  <c r="F2251" i="5"/>
  <c r="G2251" i="5" s="1"/>
  <c r="F2250" i="5"/>
  <c r="G2250" i="5" s="1"/>
  <c r="F2249" i="5"/>
  <c r="G2249" i="5" s="1"/>
  <c r="F2248" i="5"/>
  <c r="G2248" i="5" s="1"/>
  <c r="F2247" i="5"/>
  <c r="G2247" i="5" s="1"/>
  <c r="F2246" i="5"/>
  <c r="G2246" i="5" s="1"/>
  <c r="F2245" i="5"/>
  <c r="G2245" i="5" s="1"/>
  <c r="F2244" i="5"/>
  <c r="G2244" i="5" s="1"/>
  <c r="F2243" i="5"/>
  <c r="G2243" i="5" s="1"/>
  <c r="F2242" i="5"/>
  <c r="G2242" i="5" s="1"/>
  <c r="F2241" i="5"/>
  <c r="G2241" i="5" s="1"/>
  <c r="F2240" i="5"/>
  <c r="G2240" i="5" s="1"/>
  <c r="F2239" i="5"/>
  <c r="G2239" i="5" s="1"/>
  <c r="F2238" i="5"/>
  <c r="G2238" i="5" s="1"/>
  <c r="F2237" i="5"/>
  <c r="G2237" i="5" s="1"/>
  <c r="F2236" i="5"/>
  <c r="G2236" i="5" s="1"/>
  <c r="F2235" i="5"/>
  <c r="G2235" i="5" s="1"/>
  <c r="F2234" i="5"/>
  <c r="G2234" i="5" s="1"/>
  <c r="F2233" i="5"/>
  <c r="G2233" i="5" s="1"/>
  <c r="F2232" i="5"/>
  <c r="G2232" i="5" s="1"/>
  <c r="F2231" i="5"/>
  <c r="G2231" i="5" s="1"/>
  <c r="F2230" i="5"/>
  <c r="G2230" i="5" s="1"/>
  <c r="F2229" i="5"/>
  <c r="G2229" i="5" s="1"/>
  <c r="F2228" i="5"/>
  <c r="G2228" i="5" s="1"/>
  <c r="F2227" i="5"/>
  <c r="G2227" i="5" s="1"/>
  <c r="F2226" i="5"/>
  <c r="G2226" i="5" s="1"/>
  <c r="F2225" i="5"/>
  <c r="G2225" i="5" s="1"/>
  <c r="F2224" i="5"/>
  <c r="G2224" i="5" s="1"/>
  <c r="F2223" i="5"/>
  <c r="G2223" i="5" s="1"/>
  <c r="F2222" i="5"/>
  <c r="G2222" i="5" s="1"/>
  <c r="F2221" i="5"/>
  <c r="G2221" i="5" s="1"/>
  <c r="F2220" i="5"/>
  <c r="G2220" i="5" s="1"/>
  <c r="F2219" i="5"/>
  <c r="G2219" i="5" s="1"/>
  <c r="F2218" i="5"/>
  <c r="G2218" i="5" s="1"/>
  <c r="F2217" i="5"/>
  <c r="G2217" i="5" s="1"/>
  <c r="F2216" i="5"/>
  <c r="G2216" i="5" s="1"/>
  <c r="F2215" i="5"/>
  <c r="G2215" i="5" s="1"/>
  <c r="F2214" i="5"/>
  <c r="G2214" i="5" s="1"/>
  <c r="F2213" i="5"/>
  <c r="G2213" i="5" s="1"/>
  <c r="F2212" i="5"/>
  <c r="G2212" i="5" s="1"/>
  <c r="F2211" i="5"/>
  <c r="G2211" i="5" s="1"/>
  <c r="F2210" i="5"/>
  <c r="G2210" i="5" s="1"/>
  <c r="F2209" i="5"/>
  <c r="G2209" i="5" s="1"/>
  <c r="F2208" i="5"/>
  <c r="G2208" i="5" s="1"/>
  <c r="F2207" i="5"/>
  <c r="G2207" i="5" s="1"/>
  <c r="F2206" i="5"/>
  <c r="G2206" i="5" s="1"/>
  <c r="F2205" i="5"/>
  <c r="G2205" i="5" s="1"/>
  <c r="F2204" i="5"/>
  <c r="G2204" i="5" s="1"/>
  <c r="F2203" i="5"/>
  <c r="G2203" i="5" s="1"/>
  <c r="F2202" i="5"/>
  <c r="G2202" i="5" s="1"/>
  <c r="F2201" i="5"/>
  <c r="G2201" i="5" s="1"/>
  <c r="F2200" i="5"/>
  <c r="G2200" i="5" s="1"/>
  <c r="F2199" i="5"/>
  <c r="G2199" i="5" s="1"/>
  <c r="F2198" i="5"/>
  <c r="G2198" i="5" s="1"/>
  <c r="F2197" i="5"/>
  <c r="G2197" i="5" s="1"/>
  <c r="F2196" i="5"/>
  <c r="G2196" i="5" s="1"/>
  <c r="F2195" i="5"/>
  <c r="G2195" i="5" s="1"/>
  <c r="F2194" i="5"/>
  <c r="G2194" i="5" s="1"/>
  <c r="F2193" i="5"/>
  <c r="G2193" i="5" s="1"/>
  <c r="F2192" i="5"/>
  <c r="G2192" i="5" s="1"/>
  <c r="F2191" i="5"/>
  <c r="G2191" i="5" s="1"/>
  <c r="F2190" i="5"/>
  <c r="G2190" i="5" s="1"/>
  <c r="F2189" i="5"/>
  <c r="G2189" i="5" s="1"/>
  <c r="F2188" i="5"/>
  <c r="G2188" i="5" s="1"/>
  <c r="F2187" i="5"/>
  <c r="G2187" i="5" s="1"/>
  <c r="F2186" i="5"/>
  <c r="G2186" i="5" s="1"/>
  <c r="F2185" i="5"/>
  <c r="G2185" i="5" s="1"/>
  <c r="F2184" i="5"/>
  <c r="G2184" i="5" s="1"/>
  <c r="F2183" i="5"/>
  <c r="G2183" i="5" s="1"/>
  <c r="F2182" i="5"/>
  <c r="G2182" i="5" s="1"/>
  <c r="F2181" i="5"/>
  <c r="G2181" i="5" s="1"/>
  <c r="F2180" i="5"/>
  <c r="G2180" i="5" s="1"/>
  <c r="F2179" i="5"/>
  <c r="G2179" i="5" s="1"/>
  <c r="F2178" i="5"/>
  <c r="G2178" i="5" s="1"/>
  <c r="F2177" i="5"/>
  <c r="G2177" i="5" s="1"/>
  <c r="F2176" i="5"/>
  <c r="G2176" i="5" s="1"/>
  <c r="F2175" i="5"/>
  <c r="G2175" i="5" s="1"/>
  <c r="F2174" i="5"/>
  <c r="G2174" i="5" s="1"/>
  <c r="F2173" i="5"/>
  <c r="G2173" i="5" s="1"/>
  <c r="F2172" i="5"/>
  <c r="G2172" i="5" s="1"/>
  <c r="F2171" i="5"/>
  <c r="G2171" i="5" s="1"/>
  <c r="F2170" i="5"/>
  <c r="G2170" i="5" s="1"/>
  <c r="F2169" i="5"/>
  <c r="G2169" i="5" s="1"/>
  <c r="F2168" i="5"/>
  <c r="G2168" i="5" s="1"/>
  <c r="F2167" i="5"/>
  <c r="G2167" i="5" s="1"/>
  <c r="F2166" i="5"/>
  <c r="G2166" i="5" s="1"/>
  <c r="F2165" i="5"/>
  <c r="G2165" i="5" s="1"/>
  <c r="F2164" i="5"/>
  <c r="G2164" i="5" s="1"/>
  <c r="F2163" i="5"/>
  <c r="G2163" i="5" s="1"/>
  <c r="F2162" i="5"/>
  <c r="G2162" i="5" s="1"/>
  <c r="F2161" i="5"/>
  <c r="G2161" i="5" s="1"/>
  <c r="F2160" i="5"/>
  <c r="G2160" i="5" s="1"/>
  <c r="F2159" i="5"/>
  <c r="G2159" i="5" s="1"/>
  <c r="F2158" i="5"/>
  <c r="G2158" i="5" s="1"/>
  <c r="F2157" i="5"/>
  <c r="G2157" i="5" s="1"/>
  <c r="F2156" i="5"/>
  <c r="G2156" i="5" s="1"/>
  <c r="F2155" i="5"/>
  <c r="G2155" i="5" s="1"/>
  <c r="F2154" i="5"/>
  <c r="G2154" i="5" s="1"/>
  <c r="F2153" i="5"/>
  <c r="G2153" i="5" s="1"/>
  <c r="F2152" i="5"/>
  <c r="G2152" i="5" s="1"/>
  <c r="F2151" i="5"/>
  <c r="G2151" i="5" s="1"/>
  <c r="F2150" i="5"/>
  <c r="G2150" i="5" s="1"/>
  <c r="F2149" i="5"/>
  <c r="G2149" i="5" s="1"/>
  <c r="F2148" i="5"/>
  <c r="G2148" i="5" s="1"/>
  <c r="F2147" i="5"/>
  <c r="G2147" i="5" s="1"/>
  <c r="F2146" i="5"/>
  <c r="G2146" i="5" s="1"/>
  <c r="F2145" i="5"/>
  <c r="G2145" i="5" s="1"/>
  <c r="F2144" i="5"/>
  <c r="G2144" i="5" s="1"/>
  <c r="F2143" i="5"/>
  <c r="G2143" i="5" s="1"/>
  <c r="F2142" i="5"/>
  <c r="G2142" i="5" s="1"/>
  <c r="F2141" i="5"/>
  <c r="G2141" i="5" s="1"/>
  <c r="F2140" i="5"/>
  <c r="G2140" i="5" s="1"/>
  <c r="F2139" i="5"/>
  <c r="G2139" i="5" s="1"/>
  <c r="F2138" i="5"/>
  <c r="G2138" i="5" s="1"/>
  <c r="F2137" i="5"/>
  <c r="G2137" i="5" s="1"/>
  <c r="F2136" i="5"/>
  <c r="G2136" i="5" s="1"/>
  <c r="F2135" i="5"/>
  <c r="G2135" i="5" s="1"/>
  <c r="F2134" i="5"/>
  <c r="G2134" i="5" s="1"/>
  <c r="F2133" i="5"/>
  <c r="G2133" i="5" s="1"/>
  <c r="F2132" i="5"/>
  <c r="G2132" i="5" s="1"/>
  <c r="F2131" i="5"/>
  <c r="G2131" i="5" s="1"/>
  <c r="F2130" i="5"/>
  <c r="G2130" i="5" s="1"/>
  <c r="F2129" i="5"/>
  <c r="G2129" i="5" s="1"/>
  <c r="F2128" i="5"/>
  <c r="G2128" i="5" s="1"/>
  <c r="F2127" i="5"/>
  <c r="G2127" i="5" s="1"/>
  <c r="F2126" i="5"/>
  <c r="G2126" i="5" s="1"/>
  <c r="F2125" i="5"/>
  <c r="G2125" i="5" s="1"/>
  <c r="F2124" i="5"/>
  <c r="G2124" i="5" s="1"/>
  <c r="F2123" i="5"/>
  <c r="G2123" i="5" s="1"/>
  <c r="F2122" i="5"/>
  <c r="G2122" i="5" s="1"/>
  <c r="F2121" i="5"/>
  <c r="G2121" i="5" s="1"/>
  <c r="F2120" i="5"/>
  <c r="G2120" i="5" s="1"/>
  <c r="F2119" i="5"/>
  <c r="G2119" i="5" s="1"/>
  <c r="F2118" i="5"/>
  <c r="G2118" i="5" s="1"/>
  <c r="F2117" i="5"/>
  <c r="G2117" i="5" s="1"/>
  <c r="F2116" i="5"/>
  <c r="G2116" i="5" s="1"/>
  <c r="F2115" i="5"/>
  <c r="G2115" i="5" s="1"/>
  <c r="F2114" i="5"/>
  <c r="G2114" i="5" s="1"/>
  <c r="F2113" i="5"/>
  <c r="G2113" i="5" s="1"/>
  <c r="F2112" i="5"/>
  <c r="G2112" i="5" s="1"/>
  <c r="F2111" i="5"/>
  <c r="G2111" i="5" s="1"/>
  <c r="F2110" i="5"/>
  <c r="G2110" i="5" s="1"/>
  <c r="F2109" i="5"/>
  <c r="G2109" i="5" s="1"/>
  <c r="F2108" i="5"/>
  <c r="G2108" i="5" s="1"/>
  <c r="F2107" i="5"/>
  <c r="G2107" i="5" s="1"/>
  <c r="F2106" i="5"/>
  <c r="G2106" i="5" s="1"/>
  <c r="F2105" i="5"/>
  <c r="G2105" i="5" s="1"/>
  <c r="F2104" i="5"/>
  <c r="G2104" i="5" s="1"/>
  <c r="F2103" i="5"/>
  <c r="G2103" i="5" s="1"/>
  <c r="F2102" i="5"/>
  <c r="G2102" i="5" s="1"/>
  <c r="F2101" i="5"/>
  <c r="G2101" i="5" s="1"/>
  <c r="F2100" i="5"/>
  <c r="G2100" i="5" s="1"/>
  <c r="F2099" i="5"/>
  <c r="G2099" i="5" s="1"/>
  <c r="F2098" i="5"/>
  <c r="G2098" i="5" s="1"/>
  <c r="F2097" i="5"/>
  <c r="G2097" i="5" s="1"/>
  <c r="F2096" i="5"/>
  <c r="G2096" i="5" s="1"/>
  <c r="F2095" i="5"/>
  <c r="G2095" i="5" s="1"/>
  <c r="F2094" i="5"/>
  <c r="G2094" i="5" s="1"/>
  <c r="F2093" i="5"/>
  <c r="G2093" i="5" s="1"/>
  <c r="F2092" i="5"/>
  <c r="G2092" i="5" s="1"/>
  <c r="F2091" i="5"/>
  <c r="G2091" i="5" s="1"/>
  <c r="F2090" i="5"/>
  <c r="G2090" i="5" s="1"/>
  <c r="F2089" i="5"/>
  <c r="G2089" i="5" s="1"/>
  <c r="F2088" i="5"/>
  <c r="G2088" i="5" s="1"/>
  <c r="F2087" i="5"/>
  <c r="G2087" i="5" s="1"/>
  <c r="F2086" i="5"/>
  <c r="G2086" i="5" s="1"/>
  <c r="F2085" i="5"/>
  <c r="G2085" i="5" s="1"/>
  <c r="F2084" i="5"/>
  <c r="G2084" i="5" s="1"/>
  <c r="F2083" i="5"/>
  <c r="G2083" i="5" s="1"/>
  <c r="F2082" i="5"/>
  <c r="G2082" i="5" s="1"/>
  <c r="F2081" i="5"/>
  <c r="G2081" i="5" s="1"/>
  <c r="F2080" i="5"/>
  <c r="G2080" i="5" s="1"/>
  <c r="F2079" i="5"/>
  <c r="G2079" i="5" s="1"/>
  <c r="F2078" i="5"/>
  <c r="G2078" i="5" s="1"/>
  <c r="F2077" i="5"/>
  <c r="G2077" i="5" s="1"/>
  <c r="F2076" i="5"/>
  <c r="G2076" i="5" s="1"/>
  <c r="F2075" i="5"/>
  <c r="G2075" i="5" s="1"/>
  <c r="F2074" i="5"/>
  <c r="G2074" i="5" s="1"/>
  <c r="F2073" i="5"/>
  <c r="G2073" i="5" s="1"/>
  <c r="F2072" i="5"/>
  <c r="G2072" i="5" s="1"/>
  <c r="F2071" i="5"/>
  <c r="G2071" i="5" s="1"/>
  <c r="F2070" i="5"/>
  <c r="G2070" i="5" s="1"/>
  <c r="F2069" i="5"/>
  <c r="G2069" i="5" s="1"/>
  <c r="F2068" i="5"/>
  <c r="G2068" i="5" s="1"/>
  <c r="F2067" i="5"/>
  <c r="G2067" i="5" s="1"/>
  <c r="F2066" i="5"/>
  <c r="G2066" i="5" s="1"/>
  <c r="F2065" i="5"/>
  <c r="G2065" i="5" s="1"/>
  <c r="F2064" i="5"/>
  <c r="G2064" i="5" s="1"/>
  <c r="F2063" i="5"/>
  <c r="G2063" i="5" s="1"/>
  <c r="F2062" i="5"/>
  <c r="G2062" i="5" s="1"/>
  <c r="F2061" i="5"/>
  <c r="G2061" i="5" s="1"/>
  <c r="F2060" i="5"/>
  <c r="G2060" i="5" s="1"/>
  <c r="F2059" i="5"/>
  <c r="G2059" i="5" s="1"/>
  <c r="F2058" i="5"/>
  <c r="G2058" i="5" s="1"/>
  <c r="F2057" i="5"/>
  <c r="G2057" i="5" s="1"/>
  <c r="F2056" i="5"/>
  <c r="G2056" i="5" s="1"/>
  <c r="F2055" i="5"/>
  <c r="G2055" i="5" s="1"/>
  <c r="F2054" i="5"/>
  <c r="G2054" i="5" s="1"/>
  <c r="F2053" i="5"/>
  <c r="G2053" i="5" s="1"/>
  <c r="F2052" i="5"/>
  <c r="G2052" i="5" s="1"/>
  <c r="F2051" i="5"/>
  <c r="G2051" i="5" s="1"/>
  <c r="F2050" i="5"/>
  <c r="G2050" i="5" s="1"/>
  <c r="F2049" i="5"/>
  <c r="G2049" i="5" s="1"/>
  <c r="F2048" i="5"/>
  <c r="G2048" i="5" s="1"/>
  <c r="F2047" i="5"/>
  <c r="G2047" i="5" s="1"/>
  <c r="F2046" i="5"/>
  <c r="G2046" i="5" s="1"/>
  <c r="F2045" i="5"/>
  <c r="G2045" i="5" s="1"/>
  <c r="F2044" i="5"/>
  <c r="G2044" i="5" s="1"/>
  <c r="F2043" i="5"/>
  <c r="G2043" i="5" s="1"/>
  <c r="F2042" i="5"/>
  <c r="G2042" i="5" s="1"/>
  <c r="F2041" i="5"/>
  <c r="G2041" i="5" s="1"/>
  <c r="F2040" i="5"/>
  <c r="G2040" i="5" s="1"/>
  <c r="F2039" i="5"/>
  <c r="G2039" i="5" s="1"/>
  <c r="F2038" i="5"/>
  <c r="G2038" i="5" s="1"/>
  <c r="F2037" i="5"/>
  <c r="G2037" i="5" s="1"/>
  <c r="F2036" i="5"/>
  <c r="G2036" i="5" s="1"/>
  <c r="F2035" i="5"/>
  <c r="G2035" i="5" s="1"/>
  <c r="F2034" i="5"/>
  <c r="G2034" i="5" s="1"/>
  <c r="F2033" i="5"/>
  <c r="G2033" i="5" s="1"/>
  <c r="F2032" i="5"/>
  <c r="G2032" i="5" s="1"/>
  <c r="F2031" i="5"/>
  <c r="G2031" i="5" s="1"/>
  <c r="F2030" i="5"/>
  <c r="G2030" i="5" s="1"/>
  <c r="F2029" i="5"/>
  <c r="G2029" i="5" s="1"/>
  <c r="F2028" i="5"/>
  <c r="G2028" i="5" s="1"/>
  <c r="F2027" i="5"/>
  <c r="G2027" i="5" s="1"/>
  <c r="F2026" i="5"/>
  <c r="G2026" i="5" s="1"/>
  <c r="F2025" i="5"/>
  <c r="G2025" i="5" s="1"/>
  <c r="F2024" i="5"/>
  <c r="G2024" i="5" s="1"/>
  <c r="F2023" i="5"/>
  <c r="G2023" i="5" s="1"/>
  <c r="F2022" i="5"/>
  <c r="G2022" i="5" s="1"/>
  <c r="F2021" i="5"/>
  <c r="G2021" i="5" s="1"/>
  <c r="F2020" i="5"/>
  <c r="G2020" i="5" s="1"/>
  <c r="F2019" i="5"/>
  <c r="G2019" i="5" s="1"/>
  <c r="F2018" i="5"/>
  <c r="G2018" i="5" s="1"/>
  <c r="F2017" i="5"/>
  <c r="G2017" i="5" s="1"/>
  <c r="F2016" i="5"/>
  <c r="G2016" i="5" s="1"/>
  <c r="F2015" i="5"/>
  <c r="G2015" i="5" s="1"/>
  <c r="F2014" i="5"/>
  <c r="G2014" i="5" s="1"/>
  <c r="F2013" i="5"/>
  <c r="G2013" i="5" s="1"/>
  <c r="F2012" i="5"/>
  <c r="G2012" i="5" s="1"/>
  <c r="F2011" i="5"/>
  <c r="G2011" i="5" s="1"/>
  <c r="F2010" i="5"/>
  <c r="G2010" i="5" s="1"/>
  <c r="F2009" i="5"/>
  <c r="G2009" i="5" s="1"/>
  <c r="F2008" i="5"/>
  <c r="G2008" i="5" s="1"/>
  <c r="F2007" i="5"/>
  <c r="G2007" i="5" s="1"/>
  <c r="F2006" i="5"/>
  <c r="G2006" i="5" s="1"/>
  <c r="F2005" i="5"/>
  <c r="G2005" i="5" s="1"/>
  <c r="F2004" i="5"/>
  <c r="G2004" i="5" s="1"/>
  <c r="F2003" i="5"/>
  <c r="G2003" i="5" s="1"/>
  <c r="F2002" i="5"/>
  <c r="G2002" i="5" s="1"/>
  <c r="F2001" i="5"/>
  <c r="G2001" i="5" s="1"/>
  <c r="F2000" i="5"/>
  <c r="G2000" i="5" s="1"/>
  <c r="F1999" i="5"/>
  <c r="G1999" i="5" s="1"/>
  <c r="F1998" i="5"/>
  <c r="G1998" i="5" s="1"/>
  <c r="F1997" i="5"/>
  <c r="G1997" i="5" s="1"/>
  <c r="F1996" i="5"/>
  <c r="G1996" i="5" s="1"/>
  <c r="F1995" i="5"/>
  <c r="G1995" i="5" s="1"/>
  <c r="F1994" i="5"/>
  <c r="G1994" i="5" s="1"/>
  <c r="F1993" i="5"/>
  <c r="G1993" i="5" s="1"/>
  <c r="F1992" i="5"/>
  <c r="G1992" i="5" s="1"/>
  <c r="F1991" i="5"/>
  <c r="G1991" i="5" s="1"/>
  <c r="F1990" i="5"/>
  <c r="G1990" i="5" s="1"/>
  <c r="F1989" i="5"/>
  <c r="G1989" i="5" s="1"/>
  <c r="F1988" i="5"/>
  <c r="G1988" i="5" s="1"/>
  <c r="F1987" i="5"/>
  <c r="G1987" i="5" s="1"/>
  <c r="F1986" i="5"/>
  <c r="G1986" i="5" s="1"/>
  <c r="F1985" i="5"/>
  <c r="G1985" i="5" s="1"/>
  <c r="F1984" i="5"/>
  <c r="G1984" i="5" s="1"/>
  <c r="F1983" i="5"/>
  <c r="G1983" i="5" s="1"/>
  <c r="F1982" i="5"/>
  <c r="G1982" i="5" s="1"/>
  <c r="F1981" i="5"/>
  <c r="G1981" i="5" s="1"/>
  <c r="F1980" i="5"/>
  <c r="G1980" i="5" s="1"/>
  <c r="F1979" i="5"/>
  <c r="G1979" i="5" s="1"/>
  <c r="F1978" i="5"/>
  <c r="G1978" i="5" s="1"/>
  <c r="F1977" i="5"/>
  <c r="G1977" i="5" s="1"/>
  <c r="F1976" i="5"/>
  <c r="G1976" i="5" s="1"/>
  <c r="F1975" i="5"/>
  <c r="G1975" i="5" s="1"/>
  <c r="F1974" i="5"/>
  <c r="G1974" i="5" s="1"/>
  <c r="F1973" i="5"/>
  <c r="G1973" i="5" s="1"/>
  <c r="F1972" i="5"/>
  <c r="G1972" i="5" s="1"/>
  <c r="F1971" i="5"/>
  <c r="G1971" i="5" s="1"/>
  <c r="F1970" i="5"/>
  <c r="G1970" i="5" s="1"/>
  <c r="F1969" i="5"/>
  <c r="G1969" i="5" s="1"/>
  <c r="F1968" i="5"/>
  <c r="G1968" i="5" s="1"/>
  <c r="F1967" i="5"/>
  <c r="G1967" i="5" s="1"/>
  <c r="F1966" i="5"/>
  <c r="G1966" i="5" s="1"/>
  <c r="F1965" i="5"/>
  <c r="G1965" i="5" s="1"/>
  <c r="F1964" i="5"/>
  <c r="G1964" i="5" s="1"/>
  <c r="F1963" i="5"/>
  <c r="G1963" i="5" s="1"/>
  <c r="F1962" i="5"/>
  <c r="G1962" i="5" s="1"/>
  <c r="F1961" i="5"/>
  <c r="G1961" i="5" s="1"/>
  <c r="F1960" i="5"/>
  <c r="G1960" i="5" s="1"/>
  <c r="F1959" i="5"/>
  <c r="G1959" i="5" s="1"/>
  <c r="F1958" i="5"/>
  <c r="G1958" i="5" s="1"/>
  <c r="F1957" i="5"/>
  <c r="G1957" i="5" s="1"/>
  <c r="F1956" i="5"/>
  <c r="G1956" i="5" s="1"/>
  <c r="F1955" i="5"/>
  <c r="G1955" i="5" s="1"/>
  <c r="F1954" i="5"/>
  <c r="G1954" i="5" s="1"/>
  <c r="F1953" i="5"/>
  <c r="G1953" i="5" s="1"/>
  <c r="F1952" i="5"/>
  <c r="G1952" i="5" s="1"/>
  <c r="F1951" i="5"/>
  <c r="G1951" i="5" s="1"/>
  <c r="F1950" i="5"/>
  <c r="G1950" i="5" s="1"/>
  <c r="F1949" i="5"/>
  <c r="G1949" i="5" s="1"/>
  <c r="F1948" i="5"/>
  <c r="G1948" i="5" s="1"/>
  <c r="F1947" i="5"/>
  <c r="G1947" i="5" s="1"/>
  <c r="F1946" i="5"/>
  <c r="G1946" i="5" s="1"/>
  <c r="F1945" i="5"/>
  <c r="G1945" i="5" s="1"/>
  <c r="F1944" i="5"/>
  <c r="G1944" i="5" s="1"/>
  <c r="F1943" i="5"/>
  <c r="G1943" i="5" s="1"/>
  <c r="F1942" i="5"/>
  <c r="G1942" i="5" s="1"/>
  <c r="F1941" i="5"/>
  <c r="G1941" i="5" s="1"/>
  <c r="F1940" i="5"/>
  <c r="G1940" i="5" s="1"/>
  <c r="F1939" i="5"/>
  <c r="G1939" i="5" s="1"/>
  <c r="F1938" i="5"/>
  <c r="G1938" i="5" s="1"/>
  <c r="F1937" i="5"/>
  <c r="G1937" i="5" s="1"/>
  <c r="F1936" i="5"/>
  <c r="G1936" i="5" s="1"/>
  <c r="F1935" i="5"/>
  <c r="G1935" i="5" s="1"/>
  <c r="F1934" i="5"/>
  <c r="G1934" i="5" s="1"/>
  <c r="F1933" i="5"/>
  <c r="G1933" i="5" s="1"/>
  <c r="F1932" i="5"/>
  <c r="G1932" i="5" s="1"/>
  <c r="F1931" i="5"/>
  <c r="G1931" i="5" s="1"/>
  <c r="F1930" i="5"/>
  <c r="G1930" i="5" s="1"/>
  <c r="F1929" i="5"/>
  <c r="G1929" i="5" s="1"/>
  <c r="F1928" i="5"/>
  <c r="G1928" i="5" s="1"/>
  <c r="F1927" i="5"/>
  <c r="G1927" i="5" s="1"/>
  <c r="F1926" i="5"/>
  <c r="G1926" i="5" s="1"/>
  <c r="F1925" i="5"/>
  <c r="G1925" i="5" s="1"/>
  <c r="F1924" i="5"/>
  <c r="G1924" i="5" s="1"/>
  <c r="F1923" i="5"/>
  <c r="G1923" i="5" s="1"/>
  <c r="F1922" i="5"/>
  <c r="G1922" i="5" s="1"/>
  <c r="F1921" i="5"/>
  <c r="G1921" i="5" s="1"/>
  <c r="F1920" i="5"/>
  <c r="G1920" i="5" s="1"/>
  <c r="F1919" i="5"/>
  <c r="G1919" i="5" s="1"/>
  <c r="F1918" i="5"/>
  <c r="G1918" i="5" s="1"/>
  <c r="F1917" i="5"/>
  <c r="G1917" i="5" s="1"/>
  <c r="F1916" i="5"/>
  <c r="G1916" i="5" s="1"/>
  <c r="F1915" i="5"/>
  <c r="G1915" i="5" s="1"/>
  <c r="F1914" i="5"/>
  <c r="G1914" i="5" s="1"/>
  <c r="F1913" i="5"/>
  <c r="G1913" i="5" s="1"/>
  <c r="F1912" i="5"/>
  <c r="G1912" i="5" s="1"/>
  <c r="F1911" i="5"/>
  <c r="G1911" i="5" s="1"/>
  <c r="F1910" i="5"/>
  <c r="G1910" i="5" s="1"/>
  <c r="F1909" i="5"/>
  <c r="G1909" i="5" s="1"/>
  <c r="F1908" i="5"/>
  <c r="G1908" i="5" s="1"/>
  <c r="F1907" i="5"/>
  <c r="G1907" i="5" s="1"/>
  <c r="F1906" i="5"/>
  <c r="G1906" i="5" s="1"/>
  <c r="F1905" i="5"/>
  <c r="G1905" i="5" s="1"/>
  <c r="F1904" i="5"/>
  <c r="G1904" i="5" s="1"/>
  <c r="F1903" i="5"/>
  <c r="G1903" i="5" s="1"/>
  <c r="F1902" i="5"/>
  <c r="G1902" i="5" s="1"/>
  <c r="F1901" i="5"/>
  <c r="G1901" i="5" s="1"/>
  <c r="F1900" i="5"/>
  <c r="G1900" i="5" s="1"/>
  <c r="F1899" i="5"/>
  <c r="G1899" i="5" s="1"/>
  <c r="F1898" i="5"/>
  <c r="G1898" i="5" s="1"/>
  <c r="F1897" i="5"/>
  <c r="G1897" i="5" s="1"/>
  <c r="F1896" i="5"/>
  <c r="G1896" i="5" s="1"/>
  <c r="F1895" i="5"/>
  <c r="G1895" i="5" s="1"/>
  <c r="F1894" i="5"/>
  <c r="G1894" i="5" s="1"/>
  <c r="F1893" i="5"/>
  <c r="G1893" i="5" s="1"/>
  <c r="F1892" i="5"/>
  <c r="G1892" i="5" s="1"/>
  <c r="F1891" i="5"/>
  <c r="G1891" i="5" s="1"/>
  <c r="F1890" i="5"/>
  <c r="G1890" i="5" s="1"/>
  <c r="F1889" i="5"/>
  <c r="G1889" i="5" s="1"/>
  <c r="F1888" i="5"/>
  <c r="G1888" i="5" s="1"/>
  <c r="F1887" i="5"/>
  <c r="G1887" i="5" s="1"/>
  <c r="F1886" i="5"/>
  <c r="G1886" i="5" s="1"/>
  <c r="F1885" i="5"/>
  <c r="G1885" i="5" s="1"/>
  <c r="F1884" i="5"/>
  <c r="G1884" i="5" s="1"/>
  <c r="F1883" i="5"/>
  <c r="G1883" i="5" s="1"/>
  <c r="F1882" i="5"/>
  <c r="G1882" i="5" s="1"/>
  <c r="F1881" i="5"/>
  <c r="G1881" i="5" s="1"/>
  <c r="F1880" i="5"/>
  <c r="G1880" i="5" s="1"/>
  <c r="F1879" i="5"/>
  <c r="G1879" i="5" s="1"/>
  <c r="F1878" i="5"/>
  <c r="G1878" i="5" s="1"/>
  <c r="F1877" i="5"/>
  <c r="G1877" i="5" s="1"/>
  <c r="F1876" i="5"/>
  <c r="G1876" i="5" s="1"/>
  <c r="F1875" i="5"/>
  <c r="G1875" i="5" s="1"/>
  <c r="F1874" i="5"/>
  <c r="G1874" i="5" s="1"/>
  <c r="F1873" i="5"/>
  <c r="G1873" i="5" s="1"/>
  <c r="F1872" i="5"/>
  <c r="G1872" i="5" s="1"/>
  <c r="F1871" i="5"/>
  <c r="G1871" i="5" s="1"/>
  <c r="F1870" i="5"/>
  <c r="G1870" i="5" s="1"/>
  <c r="F1869" i="5"/>
  <c r="G1869" i="5" s="1"/>
  <c r="F1868" i="5"/>
  <c r="G1868" i="5" s="1"/>
  <c r="F1867" i="5"/>
  <c r="G1867" i="5" s="1"/>
  <c r="F1866" i="5"/>
  <c r="G1866" i="5" s="1"/>
  <c r="F1865" i="5"/>
  <c r="G1865" i="5" s="1"/>
  <c r="F1864" i="5"/>
  <c r="G1864" i="5" s="1"/>
  <c r="F1863" i="5"/>
  <c r="G1863" i="5" s="1"/>
  <c r="F1862" i="5"/>
  <c r="G1862" i="5" s="1"/>
  <c r="F1861" i="5"/>
  <c r="G1861" i="5" s="1"/>
  <c r="F1860" i="5"/>
  <c r="G1860" i="5" s="1"/>
  <c r="F1859" i="5"/>
  <c r="G1859" i="5" s="1"/>
  <c r="F1858" i="5"/>
  <c r="G1858" i="5" s="1"/>
  <c r="F1857" i="5"/>
  <c r="G1857" i="5" s="1"/>
  <c r="F1856" i="5"/>
  <c r="G1856" i="5" s="1"/>
  <c r="F1855" i="5"/>
  <c r="G1855" i="5" s="1"/>
  <c r="F1854" i="5"/>
  <c r="G1854" i="5" s="1"/>
  <c r="F1853" i="5"/>
  <c r="G1853" i="5" s="1"/>
  <c r="F1852" i="5"/>
  <c r="G1852" i="5" s="1"/>
  <c r="F1851" i="5"/>
  <c r="G1851" i="5" s="1"/>
  <c r="F1850" i="5"/>
  <c r="G1850" i="5" s="1"/>
  <c r="F1849" i="5"/>
  <c r="G1849" i="5" s="1"/>
  <c r="F1848" i="5"/>
  <c r="G1848" i="5" s="1"/>
  <c r="F1847" i="5"/>
  <c r="G1847" i="5" s="1"/>
  <c r="F1846" i="5"/>
  <c r="G1846" i="5" s="1"/>
  <c r="F1845" i="5"/>
  <c r="G1845" i="5" s="1"/>
  <c r="F1844" i="5"/>
  <c r="G1844" i="5" s="1"/>
  <c r="F1843" i="5"/>
  <c r="G1843" i="5" s="1"/>
  <c r="F1842" i="5"/>
  <c r="G1842" i="5" s="1"/>
  <c r="F1841" i="5"/>
  <c r="G1841" i="5" s="1"/>
  <c r="F1840" i="5"/>
  <c r="G1840" i="5" s="1"/>
  <c r="F1839" i="5"/>
  <c r="G1839" i="5" s="1"/>
  <c r="F1838" i="5"/>
  <c r="G1838" i="5" s="1"/>
  <c r="F1837" i="5"/>
  <c r="G1837" i="5" s="1"/>
  <c r="F1836" i="5"/>
  <c r="G1836" i="5" s="1"/>
  <c r="F1835" i="5"/>
  <c r="G1835" i="5" s="1"/>
  <c r="F1834" i="5"/>
  <c r="G1834" i="5" s="1"/>
  <c r="F1833" i="5"/>
  <c r="G1833" i="5" s="1"/>
  <c r="F1832" i="5"/>
  <c r="G1832" i="5" s="1"/>
  <c r="F1831" i="5"/>
  <c r="G1831" i="5" s="1"/>
  <c r="F1830" i="5"/>
  <c r="G1830" i="5" s="1"/>
  <c r="F1829" i="5"/>
  <c r="G1829" i="5" s="1"/>
  <c r="F1828" i="5"/>
  <c r="G1828" i="5" s="1"/>
  <c r="F1827" i="5"/>
  <c r="G1827" i="5" s="1"/>
  <c r="F1826" i="5"/>
  <c r="G1826" i="5" s="1"/>
  <c r="F1825" i="5"/>
  <c r="G1825" i="5" s="1"/>
  <c r="F1824" i="5"/>
  <c r="G1824" i="5" s="1"/>
  <c r="F1823" i="5"/>
  <c r="G1823" i="5" s="1"/>
  <c r="F1822" i="5"/>
  <c r="G1822" i="5" s="1"/>
  <c r="F1821" i="5"/>
  <c r="G1821" i="5" s="1"/>
  <c r="F1820" i="5"/>
  <c r="G1820" i="5" s="1"/>
  <c r="F1819" i="5"/>
  <c r="G1819" i="5" s="1"/>
  <c r="F1818" i="5"/>
  <c r="G1818" i="5" s="1"/>
  <c r="F1817" i="5"/>
  <c r="G1817" i="5" s="1"/>
  <c r="F1816" i="5"/>
  <c r="G1816" i="5" s="1"/>
  <c r="F1815" i="5"/>
  <c r="G1815" i="5" s="1"/>
  <c r="F1814" i="5"/>
  <c r="G1814" i="5" s="1"/>
  <c r="F1813" i="5"/>
  <c r="G1813" i="5" s="1"/>
  <c r="F1812" i="5"/>
  <c r="G1812" i="5" s="1"/>
  <c r="F1811" i="5"/>
  <c r="G1811" i="5" s="1"/>
  <c r="F1810" i="5"/>
  <c r="G1810" i="5" s="1"/>
  <c r="F1809" i="5"/>
  <c r="G1809" i="5" s="1"/>
  <c r="F1808" i="5"/>
  <c r="G1808" i="5" s="1"/>
  <c r="F1807" i="5"/>
  <c r="G1807" i="5" s="1"/>
  <c r="F1806" i="5"/>
  <c r="G1806" i="5" s="1"/>
  <c r="F1805" i="5"/>
  <c r="G1805" i="5" s="1"/>
  <c r="F1804" i="5"/>
  <c r="G1804" i="5" s="1"/>
  <c r="F1803" i="5"/>
  <c r="G1803" i="5" s="1"/>
  <c r="F1802" i="5"/>
  <c r="G1802" i="5" s="1"/>
  <c r="F1801" i="5"/>
  <c r="G1801" i="5" s="1"/>
  <c r="F1800" i="5"/>
  <c r="G1800" i="5" s="1"/>
  <c r="F1799" i="5"/>
  <c r="G1799" i="5" s="1"/>
  <c r="F1798" i="5"/>
  <c r="G1798" i="5" s="1"/>
  <c r="F1797" i="5"/>
  <c r="G1797" i="5" s="1"/>
  <c r="F1796" i="5"/>
  <c r="G1796" i="5" s="1"/>
  <c r="F1795" i="5"/>
  <c r="G1795" i="5" s="1"/>
  <c r="F1794" i="5"/>
  <c r="G1794" i="5" s="1"/>
  <c r="F1793" i="5"/>
  <c r="G1793" i="5" s="1"/>
  <c r="F1792" i="5"/>
  <c r="G1792" i="5" s="1"/>
  <c r="F1791" i="5"/>
  <c r="G1791" i="5" s="1"/>
  <c r="F1790" i="5"/>
  <c r="G1790" i="5" s="1"/>
  <c r="F1789" i="5"/>
  <c r="G1789" i="5" s="1"/>
  <c r="F1788" i="5"/>
  <c r="G1788" i="5" s="1"/>
  <c r="F1787" i="5"/>
  <c r="G1787" i="5" s="1"/>
  <c r="F1786" i="5"/>
  <c r="G1786" i="5" s="1"/>
  <c r="F1785" i="5"/>
  <c r="G1785" i="5" s="1"/>
  <c r="F1784" i="5"/>
  <c r="G1784" i="5" s="1"/>
  <c r="F1783" i="5"/>
  <c r="G1783" i="5" s="1"/>
  <c r="F1782" i="5"/>
  <c r="G1782" i="5" s="1"/>
  <c r="F1781" i="5"/>
  <c r="G1781" i="5" s="1"/>
  <c r="F1780" i="5"/>
  <c r="G1780" i="5" s="1"/>
  <c r="F1779" i="5"/>
  <c r="G1779" i="5" s="1"/>
  <c r="F1778" i="5"/>
  <c r="G1778" i="5" s="1"/>
  <c r="F1777" i="5"/>
  <c r="G1777" i="5" s="1"/>
  <c r="F1776" i="5"/>
  <c r="G1776" i="5" s="1"/>
  <c r="F1775" i="5"/>
  <c r="G1775" i="5" s="1"/>
  <c r="F1774" i="5"/>
  <c r="G1774" i="5" s="1"/>
  <c r="F1773" i="5"/>
  <c r="G1773" i="5" s="1"/>
  <c r="F1772" i="5"/>
  <c r="G1772" i="5" s="1"/>
  <c r="F1771" i="5"/>
  <c r="G1771" i="5" s="1"/>
  <c r="F1770" i="5"/>
  <c r="G1770" i="5" s="1"/>
  <c r="F1769" i="5"/>
  <c r="G1769" i="5" s="1"/>
  <c r="F1768" i="5"/>
  <c r="G1768" i="5" s="1"/>
  <c r="F1767" i="5"/>
  <c r="G1767" i="5" s="1"/>
  <c r="F1766" i="5"/>
  <c r="G1766" i="5" s="1"/>
  <c r="F1765" i="5"/>
  <c r="G1765" i="5" s="1"/>
  <c r="F1764" i="5"/>
  <c r="G1764" i="5" s="1"/>
  <c r="F1763" i="5"/>
  <c r="G1763" i="5" s="1"/>
  <c r="F1762" i="5"/>
  <c r="G1762" i="5" s="1"/>
  <c r="F1761" i="5"/>
  <c r="G1761" i="5" s="1"/>
  <c r="F1760" i="5"/>
  <c r="G1760" i="5" s="1"/>
  <c r="F1759" i="5"/>
  <c r="G1759" i="5" s="1"/>
  <c r="F1758" i="5"/>
  <c r="G1758" i="5" s="1"/>
  <c r="F1757" i="5"/>
  <c r="G1757" i="5" s="1"/>
  <c r="F1756" i="5"/>
  <c r="G1756" i="5" s="1"/>
  <c r="F1755" i="5"/>
  <c r="G1755" i="5" s="1"/>
  <c r="F1754" i="5"/>
  <c r="G1754" i="5" s="1"/>
  <c r="F1753" i="5"/>
  <c r="G1753" i="5" s="1"/>
  <c r="F1752" i="5"/>
  <c r="G1752" i="5" s="1"/>
  <c r="F1751" i="5"/>
  <c r="G1751" i="5" s="1"/>
  <c r="F1750" i="5"/>
  <c r="G1750" i="5" s="1"/>
  <c r="F1749" i="5"/>
  <c r="G1749" i="5" s="1"/>
  <c r="F1748" i="5"/>
  <c r="G1748" i="5" s="1"/>
  <c r="F1747" i="5"/>
  <c r="G1747" i="5" s="1"/>
  <c r="F1746" i="5"/>
  <c r="G1746" i="5" s="1"/>
  <c r="F1745" i="5"/>
  <c r="G1745" i="5" s="1"/>
  <c r="F1744" i="5"/>
  <c r="G1744" i="5" s="1"/>
  <c r="F1743" i="5"/>
  <c r="G1743" i="5" s="1"/>
  <c r="F1742" i="5"/>
  <c r="G1742" i="5" s="1"/>
  <c r="F1741" i="5"/>
  <c r="G1741" i="5" s="1"/>
  <c r="F1740" i="5"/>
  <c r="G1740" i="5" s="1"/>
  <c r="F1739" i="5"/>
  <c r="G1739" i="5" s="1"/>
  <c r="F1738" i="5"/>
  <c r="G1738" i="5" s="1"/>
  <c r="F1737" i="5"/>
  <c r="G1737" i="5" s="1"/>
  <c r="F1736" i="5"/>
  <c r="G1736" i="5" s="1"/>
  <c r="F1735" i="5"/>
  <c r="G1735" i="5" s="1"/>
  <c r="F1734" i="5"/>
  <c r="G1734" i="5" s="1"/>
  <c r="F1733" i="5"/>
  <c r="G1733" i="5" s="1"/>
  <c r="F1732" i="5"/>
  <c r="G1732" i="5" s="1"/>
  <c r="F1731" i="5"/>
  <c r="G1731" i="5" s="1"/>
  <c r="F1730" i="5"/>
  <c r="G1730" i="5" s="1"/>
  <c r="F1729" i="5"/>
  <c r="G1729" i="5" s="1"/>
  <c r="F1728" i="5"/>
  <c r="G1728" i="5" s="1"/>
  <c r="F1727" i="5"/>
  <c r="G1727" i="5" s="1"/>
  <c r="F1726" i="5"/>
  <c r="G1726" i="5" s="1"/>
  <c r="F1725" i="5"/>
  <c r="G1725" i="5" s="1"/>
  <c r="F1724" i="5"/>
  <c r="G1724" i="5" s="1"/>
  <c r="F1723" i="5"/>
  <c r="G1723" i="5" s="1"/>
  <c r="F1722" i="5"/>
  <c r="G1722" i="5" s="1"/>
  <c r="F1721" i="5"/>
  <c r="G1721" i="5" s="1"/>
  <c r="F1720" i="5"/>
  <c r="G1720" i="5" s="1"/>
  <c r="F1719" i="5"/>
  <c r="G1719" i="5" s="1"/>
  <c r="F1718" i="5"/>
  <c r="G1718" i="5" s="1"/>
  <c r="F1717" i="5"/>
  <c r="G1717" i="5" s="1"/>
  <c r="F1716" i="5"/>
  <c r="G1716" i="5" s="1"/>
  <c r="F1715" i="5"/>
  <c r="G1715" i="5" s="1"/>
  <c r="F1714" i="5"/>
  <c r="G1714" i="5" s="1"/>
  <c r="F1713" i="5"/>
  <c r="G1713" i="5" s="1"/>
  <c r="F1712" i="5"/>
  <c r="G1712" i="5" s="1"/>
  <c r="F1711" i="5"/>
  <c r="G1711" i="5" s="1"/>
  <c r="F1710" i="5"/>
  <c r="G1710" i="5" s="1"/>
  <c r="F1709" i="5"/>
  <c r="G1709" i="5" s="1"/>
  <c r="F1708" i="5"/>
  <c r="G1708" i="5" s="1"/>
  <c r="F1707" i="5"/>
  <c r="G1707" i="5" s="1"/>
  <c r="F1706" i="5"/>
  <c r="G1706" i="5" s="1"/>
  <c r="F1705" i="5"/>
  <c r="G1705" i="5" s="1"/>
  <c r="F1704" i="5"/>
  <c r="G1704" i="5" s="1"/>
  <c r="F1703" i="5"/>
  <c r="G1703" i="5" s="1"/>
  <c r="F1702" i="5"/>
  <c r="G1702" i="5" s="1"/>
  <c r="F1701" i="5"/>
  <c r="G1701" i="5" s="1"/>
  <c r="F1700" i="5"/>
  <c r="G1700" i="5" s="1"/>
  <c r="F1699" i="5"/>
  <c r="G1699" i="5" s="1"/>
  <c r="F1698" i="5"/>
  <c r="G1698" i="5" s="1"/>
  <c r="F1697" i="5"/>
  <c r="G1697" i="5" s="1"/>
  <c r="F1696" i="5"/>
  <c r="G1696" i="5" s="1"/>
  <c r="F1695" i="5"/>
  <c r="G1695" i="5" s="1"/>
  <c r="F1694" i="5"/>
  <c r="G1694" i="5" s="1"/>
  <c r="F1693" i="5"/>
  <c r="G1693" i="5" s="1"/>
  <c r="F1692" i="5"/>
  <c r="G1692" i="5" s="1"/>
  <c r="F1691" i="5"/>
  <c r="G1691" i="5" s="1"/>
  <c r="F1690" i="5"/>
  <c r="G1690" i="5" s="1"/>
  <c r="F1689" i="5"/>
  <c r="G1689" i="5" s="1"/>
  <c r="F1688" i="5"/>
  <c r="G1688" i="5" s="1"/>
  <c r="F1687" i="5"/>
  <c r="G1687" i="5" s="1"/>
  <c r="F1686" i="5"/>
  <c r="G1686" i="5" s="1"/>
  <c r="F1685" i="5"/>
  <c r="G1685" i="5" s="1"/>
  <c r="F1684" i="5"/>
  <c r="G1684" i="5" s="1"/>
  <c r="F1683" i="5"/>
  <c r="G1683" i="5" s="1"/>
  <c r="F1682" i="5"/>
  <c r="G1682" i="5" s="1"/>
  <c r="F1681" i="5"/>
  <c r="G1681" i="5" s="1"/>
  <c r="F1680" i="5"/>
  <c r="G1680" i="5" s="1"/>
  <c r="F1679" i="5"/>
  <c r="G1679" i="5" s="1"/>
  <c r="F1678" i="5"/>
  <c r="G1678" i="5" s="1"/>
  <c r="F1677" i="5"/>
  <c r="G1677" i="5" s="1"/>
  <c r="F1676" i="5"/>
  <c r="G1676" i="5" s="1"/>
  <c r="F1675" i="5"/>
  <c r="G1675" i="5" s="1"/>
  <c r="F1674" i="5"/>
  <c r="G1674" i="5" s="1"/>
  <c r="F1673" i="5"/>
  <c r="G1673" i="5" s="1"/>
  <c r="F1672" i="5"/>
  <c r="G1672" i="5" s="1"/>
  <c r="F1671" i="5"/>
  <c r="G1671" i="5" s="1"/>
  <c r="F1670" i="5"/>
  <c r="G1670" i="5" s="1"/>
  <c r="F1669" i="5"/>
  <c r="G1669" i="5" s="1"/>
  <c r="F1668" i="5"/>
  <c r="G1668" i="5" s="1"/>
  <c r="F1667" i="5"/>
  <c r="G1667" i="5" s="1"/>
  <c r="F1666" i="5"/>
  <c r="G1666" i="5" s="1"/>
  <c r="F1665" i="5"/>
  <c r="G1665" i="5" s="1"/>
  <c r="F1664" i="5"/>
  <c r="G1664" i="5" s="1"/>
  <c r="F1663" i="5"/>
  <c r="G1663" i="5" s="1"/>
  <c r="F1662" i="5"/>
  <c r="G1662" i="5" s="1"/>
  <c r="F1661" i="5"/>
  <c r="G1661" i="5" s="1"/>
  <c r="F1660" i="5"/>
  <c r="G1660" i="5" s="1"/>
  <c r="F1659" i="5"/>
  <c r="G1659" i="5" s="1"/>
  <c r="F1658" i="5"/>
  <c r="G1658" i="5" s="1"/>
  <c r="F1657" i="5"/>
  <c r="G1657" i="5" s="1"/>
  <c r="F1656" i="5"/>
  <c r="G1656" i="5" s="1"/>
  <c r="F1655" i="5"/>
  <c r="G1655" i="5" s="1"/>
  <c r="F1654" i="5"/>
  <c r="G1654" i="5" s="1"/>
  <c r="F1653" i="5"/>
  <c r="G1653" i="5" s="1"/>
  <c r="F1652" i="5"/>
  <c r="G1652" i="5" s="1"/>
  <c r="F1651" i="5"/>
  <c r="G1651" i="5" s="1"/>
  <c r="F1650" i="5"/>
  <c r="G1650" i="5" s="1"/>
  <c r="F1649" i="5"/>
  <c r="G1649" i="5" s="1"/>
  <c r="F1648" i="5"/>
  <c r="G1648" i="5" s="1"/>
  <c r="F1647" i="5"/>
  <c r="G1647" i="5" s="1"/>
  <c r="F1646" i="5"/>
  <c r="G1646" i="5" s="1"/>
  <c r="F1645" i="5"/>
  <c r="G1645" i="5" s="1"/>
  <c r="F1644" i="5"/>
  <c r="G1644" i="5" s="1"/>
  <c r="F1643" i="5"/>
  <c r="G1643" i="5" s="1"/>
  <c r="F1642" i="5"/>
  <c r="G1642" i="5" s="1"/>
  <c r="F1641" i="5"/>
  <c r="G1641" i="5" s="1"/>
  <c r="F1640" i="5"/>
  <c r="G1640" i="5" s="1"/>
  <c r="F1639" i="5"/>
  <c r="G1639" i="5" s="1"/>
  <c r="F1638" i="5"/>
  <c r="G1638" i="5" s="1"/>
  <c r="F1637" i="5"/>
  <c r="G1637" i="5" s="1"/>
  <c r="F1636" i="5"/>
  <c r="G1636" i="5" s="1"/>
  <c r="F1635" i="5"/>
  <c r="G1635" i="5" s="1"/>
  <c r="F1634" i="5"/>
  <c r="G1634" i="5" s="1"/>
  <c r="F1633" i="5"/>
  <c r="G1633" i="5" s="1"/>
  <c r="F1632" i="5"/>
  <c r="G1632" i="5" s="1"/>
  <c r="F1631" i="5"/>
  <c r="G1631" i="5" s="1"/>
  <c r="F1630" i="5"/>
  <c r="G1630" i="5" s="1"/>
  <c r="F1629" i="5"/>
  <c r="G1629" i="5" s="1"/>
  <c r="F1628" i="5"/>
  <c r="G1628" i="5" s="1"/>
  <c r="F1627" i="5"/>
  <c r="G1627" i="5" s="1"/>
  <c r="F1626" i="5"/>
  <c r="G1626" i="5" s="1"/>
  <c r="F1625" i="5"/>
  <c r="G1625" i="5" s="1"/>
  <c r="F1624" i="5"/>
  <c r="G1624" i="5" s="1"/>
  <c r="F1623" i="5"/>
  <c r="G1623" i="5" s="1"/>
  <c r="F1622" i="5"/>
  <c r="G1622" i="5" s="1"/>
  <c r="F1621" i="5"/>
  <c r="G1621" i="5" s="1"/>
  <c r="F1620" i="5"/>
  <c r="G1620" i="5" s="1"/>
  <c r="F1619" i="5"/>
  <c r="G1619" i="5" s="1"/>
  <c r="F1618" i="5"/>
  <c r="G1618" i="5" s="1"/>
  <c r="F1617" i="5"/>
  <c r="G1617" i="5" s="1"/>
  <c r="F1616" i="5"/>
  <c r="G1616" i="5" s="1"/>
  <c r="F1615" i="5"/>
  <c r="G1615" i="5" s="1"/>
  <c r="F1614" i="5"/>
  <c r="G1614" i="5" s="1"/>
  <c r="F1613" i="5"/>
  <c r="G1613" i="5" s="1"/>
  <c r="F1612" i="5"/>
  <c r="G1612" i="5" s="1"/>
  <c r="F1611" i="5"/>
  <c r="G1611" i="5" s="1"/>
  <c r="F1610" i="5"/>
  <c r="G1610" i="5" s="1"/>
  <c r="F1609" i="5"/>
  <c r="G1609" i="5" s="1"/>
  <c r="F1608" i="5"/>
  <c r="G1608" i="5" s="1"/>
  <c r="F1607" i="5"/>
  <c r="G1607" i="5" s="1"/>
  <c r="F1606" i="5"/>
  <c r="G1606" i="5" s="1"/>
  <c r="F1605" i="5"/>
  <c r="G1605" i="5" s="1"/>
  <c r="F1604" i="5"/>
  <c r="G1604" i="5" s="1"/>
  <c r="F1603" i="5"/>
  <c r="G1603" i="5" s="1"/>
  <c r="F1602" i="5"/>
  <c r="G1602" i="5" s="1"/>
  <c r="F1601" i="5"/>
  <c r="G1601" i="5" s="1"/>
  <c r="F1600" i="5"/>
  <c r="G1600" i="5" s="1"/>
  <c r="F1599" i="5"/>
  <c r="G1599" i="5" s="1"/>
  <c r="F1598" i="5"/>
  <c r="G1598" i="5" s="1"/>
  <c r="F1597" i="5"/>
  <c r="G1597" i="5" s="1"/>
  <c r="F1596" i="5"/>
  <c r="G1596" i="5" s="1"/>
  <c r="F1595" i="5"/>
  <c r="G1595" i="5" s="1"/>
  <c r="F1594" i="5"/>
  <c r="G1594" i="5" s="1"/>
  <c r="F1593" i="5"/>
  <c r="G1593" i="5" s="1"/>
  <c r="F1592" i="5"/>
  <c r="G1592" i="5" s="1"/>
  <c r="F1591" i="5"/>
  <c r="G1591" i="5" s="1"/>
  <c r="F1590" i="5"/>
  <c r="G1590" i="5" s="1"/>
  <c r="F1589" i="5"/>
  <c r="G1589" i="5" s="1"/>
  <c r="F1588" i="5"/>
  <c r="G1588" i="5" s="1"/>
  <c r="F1587" i="5"/>
  <c r="G1587" i="5" s="1"/>
  <c r="F1586" i="5"/>
  <c r="G1586" i="5" s="1"/>
  <c r="F1585" i="5"/>
  <c r="G1585" i="5" s="1"/>
  <c r="F1584" i="5"/>
  <c r="G1584" i="5" s="1"/>
  <c r="F1583" i="5"/>
  <c r="G1583" i="5" s="1"/>
  <c r="F1582" i="5"/>
  <c r="G1582" i="5" s="1"/>
  <c r="F1581" i="5"/>
  <c r="G1581" i="5" s="1"/>
  <c r="F1580" i="5"/>
  <c r="G1580" i="5" s="1"/>
  <c r="F1579" i="5"/>
  <c r="G1579" i="5" s="1"/>
  <c r="F1578" i="5"/>
  <c r="G1578" i="5" s="1"/>
  <c r="F1577" i="5"/>
  <c r="G1577" i="5" s="1"/>
  <c r="F1576" i="5"/>
  <c r="G1576" i="5" s="1"/>
  <c r="F1575" i="5"/>
  <c r="G1575" i="5" s="1"/>
  <c r="F1574" i="5"/>
  <c r="G1574" i="5" s="1"/>
  <c r="F1573" i="5"/>
  <c r="G1573" i="5" s="1"/>
  <c r="F1572" i="5"/>
  <c r="G1572" i="5" s="1"/>
  <c r="F1571" i="5"/>
  <c r="G1571" i="5" s="1"/>
  <c r="F1570" i="5"/>
  <c r="G1570" i="5" s="1"/>
  <c r="F1569" i="5"/>
  <c r="G1569" i="5" s="1"/>
  <c r="F1568" i="5"/>
  <c r="G1568" i="5" s="1"/>
  <c r="F1567" i="5"/>
  <c r="G1567" i="5" s="1"/>
  <c r="F1566" i="5"/>
  <c r="G1566" i="5" s="1"/>
  <c r="F1565" i="5"/>
  <c r="G1565" i="5" s="1"/>
  <c r="F1564" i="5"/>
  <c r="G1564" i="5" s="1"/>
  <c r="F1563" i="5"/>
  <c r="G1563" i="5" s="1"/>
  <c r="F1562" i="5"/>
  <c r="G1562" i="5" s="1"/>
  <c r="F1561" i="5"/>
  <c r="G1561" i="5" s="1"/>
  <c r="F1560" i="5"/>
  <c r="G1560" i="5" s="1"/>
  <c r="F1559" i="5"/>
  <c r="G1559" i="5" s="1"/>
  <c r="F1558" i="5"/>
  <c r="G1558" i="5" s="1"/>
  <c r="F1557" i="5"/>
  <c r="G1557" i="5" s="1"/>
  <c r="F1556" i="5"/>
  <c r="G1556" i="5" s="1"/>
  <c r="F1555" i="5"/>
  <c r="G1555" i="5" s="1"/>
  <c r="F1554" i="5"/>
  <c r="G1554" i="5" s="1"/>
  <c r="F1553" i="5"/>
  <c r="G1553" i="5" s="1"/>
  <c r="F1552" i="5"/>
  <c r="G1552" i="5" s="1"/>
  <c r="F1551" i="5"/>
  <c r="G1551" i="5" s="1"/>
  <c r="F1550" i="5"/>
  <c r="G1550" i="5" s="1"/>
  <c r="F1549" i="5"/>
  <c r="G1549" i="5" s="1"/>
  <c r="F1548" i="5"/>
  <c r="G1548" i="5" s="1"/>
  <c r="F1547" i="5"/>
  <c r="G1547" i="5" s="1"/>
  <c r="F1546" i="5"/>
  <c r="G1546" i="5" s="1"/>
  <c r="F1545" i="5"/>
  <c r="G1545" i="5" s="1"/>
  <c r="F1544" i="5"/>
  <c r="G1544" i="5" s="1"/>
  <c r="F1543" i="5"/>
  <c r="G1543" i="5" s="1"/>
  <c r="F1542" i="5"/>
  <c r="G1542" i="5" s="1"/>
  <c r="F1541" i="5"/>
  <c r="G1541" i="5" s="1"/>
  <c r="F1540" i="5"/>
  <c r="G1540" i="5" s="1"/>
  <c r="F1539" i="5"/>
  <c r="G1539" i="5" s="1"/>
  <c r="F1538" i="5"/>
  <c r="G1538" i="5" s="1"/>
  <c r="F1537" i="5"/>
  <c r="G1537" i="5" s="1"/>
  <c r="F1536" i="5"/>
  <c r="G1536" i="5" s="1"/>
  <c r="F1535" i="5"/>
  <c r="G1535" i="5" s="1"/>
  <c r="F1534" i="5"/>
  <c r="G1534" i="5" s="1"/>
  <c r="F1533" i="5"/>
  <c r="G1533" i="5" s="1"/>
  <c r="F1532" i="5"/>
  <c r="G1532" i="5" s="1"/>
  <c r="F1531" i="5"/>
  <c r="G1531" i="5" s="1"/>
  <c r="F1530" i="5"/>
  <c r="G1530" i="5" s="1"/>
  <c r="F1529" i="5"/>
  <c r="G1529" i="5" s="1"/>
  <c r="F1528" i="5"/>
  <c r="G1528" i="5" s="1"/>
  <c r="F1527" i="5"/>
  <c r="G1527" i="5" s="1"/>
  <c r="F1526" i="5"/>
  <c r="G1526" i="5" s="1"/>
  <c r="F1525" i="5"/>
  <c r="G1525" i="5" s="1"/>
  <c r="F1524" i="5"/>
  <c r="G1524" i="5" s="1"/>
  <c r="F1523" i="5"/>
  <c r="G1523" i="5" s="1"/>
  <c r="F1522" i="5"/>
  <c r="G1522" i="5" s="1"/>
  <c r="F1521" i="5"/>
  <c r="G1521" i="5" s="1"/>
  <c r="F1520" i="5"/>
  <c r="G1520" i="5" s="1"/>
  <c r="F1519" i="5"/>
  <c r="G1519" i="5" s="1"/>
  <c r="F1518" i="5"/>
  <c r="G1518" i="5" s="1"/>
  <c r="F1517" i="5"/>
  <c r="G1517" i="5" s="1"/>
  <c r="F1516" i="5"/>
  <c r="G1516" i="5" s="1"/>
  <c r="F1515" i="5"/>
  <c r="G1515" i="5" s="1"/>
  <c r="F1514" i="5"/>
  <c r="G1514" i="5" s="1"/>
  <c r="F1513" i="5"/>
  <c r="G1513" i="5" s="1"/>
  <c r="F1512" i="5"/>
  <c r="G1512" i="5" s="1"/>
  <c r="F1511" i="5"/>
  <c r="G1511" i="5" s="1"/>
  <c r="F1510" i="5"/>
  <c r="G1510" i="5" s="1"/>
  <c r="F1509" i="5"/>
  <c r="G1509" i="5" s="1"/>
  <c r="F1508" i="5"/>
  <c r="G1508" i="5" s="1"/>
  <c r="F1507" i="5"/>
  <c r="G1507" i="5" s="1"/>
  <c r="F1506" i="5"/>
  <c r="G1506" i="5" s="1"/>
  <c r="F1505" i="5"/>
  <c r="G1505" i="5" s="1"/>
  <c r="F1504" i="5"/>
  <c r="G1504" i="5" s="1"/>
  <c r="F1503" i="5"/>
  <c r="G1503" i="5" s="1"/>
  <c r="F1502" i="5"/>
  <c r="G1502" i="5" s="1"/>
  <c r="F1501" i="5"/>
  <c r="G1501" i="5" s="1"/>
  <c r="F1500" i="5"/>
  <c r="G1500" i="5" s="1"/>
  <c r="F1499" i="5"/>
  <c r="G1499" i="5" s="1"/>
  <c r="F1498" i="5"/>
  <c r="G1498" i="5" s="1"/>
  <c r="F1497" i="5"/>
  <c r="G1497" i="5" s="1"/>
  <c r="F1496" i="5"/>
  <c r="G1496" i="5" s="1"/>
  <c r="F1495" i="5"/>
  <c r="G1495" i="5" s="1"/>
  <c r="F1494" i="5"/>
  <c r="G1494" i="5" s="1"/>
  <c r="F1493" i="5"/>
  <c r="G1493" i="5" s="1"/>
  <c r="F1492" i="5"/>
  <c r="G1492" i="5" s="1"/>
  <c r="F1491" i="5"/>
  <c r="G1491" i="5" s="1"/>
  <c r="F1490" i="5"/>
  <c r="G1490" i="5" s="1"/>
  <c r="F1489" i="5"/>
  <c r="G1489" i="5" s="1"/>
  <c r="F1488" i="5"/>
  <c r="G1488" i="5" s="1"/>
  <c r="F1487" i="5"/>
  <c r="G1487" i="5" s="1"/>
  <c r="F1486" i="5"/>
  <c r="G1486" i="5" s="1"/>
  <c r="F1485" i="5"/>
  <c r="G1485" i="5" s="1"/>
  <c r="F1484" i="5"/>
  <c r="G1484" i="5" s="1"/>
  <c r="F1483" i="5"/>
  <c r="G1483" i="5" s="1"/>
  <c r="F1482" i="5"/>
  <c r="G1482" i="5" s="1"/>
  <c r="F1481" i="5"/>
  <c r="G1481" i="5" s="1"/>
  <c r="F1480" i="5"/>
  <c r="G1480" i="5" s="1"/>
  <c r="F1479" i="5"/>
  <c r="G1479" i="5" s="1"/>
  <c r="F1478" i="5"/>
  <c r="G1478" i="5" s="1"/>
  <c r="F1477" i="5"/>
  <c r="G1477" i="5" s="1"/>
  <c r="F1476" i="5"/>
  <c r="G1476" i="5" s="1"/>
  <c r="F1475" i="5"/>
  <c r="G1475" i="5" s="1"/>
  <c r="F1474" i="5"/>
  <c r="G1474" i="5" s="1"/>
  <c r="F1473" i="5"/>
  <c r="G1473" i="5" s="1"/>
  <c r="F1472" i="5"/>
  <c r="G1472" i="5" s="1"/>
  <c r="F1471" i="5"/>
  <c r="G1471" i="5" s="1"/>
  <c r="F1470" i="5"/>
  <c r="G1470" i="5" s="1"/>
  <c r="F1469" i="5"/>
  <c r="G1469" i="5" s="1"/>
  <c r="F1468" i="5"/>
  <c r="G1468" i="5" s="1"/>
  <c r="F1467" i="5"/>
  <c r="G1467" i="5" s="1"/>
  <c r="F1466" i="5"/>
  <c r="G1466" i="5" s="1"/>
  <c r="F1465" i="5"/>
  <c r="G1465" i="5" s="1"/>
  <c r="F1464" i="5"/>
  <c r="G1464" i="5" s="1"/>
  <c r="F1463" i="5"/>
  <c r="G1463" i="5" s="1"/>
  <c r="F1462" i="5"/>
  <c r="G1462" i="5" s="1"/>
  <c r="F1461" i="5"/>
  <c r="G1461" i="5" s="1"/>
  <c r="F1460" i="5"/>
  <c r="G1460" i="5" s="1"/>
  <c r="F1459" i="5"/>
  <c r="G1459" i="5" s="1"/>
  <c r="F1458" i="5"/>
  <c r="G1458" i="5" s="1"/>
  <c r="F1457" i="5"/>
  <c r="G1457" i="5" s="1"/>
  <c r="F1456" i="5"/>
  <c r="G1456" i="5" s="1"/>
  <c r="F1455" i="5"/>
  <c r="G1455" i="5" s="1"/>
  <c r="F1454" i="5"/>
  <c r="G1454" i="5" s="1"/>
  <c r="F1453" i="5"/>
  <c r="G1453" i="5" s="1"/>
  <c r="F1452" i="5"/>
  <c r="G1452" i="5" s="1"/>
  <c r="F1451" i="5"/>
  <c r="G1451" i="5" s="1"/>
  <c r="F1450" i="5"/>
  <c r="G1450" i="5" s="1"/>
  <c r="F1449" i="5"/>
  <c r="G1449" i="5" s="1"/>
  <c r="F1448" i="5"/>
  <c r="G1448" i="5" s="1"/>
  <c r="F1447" i="5"/>
  <c r="G1447" i="5" s="1"/>
  <c r="F1446" i="5"/>
  <c r="G1446" i="5" s="1"/>
  <c r="F1445" i="5"/>
  <c r="G1445" i="5" s="1"/>
  <c r="F1444" i="5"/>
  <c r="G1444" i="5" s="1"/>
  <c r="F1443" i="5"/>
  <c r="G1443" i="5" s="1"/>
  <c r="F1442" i="5"/>
  <c r="G1442" i="5" s="1"/>
  <c r="F1441" i="5"/>
  <c r="G1441" i="5" s="1"/>
  <c r="F1440" i="5"/>
  <c r="G1440" i="5" s="1"/>
  <c r="F1439" i="5"/>
  <c r="G1439" i="5" s="1"/>
  <c r="F1438" i="5"/>
  <c r="G1438" i="5" s="1"/>
  <c r="F1437" i="5"/>
  <c r="G1437" i="5" s="1"/>
  <c r="F1436" i="5"/>
  <c r="G1436" i="5" s="1"/>
  <c r="F1435" i="5"/>
  <c r="G1435" i="5" s="1"/>
  <c r="F1434" i="5"/>
  <c r="G1434" i="5" s="1"/>
  <c r="F1433" i="5"/>
  <c r="G1433" i="5" s="1"/>
  <c r="F1432" i="5"/>
  <c r="G1432" i="5" s="1"/>
  <c r="F1431" i="5"/>
  <c r="G1431" i="5" s="1"/>
  <c r="F1430" i="5"/>
  <c r="G1430" i="5" s="1"/>
  <c r="F1429" i="5"/>
  <c r="G1429" i="5" s="1"/>
  <c r="F1428" i="5"/>
  <c r="G1428" i="5" s="1"/>
  <c r="F1427" i="5"/>
  <c r="G1427" i="5" s="1"/>
  <c r="F1426" i="5"/>
  <c r="G1426" i="5" s="1"/>
  <c r="F1425" i="5"/>
  <c r="G1425" i="5" s="1"/>
  <c r="F1424" i="5"/>
  <c r="G1424" i="5" s="1"/>
  <c r="F1423" i="5"/>
  <c r="G1423" i="5" s="1"/>
  <c r="F1422" i="5"/>
  <c r="G1422" i="5" s="1"/>
  <c r="F1421" i="5"/>
  <c r="G1421" i="5" s="1"/>
  <c r="F1420" i="5"/>
  <c r="G1420" i="5" s="1"/>
  <c r="F1419" i="5"/>
  <c r="G1419" i="5" s="1"/>
  <c r="F1418" i="5"/>
  <c r="G1418" i="5" s="1"/>
  <c r="F1417" i="5"/>
  <c r="G1417" i="5" s="1"/>
  <c r="F1416" i="5"/>
  <c r="G1416" i="5" s="1"/>
  <c r="F1415" i="5"/>
  <c r="G1415" i="5" s="1"/>
  <c r="F1414" i="5"/>
  <c r="G1414" i="5" s="1"/>
  <c r="F1413" i="5"/>
  <c r="G1413" i="5" s="1"/>
  <c r="F1412" i="5"/>
  <c r="G1412" i="5" s="1"/>
  <c r="F1411" i="5"/>
  <c r="G1411" i="5" s="1"/>
  <c r="F1410" i="5"/>
  <c r="G1410" i="5" s="1"/>
  <c r="F1409" i="5"/>
  <c r="G1409" i="5" s="1"/>
  <c r="F1408" i="5"/>
  <c r="G1408" i="5" s="1"/>
  <c r="F1407" i="5"/>
  <c r="G1407" i="5" s="1"/>
  <c r="F1406" i="5"/>
  <c r="G1406" i="5" s="1"/>
  <c r="F1405" i="5"/>
  <c r="G1405" i="5" s="1"/>
  <c r="F1404" i="5"/>
  <c r="G1404" i="5" s="1"/>
  <c r="F1403" i="5"/>
  <c r="G1403" i="5" s="1"/>
  <c r="F1402" i="5"/>
  <c r="G1402" i="5" s="1"/>
  <c r="F1401" i="5"/>
  <c r="G1401" i="5" s="1"/>
  <c r="F1400" i="5"/>
  <c r="G1400" i="5" s="1"/>
  <c r="F1399" i="5"/>
  <c r="G1399" i="5" s="1"/>
  <c r="F1398" i="5"/>
  <c r="G1398" i="5" s="1"/>
  <c r="F1397" i="5"/>
  <c r="G1397" i="5" s="1"/>
  <c r="F1396" i="5"/>
  <c r="G1396" i="5" s="1"/>
  <c r="F1395" i="5"/>
  <c r="G1395" i="5" s="1"/>
  <c r="F1394" i="5"/>
  <c r="G1394" i="5" s="1"/>
  <c r="F1393" i="5"/>
  <c r="G1393" i="5" s="1"/>
  <c r="F1392" i="5"/>
  <c r="G1392" i="5" s="1"/>
  <c r="F1391" i="5"/>
  <c r="G1391" i="5" s="1"/>
  <c r="F1390" i="5"/>
  <c r="G1390" i="5" s="1"/>
  <c r="F1389" i="5"/>
  <c r="G1389" i="5" s="1"/>
  <c r="F1388" i="5"/>
  <c r="G1388" i="5" s="1"/>
  <c r="F1387" i="5"/>
  <c r="G1387" i="5" s="1"/>
  <c r="F1386" i="5"/>
  <c r="G1386" i="5" s="1"/>
  <c r="F1385" i="5"/>
  <c r="G1385" i="5" s="1"/>
  <c r="F1384" i="5"/>
  <c r="G1384" i="5" s="1"/>
  <c r="F1383" i="5"/>
  <c r="G1383" i="5" s="1"/>
  <c r="F1382" i="5"/>
  <c r="G1382" i="5" s="1"/>
  <c r="F1381" i="5"/>
  <c r="G1381" i="5" s="1"/>
  <c r="F1380" i="5"/>
  <c r="G1380" i="5" s="1"/>
  <c r="F1379" i="5"/>
  <c r="G1379" i="5" s="1"/>
  <c r="F1378" i="5"/>
  <c r="G1378" i="5" s="1"/>
  <c r="F1377" i="5"/>
  <c r="G1377" i="5" s="1"/>
  <c r="F1376" i="5"/>
  <c r="G1376" i="5" s="1"/>
  <c r="F1375" i="5"/>
  <c r="G1375" i="5" s="1"/>
  <c r="F1374" i="5"/>
  <c r="G1374" i="5" s="1"/>
  <c r="F1373" i="5"/>
  <c r="G1373" i="5" s="1"/>
  <c r="F1372" i="5"/>
  <c r="G1372" i="5" s="1"/>
  <c r="F1371" i="5"/>
  <c r="G1371" i="5" s="1"/>
  <c r="F1370" i="5"/>
  <c r="G1370" i="5" s="1"/>
  <c r="F1369" i="5"/>
  <c r="G1369" i="5" s="1"/>
  <c r="F1368" i="5"/>
  <c r="G1368" i="5" s="1"/>
  <c r="F1367" i="5"/>
  <c r="G1367" i="5" s="1"/>
  <c r="F1366" i="5"/>
  <c r="G1366" i="5" s="1"/>
  <c r="F1365" i="5"/>
  <c r="G1365" i="5" s="1"/>
  <c r="F1364" i="5"/>
  <c r="G1364" i="5" s="1"/>
  <c r="F1363" i="5"/>
  <c r="G1363" i="5" s="1"/>
  <c r="F1362" i="5"/>
  <c r="G1362" i="5" s="1"/>
  <c r="F1361" i="5"/>
  <c r="G1361" i="5" s="1"/>
  <c r="F1360" i="5"/>
  <c r="G1360" i="5" s="1"/>
  <c r="F1359" i="5"/>
  <c r="G1359" i="5" s="1"/>
  <c r="F1358" i="5"/>
  <c r="G1358" i="5" s="1"/>
  <c r="F1357" i="5"/>
  <c r="G1357" i="5" s="1"/>
  <c r="F1356" i="5"/>
  <c r="G1356" i="5" s="1"/>
  <c r="F1355" i="5"/>
  <c r="G1355" i="5" s="1"/>
  <c r="F1354" i="5"/>
  <c r="G1354" i="5" s="1"/>
  <c r="F1353" i="5"/>
  <c r="G1353" i="5" s="1"/>
  <c r="F1352" i="5"/>
  <c r="G1352" i="5" s="1"/>
  <c r="F1351" i="5"/>
  <c r="G1351" i="5" s="1"/>
  <c r="F1350" i="5"/>
  <c r="G1350" i="5" s="1"/>
  <c r="F1349" i="5"/>
  <c r="G1349" i="5" s="1"/>
  <c r="F1348" i="5"/>
  <c r="G1348" i="5" s="1"/>
  <c r="F1347" i="5"/>
  <c r="G1347" i="5" s="1"/>
  <c r="F1346" i="5"/>
  <c r="G1346" i="5" s="1"/>
  <c r="F1345" i="5"/>
  <c r="G1345" i="5" s="1"/>
  <c r="F1344" i="5"/>
  <c r="G1344" i="5" s="1"/>
  <c r="F1343" i="5"/>
  <c r="G1343" i="5" s="1"/>
  <c r="F1342" i="5"/>
  <c r="G1342" i="5" s="1"/>
  <c r="F1341" i="5"/>
  <c r="G1341" i="5" s="1"/>
  <c r="F1340" i="5"/>
  <c r="G1340" i="5" s="1"/>
  <c r="F1339" i="5"/>
  <c r="G1339" i="5" s="1"/>
  <c r="F1338" i="5"/>
  <c r="G1338" i="5" s="1"/>
  <c r="F1337" i="5"/>
  <c r="G1337" i="5" s="1"/>
  <c r="F1336" i="5"/>
  <c r="G1336" i="5" s="1"/>
  <c r="F1335" i="5"/>
  <c r="G1335" i="5" s="1"/>
  <c r="F1334" i="5"/>
  <c r="G1334" i="5" s="1"/>
  <c r="F1333" i="5"/>
  <c r="G1333" i="5" s="1"/>
  <c r="F1332" i="5"/>
  <c r="G1332" i="5" s="1"/>
  <c r="F1331" i="5"/>
  <c r="G1331" i="5" s="1"/>
  <c r="F1330" i="5"/>
  <c r="G1330" i="5" s="1"/>
  <c r="F1329" i="5"/>
  <c r="G1329" i="5" s="1"/>
  <c r="F1328" i="5"/>
  <c r="G1328" i="5" s="1"/>
  <c r="F1327" i="5"/>
  <c r="G1327" i="5" s="1"/>
  <c r="F1326" i="5"/>
  <c r="G1326" i="5" s="1"/>
  <c r="F1325" i="5"/>
  <c r="G1325" i="5" s="1"/>
  <c r="F1324" i="5"/>
  <c r="G1324" i="5" s="1"/>
  <c r="F1323" i="5"/>
  <c r="G1323" i="5" s="1"/>
  <c r="F1322" i="5"/>
  <c r="G1322" i="5" s="1"/>
  <c r="F1321" i="5"/>
  <c r="G1321" i="5" s="1"/>
  <c r="F1320" i="5"/>
  <c r="G1320" i="5" s="1"/>
  <c r="F1319" i="5"/>
  <c r="G1319" i="5" s="1"/>
  <c r="F1318" i="5"/>
  <c r="G1318" i="5" s="1"/>
  <c r="F1317" i="5"/>
  <c r="G1317" i="5" s="1"/>
  <c r="F1316" i="5"/>
  <c r="G1316" i="5" s="1"/>
  <c r="F1315" i="5"/>
  <c r="G1315" i="5" s="1"/>
  <c r="F1314" i="5"/>
  <c r="G1314" i="5" s="1"/>
  <c r="F1313" i="5"/>
  <c r="G1313" i="5" s="1"/>
  <c r="F1312" i="5"/>
  <c r="G1312" i="5" s="1"/>
  <c r="F1311" i="5"/>
  <c r="G1311" i="5" s="1"/>
  <c r="F1310" i="5"/>
  <c r="G1310" i="5" s="1"/>
  <c r="F1309" i="5"/>
  <c r="G1309" i="5" s="1"/>
  <c r="F1308" i="5"/>
  <c r="G1308" i="5" s="1"/>
  <c r="F1307" i="5"/>
  <c r="G1307" i="5" s="1"/>
  <c r="F1306" i="5"/>
  <c r="G1306" i="5" s="1"/>
  <c r="F1305" i="5"/>
  <c r="G1305" i="5" s="1"/>
  <c r="F1304" i="5"/>
  <c r="G1304" i="5" s="1"/>
  <c r="F1303" i="5"/>
  <c r="G1303" i="5" s="1"/>
  <c r="F1302" i="5"/>
  <c r="G1302" i="5" s="1"/>
  <c r="F1301" i="5"/>
  <c r="G1301" i="5" s="1"/>
  <c r="F1300" i="5"/>
  <c r="G1300" i="5" s="1"/>
  <c r="F1299" i="5"/>
  <c r="G1299" i="5" s="1"/>
  <c r="F1298" i="5"/>
  <c r="G1298" i="5" s="1"/>
  <c r="F1297" i="5"/>
  <c r="G1297" i="5" s="1"/>
  <c r="F1296" i="5"/>
  <c r="G1296" i="5" s="1"/>
  <c r="F1295" i="5"/>
  <c r="G1295" i="5" s="1"/>
  <c r="F1294" i="5"/>
  <c r="G1294" i="5" s="1"/>
  <c r="F1293" i="5"/>
  <c r="G1293" i="5" s="1"/>
  <c r="F1292" i="5"/>
  <c r="G1292" i="5" s="1"/>
  <c r="F1291" i="5"/>
  <c r="G1291" i="5" s="1"/>
  <c r="F1290" i="5"/>
  <c r="G1290" i="5" s="1"/>
  <c r="F1289" i="5"/>
  <c r="G1289" i="5" s="1"/>
  <c r="F1288" i="5"/>
  <c r="G1288" i="5" s="1"/>
  <c r="F1287" i="5"/>
  <c r="G1287" i="5" s="1"/>
  <c r="F1286" i="5"/>
  <c r="G1286" i="5" s="1"/>
  <c r="F1285" i="5"/>
  <c r="G1285" i="5" s="1"/>
  <c r="F1284" i="5"/>
  <c r="G1284" i="5" s="1"/>
  <c r="F1283" i="5"/>
  <c r="G1283" i="5" s="1"/>
  <c r="F1282" i="5"/>
  <c r="G1282" i="5" s="1"/>
  <c r="F1281" i="5"/>
  <c r="G1281" i="5" s="1"/>
  <c r="F1280" i="5"/>
  <c r="G1280" i="5" s="1"/>
  <c r="F1279" i="5"/>
  <c r="G1279" i="5" s="1"/>
  <c r="F1278" i="5"/>
  <c r="G1278" i="5" s="1"/>
  <c r="F1277" i="5"/>
  <c r="G1277" i="5" s="1"/>
  <c r="F1276" i="5"/>
  <c r="G1276" i="5" s="1"/>
  <c r="F1275" i="5"/>
  <c r="G1275" i="5" s="1"/>
  <c r="F1274" i="5"/>
  <c r="G1274" i="5" s="1"/>
  <c r="F1273" i="5"/>
  <c r="G1273" i="5" s="1"/>
  <c r="F1272" i="5"/>
  <c r="G1272" i="5" s="1"/>
  <c r="F1271" i="5"/>
  <c r="G1271" i="5" s="1"/>
  <c r="F1270" i="5"/>
  <c r="G1270" i="5" s="1"/>
  <c r="F1269" i="5"/>
  <c r="G1269" i="5" s="1"/>
  <c r="F1268" i="5"/>
  <c r="G1268" i="5" s="1"/>
  <c r="F1267" i="5"/>
  <c r="G1267" i="5" s="1"/>
  <c r="F1266" i="5"/>
  <c r="G1266" i="5" s="1"/>
  <c r="F1265" i="5"/>
  <c r="G1265" i="5" s="1"/>
  <c r="F1264" i="5"/>
  <c r="G1264" i="5" s="1"/>
  <c r="F1263" i="5"/>
  <c r="G1263" i="5" s="1"/>
  <c r="F1262" i="5"/>
  <c r="G1262" i="5" s="1"/>
  <c r="F1261" i="5"/>
  <c r="G1261" i="5" s="1"/>
  <c r="F1260" i="5"/>
  <c r="G1260" i="5" s="1"/>
  <c r="F1259" i="5"/>
  <c r="G1259" i="5" s="1"/>
  <c r="F1258" i="5"/>
  <c r="G1258" i="5" s="1"/>
  <c r="F1257" i="5"/>
  <c r="G1257" i="5" s="1"/>
  <c r="F1256" i="5"/>
  <c r="G1256" i="5" s="1"/>
  <c r="F1255" i="5"/>
  <c r="G1255" i="5" s="1"/>
  <c r="F1254" i="5"/>
  <c r="G1254" i="5" s="1"/>
  <c r="F1253" i="5"/>
  <c r="G1253" i="5" s="1"/>
  <c r="F1252" i="5"/>
  <c r="G1252" i="5" s="1"/>
  <c r="F1251" i="5"/>
  <c r="G1251" i="5" s="1"/>
  <c r="F1250" i="5"/>
  <c r="G1250" i="5" s="1"/>
  <c r="F1249" i="5"/>
  <c r="G1249" i="5" s="1"/>
  <c r="F1248" i="5"/>
  <c r="G1248" i="5" s="1"/>
  <c r="F1247" i="5"/>
  <c r="G1247" i="5" s="1"/>
  <c r="F1246" i="5"/>
  <c r="G1246" i="5" s="1"/>
  <c r="F1245" i="5"/>
  <c r="G1245" i="5" s="1"/>
  <c r="F1244" i="5"/>
  <c r="G1244" i="5" s="1"/>
  <c r="F1243" i="5"/>
  <c r="G1243" i="5" s="1"/>
  <c r="F1242" i="5"/>
  <c r="G1242" i="5" s="1"/>
  <c r="F1241" i="5"/>
  <c r="G1241" i="5" s="1"/>
  <c r="F1240" i="5"/>
  <c r="G1240" i="5" s="1"/>
  <c r="F1239" i="5"/>
  <c r="G1239" i="5" s="1"/>
  <c r="F1238" i="5"/>
  <c r="G1238" i="5" s="1"/>
  <c r="F1237" i="5"/>
  <c r="G1237" i="5" s="1"/>
  <c r="F1236" i="5"/>
  <c r="G1236" i="5" s="1"/>
  <c r="F1235" i="5"/>
  <c r="G1235" i="5" s="1"/>
  <c r="F1234" i="5"/>
  <c r="G1234" i="5" s="1"/>
  <c r="F1233" i="5"/>
  <c r="G1233" i="5" s="1"/>
  <c r="F1232" i="5"/>
  <c r="G1232" i="5" s="1"/>
  <c r="F1231" i="5"/>
  <c r="G1231" i="5" s="1"/>
  <c r="F1230" i="5"/>
  <c r="G1230" i="5" s="1"/>
  <c r="F1229" i="5"/>
  <c r="G1229" i="5" s="1"/>
  <c r="F1228" i="5"/>
  <c r="G1228" i="5" s="1"/>
  <c r="F1227" i="5"/>
  <c r="G1227" i="5" s="1"/>
  <c r="F1226" i="5"/>
  <c r="G1226" i="5" s="1"/>
  <c r="F1225" i="5"/>
  <c r="G1225" i="5" s="1"/>
  <c r="F1224" i="5"/>
  <c r="G1224" i="5" s="1"/>
  <c r="F1223" i="5"/>
  <c r="G1223" i="5" s="1"/>
  <c r="F1222" i="5"/>
  <c r="G1222" i="5" s="1"/>
  <c r="F1221" i="5"/>
  <c r="G1221" i="5" s="1"/>
  <c r="F1220" i="5"/>
  <c r="G1220" i="5" s="1"/>
  <c r="F1219" i="5"/>
  <c r="G1219" i="5" s="1"/>
  <c r="F1218" i="5"/>
  <c r="G1218" i="5" s="1"/>
  <c r="F1217" i="5"/>
  <c r="G1217" i="5" s="1"/>
  <c r="F1216" i="5"/>
  <c r="G1216" i="5" s="1"/>
  <c r="F1215" i="5"/>
  <c r="G1215" i="5" s="1"/>
  <c r="F1214" i="5"/>
  <c r="G1214" i="5" s="1"/>
  <c r="F1213" i="5"/>
  <c r="G1213" i="5" s="1"/>
  <c r="F1212" i="5"/>
  <c r="G1212" i="5" s="1"/>
  <c r="F1211" i="5"/>
  <c r="G1211" i="5" s="1"/>
  <c r="F1210" i="5"/>
  <c r="G1210" i="5" s="1"/>
  <c r="F1209" i="5"/>
  <c r="G1209" i="5" s="1"/>
  <c r="F1208" i="5"/>
  <c r="G1208" i="5" s="1"/>
  <c r="F1207" i="5"/>
  <c r="G1207" i="5" s="1"/>
  <c r="F1206" i="5"/>
  <c r="G1206" i="5" s="1"/>
  <c r="F1205" i="5"/>
  <c r="G1205" i="5" s="1"/>
  <c r="F1204" i="5"/>
  <c r="G1204" i="5" s="1"/>
  <c r="F1203" i="5"/>
  <c r="G1203" i="5" s="1"/>
  <c r="F1202" i="5"/>
  <c r="G1202" i="5" s="1"/>
  <c r="F1201" i="5"/>
  <c r="G1201" i="5" s="1"/>
  <c r="F1200" i="5"/>
  <c r="G1200" i="5" s="1"/>
  <c r="F1199" i="5"/>
  <c r="G1199" i="5" s="1"/>
  <c r="F1198" i="5"/>
  <c r="G1198" i="5" s="1"/>
  <c r="F1197" i="5"/>
  <c r="G1197" i="5" s="1"/>
  <c r="F1196" i="5"/>
  <c r="G1196" i="5" s="1"/>
  <c r="F1195" i="5"/>
  <c r="G1195" i="5" s="1"/>
  <c r="F1194" i="5"/>
  <c r="G1194" i="5" s="1"/>
  <c r="F1193" i="5"/>
  <c r="G1193" i="5" s="1"/>
  <c r="F1192" i="5"/>
  <c r="G1192" i="5" s="1"/>
  <c r="F1191" i="5"/>
  <c r="G1191" i="5" s="1"/>
  <c r="F1190" i="5"/>
  <c r="G1190" i="5" s="1"/>
  <c r="F1189" i="5"/>
  <c r="G1189" i="5" s="1"/>
  <c r="F1188" i="5"/>
  <c r="G1188" i="5" s="1"/>
  <c r="F1187" i="5"/>
  <c r="G1187" i="5" s="1"/>
  <c r="F1186" i="5"/>
  <c r="G1186" i="5" s="1"/>
  <c r="F1185" i="5"/>
  <c r="G1185" i="5" s="1"/>
  <c r="F1184" i="5"/>
  <c r="G1184" i="5" s="1"/>
  <c r="F1183" i="5"/>
  <c r="G1183" i="5" s="1"/>
  <c r="F1182" i="5"/>
  <c r="G1182" i="5" s="1"/>
  <c r="F1181" i="5"/>
  <c r="G1181" i="5" s="1"/>
  <c r="F1180" i="5"/>
  <c r="G1180" i="5" s="1"/>
  <c r="F1179" i="5"/>
  <c r="G1179" i="5" s="1"/>
  <c r="F1178" i="5"/>
  <c r="G1178" i="5" s="1"/>
  <c r="F1177" i="5"/>
  <c r="G1177" i="5" s="1"/>
  <c r="F1176" i="5"/>
  <c r="G1176" i="5" s="1"/>
  <c r="F1175" i="5"/>
  <c r="G1175" i="5" s="1"/>
  <c r="F1174" i="5"/>
  <c r="G1174" i="5" s="1"/>
  <c r="F1173" i="5"/>
  <c r="G1173" i="5" s="1"/>
  <c r="F1172" i="5"/>
  <c r="G1172" i="5" s="1"/>
  <c r="F1171" i="5"/>
  <c r="G1171" i="5" s="1"/>
  <c r="F1170" i="5"/>
  <c r="G1170" i="5" s="1"/>
  <c r="F1169" i="5"/>
  <c r="G1169" i="5" s="1"/>
  <c r="F1168" i="5"/>
  <c r="G1168" i="5" s="1"/>
  <c r="F1167" i="5"/>
  <c r="G1167" i="5" s="1"/>
  <c r="F1166" i="5"/>
  <c r="G1166" i="5" s="1"/>
  <c r="F1165" i="5"/>
  <c r="G1165" i="5" s="1"/>
  <c r="F1164" i="5"/>
  <c r="G1164" i="5" s="1"/>
  <c r="F1163" i="5"/>
  <c r="G1163" i="5" s="1"/>
  <c r="F1162" i="5"/>
  <c r="G1162" i="5" s="1"/>
  <c r="F1161" i="5"/>
  <c r="G1161" i="5" s="1"/>
  <c r="F1160" i="5"/>
  <c r="G1160" i="5" s="1"/>
  <c r="F1159" i="5"/>
  <c r="G1159" i="5" s="1"/>
  <c r="F1158" i="5"/>
  <c r="G1158" i="5" s="1"/>
  <c r="F1157" i="5"/>
  <c r="G1157" i="5" s="1"/>
  <c r="F1156" i="5"/>
  <c r="G1156" i="5" s="1"/>
  <c r="F1155" i="5"/>
  <c r="G1155" i="5" s="1"/>
  <c r="F1154" i="5"/>
  <c r="G1154" i="5" s="1"/>
  <c r="F1153" i="5"/>
  <c r="G1153" i="5" s="1"/>
  <c r="F1152" i="5"/>
  <c r="G1152" i="5" s="1"/>
  <c r="F1151" i="5"/>
  <c r="G1151" i="5" s="1"/>
  <c r="F1150" i="5"/>
  <c r="G1150" i="5" s="1"/>
  <c r="F1149" i="5"/>
  <c r="G1149" i="5" s="1"/>
  <c r="F1148" i="5"/>
  <c r="G1148" i="5" s="1"/>
  <c r="F1147" i="5"/>
  <c r="G1147" i="5" s="1"/>
  <c r="F1146" i="5"/>
  <c r="G1146" i="5" s="1"/>
  <c r="F1145" i="5"/>
  <c r="G1145" i="5" s="1"/>
  <c r="F1144" i="5"/>
  <c r="G1144" i="5" s="1"/>
  <c r="F1143" i="5"/>
  <c r="G1143" i="5" s="1"/>
  <c r="F1142" i="5"/>
  <c r="G1142" i="5" s="1"/>
  <c r="F1141" i="5"/>
  <c r="G1141" i="5" s="1"/>
  <c r="F1140" i="5"/>
  <c r="G1140" i="5" s="1"/>
  <c r="F1139" i="5"/>
  <c r="G1139" i="5" s="1"/>
  <c r="F1138" i="5"/>
  <c r="G1138" i="5" s="1"/>
  <c r="F1137" i="5"/>
  <c r="G1137" i="5" s="1"/>
  <c r="F1136" i="5"/>
  <c r="G1136" i="5" s="1"/>
  <c r="F1135" i="5"/>
  <c r="G1135" i="5" s="1"/>
  <c r="F1134" i="5"/>
  <c r="G1134" i="5" s="1"/>
  <c r="F1133" i="5"/>
  <c r="G1133" i="5" s="1"/>
  <c r="F1132" i="5"/>
  <c r="G1132" i="5" s="1"/>
  <c r="F1131" i="5"/>
  <c r="G1131" i="5" s="1"/>
  <c r="F1130" i="5"/>
  <c r="G1130" i="5" s="1"/>
  <c r="F1129" i="5"/>
  <c r="G1129" i="5" s="1"/>
  <c r="F1128" i="5"/>
  <c r="G1128" i="5" s="1"/>
  <c r="F1127" i="5"/>
  <c r="G1127" i="5" s="1"/>
  <c r="F1126" i="5"/>
  <c r="G1126" i="5" s="1"/>
  <c r="F1125" i="5"/>
  <c r="G1125" i="5" s="1"/>
  <c r="F1124" i="5"/>
  <c r="G1124" i="5" s="1"/>
  <c r="F1123" i="5"/>
  <c r="G1123" i="5" s="1"/>
  <c r="F1122" i="5"/>
  <c r="G1122" i="5" s="1"/>
  <c r="F1121" i="5"/>
  <c r="G1121" i="5" s="1"/>
  <c r="F1120" i="5"/>
  <c r="G1120" i="5" s="1"/>
  <c r="F1119" i="5"/>
  <c r="G1119" i="5" s="1"/>
  <c r="F1118" i="5"/>
  <c r="G1118" i="5" s="1"/>
  <c r="F1117" i="5"/>
  <c r="G1117" i="5" s="1"/>
  <c r="F1116" i="5"/>
  <c r="G1116" i="5" s="1"/>
  <c r="F1115" i="5"/>
  <c r="G1115" i="5" s="1"/>
  <c r="F1114" i="5"/>
  <c r="G1114" i="5" s="1"/>
  <c r="F1113" i="5"/>
  <c r="G1113" i="5" s="1"/>
  <c r="F1112" i="5"/>
  <c r="G1112" i="5" s="1"/>
  <c r="F1111" i="5"/>
  <c r="G1111" i="5" s="1"/>
  <c r="F1110" i="5"/>
  <c r="G1110" i="5" s="1"/>
  <c r="F1109" i="5"/>
  <c r="G1109" i="5" s="1"/>
  <c r="F1108" i="5"/>
  <c r="G1108" i="5" s="1"/>
  <c r="F1107" i="5"/>
  <c r="G1107" i="5" s="1"/>
  <c r="F1106" i="5"/>
  <c r="G1106" i="5" s="1"/>
  <c r="F1105" i="5"/>
  <c r="G1105" i="5" s="1"/>
  <c r="F1104" i="5"/>
  <c r="G1104" i="5" s="1"/>
  <c r="F1103" i="5"/>
  <c r="G1103" i="5" s="1"/>
  <c r="F1102" i="5"/>
  <c r="G1102" i="5" s="1"/>
  <c r="F1101" i="5"/>
  <c r="G1101" i="5" s="1"/>
  <c r="F1100" i="5"/>
  <c r="G1100" i="5" s="1"/>
  <c r="F1099" i="5"/>
  <c r="G1099" i="5" s="1"/>
  <c r="F1098" i="5"/>
  <c r="G1098" i="5" s="1"/>
  <c r="F1097" i="5"/>
  <c r="G1097" i="5" s="1"/>
  <c r="F1096" i="5"/>
  <c r="G1096" i="5" s="1"/>
  <c r="F1095" i="5"/>
  <c r="G1095" i="5" s="1"/>
  <c r="F1094" i="5"/>
  <c r="G1094" i="5" s="1"/>
  <c r="F1093" i="5"/>
  <c r="G1093" i="5" s="1"/>
  <c r="F1092" i="5"/>
  <c r="G1092" i="5" s="1"/>
  <c r="F1091" i="5"/>
  <c r="G1091" i="5" s="1"/>
  <c r="F1090" i="5"/>
  <c r="G1090" i="5" s="1"/>
  <c r="F1089" i="5"/>
  <c r="G1089" i="5" s="1"/>
  <c r="F1088" i="5"/>
  <c r="G1088" i="5" s="1"/>
  <c r="F1087" i="5"/>
  <c r="G1087" i="5" s="1"/>
  <c r="F1086" i="5"/>
  <c r="G1086" i="5" s="1"/>
  <c r="F1085" i="5"/>
  <c r="G1085" i="5" s="1"/>
  <c r="F1084" i="5"/>
  <c r="G1084" i="5" s="1"/>
  <c r="F1083" i="5"/>
  <c r="G1083" i="5" s="1"/>
  <c r="F1082" i="5"/>
  <c r="G1082" i="5" s="1"/>
  <c r="F1081" i="5"/>
  <c r="G1081" i="5" s="1"/>
  <c r="F1080" i="5"/>
  <c r="G1080" i="5" s="1"/>
  <c r="F1079" i="5"/>
  <c r="G1079" i="5" s="1"/>
  <c r="F1078" i="5"/>
  <c r="G1078" i="5" s="1"/>
  <c r="F1077" i="5"/>
  <c r="G1077" i="5" s="1"/>
  <c r="F1076" i="5"/>
  <c r="G1076" i="5" s="1"/>
  <c r="F1075" i="5"/>
  <c r="G1075" i="5" s="1"/>
  <c r="F1074" i="5"/>
  <c r="G1074" i="5" s="1"/>
  <c r="F1073" i="5"/>
  <c r="G1073" i="5" s="1"/>
  <c r="F1072" i="5"/>
  <c r="G1072" i="5" s="1"/>
  <c r="F1071" i="5"/>
  <c r="G1071" i="5" s="1"/>
  <c r="F1070" i="5"/>
  <c r="G1070" i="5" s="1"/>
  <c r="F1069" i="5"/>
  <c r="G1069" i="5" s="1"/>
  <c r="F1068" i="5"/>
  <c r="G1068" i="5" s="1"/>
  <c r="F1067" i="5"/>
  <c r="G1067" i="5" s="1"/>
  <c r="F1066" i="5"/>
  <c r="G1066" i="5" s="1"/>
  <c r="F1065" i="5"/>
  <c r="G1065" i="5" s="1"/>
  <c r="F1064" i="5"/>
  <c r="G1064" i="5" s="1"/>
  <c r="F1063" i="5"/>
  <c r="G1063" i="5" s="1"/>
  <c r="F1062" i="5"/>
  <c r="G1062" i="5" s="1"/>
  <c r="F1061" i="5"/>
  <c r="G1061" i="5" s="1"/>
  <c r="F1060" i="5"/>
  <c r="G1060" i="5" s="1"/>
  <c r="F1059" i="5"/>
  <c r="G1059" i="5" s="1"/>
  <c r="F1058" i="5"/>
  <c r="G1058" i="5" s="1"/>
  <c r="F1057" i="5"/>
  <c r="G1057" i="5" s="1"/>
  <c r="F1056" i="5"/>
  <c r="G1056" i="5" s="1"/>
  <c r="F1055" i="5"/>
  <c r="G1055" i="5" s="1"/>
  <c r="F1054" i="5"/>
  <c r="G1054" i="5" s="1"/>
  <c r="F1053" i="5"/>
  <c r="G1053" i="5" s="1"/>
  <c r="F1052" i="5"/>
  <c r="G1052" i="5" s="1"/>
  <c r="F1051" i="5"/>
  <c r="G1051" i="5" s="1"/>
  <c r="F1050" i="5"/>
  <c r="G1050" i="5" s="1"/>
  <c r="F1049" i="5"/>
  <c r="G1049" i="5" s="1"/>
  <c r="F1048" i="5"/>
  <c r="G1048" i="5" s="1"/>
  <c r="F1047" i="5"/>
  <c r="G1047" i="5" s="1"/>
  <c r="F1046" i="5"/>
  <c r="G1046" i="5" s="1"/>
  <c r="F1045" i="5"/>
  <c r="G1045" i="5" s="1"/>
  <c r="F1044" i="5"/>
  <c r="G1044" i="5" s="1"/>
  <c r="F1043" i="5"/>
  <c r="G1043" i="5" s="1"/>
  <c r="F1042" i="5"/>
  <c r="G1042" i="5" s="1"/>
  <c r="F1041" i="5"/>
  <c r="G1041" i="5" s="1"/>
  <c r="F1040" i="5"/>
  <c r="G1040" i="5" s="1"/>
  <c r="F1039" i="5"/>
  <c r="G1039" i="5" s="1"/>
  <c r="F1038" i="5"/>
  <c r="G1038" i="5" s="1"/>
  <c r="F1037" i="5"/>
  <c r="G1037" i="5" s="1"/>
  <c r="F1036" i="5"/>
  <c r="G1036" i="5" s="1"/>
  <c r="F1035" i="5"/>
  <c r="G1035" i="5" s="1"/>
  <c r="F1034" i="5"/>
  <c r="G1034" i="5" s="1"/>
  <c r="F1033" i="5"/>
  <c r="G1033" i="5" s="1"/>
  <c r="F1032" i="5"/>
  <c r="G1032" i="5" s="1"/>
  <c r="F1031" i="5"/>
  <c r="G1031" i="5" s="1"/>
  <c r="F1030" i="5"/>
  <c r="G1030" i="5" s="1"/>
  <c r="F1029" i="5"/>
  <c r="G1029" i="5" s="1"/>
  <c r="F1028" i="5"/>
  <c r="G1028" i="5" s="1"/>
  <c r="F1027" i="5"/>
  <c r="G1027" i="5" s="1"/>
  <c r="F1026" i="5"/>
  <c r="G1026" i="5" s="1"/>
  <c r="F1025" i="5"/>
  <c r="G1025" i="5" s="1"/>
  <c r="F1024" i="5"/>
  <c r="G1024" i="5" s="1"/>
  <c r="F1023" i="5"/>
  <c r="G1023" i="5" s="1"/>
  <c r="F1022" i="5"/>
  <c r="G1022" i="5" s="1"/>
  <c r="F1021" i="5"/>
  <c r="G1021" i="5" s="1"/>
  <c r="F1020" i="5"/>
  <c r="G1020" i="5" s="1"/>
  <c r="F1019" i="5"/>
  <c r="G1019" i="5" s="1"/>
  <c r="F1018" i="5"/>
  <c r="G1018" i="5" s="1"/>
  <c r="F1017" i="5"/>
  <c r="G1017" i="5" s="1"/>
  <c r="F1016" i="5"/>
  <c r="G1016" i="5" s="1"/>
  <c r="F1015" i="5"/>
  <c r="G1015" i="5" s="1"/>
  <c r="F1014" i="5"/>
  <c r="G1014" i="5" s="1"/>
  <c r="F1013" i="5"/>
  <c r="G1013" i="5" s="1"/>
  <c r="F1012" i="5"/>
  <c r="G1012" i="5" s="1"/>
  <c r="F1011" i="5"/>
  <c r="G1011" i="5" s="1"/>
  <c r="F1010" i="5"/>
  <c r="G1010" i="5" s="1"/>
  <c r="F1009" i="5"/>
  <c r="G1009" i="5" s="1"/>
  <c r="F1008" i="5"/>
  <c r="G1008" i="5" s="1"/>
  <c r="F1007" i="5"/>
  <c r="G1007" i="5" s="1"/>
  <c r="F1006" i="5"/>
  <c r="G1006" i="5" s="1"/>
  <c r="F1005" i="5"/>
  <c r="G1005" i="5" s="1"/>
  <c r="F1004" i="5"/>
  <c r="G1004" i="5" s="1"/>
  <c r="F1003" i="5"/>
  <c r="G1003" i="5" s="1"/>
  <c r="F1002" i="5"/>
  <c r="G1002" i="5" s="1"/>
  <c r="F1001" i="5"/>
  <c r="G1001" i="5" s="1"/>
  <c r="F1000" i="5"/>
  <c r="G1000" i="5" s="1"/>
  <c r="F999" i="5"/>
  <c r="G999" i="5" s="1"/>
  <c r="F998" i="5"/>
  <c r="G998" i="5" s="1"/>
  <c r="F997" i="5"/>
  <c r="G997" i="5" s="1"/>
  <c r="F996" i="5"/>
  <c r="G996" i="5" s="1"/>
  <c r="F995" i="5"/>
  <c r="G995" i="5" s="1"/>
  <c r="F994" i="5"/>
  <c r="G994" i="5" s="1"/>
  <c r="F993" i="5"/>
  <c r="G993" i="5" s="1"/>
  <c r="F992" i="5"/>
  <c r="G992" i="5" s="1"/>
  <c r="F991" i="5"/>
  <c r="G991" i="5" s="1"/>
  <c r="F990" i="5"/>
  <c r="G990" i="5" s="1"/>
  <c r="F989" i="5"/>
  <c r="G989" i="5" s="1"/>
  <c r="F988" i="5"/>
  <c r="G988" i="5" s="1"/>
  <c r="F987" i="5"/>
  <c r="G987" i="5" s="1"/>
  <c r="F986" i="5"/>
  <c r="G986" i="5" s="1"/>
  <c r="F985" i="5"/>
  <c r="G985" i="5" s="1"/>
  <c r="F984" i="5"/>
  <c r="G984" i="5" s="1"/>
  <c r="F983" i="5"/>
  <c r="G983" i="5" s="1"/>
  <c r="F982" i="5"/>
  <c r="G982" i="5" s="1"/>
  <c r="F981" i="5"/>
  <c r="G981" i="5" s="1"/>
  <c r="F980" i="5"/>
  <c r="G980" i="5" s="1"/>
  <c r="F979" i="5"/>
  <c r="G979" i="5" s="1"/>
  <c r="F978" i="5"/>
  <c r="G978" i="5" s="1"/>
  <c r="F977" i="5"/>
  <c r="G977" i="5" s="1"/>
  <c r="F976" i="5"/>
  <c r="G976" i="5" s="1"/>
  <c r="F975" i="5"/>
  <c r="G975" i="5" s="1"/>
  <c r="F974" i="5"/>
  <c r="G974" i="5" s="1"/>
  <c r="F973" i="5"/>
  <c r="G973" i="5" s="1"/>
  <c r="F972" i="5"/>
  <c r="G972" i="5" s="1"/>
  <c r="F971" i="5"/>
  <c r="G971" i="5" s="1"/>
  <c r="F970" i="5"/>
  <c r="G970" i="5" s="1"/>
  <c r="F969" i="5"/>
  <c r="G969" i="5" s="1"/>
  <c r="F968" i="5"/>
  <c r="G968" i="5" s="1"/>
  <c r="F967" i="5"/>
  <c r="G967" i="5" s="1"/>
  <c r="F966" i="5"/>
  <c r="G966" i="5" s="1"/>
  <c r="F965" i="5"/>
  <c r="G965" i="5" s="1"/>
  <c r="F964" i="5"/>
  <c r="G964" i="5" s="1"/>
  <c r="F963" i="5"/>
  <c r="G963" i="5" s="1"/>
  <c r="F962" i="5"/>
  <c r="G962" i="5" s="1"/>
  <c r="F961" i="5"/>
  <c r="G961" i="5" s="1"/>
  <c r="F960" i="5"/>
  <c r="G960" i="5" s="1"/>
  <c r="F959" i="5"/>
  <c r="G959" i="5" s="1"/>
  <c r="F958" i="5"/>
  <c r="G958" i="5" s="1"/>
  <c r="F957" i="5"/>
  <c r="G957" i="5" s="1"/>
  <c r="F956" i="5"/>
  <c r="G956" i="5" s="1"/>
  <c r="F955" i="5"/>
  <c r="G955" i="5" s="1"/>
  <c r="F954" i="5"/>
  <c r="G954" i="5" s="1"/>
  <c r="F953" i="5"/>
  <c r="G953" i="5" s="1"/>
  <c r="F952" i="5"/>
  <c r="G952" i="5" s="1"/>
  <c r="F951" i="5"/>
  <c r="G951" i="5" s="1"/>
  <c r="F950" i="5"/>
  <c r="G950" i="5" s="1"/>
  <c r="F949" i="5"/>
  <c r="G949" i="5" s="1"/>
  <c r="F948" i="5"/>
  <c r="G948" i="5" s="1"/>
  <c r="F947" i="5"/>
  <c r="G947" i="5" s="1"/>
  <c r="F946" i="5"/>
  <c r="G946" i="5" s="1"/>
  <c r="F945" i="5"/>
  <c r="G945" i="5" s="1"/>
  <c r="F944" i="5"/>
  <c r="G944" i="5" s="1"/>
  <c r="F943" i="5"/>
  <c r="G943" i="5" s="1"/>
  <c r="F942" i="5"/>
  <c r="G942" i="5" s="1"/>
  <c r="F941" i="5"/>
  <c r="G941" i="5" s="1"/>
  <c r="F940" i="5"/>
  <c r="G940" i="5" s="1"/>
  <c r="F939" i="5"/>
  <c r="G939" i="5" s="1"/>
  <c r="F938" i="5"/>
  <c r="G938" i="5" s="1"/>
  <c r="F937" i="5"/>
  <c r="G937" i="5" s="1"/>
  <c r="F936" i="5"/>
  <c r="G936" i="5" s="1"/>
  <c r="F935" i="5"/>
  <c r="G935" i="5" s="1"/>
  <c r="F934" i="5"/>
  <c r="G934" i="5" s="1"/>
  <c r="F933" i="5"/>
  <c r="G933" i="5" s="1"/>
  <c r="F932" i="5"/>
  <c r="G932" i="5" s="1"/>
  <c r="F931" i="5"/>
  <c r="G931" i="5" s="1"/>
  <c r="F930" i="5"/>
  <c r="G930" i="5" s="1"/>
  <c r="F929" i="5"/>
  <c r="G929" i="5" s="1"/>
  <c r="F928" i="5"/>
  <c r="G928" i="5" s="1"/>
  <c r="F927" i="5"/>
  <c r="G927" i="5" s="1"/>
  <c r="F926" i="5"/>
  <c r="G926" i="5" s="1"/>
  <c r="F925" i="5"/>
  <c r="G925" i="5" s="1"/>
  <c r="F924" i="5"/>
  <c r="G924" i="5" s="1"/>
  <c r="F923" i="5"/>
  <c r="G923" i="5" s="1"/>
  <c r="F922" i="5"/>
  <c r="G922" i="5" s="1"/>
  <c r="F921" i="5"/>
  <c r="G921" i="5" s="1"/>
  <c r="F920" i="5"/>
  <c r="G920" i="5" s="1"/>
  <c r="F919" i="5"/>
  <c r="G919" i="5" s="1"/>
  <c r="F918" i="5"/>
  <c r="G918" i="5" s="1"/>
  <c r="F917" i="5"/>
  <c r="G917" i="5" s="1"/>
  <c r="F916" i="5"/>
  <c r="G916" i="5" s="1"/>
  <c r="F915" i="5"/>
  <c r="G915" i="5" s="1"/>
  <c r="F914" i="5"/>
  <c r="G914" i="5" s="1"/>
  <c r="F913" i="5"/>
  <c r="G913" i="5" s="1"/>
  <c r="F912" i="5"/>
  <c r="G912" i="5" s="1"/>
  <c r="F911" i="5"/>
  <c r="G911" i="5" s="1"/>
  <c r="F910" i="5"/>
  <c r="G910" i="5" s="1"/>
  <c r="F909" i="5"/>
  <c r="G909" i="5" s="1"/>
  <c r="F908" i="5"/>
  <c r="G908" i="5" s="1"/>
  <c r="F907" i="5"/>
  <c r="G907" i="5" s="1"/>
  <c r="F906" i="5"/>
  <c r="G906" i="5" s="1"/>
  <c r="F905" i="5"/>
  <c r="G905" i="5" s="1"/>
  <c r="F904" i="5"/>
  <c r="G904" i="5" s="1"/>
  <c r="F903" i="5"/>
  <c r="G903" i="5" s="1"/>
  <c r="F902" i="5"/>
  <c r="G902" i="5" s="1"/>
  <c r="F901" i="5"/>
  <c r="G901" i="5" s="1"/>
  <c r="F900" i="5"/>
  <c r="G900" i="5" s="1"/>
  <c r="F899" i="5"/>
  <c r="G899" i="5" s="1"/>
  <c r="F898" i="5"/>
  <c r="G898" i="5" s="1"/>
  <c r="F897" i="5"/>
  <c r="G897" i="5" s="1"/>
  <c r="F896" i="5"/>
  <c r="G896" i="5" s="1"/>
  <c r="F895" i="5"/>
  <c r="G895" i="5" s="1"/>
  <c r="F894" i="5"/>
  <c r="G894" i="5" s="1"/>
  <c r="F893" i="5"/>
  <c r="G893" i="5" s="1"/>
  <c r="F892" i="5"/>
  <c r="G892" i="5" s="1"/>
  <c r="F891" i="5"/>
  <c r="G891" i="5" s="1"/>
  <c r="F890" i="5"/>
  <c r="G890" i="5" s="1"/>
  <c r="F889" i="5"/>
  <c r="G889" i="5" s="1"/>
  <c r="F888" i="5"/>
  <c r="G888" i="5" s="1"/>
  <c r="F887" i="5"/>
  <c r="G887" i="5" s="1"/>
  <c r="F886" i="5"/>
  <c r="G886" i="5" s="1"/>
  <c r="F885" i="5"/>
  <c r="G885" i="5" s="1"/>
  <c r="F884" i="5"/>
  <c r="G884" i="5" s="1"/>
  <c r="F883" i="5"/>
  <c r="G883" i="5" s="1"/>
  <c r="F882" i="5"/>
  <c r="G882" i="5" s="1"/>
  <c r="F881" i="5"/>
  <c r="G881" i="5" s="1"/>
  <c r="F880" i="5"/>
  <c r="G880" i="5" s="1"/>
  <c r="F879" i="5"/>
  <c r="G879" i="5" s="1"/>
  <c r="F878" i="5"/>
  <c r="G878" i="5" s="1"/>
  <c r="F877" i="5"/>
  <c r="G877" i="5" s="1"/>
  <c r="F876" i="5"/>
  <c r="G876" i="5" s="1"/>
  <c r="F875" i="5"/>
  <c r="G875" i="5" s="1"/>
  <c r="F874" i="5"/>
  <c r="G874" i="5" s="1"/>
  <c r="F873" i="5"/>
  <c r="G873" i="5" s="1"/>
  <c r="F872" i="5"/>
  <c r="G872" i="5" s="1"/>
  <c r="F871" i="5"/>
  <c r="G871" i="5" s="1"/>
  <c r="F870" i="5"/>
  <c r="G870" i="5" s="1"/>
  <c r="F869" i="5"/>
  <c r="G869" i="5" s="1"/>
  <c r="F868" i="5"/>
  <c r="G868" i="5" s="1"/>
  <c r="F867" i="5"/>
  <c r="G867" i="5" s="1"/>
  <c r="F866" i="5"/>
  <c r="G866" i="5" s="1"/>
  <c r="F865" i="5"/>
  <c r="G865" i="5" s="1"/>
  <c r="F864" i="5"/>
  <c r="G864" i="5" s="1"/>
  <c r="F863" i="5"/>
  <c r="G863" i="5" s="1"/>
  <c r="F862" i="5"/>
  <c r="G862" i="5" s="1"/>
  <c r="F861" i="5"/>
  <c r="G861" i="5" s="1"/>
  <c r="F860" i="5"/>
  <c r="G860" i="5" s="1"/>
  <c r="F859" i="5"/>
  <c r="G859" i="5" s="1"/>
  <c r="F858" i="5"/>
  <c r="G858" i="5" s="1"/>
  <c r="F857" i="5"/>
  <c r="G857" i="5" s="1"/>
  <c r="F856" i="5"/>
  <c r="G856" i="5" s="1"/>
  <c r="F855" i="5"/>
  <c r="G855" i="5" s="1"/>
  <c r="F854" i="5"/>
  <c r="G854" i="5" s="1"/>
  <c r="F853" i="5"/>
  <c r="G853" i="5" s="1"/>
  <c r="F852" i="5"/>
  <c r="G852" i="5" s="1"/>
  <c r="F851" i="5"/>
  <c r="G851" i="5" s="1"/>
  <c r="F850" i="5"/>
  <c r="G850" i="5" s="1"/>
  <c r="F849" i="5"/>
  <c r="G849" i="5" s="1"/>
  <c r="F848" i="5"/>
  <c r="G848" i="5" s="1"/>
  <c r="F847" i="5"/>
  <c r="G847" i="5" s="1"/>
  <c r="F846" i="5"/>
  <c r="G846" i="5" s="1"/>
  <c r="F845" i="5"/>
  <c r="G845" i="5" s="1"/>
  <c r="F844" i="5"/>
  <c r="G844" i="5" s="1"/>
  <c r="F843" i="5"/>
  <c r="G843" i="5" s="1"/>
  <c r="F842" i="5"/>
  <c r="G842" i="5" s="1"/>
  <c r="F841" i="5"/>
  <c r="G841" i="5" s="1"/>
  <c r="F840" i="5"/>
  <c r="G840" i="5" s="1"/>
  <c r="F839" i="5"/>
  <c r="G839" i="5" s="1"/>
  <c r="F838" i="5"/>
  <c r="G838" i="5" s="1"/>
  <c r="F837" i="5"/>
  <c r="G837" i="5" s="1"/>
  <c r="F836" i="5"/>
  <c r="G836" i="5" s="1"/>
  <c r="F835" i="5"/>
  <c r="G835" i="5" s="1"/>
  <c r="F834" i="5"/>
  <c r="G834" i="5" s="1"/>
  <c r="F833" i="5"/>
  <c r="G833" i="5" s="1"/>
  <c r="F832" i="5"/>
  <c r="G832" i="5" s="1"/>
  <c r="F831" i="5"/>
  <c r="G831" i="5" s="1"/>
  <c r="F830" i="5"/>
  <c r="G830" i="5" s="1"/>
  <c r="F829" i="5"/>
  <c r="G829" i="5" s="1"/>
  <c r="F828" i="5"/>
  <c r="G828" i="5" s="1"/>
  <c r="F827" i="5"/>
  <c r="G827" i="5" s="1"/>
  <c r="F826" i="5"/>
  <c r="G826" i="5" s="1"/>
  <c r="F825" i="5"/>
  <c r="G825" i="5" s="1"/>
  <c r="F824" i="5"/>
  <c r="G824" i="5" s="1"/>
  <c r="F823" i="5"/>
  <c r="G823" i="5" s="1"/>
  <c r="F822" i="5"/>
  <c r="G822" i="5" s="1"/>
  <c r="F821" i="5"/>
  <c r="G821" i="5" s="1"/>
  <c r="F820" i="5"/>
  <c r="G820" i="5" s="1"/>
  <c r="F819" i="5"/>
  <c r="G819" i="5" s="1"/>
  <c r="F818" i="5"/>
  <c r="G818" i="5" s="1"/>
  <c r="F817" i="5"/>
  <c r="G817" i="5" s="1"/>
  <c r="F816" i="5"/>
  <c r="G816" i="5" s="1"/>
  <c r="F815" i="5"/>
  <c r="G815" i="5" s="1"/>
  <c r="F814" i="5"/>
  <c r="G814" i="5" s="1"/>
  <c r="F813" i="5"/>
  <c r="G813" i="5" s="1"/>
  <c r="F812" i="5"/>
  <c r="G812" i="5" s="1"/>
  <c r="F811" i="5"/>
  <c r="G811" i="5" s="1"/>
  <c r="F810" i="5"/>
  <c r="G810" i="5" s="1"/>
  <c r="F809" i="5"/>
  <c r="G809" i="5" s="1"/>
  <c r="F808" i="5"/>
  <c r="G808" i="5" s="1"/>
  <c r="F807" i="5"/>
  <c r="G807" i="5" s="1"/>
  <c r="F806" i="5"/>
  <c r="G806" i="5" s="1"/>
  <c r="F805" i="5"/>
  <c r="G805" i="5" s="1"/>
  <c r="F804" i="5"/>
  <c r="G804" i="5" s="1"/>
  <c r="F803" i="5"/>
  <c r="G803" i="5" s="1"/>
  <c r="F802" i="5"/>
  <c r="G802" i="5" s="1"/>
  <c r="F801" i="5"/>
  <c r="G801" i="5" s="1"/>
  <c r="F800" i="5"/>
  <c r="G800" i="5" s="1"/>
  <c r="F799" i="5"/>
  <c r="G799" i="5" s="1"/>
  <c r="F798" i="5"/>
  <c r="G798" i="5" s="1"/>
  <c r="F797" i="5"/>
  <c r="G797" i="5" s="1"/>
  <c r="F796" i="5"/>
  <c r="G796" i="5" s="1"/>
  <c r="F795" i="5"/>
  <c r="G795" i="5" s="1"/>
  <c r="F794" i="5"/>
  <c r="G794" i="5" s="1"/>
  <c r="F793" i="5"/>
  <c r="G793" i="5" s="1"/>
  <c r="F792" i="5"/>
  <c r="G792" i="5" s="1"/>
  <c r="F791" i="5"/>
  <c r="G791" i="5" s="1"/>
  <c r="F790" i="5"/>
  <c r="G790" i="5" s="1"/>
  <c r="F789" i="5"/>
  <c r="G789" i="5" s="1"/>
  <c r="F788" i="5"/>
  <c r="G788" i="5" s="1"/>
  <c r="F787" i="5"/>
  <c r="G787" i="5" s="1"/>
  <c r="F786" i="5"/>
  <c r="G786" i="5" s="1"/>
  <c r="F785" i="5"/>
  <c r="G785" i="5" s="1"/>
  <c r="F784" i="5"/>
  <c r="G784" i="5" s="1"/>
  <c r="F783" i="5"/>
  <c r="G783" i="5" s="1"/>
  <c r="F782" i="5"/>
  <c r="G782" i="5" s="1"/>
  <c r="F781" i="5"/>
  <c r="G781" i="5" s="1"/>
  <c r="F780" i="5"/>
  <c r="G780" i="5" s="1"/>
  <c r="F779" i="5"/>
  <c r="G779" i="5" s="1"/>
  <c r="F778" i="5"/>
  <c r="G778" i="5" s="1"/>
  <c r="F777" i="5"/>
  <c r="G777" i="5" s="1"/>
  <c r="F776" i="5"/>
  <c r="G776" i="5" s="1"/>
  <c r="F775" i="5"/>
  <c r="G775" i="5" s="1"/>
  <c r="F774" i="5"/>
  <c r="G774" i="5" s="1"/>
  <c r="F773" i="5"/>
  <c r="G773" i="5" s="1"/>
  <c r="F772" i="5"/>
  <c r="G772" i="5" s="1"/>
  <c r="F771" i="5"/>
  <c r="G771" i="5" s="1"/>
  <c r="F770" i="5"/>
  <c r="G770" i="5" s="1"/>
  <c r="F769" i="5"/>
  <c r="G769" i="5" s="1"/>
  <c r="F768" i="5"/>
  <c r="G768" i="5" s="1"/>
  <c r="F767" i="5"/>
  <c r="G767" i="5" s="1"/>
  <c r="F766" i="5"/>
  <c r="G766" i="5" s="1"/>
  <c r="F765" i="5"/>
  <c r="G765" i="5" s="1"/>
  <c r="F764" i="5"/>
  <c r="G764" i="5" s="1"/>
  <c r="F763" i="5"/>
  <c r="G763" i="5" s="1"/>
  <c r="F762" i="5"/>
  <c r="G762" i="5" s="1"/>
  <c r="F761" i="5"/>
  <c r="G761" i="5" s="1"/>
  <c r="F760" i="5"/>
  <c r="G760" i="5" s="1"/>
  <c r="F759" i="5"/>
  <c r="G759" i="5" s="1"/>
  <c r="F758" i="5"/>
  <c r="G758" i="5" s="1"/>
  <c r="F757" i="5"/>
  <c r="G757" i="5" s="1"/>
  <c r="F756" i="5"/>
  <c r="G756" i="5" s="1"/>
  <c r="F755" i="5"/>
  <c r="G755" i="5" s="1"/>
  <c r="F754" i="5"/>
  <c r="G754" i="5" s="1"/>
  <c r="F753" i="5"/>
  <c r="G753" i="5" s="1"/>
  <c r="F752" i="5"/>
  <c r="G752" i="5" s="1"/>
  <c r="F751" i="5"/>
  <c r="G751" i="5" s="1"/>
  <c r="F750" i="5"/>
  <c r="G750" i="5" s="1"/>
  <c r="F749" i="5"/>
  <c r="G749" i="5" s="1"/>
  <c r="F748" i="5"/>
  <c r="G748" i="5" s="1"/>
  <c r="F747" i="5"/>
  <c r="G747" i="5" s="1"/>
  <c r="F746" i="5"/>
  <c r="G746" i="5" s="1"/>
  <c r="F745" i="5"/>
  <c r="G745" i="5" s="1"/>
  <c r="F744" i="5"/>
  <c r="G744" i="5" s="1"/>
  <c r="F743" i="5"/>
  <c r="G743" i="5" s="1"/>
  <c r="F742" i="5"/>
  <c r="G742" i="5" s="1"/>
  <c r="F741" i="5"/>
  <c r="G741" i="5" s="1"/>
  <c r="F740" i="5"/>
  <c r="G740" i="5" s="1"/>
  <c r="F739" i="5"/>
  <c r="G739" i="5" s="1"/>
  <c r="F738" i="5"/>
  <c r="G738" i="5" s="1"/>
  <c r="F737" i="5"/>
  <c r="G737" i="5" s="1"/>
  <c r="F736" i="5"/>
  <c r="G736" i="5" s="1"/>
  <c r="F735" i="5"/>
  <c r="G735" i="5" s="1"/>
  <c r="F734" i="5"/>
  <c r="G734" i="5" s="1"/>
  <c r="F733" i="5"/>
  <c r="G733" i="5" s="1"/>
  <c r="F732" i="5"/>
  <c r="G732" i="5" s="1"/>
  <c r="F731" i="5"/>
  <c r="G731" i="5" s="1"/>
  <c r="F730" i="5"/>
  <c r="G730" i="5" s="1"/>
  <c r="F729" i="5"/>
  <c r="G729" i="5" s="1"/>
  <c r="F728" i="5"/>
  <c r="G728" i="5" s="1"/>
  <c r="F727" i="5"/>
  <c r="G727" i="5" s="1"/>
  <c r="F726" i="5"/>
  <c r="G726" i="5" s="1"/>
  <c r="F725" i="5"/>
  <c r="G725" i="5" s="1"/>
  <c r="F724" i="5"/>
  <c r="G724" i="5" s="1"/>
  <c r="F723" i="5"/>
  <c r="G723" i="5" s="1"/>
  <c r="F722" i="5"/>
  <c r="G722" i="5" s="1"/>
  <c r="F721" i="5"/>
  <c r="G721" i="5" s="1"/>
  <c r="F720" i="5"/>
  <c r="G720" i="5" s="1"/>
  <c r="F719" i="5"/>
  <c r="G719" i="5" s="1"/>
  <c r="F718" i="5"/>
  <c r="G718" i="5" s="1"/>
  <c r="F717" i="5"/>
  <c r="G717" i="5" s="1"/>
  <c r="F716" i="5"/>
  <c r="G716" i="5" s="1"/>
  <c r="F715" i="5"/>
  <c r="G715" i="5" s="1"/>
  <c r="F714" i="5"/>
  <c r="G714" i="5" s="1"/>
  <c r="F713" i="5"/>
  <c r="G713" i="5" s="1"/>
  <c r="F712" i="5"/>
  <c r="G712" i="5" s="1"/>
  <c r="F711" i="5"/>
  <c r="G711" i="5" s="1"/>
  <c r="F710" i="5"/>
  <c r="G710" i="5" s="1"/>
  <c r="F709" i="5"/>
  <c r="G709" i="5" s="1"/>
  <c r="F708" i="5"/>
  <c r="G708" i="5" s="1"/>
  <c r="F707" i="5"/>
  <c r="G707" i="5" s="1"/>
  <c r="F706" i="5"/>
  <c r="G706" i="5" s="1"/>
  <c r="F705" i="5"/>
  <c r="G705" i="5" s="1"/>
  <c r="F704" i="5"/>
  <c r="G704" i="5" s="1"/>
  <c r="F703" i="5"/>
  <c r="G703" i="5" s="1"/>
  <c r="F702" i="5"/>
  <c r="G702" i="5" s="1"/>
  <c r="F701" i="5"/>
  <c r="G701" i="5" s="1"/>
  <c r="F700" i="5"/>
  <c r="G700" i="5" s="1"/>
  <c r="F699" i="5"/>
  <c r="G699" i="5" s="1"/>
  <c r="F698" i="5"/>
  <c r="G698" i="5" s="1"/>
  <c r="F697" i="5"/>
  <c r="G697" i="5" s="1"/>
  <c r="F696" i="5"/>
  <c r="G696" i="5" s="1"/>
  <c r="F695" i="5"/>
  <c r="G695" i="5" s="1"/>
  <c r="F694" i="5"/>
  <c r="G694" i="5" s="1"/>
  <c r="F693" i="5"/>
  <c r="G693" i="5" s="1"/>
  <c r="F692" i="5"/>
  <c r="G692" i="5" s="1"/>
  <c r="F691" i="5"/>
  <c r="G691" i="5" s="1"/>
  <c r="F690" i="5"/>
  <c r="G690" i="5" s="1"/>
  <c r="F689" i="5"/>
  <c r="G689" i="5" s="1"/>
  <c r="F688" i="5"/>
  <c r="G688" i="5" s="1"/>
  <c r="F687" i="5"/>
  <c r="G687" i="5" s="1"/>
  <c r="F686" i="5"/>
  <c r="G686" i="5" s="1"/>
  <c r="F685" i="5"/>
  <c r="G685" i="5" s="1"/>
  <c r="F684" i="5"/>
  <c r="G684" i="5" s="1"/>
  <c r="F683" i="5"/>
  <c r="G683" i="5" s="1"/>
  <c r="F682" i="5"/>
  <c r="G682" i="5" s="1"/>
  <c r="F681" i="5"/>
  <c r="G681" i="5" s="1"/>
  <c r="F680" i="5"/>
  <c r="G680" i="5" s="1"/>
  <c r="F679" i="5"/>
  <c r="G679" i="5" s="1"/>
  <c r="F678" i="5"/>
  <c r="G678" i="5" s="1"/>
  <c r="F677" i="5"/>
  <c r="G677" i="5" s="1"/>
  <c r="F676" i="5"/>
  <c r="G676" i="5" s="1"/>
  <c r="F675" i="5"/>
  <c r="G675" i="5" s="1"/>
  <c r="F674" i="5"/>
  <c r="G674" i="5" s="1"/>
  <c r="F673" i="5"/>
  <c r="G673" i="5" s="1"/>
  <c r="F672" i="5"/>
  <c r="G672" i="5" s="1"/>
  <c r="F671" i="5"/>
  <c r="G671" i="5" s="1"/>
  <c r="F670" i="5"/>
  <c r="G670" i="5" s="1"/>
  <c r="F669" i="5"/>
  <c r="G669" i="5" s="1"/>
  <c r="F668" i="5"/>
  <c r="G668" i="5" s="1"/>
  <c r="F667" i="5"/>
  <c r="G667" i="5" s="1"/>
  <c r="F666" i="5"/>
  <c r="G666" i="5" s="1"/>
  <c r="F665" i="5"/>
  <c r="G665" i="5" s="1"/>
  <c r="F664" i="5"/>
  <c r="G664" i="5" s="1"/>
  <c r="F663" i="5"/>
  <c r="G663" i="5" s="1"/>
  <c r="F662" i="5"/>
  <c r="G662" i="5" s="1"/>
  <c r="F661" i="5"/>
  <c r="G661" i="5" s="1"/>
  <c r="F660" i="5"/>
  <c r="G660" i="5" s="1"/>
  <c r="F659" i="5"/>
  <c r="G659" i="5" s="1"/>
  <c r="F658" i="5"/>
  <c r="G658" i="5" s="1"/>
  <c r="F657" i="5"/>
  <c r="G657" i="5" s="1"/>
  <c r="F656" i="5"/>
  <c r="G656" i="5" s="1"/>
  <c r="F655" i="5"/>
  <c r="G655" i="5" s="1"/>
  <c r="F654" i="5"/>
  <c r="G654" i="5" s="1"/>
  <c r="F653" i="5"/>
  <c r="G653" i="5" s="1"/>
  <c r="F652" i="5"/>
  <c r="G652" i="5" s="1"/>
  <c r="F651" i="5"/>
  <c r="G651" i="5" s="1"/>
  <c r="F650" i="5"/>
  <c r="G650" i="5" s="1"/>
  <c r="F649" i="5"/>
  <c r="G649" i="5" s="1"/>
  <c r="F648" i="5"/>
  <c r="G648" i="5" s="1"/>
  <c r="F647" i="5"/>
  <c r="G647" i="5" s="1"/>
  <c r="F646" i="5"/>
  <c r="G646" i="5" s="1"/>
  <c r="F645" i="5"/>
  <c r="G645" i="5" s="1"/>
  <c r="F644" i="5"/>
  <c r="G644" i="5" s="1"/>
  <c r="F643" i="5"/>
  <c r="G643" i="5" s="1"/>
  <c r="G642" i="5"/>
  <c r="F642" i="5"/>
  <c r="F641" i="5"/>
  <c r="G641" i="5" s="1"/>
  <c r="F640" i="5"/>
  <c r="G640" i="5" s="1"/>
  <c r="F639" i="5"/>
  <c r="G639" i="5" s="1"/>
  <c r="F638" i="5"/>
  <c r="G638" i="5" s="1"/>
  <c r="F637" i="5"/>
  <c r="G637" i="5" s="1"/>
  <c r="F636" i="5"/>
  <c r="G636" i="5" s="1"/>
  <c r="F635" i="5"/>
  <c r="G635" i="5" s="1"/>
  <c r="F634" i="5"/>
  <c r="G634" i="5" s="1"/>
  <c r="F633" i="5"/>
  <c r="G633" i="5" s="1"/>
  <c r="F632" i="5"/>
  <c r="G632" i="5" s="1"/>
  <c r="F631" i="5"/>
  <c r="G631" i="5" s="1"/>
  <c r="F630" i="5"/>
  <c r="G630" i="5" s="1"/>
  <c r="F629" i="5"/>
  <c r="G629" i="5" s="1"/>
  <c r="F628" i="5"/>
  <c r="G628" i="5" s="1"/>
  <c r="F627" i="5"/>
  <c r="G627" i="5" s="1"/>
  <c r="F626" i="5"/>
  <c r="G626" i="5" s="1"/>
  <c r="F625" i="5"/>
  <c r="G625" i="5" s="1"/>
  <c r="F624" i="5"/>
  <c r="G624" i="5" s="1"/>
  <c r="F623" i="5"/>
  <c r="G623" i="5" s="1"/>
  <c r="F622" i="5"/>
  <c r="G622" i="5" s="1"/>
  <c r="F621" i="5"/>
  <c r="G621" i="5" s="1"/>
  <c r="F620" i="5"/>
  <c r="G620" i="5" s="1"/>
  <c r="F619" i="5"/>
  <c r="G619" i="5" s="1"/>
  <c r="F618" i="5"/>
  <c r="G618" i="5" s="1"/>
  <c r="F617" i="5"/>
  <c r="G617" i="5" s="1"/>
  <c r="F616" i="5"/>
  <c r="G616" i="5" s="1"/>
  <c r="F615" i="5"/>
  <c r="G615" i="5" s="1"/>
  <c r="F614" i="5"/>
  <c r="G614" i="5" s="1"/>
  <c r="F613" i="5"/>
  <c r="G613" i="5" s="1"/>
  <c r="F612" i="5"/>
  <c r="G612" i="5" s="1"/>
  <c r="F611" i="5"/>
  <c r="G611" i="5" s="1"/>
  <c r="F610" i="5"/>
  <c r="G610" i="5" s="1"/>
  <c r="F609" i="5"/>
  <c r="G609" i="5" s="1"/>
  <c r="F608" i="5"/>
  <c r="G608" i="5" s="1"/>
  <c r="F607" i="5"/>
  <c r="G607" i="5" s="1"/>
  <c r="F606" i="5"/>
  <c r="G606" i="5" s="1"/>
  <c r="F605" i="5"/>
  <c r="G605" i="5" s="1"/>
  <c r="F604" i="5"/>
  <c r="G604" i="5" s="1"/>
  <c r="F603" i="5"/>
  <c r="G603" i="5" s="1"/>
  <c r="F602" i="5"/>
  <c r="G602" i="5" s="1"/>
  <c r="F601" i="5"/>
  <c r="G601" i="5" s="1"/>
  <c r="F600" i="5"/>
  <c r="G600" i="5" s="1"/>
  <c r="F599" i="5"/>
  <c r="G599" i="5" s="1"/>
  <c r="F598" i="5"/>
  <c r="G598" i="5" s="1"/>
  <c r="F597" i="5"/>
  <c r="G597" i="5" s="1"/>
  <c r="F596" i="5"/>
  <c r="G596" i="5" s="1"/>
  <c r="F595" i="5"/>
  <c r="G595" i="5" s="1"/>
  <c r="F594" i="5"/>
  <c r="G594" i="5" s="1"/>
  <c r="F593" i="5"/>
  <c r="G593" i="5" s="1"/>
  <c r="F592" i="5"/>
  <c r="G592" i="5" s="1"/>
  <c r="F591" i="5"/>
  <c r="G591" i="5" s="1"/>
  <c r="F590" i="5"/>
  <c r="G590" i="5" s="1"/>
  <c r="F589" i="5"/>
  <c r="G589" i="5" s="1"/>
  <c r="F588" i="5"/>
  <c r="G588" i="5" s="1"/>
  <c r="F587" i="5"/>
  <c r="G587" i="5" s="1"/>
  <c r="F586" i="5"/>
  <c r="G586" i="5" s="1"/>
  <c r="F585" i="5"/>
  <c r="G585" i="5" s="1"/>
  <c r="F584" i="5"/>
  <c r="G584" i="5" s="1"/>
  <c r="F583" i="5"/>
  <c r="G583" i="5" s="1"/>
  <c r="F582" i="5"/>
  <c r="G582" i="5" s="1"/>
  <c r="F581" i="5"/>
  <c r="G581" i="5" s="1"/>
  <c r="F580" i="5"/>
  <c r="G580" i="5" s="1"/>
  <c r="F579" i="5"/>
  <c r="G579" i="5" s="1"/>
  <c r="F578" i="5"/>
  <c r="G578" i="5" s="1"/>
  <c r="F577" i="5"/>
  <c r="G577" i="5" s="1"/>
  <c r="F576" i="5"/>
  <c r="G576" i="5" s="1"/>
  <c r="F575" i="5"/>
  <c r="G575" i="5" s="1"/>
  <c r="F574" i="5"/>
  <c r="G574" i="5" s="1"/>
  <c r="F573" i="5"/>
  <c r="G573" i="5" s="1"/>
  <c r="F572" i="5"/>
  <c r="G572" i="5" s="1"/>
  <c r="F571" i="5"/>
  <c r="G571" i="5" s="1"/>
  <c r="F570" i="5"/>
  <c r="G570" i="5" s="1"/>
  <c r="F569" i="5"/>
  <c r="G569" i="5" s="1"/>
  <c r="F568" i="5"/>
  <c r="G568" i="5" s="1"/>
  <c r="F567" i="5"/>
  <c r="G567" i="5" s="1"/>
  <c r="F566" i="5"/>
  <c r="G566" i="5" s="1"/>
  <c r="F565" i="5"/>
  <c r="G565" i="5" s="1"/>
  <c r="F564" i="5"/>
  <c r="G564" i="5" s="1"/>
  <c r="F563" i="5"/>
  <c r="G563" i="5" s="1"/>
  <c r="F562" i="5"/>
  <c r="G562" i="5" s="1"/>
  <c r="F561" i="5"/>
  <c r="G561" i="5" s="1"/>
  <c r="F560" i="5"/>
  <c r="G560" i="5" s="1"/>
  <c r="F559" i="5"/>
  <c r="G559" i="5" s="1"/>
  <c r="F558" i="5"/>
  <c r="G558" i="5" s="1"/>
  <c r="F557" i="5"/>
  <c r="G557" i="5" s="1"/>
  <c r="F556" i="5"/>
  <c r="G556" i="5" s="1"/>
  <c r="F555" i="5"/>
  <c r="G555" i="5" s="1"/>
  <c r="F554" i="5"/>
  <c r="G554" i="5" s="1"/>
  <c r="F553" i="5"/>
  <c r="G553" i="5" s="1"/>
  <c r="F552" i="5"/>
  <c r="G552" i="5" s="1"/>
  <c r="F551" i="5"/>
  <c r="G551" i="5" s="1"/>
  <c r="F550" i="5"/>
  <c r="G550" i="5" s="1"/>
  <c r="F549" i="5"/>
  <c r="G549" i="5" s="1"/>
  <c r="F548" i="5"/>
  <c r="G548" i="5" s="1"/>
  <c r="F547" i="5"/>
  <c r="G547" i="5" s="1"/>
  <c r="F546" i="5"/>
  <c r="G546" i="5" s="1"/>
  <c r="F545" i="5"/>
  <c r="G545" i="5" s="1"/>
  <c r="F544" i="5"/>
  <c r="G544" i="5" s="1"/>
  <c r="F543" i="5"/>
  <c r="G543" i="5" s="1"/>
  <c r="F542" i="5"/>
  <c r="G542" i="5" s="1"/>
  <c r="F541" i="5"/>
  <c r="G541" i="5" s="1"/>
  <c r="F540" i="5"/>
  <c r="G540" i="5" s="1"/>
  <c r="F539" i="5"/>
  <c r="G539" i="5" s="1"/>
  <c r="F538" i="5"/>
  <c r="G538" i="5" s="1"/>
  <c r="F537" i="5"/>
  <c r="G537" i="5" s="1"/>
  <c r="F536" i="5"/>
  <c r="G536" i="5" s="1"/>
  <c r="F535" i="5"/>
  <c r="G535" i="5" s="1"/>
  <c r="F534" i="5"/>
  <c r="G534" i="5" s="1"/>
  <c r="F533" i="5"/>
  <c r="G533" i="5" s="1"/>
  <c r="F532" i="5"/>
  <c r="G532" i="5" s="1"/>
  <c r="F531" i="5"/>
  <c r="G531" i="5" s="1"/>
  <c r="F530" i="5"/>
  <c r="G530" i="5" s="1"/>
  <c r="F529" i="5"/>
  <c r="G529" i="5" s="1"/>
  <c r="F528" i="5"/>
  <c r="G528" i="5" s="1"/>
  <c r="F527" i="5"/>
  <c r="G527" i="5" s="1"/>
  <c r="F526" i="5"/>
  <c r="G526" i="5" s="1"/>
  <c r="F525" i="5"/>
  <c r="G525" i="5" s="1"/>
  <c r="F524" i="5"/>
  <c r="G524" i="5" s="1"/>
  <c r="F523" i="5"/>
  <c r="G523" i="5" s="1"/>
  <c r="F522" i="5"/>
  <c r="G522" i="5" s="1"/>
  <c r="F521" i="5"/>
  <c r="G521" i="5" s="1"/>
  <c r="F520" i="5"/>
  <c r="G520" i="5" s="1"/>
  <c r="F519" i="5"/>
  <c r="G519" i="5" s="1"/>
  <c r="F518" i="5"/>
  <c r="G518" i="5" s="1"/>
  <c r="F517" i="5"/>
  <c r="G517" i="5" s="1"/>
  <c r="F516" i="5"/>
  <c r="G516" i="5" s="1"/>
  <c r="F515" i="5"/>
  <c r="G515" i="5" s="1"/>
  <c r="F514" i="5"/>
  <c r="G514" i="5" s="1"/>
  <c r="F513" i="5"/>
  <c r="G513" i="5" s="1"/>
  <c r="F512" i="5"/>
  <c r="G512" i="5" s="1"/>
  <c r="F511" i="5"/>
  <c r="G511" i="5" s="1"/>
  <c r="F510" i="5"/>
  <c r="G510" i="5" s="1"/>
  <c r="F509" i="5"/>
  <c r="G509" i="5" s="1"/>
  <c r="F508" i="5"/>
  <c r="G508" i="5" s="1"/>
  <c r="F507" i="5"/>
  <c r="G507" i="5" s="1"/>
  <c r="F506" i="5"/>
  <c r="G506" i="5" s="1"/>
  <c r="F505" i="5"/>
  <c r="G505" i="5" s="1"/>
  <c r="F504" i="5"/>
  <c r="G504" i="5" s="1"/>
  <c r="F503" i="5"/>
  <c r="G503" i="5" s="1"/>
  <c r="F502" i="5"/>
  <c r="G502" i="5" s="1"/>
  <c r="F501" i="5"/>
  <c r="G501" i="5" s="1"/>
  <c r="F500" i="5"/>
  <c r="G500" i="5" s="1"/>
  <c r="F499" i="5"/>
  <c r="G499" i="5" s="1"/>
  <c r="F498" i="5"/>
  <c r="G498" i="5" s="1"/>
  <c r="F497" i="5"/>
  <c r="G497" i="5" s="1"/>
  <c r="F496" i="5"/>
  <c r="G496" i="5" s="1"/>
  <c r="F495" i="5"/>
  <c r="G495" i="5" s="1"/>
  <c r="F494" i="5"/>
  <c r="G494" i="5" s="1"/>
  <c r="F493" i="5"/>
  <c r="G493" i="5" s="1"/>
  <c r="F492" i="5"/>
  <c r="G492" i="5" s="1"/>
  <c r="F491" i="5"/>
  <c r="G491" i="5" s="1"/>
  <c r="F490" i="5"/>
  <c r="G490" i="5" s="1"/>
  <c r="F489" i="5"/>
  <c r="G489" i="5" s="1"/>
  <c r="F488" i="5"/>
  <c r="G488" i="5" s="1"/>
  <c r="F487" i="5"/>
  <c r="G487" i="5" s="1"/>
  <c r="F486" i="5"/>
  <c r="G486" i="5" s="1"/>
  <c r="F485" i="5"/>
  <c r="G485" i="5" s="1"/>
  <c r="F484" i="5"/>
  <c r="G484" i="5" s="1"/>
  <c r="F483" i="5"/>
  <c r="G483" i="5" s="1"/>
  <c r="F482" i="5"/>
  <c r="G482" i="5" s="1"/>
  <c r="F481" i="5"/>
  <c r="G481" i="5" s="1"/>
  <c r="F480" i="5"/>
  <c r="G480" i="5" s="1"/>
  <c r="F479" i="5"/>
  <c r="G479" i="5" s="1"/>
  <c r="F478" i="5"/>
  <c r="G478" i="5" s="1"/>
  <c r="F477" i="5"/>
  <c r="G477" i="5" s="1"/>
  <c r="F476" i="5"/>
  <c r="G476" i="5" s="1"/>
  <c r="F475" i="5"/>
  <c r="G475" i="5" s="1"/>
  <c r="F474" i="5"/>
  <c r="G474" i="5" s="1"/>
  <c r="F473" i="5"/>
  <c r="G473" i="5" s="1"/>
  <c r="F472" i="5"/>
  <c r="G472" i="5" s="1"/>
  <c r="F471" i="5"/>
  <c r="G471" i="5" s="1"/>
  <c r="F470" i="5"/>
  <c r="G470" i="5" s="1"/>
  <c r="F469" i="5"/>
  <c r="G469" i="5" s="1"/>
  <c r="F468" i="5"/>
  <c r="G468" i="5" s="1"/>
  <c r="F467" i="5"/>
  <c r="G467" i="5" s="1"/>
  <c r="F466" i="5"/>
  <c r="G466" i="5" s="1"/>
  <c r="F465" i="5"/>
  <c r="G465" i="5" s="1"/>
  <c r="F464" i="5"/>
  <c r="G464" i="5" s="1"/>
  <c r="F463" i="5"/>
  <c r="G463" i="5" s="1"/>
  <c r="F462" i="5"/>
  <c r="G462" i="5" s="1"/>
  <c r="F461" i="5"/>
  <c r="G461" i="5" s="1"/>
  <c r="F460" i="5"/>
  <c r="G460" i="5" s="1"/>
  <c r="F459" i="5"/>
  <c r="G459" i="5" s="1"/>
  <c r="F458" i="5"/>
  <c r="G458" i="5" s="1"/>
  <c r="F457" i="5"/>
  <c r="G457" i="5" s="1"/>
  <c r="F456" i="5"/>
  <c r="G456" i="5" s="1"/>
  <c r="F455" i="5"/>
  <c r="G455" i="5" s="1"/>
  <c r="F454" i="5"/>
  <c r="G454" i="5" s="1"/>
  <c r="F453" i="5"/>
  <c r="G453" i="5" s="1"/>
  <c r="F452" i="5"/>
  <c r="G452" i="5" s="1"/>
  <c r="F451" i="5"/>
  <c r="G451" i="5" s="1"/>
  <c r="F450" i="5"/>
  <c r="G450" i="5" s="1"/>
  <c r="F449" i="5"/>
  <c r="G449" i="5" s="1"/>
  <c r="F448" i="5"/>
  <c r="G448" i="5" s="1"/>
  <c r="F447" i="5"/>
  <c r="G447" i="5" s="1"/>
  <c r="F446" i="5"/>
  <c r="G446" i="5" s="1"/>
  <c r="F445" i="5"/>
  <c r="G445" i="5" s="1"/>
  <c r="F444" i="5"/>
  <c r="G444" i="5" s="1"/>
  <c r="F443" i="5"/>
  <c r="G443" i="5" s="1"/>
  <c r="F442" i="5"/>
  <c r="G442" i="5" s="1"/>
  <c r="F441" i="5"/>
  <c r="G441" i="5" s="1"/>
  <c r="F440" i="5"/>
  <c r="G440" i="5" s="1"/>
  <c r="F439" i="5"/>
  <c r="G439" i="5" s="1"/>
  <c r="F438" i="5"/>
  <c r="G438" i="5" s="1"/>
  <c r="F437" i="5"/>
  <c r="G437" i="5" s="1"/>
  <c r="F436" i="5"/>
  <c r="G436" i="5" s="1"/>
  <c r="F435" i="5"/>
  <c r="G435" i="5" s="1"/>
  <c r="F434" i="5"/>
  <c r="G434" i="5" s="1"/>
  <c r="F433" i="5"/>
  <c r="G433" i="5" s="1"/>
  <c r="F432" i="5"/>
  <c r="G432" i="5" s="1"/>
  <c r="F431" i="5"/>
  <c r="G431" i="5" s="1"/>
  <c r="F430" i="5"/>
  <c r="G430" i="5" s="1"/>
  <c r="F429" i="5"/>
  <c r="G429" i="5" s="1"/>
  <c r="F428" i="5"/>
  <c r="G428" i="5" s="1"/>
  <c r="F427" i="5"/>
  <c r="G427" i="5" s="1"/>
  <c r="F426" i="5"/>
  <c r="G426" i="5" s="1"/>
  <c r="F425" i="5"/>
  <c r="G425" i="5" s="1"/>
  <c r="F424" i="5"/>
  <c r="G424" i="5" s="1"/>
  <c r="F423" i="5"/>
  <c r="G423" i="5" s="1"/>
  <c r="F422" i="5"/>
  <c r="G422" i="5" s="1"/>
  <c r="F421" i="5"/>
  <c r="G421" i="5" s="1"/>
  <c r="F420" i="5"/>
  <c r="G420" i="5" s="1"/>
  <c r="F419" i="5"/>
  <c r="G419" i="5" s="1"/>
  <c r="F418" i="5"/>
  <c r="G418" i="5" s="1"/>
  <c r="F417" i="5"/>
  <c r="G417" i="5" s="1"/>
  <c r="F416" i="5"/>
  <c r="G416" i="5" s="1"/>
  <c r="F415" i="5"/>
  <c r="G415" i="5" s="1"/>
  <c r="F414" i="5"/>
  <c r="G414" i="5" s="1"/>
  <c r="F413" i="5"/>
  <c r="G413" i="5" s="1"/>
  <c r="F412" i="5"/>
  <c r="G412" i="5" s="1"/>
  <c r="F411" i="5"/>
  <c r="G411" i="5" s="1"/>
  <c r="F410" i="5"/>
  <c r="G410" i="5" s="1"/>
  <c r="F409" i="5"/>
  <c r="G409" i="5" s="1"/>
  <c r="F408" i="5"/>
  <c r="G408" i="5" s="1"/>
  <c r="F407" i="5"/>
  <c r="G407" i="5" s="1"/>
  <c r="F406" i="5"/>
  <c r="G406" i="5" s="1"/>
  <c r="F405" i="5"/>
  <c r="G405" i="5" s="1"/>
  <c r="F404" i="5"/>
  <c r="G404" i="5" s="1"/>
  <c r="F403" i="5"/>
  <c r="G403" i="5" s="1"/>
  <c r="F402" i="5"/>
  <c r="G402" i="5" s="1"/>
  <c r="F401" i="5"/>
  <c r="G401" i="5" s="1"/>
  <c r="F400" i="5"/>
  <c r="G400" i="5" s="1"/>
  <c r="F399" i="5"/>
  <c r="G399" i="5" s="1"/>
  <c r="F398" i="5"/>
  <c r="G398" i="5" s="1"/>
  <c r="F397" i="5"/>
  <c r="G397" i="5" s="1"/>
  <c r="F396" i="5"/>
  <c r="G396" i="5" s="1"/>
  <c r="F395" i="5"/>
  <c r="G395" i="5" s="1"/>
  <c r="F394" i="5"/>
  <c r="G394" i="5" s="1"/>
  <c r="F393" i="5"/>
  <c r="G393" i="5" s="1"/>
  <c r="F392" i="5"/>
  <c r="G392" i="5" s="1"/>
  <c r="F391" i="5"/>
  <c r="G391" i="5" s="1"/>
  <c r="F390" i="5"/>
  <c r="G390" i="5" s="1"/>
  <c r="F389" i="5"/>
  <c r="G389" i="5" s="1"/>
  <c r="F388" i="5"/>
  <c r="G388" i="5" s="1"/>
  <c r="F387" i="5"/>
  <c r="G387" i="5" s="1"/>
  <c r="F386" i="5"/>
  <c r="G386" i="5" s="1"/>
  <c r="F385" i="5"/>
  <c r="G385" i="5" s="1"/>
  <c r="F384" i="5"/>
  <c r="G384" i="5" s="1"/>
  <c r="F383" i="5"/>
  <c r="G383" i="5" s="1"/>
  <c r="F382" i="5"/>
  <c r="G382" i="5" s="1"/>
  <c r="F381" i="5"/>
  <c r="G381" i="5" s="1"/>
  <c r="F380" i="5"/>
  <c r="G380" i="5" s="1"/>
  <c r="F379" i="5"/>
  <c r="G379" i="5" s="1"/>
  <c r="F378" i="5"/>
  <c r="G378" i="5" s="1"/>
  <c r="F377" i="5"/>
  <c r="G377" i="5" s="1"/>
  <c r="F376" i="5"/>
  <c r="G376" i="5" s="1"/>
  <c r="F375" i="5"/>
  <c r="G375" i="5" s="1"/>
  <c r="F374" i="5"/>
  <c r="G374" i="5" s="1"/>
  <c r="F373" i="5"/>
  <c r="G373" i="5" s="1"/>
  <c r="F372" i="5"/>
  <c r="G372" i="5" s="1"/>
  <c r="F371" i="5"/>
  <c r="G371" i="5" s="1"/>
  <c r="F370" i="5"/>
  <c r="G370" i="5" s="1"/>
  <c r="F369" i="5"/>
  <c r="G369" i="5" s="1"/>
  <c r="F368" i="5"/>
  <c r="G368" i="5" s="1"/>
  <c r="F367" i="5"/>
  <c r="G367" i="5" s="1"/>
  <c r="F366" i="5"/>
  <c r="G366" i="5" s="1"/>
  <c r="F365" i="5"/>
  <c r="G365" i="5" s="1"/>
  <c r="F364" i="5"/>
  <c r="G364" i="5" s="1"/>
  <c r="F363" i="5"/>
  <c r="G363" i="5" s="1"/>
  <c r="F362" i="5"/>
  <c r="G362" i="5" s="1"/>
  <c r="F361" i="5"/>
  <c r="G361" i="5" s="1"/>
  <c r="F360" i="5"/>
  <c r="G360" i="5" s="1"/>
  <c r="F359" i="5"/>
  <c r="G359" i="5" s="1"/>
  <c r="F358" i="5"/>
  <c r="G358" i="5" s="1"/>
  <c r="F357" i="5"/>
  <c r="G357" i="5" s="1"/>
  <c r="F356" i="5"/>
  <c r="G356" i="5" s="1"/>
  <c r="F355" i="5"/>
  <c r="G355" i="5" s="1"/>
  <c r="F354" i="5"/>
  <c r="G354" i="5" s="1"/>
  <c r="F353" i="5"/>
  <c r="G353" i="5" s="1"/>
  <c r="F352" i="5"/>
  <c r="G352" i="5" s="1"/>
  <c r="F351" i="5"/>
  <c r="G351" i="5" s="1"/>
  <c r="F350" i="5"/>
  <c r="G350" i="5" s="1"/>
  <c r="F349" i="5"/>
  <c r="G349" i="5" s="1"/>
  <c r="F348" i="5"/>
  <c r="G348" i="5" s="1"/>
  <c r="F347" i="5"/>
  <c r="G347" i="5" s="1"/>
  <c r="F346" i="5"/>
  <c r="G346" i="5" s="1"/>
  <c r="F345" i="5"/>
  <c r="G345" i="5" s="1"/>
  <c r="F344" i="5"/>
  <c r="G344" i="5" s="1"/>
  <c r="F343" i="5"/>
  <c r="G343" i="5" s="1"/>
  <c r="F342" i="5"/>
  <c r="G342" i="5" s="1"/>
  <c r="F341" i="5"/>
  <c r="G341" i="5" s="1"/>
  <c r="F340" i="5"/>
  <c r="G340" i="5" s="1"/>
  <c r="F339" i="5"/>
  <c r="G339" i="5" s="1"/>
  <c r="F338" i="5"/>
  <c r="G338" i="5" s="1"/>
  <c r="F337" i="5"/>
  <c r="G337" i="5" s="1"/>
  <c r="F336" i="5"/>
  <c r="G336" i="5" s="1"/>
  <c r="F335" i="5"/>
  <c r="G335" i="5" s="1"/>
  <c r="F334" i="5"/>
  <c r="G334" i="5" s="1"/>
  <c r="F333" i="5"/>
  <c r="G333" i="5" s="1"/>
  <c r="F332" i="5"/>
  <c r="G332" i="5" s="1"/>
  <c r="F331" i="5"/>
  <c r="G331" i="5" s="1"/>
  <c r="F330" i="5"/>
  <c r="G330" i="5" s="1"/>
  <c r="F329" i="5"/>
  <c r="G329" i="5" s="1"/>
  <c r="F328" i="5"/>
  <c r="G328" i="5" s="1"/>
  <c r="F327" i="5"/>
  <c r="G327" i="5" s="1"/>
  <c r="F326" i="5"/>
  <c r="G326" i="5" s="1"/>
  <c r="F325" i="5"/>
  <c r="G325" i="5" s="1"/>
  <c r="F324" i="5"/>
  <c r="G324" i="5" s="1"/>
  <c r="F323" i="5"/>
  <c r="G323" i="5" s="1"/>
  <c r="F322" i="5"/>
  <c r="G322" i="5" s="1"/>
  <c r="F321" i="5"/>
  <c r="G321" i="5" s="1"/>
  <c r="F320" i="5"/>
  <c r="G320" i="5" s="1"/>
  <c r="F319" i="5"/>
  <c r="G319" i="5" s="1"/>
  <c r="F318" i="5"/>
  <c r="G318" i="5" s="1"/>
  <c r="F317" i="5"/>
  <c r="G317" i="5" s="1"/>
  <c r="F316" i="5"/>
  <c r="G316" i="5" s="1"/>
  <c r="F315" i="5"/>
  <c r="G315" i="5" s="1"/>
  <c r="F314" i="5"/>
  <c r="G314" i="5" s="1"/>
  <c r="F313" i="5"/>
  <c r="G313" i="5" s="1"/>
  <c r="F312" i="5"/>
  <c r="G312" i="5" s="1"/>
  <c r="F311" i="5"/>
  <c r="G311" i="5" s="1"/>
  <c r="F310" i="5"/>
  <c r="G310" i="5" s="1"/>
  <c r="F309" i="5"/>
  <c r="G309" i="5" s="1"/>
  <c r="F308" i="5"/>
  <c r="G308" i="5" s="1"/>
  <c r="F307" i="5"/>
  <c r="G307" i="5" s="1"/>
  <c r="F306" i="5"/>
  <c r="G306" i="5" s="1"/>
  <c r="F305" i="5"/>
  <c r="G305" i="5" s="1"/>
  <c r="F304" i="5"/>
  <c r="G304" i="5" s="1"/>
  <c r="F303" i="5"/>
  <c r="G303" i="5" s="1"/>
  <c r="F302" i="5"/>
  <c r="G302" i="5" s="1"/>
  <c r="F301" i="5"/>
  <c r="G301" i="5" s="1"/>
  <c r="F300" i="5"/>
  <c r="G300" i="5" s="1"/>
  <c r="F299" i="5"/>
  <c r="G299" i="5" s="1"/>
  <c r="F298" i="5"/>
  <c r="G298" i="5" s="1"/>
  <c r="F297" i="5"/>
  <c r="G297" i="5" s="1"/>
  <c r="F296" i="5"/>
  <c r="G296" i="5" s="1"/>
  <c r="F295" i="5"/>
  <c r="G295" i="5" s="1"/>
  <c r="F294" i="5"/>
  <c r="G294" i="5" s="1"/>
  <c r="F293" i="5"/>
  <c r="G293" i="5" s="1"/>
  <c r="F292" i="5"/>
  <c r="G292" i="5" s="1"/>
  <c r="F291" i="5"/>
  <c r="G291" i="5" s="1"/>
  <c r="F290" i="5"/>
  <c r="G290" i="5" s="1"/>
  <c r="F289" i="5"/>
  <c r="G289" i="5" s="1"/>
  <c r="F288" i="5"/>
  <c r="G288" i="5" s="1"/>
  <c r="F287" i="5"/>
  <c r="G287" i="5" s="1"/>
  <c r="F286" i="5"/>
  <c r="G286" i="5" s="1"/>
  <c r="F285" i="5"/>
  <c r="G285" i="5" s="1"/>
  <c r="F284" i="5"/>
  <c r="G284" i="5" s="1"/>
  <c r="F283" i="5"/>
  <c r="G283" i="5" s="1"/>
  <c r="F282" i="5"/>
  <c r="G282" i="5" s="1"/>
  <c r="F281" i="5"/>
  <c r="G281" i="5" s="1"/>
  <c r="F280" i="5"/>
  <c r="G280" i="5" s="1"/>
  <c r="F279" i="5"/>
  <c r="G279" i="5" s="1"/>
  <c r="F278" i="5"/>
  <c r="G278" i="5" s="1"/>
  <c r="F277" i="5"/>
  <c r="G277" i="5" s="1"/>
  <c r="F276" i="5"/>
  <c r="G276" i="5" s="1"/>
  <c r="F275" i="5"/>
  <c r="G275" i="5" s="1"/>
  <c r="F274" i="5"/>
  <c r="G274" i="5" s="1"/>
  <c r="F273" i="5"/>
  <c r="G273" i="5" s="1"/>
  <c r="F272" i="5"/>
  <c r="G272" i="5" s="1"/>
  <c r="F271" i="5"/>
  <c r="G271" i="5" s="1"/>
  <c r="F270" i="5"/>
  <c r="G270" i="5" s="1"/>
  <c r="F269" i="5"/>
  <c r="G269" i="5" s="1"/>
  <c r="F268" i="5"/>
  <c r="G268" i="5" s="1"/>
  <c r="F267" i="5"/>
  <c r="G267" i="5" s="1"/>
  <c r="F266" i="5"/>
  <c r="G266" i="5" s="1"/>
  <c r="F265" i="5"/>
  <c r="G265" i="5" s="1"/>
  <c r="F264" i="5"/>
  <c r="G264" i="5" s="1"/>
  <c r="F263" i="5"/>
  <c r="G263" i="5" s="1"/>
  <c r="F262" i="5"/>
  <c r="G262" i="5" s="1"/>
  <c r="F261" i="5"/>
  <c r="G261" i="5" s="1"/>
  <c r="F260" i="5"/>
  <c r="G260" i="5" s="1"/>
  <c r="F259" i="5"/>
  <c r="G259" i="5" s="1"/>
  <c r="F258" i="5"/>
  <c r="G258" i="5" s="1"/>
  <c r="F257" i="5"/>
  <c r="G257" i="5" s="1"/>
  <c r="F256" i="5"/>
  <c r="G256" i="5" s="1"/>
  <c r="F255" i="5"/>
  <c r="G255" i="5" s="1"/>
  <c r="F254" i="5"/>
  <c r="G254" i="5" s="1"/>
  <c r="F253" i="5"/>
  <c r="G253" i="5" s="1"/>
  <c r="F252" i="5"/>
  <c r="G252" i="5" s="1"/>
  <c r="F251" i="5"/>
  <c r="G251" i="5" s="1"/>
  <c r="F250" i="5"/>
  <c r="G250" i="5" s="1"/>
  <c r="F249" i="5"/>
  <c r="G249" i="5" s="1"/>
  <c r="F248" i="5"/>
  <c r="G248" i="5" s="1"/>
  <c r="F247" i="5"/>
  <c r="G247" i="5" s="1"/>
  <c r="F246" i="5"/>
  <c r="G246" i="5" s="1"/>
  <c r="F245" i="5"/>
  <c r="G245" i="5" s="1"/>
  <c r="F244" i="5"/>
  <c r="G244" i="5" s="1"/>
  <c r="F243" i="5"/>
  <c r="G243" i="5" s="1"/>
  <c r="F242" i="5"/>
  <c r="G242" i="5" s="1"/>
  <c r="F241" i="5"/>
  <c r="G241" i="5" s="1"/>
  <c r="F240" i="5"/>
  <c r="G240" i="5" s="1"/>
  <c r="F239" i="5"/>
  <c r="G239" i="5" s="1"/>
  <c r="F238" i="5"/>
  <c r="G238" i="5" s="1"/>
  <c r="F237" i="5"/>
  <c r="G237" i="5" s="1"/>
  <c r="F236" i="5"/>
  <c r="G236" i="5" s="1"/>
  <c r="F235" i="5"/>
  <c r="G235" i="5" s="1"/>
  <c r="F234" i="5"/>
  <c r="G234" i="5" s="1"/>
  <c r="F233" i="5"/>
  <c r="G233" i="5" s="1"/>
  <c r="F232" i="5"/>
  <c r="G232" i="5" s="1"/>
  <c r="F231" i="5"/>
  <c r="G231" i="5" s="1"/>
  <c r="F230" i="5"/>
  <c r="G230" i="5" s="1"/>
  <c r="F229" i="5"/>
  <c r="G229" i="5" s="1"/>
  <c r="F228" i="5"/>
  <c r="G228" i="5" s="1"/>
  <c r="F227" i="5"/>
  <c r="G227" i="5" s="1"/>
  <c r="F226" i="5"/>
  <c r="G226" i="5" s="1"/>
  <c r="F225" i="5"/>
  <c r="G225" i="5" s="1"/>
  <c r="F224" i="5"/>
  <c r="G224" i="5" s="1"/>
  <c r="F223" i="5"/>
  <c r="G223" i="5" s="1"/>
  <c r="F222" i="5"/>
  <c r="G222" i="5" s="1"/>
  <c r="F221" i="5"/>
  <c r="G221" i="5" s="1"/>
  <c r="F220" i="5"/>
  <c r="G220" i="5" s="1"/>
  <c r="F219" i="5"/>
  <c r="G219" i="5" s="1"/>
  <c r="F218" i="5"/>
  <c r="G218" i="5" s="1"/>
  <c r="F217" i="5"/>
  <c r="G217" i="5" s="1"/>
  <c r="F216" i="5"/>
  <c r="G216" i="5" s="1"/>
  <c r="F215" i="5"/>
  <c r="G215" i="5" s="1"/>
  <c r="F214" i="5"/>
  <c r="G214" i="5" s="1"/>
  <c r="F213" i="5"/>
  <c r="G213" i="5" s="1"/>
  <c r="F212" i="5"/>
  <c r="G212" i="5" s="1"/>
  <c r="F211" i="5"/>
  <c r="G211" i="5" s="1"/>
  <c r="F210" i="5"/>
  <c r="G210" i="5" s="1"/>
  <c r="F209" i="5"/>
  <c r="G209" i="5" s="1"/>
  <c r="F208" i="5"/>
  <c r="G208" i="5" s="1"/>
  <c r="F207" i="5"/>
  <c r="G207" i="5" s="1"/>
  <c r="F206" i="5"/>
  <c r="G206" i="5" s="1"/>
  <c r="F205" i="5"/>
  <c r="G205" i="5" s="1"/>
  <c r="F204" i="5"/>
  <c r="G204" i="5" s="1"/>
  <c r="F203" i="5"/>
  <c r="G203" i="5" s="1"/>
  <c r="F202" i="5"/>
  <c r="G202" i="5" s="1"/>
  <c r="F201" i="5"/>
  <c r="G201" i="5" s="1"/>
  <c r="F200" i="5"/>
  <c r="G200" i="5" s="1"/>
  <c r="F199" i="5"/>
  <c r="G199" i="5" s="1"/>
  <c r="F198" i="5"/>
  <c r="G198" i="5" s="1"/>
  <c r="F197" i="5"/>
  <c r="G197" i="5" s="1"/>
  <c r="F196" i="5"/>
  <c r="G196" i="5" s="1"/>
  <c r="F195" i="5"/>
  <c r="G195" i="5" s="1"/>
  <c r="F194" i="5"/>
  <c r="G194" i="5" s="1"/>
  <c r="F193" i="5"/>
  <c r="G193" i="5" s="1"/>
  <c r="F192" i="5"/>
  <c r="G192" i="5" s="1"/>
  <c r="F191" i="5"/>
  <c r="G191" i="5" s="1"/>
  <c r="F190" i="5"/>
  <c r="G190" i="5" s="1"/>
  <c r="F189" i="5"/>
  <c r="G189" i="5" s="1"/>
  <c r="F188" i="5"/>
  <c r="G188" i="5" s="1"/>
  <c r="F187" i="5"/>
  <c r="G187" i="5" s="1"/>
  <c r="F186" i="5"/>
  <c r="G186" i="5" s="1"/>
  <c r="F185" i="5"/>
  <c r="G185" i="5" s="1"/>
  <c r="F184" i="5"/>
  <c r="G184" i="5" s="1"/>
  <c r="F183" i="5"/>
  <c r="G183" i="5" s="1"/>
  <c r="F182" i="5"/>
  <c r="G182" i="5" s="1"/>
  <c r="F181" i="5"/>
  <c r="G181" i="5" s="1"/>
  <c r="F180" i="5"/>
  <c r="G180" i="5" s="1"/>
  <c r="F179" i="5"/>
  <c r="G179" i="5" s="1"/>
  <c r="F178" i="5"/>
  <c r="G178" i="5" s="1"/>
  <c r="F177" i="5"/>
  <c r="G177" i="5" s="1"/>
  <c r="F176" i="5"/>
  <c r="G176" i="5" s="1"/>
  <c r="F175" i="5"/>
  <c r="G175" i="5" s="1"/>
  <c r="F174" i="5"/>
  <c r="G174" i="5" s="1"/>
  <c r="F173" i="5"/>
  <c r="G173" i="5" s="1"/>
  <c r="F172" i="5"/>
  <c r="G172" i="5" s="1"/>
  <c r="F171" i="5"/>
  <c r="G171" i="5" s="1"/>
  <c r="F170" i="5"/>
  <c r="G170" i="5" s="1"/>
  <c r="F169" i="5"/>
  <c r="G169" i="5" s="1"/>
  <c r="F168" i="5"/>
  <c r="G168" i="5" s="1"/>
  <c r="F167" i="5"/>
  <c r="G167" i="5" s="1"/>
  <c r="F166" i="5"/>
  <c r="G166" i="5" s="1"/>
  <c r="F165" i="5"/>
  <c r="G165" i="5" s="1"/>
  <c r="F164" i="5"/>
  <c r="G164" i="5" s="1"/>
  <c r="F163" i="5"/>
  <c r="G163" i="5" s="1"/>
  <c r="F162" i="5"/>
  <c r="G162" i="5" s="1"/>
  <c r="F161" i="5"/>
  <c r="G161" i="5" s="1"/>
  <c r="F160" i="5"/>
  <c r="G160" i="5" s="1"/>
  <c r="F159" i="5"/>
  <c r="G159" i="5" s="1"/>
  <c r="F158" i="5"/>
  <c r="G158" i="5" s="1"/>
  <c r="F157" i="5"/>
  <c r="G157" i="5" s="1"/>
  <c r="F156" i="5"/>
  <c r="G156" i="5" s="1"/>
  <c r="F155" i="5"/>
  <c r="G155" i="5" s="1"/>
  <c r="F154" i="5"/>
  <c r="G154" i="5" s="1"/>
  <c r="F153" i="5"/>
  <c r="G153" i="5" s="1"/>
  <c r="F152" i="5"/>
  <c r="G152" i="5" s="1"/>
  <c r="F151" i="5"/>
  <c r="G151" i="5" s="1"/>
  <c r="F150" i="5"/>
  <c r="G150" i="5" s="1"/>
  <c r="F149" i="5"/>
  <c r="G149" i="5" s="1"/>
  <c r="F148" i="5"/>
  <c r="G148" i="5" s="1"/>
  <c r="F147" i="5"/>
  <c r="G147" i="5" s="1"/>
  <c r="F146" i="5"/>
  <c r="G146" i="5" s="1"/>
  <c r="F145" i="5"/>
  <c r="G145" i="5" s="1"/>
  <c r="F144" i="5"/>
  <c r="G144" i="5" s="1"/>
  <c r="F143" i="5"/>
  <c r="G143" i="5" s="1"/>
  <c r="F142" i="5"/>
  <c r="G142" i="5" s="1"/>
  <c r="F141" i="5"/>
  <c r="G141" i="5" s="1"/>
  <c r="F140" i="5"/>
  <c r="G140" i="5" s="1"/>
  <c r="F139" i="5"/>
  <c r="G139" i="5" s="1"/>
  <c r="F138" i="5"/>
  <c r="G138" i="5" s="1"/>
  <c r="F137" i="5"/>
  <c r="G137" i="5" s="1"/>
  <c r="F136" i="5"/>
  <c r="G136" i="5" s="1"/>
  <c r="F135" i="5"/>
  <c r="G135" i="5" s="1"/>
  <c r="F134" i="5"/>
  <c r="G134" i="5" s="1"/>
  <c r="F133" i="5"/>
  <c r="G133" i="5" s="1"/>
  <c r="F132" i="5"/>
  <c r="G132" i="5" s="1"/>
  <c r="F131" i="5"/>
  <c r="G131" i="5" s="1"/>
  <c r="F130" i="5"/>
  <c r="G130" i="5" s="1"/>
  <c r="F129" i="5"/>
  <c r="G129" i="5" s="1"/>
  <c r="F128" i="5"/>
  <c r="G128" i="5" s="1"/>
  <c r="F127" i="5"/>
  <c r="G127" i="5" s="1"/>
  <c r="F126" i="5"/>
  <c r="G126" i="5" s="1"/>
  <c r="F125" i="5"/>
  <c r="G125" i="5" s="1"/>
  <c r="F124" i="5"/>
  <c r="G124" i="5" s="1"/>
  <c r="F123" i="5"/>
  <c r="G123" i="5" s="1"/>
  <c r="F122" i="5"/>
  <c r="G122" i="5" s="1"/>
  <c r="F121" i="5"/>
  <c r="G121" i="5" s="1"/>
  <c r="F120" i="5"/>
  <c r="G120" i="5" s="1"/>
  <c r="F119" i="5"/>
  <c r="G119" i="5" s="1"/>
  <c r="F118" i="5"/>
  <c r="G118" i="5" s="1"/>
  <c r="F117" i="5"/>
  <c r="G117" i="5" s="1"/>
  <c r="F116" i="5"/>
  <c r="G116" i="5" s="1"/>
  <c r="F115" i="5"/>
  <c r="G115" i="5" s="1"/>
  <c r="F114" i="5"/>
  <c r="G114" i="5" s="1"/>
  <c r="F113" i="5"/>
  <c r="G113" i="5" s="1"/>
  <c r="F112" i="5"/>
  <c r="G112" i="5" s="1"/>
  <c r="F111" i="5"/>
  <c r="G111" i="5" s="1"/>
  <c r="F110" i="5"/>
  <c r="G110" i="5" s="1"/>
  <c r="F109" i="5"/>
  <c r="G109" i="5" s="1"/>
  <c r="F108" i="5"/>
  <c r="G108" i="5" s="1"/>
  <c r="F107" i="5"/>
  <c r="G107" i="5" s="1"/>
  <c r="F106" i="5"/>
  <c r="G106" i="5" s="1"/>
  <c r="F105" i="5"/>
  <c r="G105" i="5" s="1"/>
  <c r="F104" i="5"/>
  <c r="G104" i="5" s="1"/>
  <c r="F103" i="5"/>
  <c r="G103" i="5" s="1"/>
  <c r="F102" i="5"/>
  <c r="G102" i="5" s="1"/>
  <c r="F101" i="5"/>
  <c r="G101" i="5" s="1"/>
  <c r="F100" i="5"/>
  <c r="G100" i="5" s="1"/>
  <c r="F99" i="5"/>
  <c r="G99" i="5" s="1"/>
  <c r="F98" i="5"/>
  <c r="G98" i="5" s="1"/>
  <c r="F97" i="5"/>
  <c r="G97" i="5" s="1"/>
  <c r="F96" i="5"/>
  <c r="G96" i="5" s="1"/>
  <c r="F95" i="5"/>
  <c r="G95" i="5" s="1"/>
  <c r="F94" i="5"/>
  <c r="G94" i="5" s="1"/>
  <c r="F93" i="5"/>
  <c r="G93" i="5" s="1"/>
  <c r="F92" i="5"/>
  <c r="G92" i="5" s="1"/>
  <c r="F91" i="5"/>
  <c r="G91" i="5" s="1"/>
  <c r="F90" i="5"/>
  <c r="G90" i="5" s="1"/>
  <c r="F89" i="5"/>
  <c r="G89" i="5" s="1"/>
  <c r="F88" i="5"/>
  <c r="G88" i="5" s="1"/>
  <c r="F87" i="5"/>
  <c r="G87" i="5" s="1"/>
  <c r="F86" i="5"/>
  <c r="G86" i="5" s="1"/>
  <c r="F85" i="5"/>
  <c r="G85" i="5" s="1"/>
  <c r="F84" i="5"/>
  <c r="G84" i="5" s="1"/>
  <c r="F83" i="5"/>
  <c r="G83" i="5" s="1"/>
  <c r="F82" i="5"/>
  <c r="G82" i="5" s="1"/>
  <c r="F81" i="5"/>
  <c r="G81" i="5" s="1"/>
  <c r="F80" i="5"/>
  <c r="G80" i="5" s="1"/>
  <c r="F79" i="5"/>
  <c r="G79" i="5" s="1"/>
  <c r="F78" i="5"/>
  <c r="G78" i="5" s="1"/>
  <c r="F77" i="5"/>
  <c r="G77" i="5" s="1"/>
  <c r="F76" i="5"/>
  <c r="G76" i="5" s="1"/>
  <c r="F75" i="5"/>
  <c r="G75" i="5" s="1"/>
  <c r="F74" i="5"/>
  <c r="G74" i="5" s="1"/>
  <c r="F73" i="5"/>
  <c r="G73" i="5" s="1"/>
  <c r="F72" i="5"/>
  <c r="G72" i="5" s="1"/>
  <c r="F71" i="5"/>
  <c r="G71" i="5" s="1"/>
  <c r="F70" i="5"/>
  <c r="G70" i="5" s="1"/>
  <c r="F69" i="5"/>
  <c r="G69" i="5" s="1"/>
  <c r="F68" i="5"/>
  <c r="G68" i="5" s="1"/>
  <c r="F67" i="5"/>
  <c r="G67" i="5" s="1"/>
  <c r="F66" i="5"/>
  <c r="G66" i="5" s="1"/>
  <c r="F65" i="5"/>
  <c r="G65" i="5" s="1"/>
  <c r="F64" i="5"/>
  <c r="G64" i="5" s="1"/>
  <c r="F63" i="5"/>
  <c r="G63" i="5" s="1"/>
  <c r="F62" i="5"/>
  <c r="G62" i="5" s="1"/>
  <c r="F61" i="5"/>
  <c r="G61" i="5" s="1"/>
  <c r="F60" i="5"/>
  <c r="G60" i="5" s="1"/>
  <c r="F59" i="5"/>
  <c r="G59" i="5" s="1"/>
  <c r="F58" i="5"/>
  <c r="G58" i="5" s="1"/>
  <c r="F57" i="5"/>
  <c r="G57" i="5" s="1"/>
  <c r="F56" i="5"/>
  <c r="G56" i="5" s="1"/>
  <c r="F55" i="5"/>
  <c r="G55" i="5" s="1"/>
  <c r="F54" i="5"/>
  <c r="G54" i="5" s="1"/>
  <c r="F53" i="5"/>
  <c r="G53" i="5" s="1"/>
  <c r="F52" i="5"/>
  <c r="G52" i="5" s="1"/>
  <c r="F51" i="5"/>
  <c r="G51" i="5" s="1"/>
  <c r="F50" i="5"/>
  <c r="G50" i="5" s="1"/>
  <c r="F49" i="5"/>
  <c r="G49" i="5" s="1"/>
  <c r="F48" i="5"/>
  <c r="G48" i="5" s="1"/>
  <c r="F47" i="5"/>
  <c r="G47" i="5" s="1"/>
  <c r="F46" i="5"/>
  <c r="G46" i="5" s="1"/>
  <c r="F45" i="5"/>
  <c r="G45" i="5" s="1"/>
  <c r="F44" i="5"/>
  <c r="G44" i="5" s="1"/>
  <c r="F43" i="5"/>
  <c r="G43" i="5" s="1"/>
  <c r="F42" i="5"/>
  <c r="G42" i="5" s="1"/>
  <c r="F41" i="5"/>
  <c r="G41" i="5" s="1"/>
  <c r="F40" i="5"/>
  <c r="G40" i="5" s="1"/>
  <c r="F39" i="5"/>
  <c r="G39" i="5" s="1"/>
  <c r="F38" i="5"/>
  <c r="G38" i="5" s="1"/>
  <c r="F37" i="5"/>
  <c r="G37" i="5" s="1"/>
  <c r="F36" i="5"/>
  <c r="G36" i="5" s="1"/>
  <c r="F35" i="5"/>
  <c r="G35" i="5" s="1"/>
  <c r="F34" i="5"/>
  <c r="G34" i="5" s="1"/>
  <c r="F33" i="5"/>
  <c r="G33" i="5" s="1"/>
  <c r="F32" i="5"/>
  <c r="G32" i="5" s="1"/>
  <c r="F31" i="5"/>
  <c r="G31" i="5" s="1"/>
  <c r="F30" i="5"/>
  <c r="G30" i="5" s="1"/>
  <c r="F29" i="5"/>
  <c r="G29" i="5" s="1"/>
  <c r="F28" i="5"/>
  <c r="G28" i="5" s="1"/>
  <c r="F27" i="5"/>
  <c r="G27" i="5" s="1"/>
  <c r="F26" i="5"/>
  <c r="G26" i="5" s="1"/>
  <c r="F25" i="5"/>
  <c r="G25" i="5" s="1"/>
  <c r="F24" i="5"/>
  <c r="G24" i="5" s="1"/>
  <c r="F23" i="5"/>
  <c r="G23" i="5" s="1"/>
  <c r="F22" i="5"/>
  <c r="G22" i="5" s="1"/>
  <c r="F21" i="5"/>
  <c r="G21" i="5" s="1"/>
  <c r="F20" i="5"/>
  <c r="G20" i="5" s="1"/>
  <c r="F19" i="5"/>
  <c r="G19" i="5" s="1"/>
  <c r="F18" i="5"/>
  <c r="G18" i="5" s="1"/>
  <c r="G17" i="5"/>
  <c r="F17" i="5"/>
  <c r="F16" i="5"/>
  <c r="G16" i="5" s="1"/>
  <c r="F15" i="5"/>
  <c r="G15" i="5" s="1"/>
  <c r="F14" i="5"/>
  <c r="G14" i="5" s="1"/>
  <c r="F13" i="5"/>
  <c r="G13" i="5" s="1"/>
  <c r="F12" i="5"/>
  <c r="G12" i="5" s="1"/>
  <c r="F11" i="5"/>
  <c r="G11" i="5" s="1"/>
  <c r="F10" i="5"/>
  <c r="G10" i="5" s="1"/>
  <c r="F9" i="5"/>
  <c r="G9" i="5" s="1"/>
  <c r="F8" i="5"/>
  <c r="G8" i="5" s="1"/>
  <c r="F7" i="5"/>
  <c r="G7" i="5" s="1"/>
  <c r="F6" i="5"/>
  <c r="G6" i="5" s="1"/>
  <c r="F5" i="5"/>
  <c r="G5" i="5" s="1"/>
  <c r="F4" i="5"/>
  <c r="G4" i="5" s="1"/>
  <c r="F3" i="5"/>
  <c r="G3" i="5" s="1"/>
  <c r="F2" i="5"/>
  <c r="G2" i="5" s="1"/>
  <c r="B13" i="8"/>
  <c r="A130" i="8"/>
  <c r="B107" i="8"/>
  <c r="E12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04D014-2CBD-421A-8CC0-1EAE157005E4}" keepAlive="1" name="Query - Table3__2" description="Connection to the 'Table3__2' query in the workbook." type="5" refreshedVersion="7" background="1" saveData="1">
    <dbPr connection="Provider=Microsoft.Mashup.OleDb.1;Data Source=$Workbook$;Location=Table3__2;Extended Properties=&quot;&quot;" command="SELECT * FROM [Table3__2]"/>
  </connection>
  <connection id="2" xr16:uid="{92B82A44-4E0E-42D7-B2DD-8B16BBA54B78}" keepAlive="1" name="Query - Table3__2 (2)" description="Connection to the 'Table3__2 (2)' query in the workbook." type="5" refreshedVersion="7" background="1" saveData="1">
    <dbPr connection="Provider=Microsoft.Mashup.OleDb.1;Data Source=$Workbook$;Location=&quot;Table3__2 (2)&quot;;Extended Properties=&quot;&quot;" command="SELECT * FROM [Table3__2 (2)]"/>
  </connection>
  <connection id="3" xr16:uid="{DABAB0AF-5FA6-4A4D-B46E-DE52587B4CFC}" keepAlive="1" name="Query - Table6" description="Connection to the 'Table6' query in the workbook." type="5" refreshedVersion="7" background="1" saveData="1">
    <dbPr connection="Provider=Microsoft.Mashup.OleDb.1;Data Source=$Workbook$;Location=Table6;Extended Properties=&quot;&quot;" command="SELECT * FROM [Table6]"/>
  </connection>
  <connection id="4" xr16:uid="{32C76C47-AD4C-4C2D-ADC8-82B71C0C92E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FC99E234-0F11-4307-8022-90766F36E7B4}" name="WorksheetConnection_Sitara Colony FRO 2020-21.xlsx!Table9" type="102" refreshedVersion="7" minRefreshableVersion="5">
    <extLst>
      <ext xmlns:x15="http://schemas.microsoft.com/office/spreadsheetml/2010/11/main" uri="{DE250136-89BD-433C-8126-D09CA5730AF9}">
        <x15:connection id="Table9">
          <x15:rangePr sourceName="_xlcn.WorksheetConnection_SitaraColonyFRO202021.xlsxTable91"/>
        </x15:connection>
      </ext>
    </extLst>
  </connection>
</connections>
</file>

<file path=xl/sharedStrings.xml><?xml version="1.0" encoding="utf-8"?>
<sst xmlns="http://schemas.openxmlformats.org/spreadsheetml/2006/main" count="11302" uniqueCount="54">
  <si>
    <t>REASON</t>
  </si>
  <si>
    <t>UNPLANNED</t>
  </si>
  <si>
    <t>14 FAULT IN CONSUMER'S CABLE &amp; METERS TO CONS</t>
  </si>
  <si>
    <t>12 FAULT IN DISTRIBUTION TRANSFORMER</t>
  </si>
  <si>
    <t>13 FAULT IN LT LINES</t>
  </si>
  <si>
    <t>15 FAULT IN CONSUMER'S WIRING</t>
  </si>
  <si>
    <t>10 FAULT IN 11 KV FEEDER DUE TO ACCIDENT</t>
  </si>
  <si>
    <t>08 FAULT OF 11 KV SYSTEM AT G/STATION</t>
  </si>
  <si>
    <t>09 FAULT IN 11 KV FEEDER</t>
  </si>
  <si>
    <t>Batch NO.</t>
  </si>
  <si>
    <t>Grand Total</t>
  </si>
  <si>
    <t>SHUT TIME</t>
  </si>
  <si>
    <t>REF NO.</t>
  </si>
  <si>
    <t>RESTORE TIME</t>
  </si>
  <si>
    <t>TRIPPING TYPE</t>
  </si>
  <si>
    <t>Complaints</t>
  </si>
  <si>
    <t>Batch No.</t>
  </si>
  <si>
    <t>Year</t>
  </si>
  <si>
    <t>2021</t>
  </si>
  <si>
    <t>Quarter</t>
  </si>
  <si>
    <t>Qtr1</t>
  </si>
  <si>
    <t>Qtr2</t>
  </si>
  <si>
    <t>Qtr3</t>
  </si>
  <si>
    <t>Qtr4</t>
  </si>
  <si>
    <t>Month</t>
  </si>
  <si>
    <t>Jan</t>
  </si>
  <si>
    <t>Feb</t>
  </si>
  <si>
    <t>Mar</t>
  </si>
  <si>
    <t>Apr</t>
  </si>
  <si>
    <t>May</t>
  </si>
  <si>
    <t>Jun</t>
  </si>
  <si>
    <t>Jul</t>
  </si>
  <si>
    <t>Aug</t>
  </si>
  <si>
    <t>Sep</t>
  </si>
  <si>
    <t>Oct</t>
  </si>
  <si>
    <t>Nov</t>
  </si>
  <si>
    <t>Dec</t>
  </si>
  <si>
    <t>Reason</t>
  </si>
  <si>
    <t>Time</t>
  </si>
  <si>
    <t>1st Shift</t>
  </si>
  <si>
    <t>2nd Shift</t>
  </si>
  <si>
    <t>3rd Shift</t>
  </si>
  <si>
    <t>Starts</t>
  </si>
  <si>
    <t>Shifts</t>
  </si>
  <si>
    <t>Count of SHUT TIME</t>
  </si>
  <si>
    <t>TIME TEKKEN</t>
  </si>
  <si>
    <t>EFFICIENCY %</t>
  </si>
  <si>
    <t xml:space="preserve">Max Time </t>
  </si>
  <si>
    <t>Average of EFFICIENCY %</t>
  </si>
  <si>
    <t>Column Labels</t>
  </si>
  <si>
    <t>2022</t>
  </si>
  <si>
    <t>Average of TIME TEKKEN</t>
  </si>
  <si>
    <t>Avg Complaints per Day</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</si>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</sst>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 #,##0.00_-;_-* &quot;-&quot;??_-;_-@_-"/>
    <numFmt numFmtId="165" formatCode="[$-F400]h:mm:ss\ AM/PM"/>
    <numFmt numFmtId="166" formatCode="_-* #,##0_-;\-* #,##0_-;_-* &quot;-&quot;??_-;_-@_-"/>
  </numFmts>
  <fonts count="4" x14ac:knownFonts="1">
    <font>
      <sz val="11"/>
      <color theme="1"/>
      <name val="Calibri"/>
      <family val="2"/>
      <scheme val="minor"/>
    </font>
    <font>
      <sz val="11"/>
      <color theme="5" tint="0.79998168889431442"/>
      <name val="Calibri"/>
      <family val="2"/>
      <scheme val="minor"/>
    </font>
    <font>
      <b/>
      <sz val="11"/>
      <color theme="1"/>
      <name val="Calibri"/>
      <family val="2"/>
      <scheme val="minor"/>
    </font>
    <font>
      <sz val="11"/>
      <color theme="1"/>
      <name val="Calibri"/>
      <family val="2"/>
      <scheme val="minor"/>
    </font>
  </fonts>
  <fills count="5">
    <fill>
      <patternFill patternType="none"/>
    </fill>
    <fill>
      <patternFill patternType="gray125"/>
    </fill>
    <fill>
      <patternFill patternType="solid">
        <fgColor rgb="FF0070C0"/>
        <bgColor indexed="64"/>
      </patternFill>
    </fill>
    <fill>
      <patternFill patternType="solid">
        <fgColor theme="3" tint="0.79998168889431442"/>
        <bgColor indexed="64"/>
      </patternFill>
    </fill>
    <fill>
      <patternFill patternType="solid">
        <fgColor rgb="FF00206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164" fontId="3" fillId="0" borderId="0" applyFont="0" applyFill="0" applyBorder="0" applyAlignment="0" applyProtection="0"/>
  </cellStyleXfs>
  <cellXfs count="32">
    <xf numFmtId="0" fontId="0" fillId="0" borderId="0" xfId="0"/>
    <xf numFmtId="0" fontId="0" fillId="0" borderId="0" xfId="0" applyAlignment="1">
      <alignment horizontal="center"/>
    </xf>
    <xf numFmtId="22"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left"/>
    </xf>
    <xf numFmtId="0" fontId="0" fillId="3" borderId="0" xfId="0" applyNumberFormat="1" applyFill="1"/>
    <xf numFmtId="0" fontId="1" fillId="2" borderId="0" xfId="0" applyFont="1" applyFill="1" applyAlignment="1">
      <alignment horizontal="center"/>
    </xf>
    <xf numFmtId="0" fontId="1" fillId="2" borderId="0" xfId="0" applyFont="1" applyFill="1"/>
    <xf numFmtId="0" fontId="1" fillId="2" borderId="0" xfId="0" applyFont="1" applyFill="1" applyAlignment="1">
      <alignment horizontal="left"/>
    </xf>
    <xf numFmtId="0" fontId="1" fillId="2" borderId="0" xfId="0" applyNumberFormat="1" applyFont="1" applyFill="1"/>
    <xf numFmtId="0" fontId="1" fillId="2" borderId="0" xfId="0" applyFont="1" applyFill="1" applyAlignment="1">
      <alignment horizontal="right"/>
    </xf>
    <xf numFmtId="0" fontId="0" fillId="0" borderId="0" xfId="0" pivotButton="1" applyAlignment="1">
      <alignment horizontal="center"/>
    </xf>
    <xf numFmtId="22" fontId="1" fillId="2" borderId="0" xfId="0" applyNumberFormat="1" applyFont="1" applyFill="1" applyAlignment="1">
      <alignment horizontal="left"/>
    </xf>
    <xf numFmtId="0" fontId="0" fillId="3" borderId="0" xfId="0" applyNumberFormat="1" applyFill="1" applyAlignment="1">
      <alignment horizontal="center"/>
    </xf>
    <xf numFmtId="165" fontId="0" fillId="0" borderId="0" xfId="0" applyNumberFormat="1"/>
    <xf numFmtId="0" fontId="2" fillId="0" borderId="1" xfId="0" applyFont="1" applyBorder="1" applyAlignment="1">
      <alignment horizontal="center"/>
    </xf>
    <xf numFmtId="0" fontId="2" fillId="0" borderId="1" xfId="0" applyFont="1" applyBorder="1" applyAlignment="1">
      <alignment horizontal="center" vertical="center"/>
    </xf>
    <xf numFmtId="20" fontId="2" fillId="0" borderId="1" xfId="0" applyNumberFormat="1" applyFont="1" applyBorder="1"/>
    <xf numFmtId="0" fontId="2" fillId="0" borderId="1" xfId="0" applyFont="1" applyBorder="1"/>
    <xf numFmtId="0" fontId="0" fillId="0" borderId="0" xfId="0" pivotButton="1"/>
    <xf numFmtId="0" fontId="0" fillId="0" borderId="0" xfId="0" applyAlignment="1">
      <alignment horizontal="center" vertical="center"/>
    </xf>
    <xf numFmtId="0" fontId="0" fillId="4" borderId="0" xfId="0" applyFill="1" applyProtection="1"/>
    <xf numFmtId="22" fontId="0" fillId="0" borderId="0" xfId="0" applyNumberFormat="1" applyAlignment="1">
      <alignment horizontal="center" vertical="center"/>
    </xf>
    <xf numFmtId="46" fontId="0" fillId="0" borderId="0" xfId="0" applyNumberFormat="1" applyAlignment="1">
      <alignment horizontal="center"/>
    </xf>
    <xf numFmtId="166" fontId="0" fillId="0" borderId="0" xfId="1" applyNumberFormat="1" applyFont="1" applyAlignment="1">
      <alignment horizontal="center" vertical="center"/>
    </xf>
    <xf numFmtId="0" fontId="2" fillId="0" borderId="2" xfId="0" applyFont="1" applyBorder="1"/>
    <xf numFmtId="46" fontId="0" fillId="0" borderId="3" xfId="0" applyNumberFormat="1" applyBorder="1"/>
    <xf numFmtId="166" fontId="1" fillId="2" borderId="0" xfId="0" applyNumberFormat="1" applyFont="1" applyFill="1"/>
    <xf numFmtId="166" fontId="0" fillId="3" borderId="0" xfId="0" applyNumberFormat="1" applyFill="1"/>
    <xf numFmtId="1" fontId="0" fillId="0" borderId="0" xfId="0" applyNumberFormat="1"/>
    <xf numFmtId="46" fontId="1" fillId="2" borderId="0" xfId="0" applyNumberFormat="1" applyFont="1" applyFill="1"/>
    <xf numFmtId="46" fontId="0" fillId="0" borderId="0" xfId="0" applyNumberFormat="1"/>
  </cellXfs>
  <cellStyles count="2">
    <cellStyle name="Comma" xfId="1" builtinId="3"/>
    <cellStyle name="Normal" xfId="0" builtinId="0"/>
  </cellStyles>
  <dxfs count="394">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numFmt numFmtId="31" formatCode="[h]:mm:ss"/>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numFmt numFmtId="166" formatCode="_-* #,##0_-;\-* #,##0_-;_-* &quot;-&quot;??_-;_-@_-"/>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alignment horizontal="center"/>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right"/>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numFmt numFmtId="31" formatCode="[h]:mm:ss"/>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numFmt numFmtId="166" formatCode="_-* #,##0_-;\-* #,##0_-;_-* &quot;-&quot;??_-;_-@_-"/>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center"/>
    </dxf>
    <dxf>
      <alignment horizontal="center"/>
    </dxf>
    <dxf>
      <alignment horizontal="center"/>
    </dxf>
    <dxf>
      <alignment horizontal="center"/>
    </dxf>
    <dxf>
      <alignment horizontal="center"/>
    </dxf>
    <dxf>
      <fill>
        <patternFill patternType="solid">
          <bgColor rgb="FF0070C0"/>
        </patternFill>
      </fill>
    </dxf>
    <dxf>
      <fill>
        <patternFill patternType="solid">
          <bgColor theme="7" tint="0.59999389629810485"/>
        </patternFill>
      </fill>
    </dxf>
    <dxf>
      <font>
        <color theme="3" tint="-0.249977111117893"/>
      </font>
    </dxf>
    <dxf>
      <fill>
        <patternFill patternType="solid">
          <bgColor theme="7" tint="0.39997558519241921"/>
        </patternFill>
      </fill>
    </dxf>
    <dxf>
      <fill>
        <patternFill patternType="solid">
          <bgColor theme="7" tint="0.39997558519241921"/>
        </patternFill>
      </fill>
    </dxf>
    <dxf>
      <fill>
        <patternFill>
          <bgColor theme="3" tint="0.79998168889431442"/>
        </patternFill>
      </fill>
    </dxf>
    <dxf>
      <fill>
        <patternFill>
          <bgColor theme="3" tint="0.79998168889431442"/>
        </patternFill>
      </fill>
    </dxf>
    <dxf>
      <font>
        <color theme="5" tint="0.79998168889431442"/>
      </font>
    </dxf>
    <dxf>
      <fill>
        <patternFill>
          <bgColor theme="3" tint="0.79998168889431442"/>
        </patternFill>
      </fill>
    </dxf>
    <dxf>
      <font>
        <color theme="5" tint="0.79998168889431442"/>
      </font>
    </dxf>
    <dxf>
      <fill>
        <patternFill>
          <bgColor rgb="FF0070C0"/>
        </patternFill>
      </fill>
    </dxf>
    <dxf>
      <fill>
        <patternFill>
          <bgColor rgb="FF0070C0"/>
        </patternFill>
      </fill>
    </dxf>
    <dxf>
      <font>
        <color theme="5" tint="0.79998168889431442"/>
      </font>
    </dxf>
    <dxf>
      <alignment horizontal="right"/>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alignment horizontal="right"/>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alignment horizontal="center"/>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numFmt numFmtId="166" formatCode="_-* #,##0_-;\-* #,##0_-;_-* &quot;-&quot;??_-;_-@_-"/>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numFmt numFmtId="31" formatCode="[h]:mm:ss"/>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alignment horizontal="center"/>
    </dxf>
    <dxf>
      <alignment horizontal="center"/>
    </dxf>
    <dxf>
      <alignment horizontal="center"/>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alignment horizontal="center"/>
    </dxf>
    <dxf>
      <alignment horizontal="center"/>
    </dxf>
    <dxf>
      <font>
        <color theme="5" tint="0.79998168889431442"/>
      </font>
    </dxf>
    <dxf>
      <fill>
        <patternFill>
          <bgColor rgb="FF0070C0"/>
        </patternFill>
      </fill>
    </dxf>
    <dxf>
      <fill>
        <patternFill>
          <bgColor rgb="FF0070C0"/>
        </patternFill>
      </fill>
    </dxf>
    <dxf>
      <font>
        <color theme="5" tint="0.79998168889431442"/>
      </font>
    </dxf>
    <dxf>
      <fill>
        <patternFill>
          <bgColor theme="3" tint="0.79998168889431442"/>
        </patternFill>
      </fill>
    </dxf>
    <dxf>
      <font>
        <color theme="5" tint="0.79998168889431442"/>
      </font>
    </dxf>
    <dxf>
      <fill>
        <patternFill>
          <bgColor theme="3" tint="0.79998168889431442"/>
        </patternFill>
      </fill>
    </dxf>
    <dxf>
      <fill>
        <patternFill>
          <bgColor theme="3" tint="0.79998168889431442"/>
        </patternFill>
      </fill>
    </dxf>
    <dxf>
      <fill>
        <patternFill patternType="solid">
          <bgColor theme="7" tint="0.39997558519241921"/>
        </patternFill>
      </fill>
    </dxf>
    <dxf>
      <fill>
        <patternFill patternType="solid">
          <bgColor theme="7" tint="0.39997558519241921"/>
        </patternFill>
      </fill>
    </dxf>
    <dxf>
      <font>
        <color theme="3" tint="-0.249977111117893"/>
      </font>
    </dxf>
    <dxf>
      <fill>
        <patternFill patternType="solid">
          <bgColor theme="7" tint="0.59999389629810485"/>
        </patternFill>
      </fill>
    </dxf>
    <dxf>
      <fill>
        <patternFill patternType="solid">
          <bgColor rgb="FF0070C0"/>
        </patternFill>
      </fill>
    </dxf>
    <dxf>
      <alignment horizontal="center"/>
    </dxf>
    <dxf>
      <numFmt numFmtId="0" formatCode="General"/>
      <alignment horizontal="center" vertical="center" textRotation="0" wrapText="0" indent="0" justifyLastLine="0" shrinkToFit="0" readingOrder="0"/>
    </dxf>
    <dxf>
      <numFmt numFmtId="165" formatCode="[$-F400]h:mm:ss\ AM/PM"/>
    </dxf>
    <dxf>
      <alignment horizontal="left" vertical="bottom" textRotation="0" wrapText="0" indent="0" justifyLastLine="0" shrinkToFit="0" readingOrder="0"/>
    </dxf>
    <dxf>
      <alignment horizontal="center" vertical="bottom" textRotation="0" wrapText="0" indent="0" justifyLastLine="0" shrinkToFit="0" readingOrder="0"/>
    </dxf>
    <dxf>
      <numFmt numFmtId="31" formatCode="[h]:mm:ss"/>
      <alignment horizontal="center" vertical="center" textRotation="0" wrapText="0" indent="0" justifyLastLine="0" shrinkToFit="0" readingOrder="0"/>
    </dxf>
    <dxf>
      <numFmt numFmtId="167" formatCode="dd/mm/yyyy\ h:mm"/>
      <alignment horizontal="center" vertical="bottom" textRotation="0" wrapText="0" indent="0" justifyLastLine="0" shrinkToFit="0" readingOrder="0"/>
    </dxf>
    <dxf>
      <numFmt numFmtId="167" formatCode="dd/mm/yyyy\ h:mm"/>
      <alignment horizontal="center" vertical="bottom" textRotation="0" wrapText="0" indent="0" justifyLastLine="0" shrinkToFit="0" readingOrder="0"/>
    </dxf>
    <dxf>
      <numFmt numFmtId="167" formatCode="dd/mm/yyyy\ h:mm"/>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z val="11"/>
        <color theme="1"/>
      </font>
    </dxf>
    <dxf>
      <font>
        <color theme="4"/>
        <name val="Times New Roman"/>
        <family val="1"/>
        <scheme val="none"/>
      </font>
      <fill>
        <patternFill patternType="solid">
          <fgColor theme="0"/>
          <bgColor theme="3"/>
        </patternFill>
      </fill>
      <border>
        <left style="thin">
          <color theme="1" tint="-0.499984740745262"/>
        </left>
        <right style="thin">
          <color theme="1" tint="-0.499984740745262"/>
        </right>
        <top style="thin">
          <color theme="1" tint="-0.499984740745262"/>
        </top>
        <bottom style="thin">
          <color theme="1" tint="-0.499984740745262"/>
        </bottom>
      </border>
    </dxf>
  </dxfs>
  <tableStyles count="1" defaultTableStyle="TableStyleMedium2" defaultPivotStyle="PivotStyleLight16">
    <tableStyle name="Timeline Style 2" pivot="0" table="0" count="8" xr9:uid="{13689835-F1C7-418B-83A5-10EB5398CC23}">
      <tableStyleElement type="wholeTable" dxfId="393"/>
      <tableStyleElement type="headerRow" dxfId="392"/>
    </tableStyle>
  </tableStyles>
  <colors>
    <mruColors>
      <color rgb="FF1005EF"/>
      <color rgb="FFDB19D2"/>
      <color rgb="FF20D7E0"/>
      <color rgb="FF6666FF"/>
      <color rgb="FFFFFF99"/>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3.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24" Type="http://schemas.openxmlformats.org/officeDocument/2006/relationships/customXml" Target="../customXml/item10.xml"/><Relationship Id="rId32" Type="http://schemas.microsoft.com/office/2006/relationships/vbaProject" Target="vbaProject.bin"/><Relationship Id="rId5" Type="http://schemas.microsoft.com/office/2007/relationships/slicerCache" Target="slicerCaches/slicerCache1.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2021-22.xlsm]Visuals!Reason Wise Complaints</c:name>
    <c:fmtId val="11"/>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reason</a:t>
            </a:r>
            <a:r>
              <a:rPr lang="en-US" baseline="0"/>
              <a:t> wise complaints</a:t>
            </a:r>
            <a:endParaRPr lang="en-US"/>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Visuals!$B$4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Visuals!$A$5:$A$12</c:f>
              <c:strCache>
                <c:ptCount val="7"/>
                <c:pt idx="0">
                  <c:v>08 FAULT OF 11 KV SYSTEM AT G/STATION</c:v>
                </c:pt>
                <c:pt idx="1">
                  <c:v>10 FAULT IN 11 KV FEEDER DUE TO ACCIDENT</c:v>
                </c:pt>
                <c:pt idx="2">
                  <c:v>15 FAULT IN CONSUMER'S WIRING</c:v>
                </c:pt>
                <c:pt idx="3">
                  <c:v>09 FAULT IN 11 KV FEEDER</c:v>
                </c:pt>
                <c:pt idx="4">
                  <c:v>13 FAULT IN LT LINES</c:v>
                </c:pt>
                <c:pt idx="5">
                  <c:v>12 FAULT IN DISTRIBUTION TRANSFORMER</c:v>
                </c:pt>
                <c:pt idx="6">
                  <c:v>14 FAULT IN CONSUMER'S CABLE &amp; METERS TO CONS</c:v>
                </c:pt>
              </c:strCache>
            </c:strRef>
          </c:cat>
          <c:val>
            <c:numRef>
              <c:f>Visuals!$B$5:$B$12</c:f>
              <c:numCache>
                <c:formatCode>General</c:formatCode>
                <c:ptCount val="7"/>
                <c:pt idx="0">
                  <c:v>1</c:v>
                </c:pt>
                <c:pt idx="1">
                  <c:v>3</c:v>
                </c:pt>
                <c:pt idx="2">
                  <c:v>99</c:v>
                </c:pt>
                <c:pt idx="3">
                  <c:v>115</c:v>
                </c:pt>
                <c:pt idx="4">
                  <c:v>393</c:v>
                </c:pt>
                <c:pt idx="5">
                  <c:v>1849</c:v>
                </c:pt>
                <c:pt idx="6">
                  <c:v>3151</c:v>
                </c:pt>
              </c:numCache>
            </c:numRef>
          </c:val>
          <c:extLst>
            <c:ext xmlns:c16="http://schemas.microsoft.com/office/drawing/2014/chart" uri="{C3380CC4-5D6E-409C-BE32-E72D297353CC}">
              <c16:uniqueId val="{00000000-81AE-4387-AD87-B9AB0AD95BC7}"/>
            </c:ext>
          </c:extLst>
        </c:ser>
        <c:dLbls>
          <c:showLegendKey val="0"/>
          <c:showVal val="1"/>
          <c:showCatName val="0"/>
          <c:showSerName val="0"/>
          <c:showPercent val="0"/>
          <c:showBubbleSize val="0"/>
        </c:dLbls>
        <c:gapWidth val="75"/>
        <c:shape val="box"/>
        <c:axId val="1840838752"/>
        <c:axId val="1840842912"/>
        <c:axId val="0"/>
      </c:bar3DChart>
      <c:catAx>
        <c:axId val="1840838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0842912"/>
        <c:crosses val="autoZero"/>
        <c:auto val="1"/>
        <c:lblAlgn val="ctr"/>
        <c:lblOffset val="100"/>
        <c:noMultiLvlLbl val="0"/>
      </c:catAx>
      <c:valAx>
        <c:axId val="1840842912"/>
        <c:scaling>
          <c:orientation val="minMax"/>
        </c:scaling>
        <c:delete val="0"/>
        <c:axPos val="b"/>
        <c:majorGridlines>
          <c:spPr>
            <a:ln w="9525">
              <a:solidFill>
                <a:schemeClr val="lt1">
                  <a:lumMod val="50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083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2021-22.xlsm]Visuals!Batch Wise Comlaints</c:name>
    <c:fmtId val="1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Batch</a:t>
            </a:r>
            <a:r>
              <a:rPr lang="en-US" baseline="0"/>
              <a:t> wise Complaints</a:t>
            </a:r>
            <a:endParaRPr lang="en-US"/>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75304335008047"/>
          <c:y val="0.14231542663415667"/>
          <c:w val="0.78202726219285013"/>
          <c:h val="0.69447164488093771"/>
        </c:manualLayout>
      </c:layout>
      <c:bar3DChart>
        <c:barDir val="col"/>
        <c:grouping val="standard"/>
        <c:varyColors val="0"/>
        <c:ser>
          <c:idx val="0"/>
          <c:order val="0"/>
          <c:tx>
            <c:strRef>
              <c:f>Visuals!$B$18</c:f>
              <c:strCache>
                <c:ptCount val="1"/>
                <c:pt idx="0">
                  <c:v>Total</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Visuals!$A$19:$A$38</c:f>
              <c:strCach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17</c:v>
                </c:pt>
                <c:pt idx="16">
                  <c:v>27</c:v>
                </c:pt>
                <c:pt idx="17">
                  <c:v>44</c:v>
                </c:pt>
                <c:pt idx="18">
                  <c:v>46</c:v>
                </c:pt>
              </c:strCache>
            </c:strRef>
          </c:cat>
          <c:val>
            <c:numRef>
              <c:f>Visuals!$B$19:$B$38</c:f>
              <c:numCache>
                <c:formatCode>General</c:formatCode>
                <c:ptCount val="19"/>
                <c:pt idx="0">
                  <c:v>484</c:v>
                </c:pt>
                <c:pt idx="1">
                  <c:v>317</c:v>
                </c:pt>
                <c:pt idx="2">
                  <c:v>689</c:v>
                </c:pt>
                <c:pt idx="3">
                  <c:v>151</c:v>
                </c:pt>
                <c:pt idx="4">
                  <c:v>230</c:v>
                </c:pt>
                <c:pt idx="5">
                  <c:v>474</c:v>
                </c:pt>
                <c:pt idx="6">
                  <c:v>597</c:v>
                </c:pt>
                <c:pt idx="7">
                  <c:v>255</c:v>
                </c:pt>
                <c:pt idx="8">
                  <c:v>191</c:v>
                </c:pt>
                <c:pt idx="9">
                  <c:v>363</c:v>
                </c:pt>
                <c:pt idx="10">
                  <c:v>388</c:v>
                </c:pt>
                <c:pt idx="11">
                  <c:v>500</c:v>
                </c:pt>
                <c:pt idx="12">
                  <c:v>388</c:v>
                </c:pt>
                <c:pt idx="13">
                  <c:v>359</c:v>
                </c:pt>
                <c:pt idx="14">
                  <c:v>196</c:v>
                </c:pt>
                <c:pt idx="15">
                  <c:v>3</c:v>
                </c:pt>
                <c:pt idx="16">
                  <c:v>10</c:v>
                </c:pt>
                <c:pt idx="17">
                  <c:v>4</c:v>
                </c:pt>
                <c:pt idx="18">
                  <c:v>12</c:v>
                </c:pt>
              </c:numCache>
            </c:numRef>
          </c:val>
          <c:extLst>
            <c:ext xmlns:c16="http://schemas.microsoft.com/office/drawing/2014/chart" uri="{C3380CC4-5D6E-409C-BE32-E72D297353CC}">
              <c16:uniqueId val="{00000000-F0B4-4A26-B8D4-D44394D91E96}"/>
            </c:ext>
          </c:extLst>
        </c:ser>
        <c:dLbls>
          <c:showLegendKey val="0"/>
          <c:showVal val="1"/>
          <c:showCatName val="0"/>
          <c:showSerName val="0"/>
          <c:showPercent val="0"/>
          <c:showBubbleSize val="0"/>
        </c:dLbls>
        <c:gapWidth val="150"/>
        <c:shape val="box"/>
        <c:axId val="971167200"/>
        <c:axId val="971167616"/>
        <c:axId val="903866352"/>
      </c:bar3DChart>
      <c:catAx>
        <c:axId val="971167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71167616"/>
        <c:crosses val="autoZero"/>
        <c:auto val="1"/>
        <c:lblAlgn val="ctr"/>
        <c:lblOffset val="100"/>
        <c:noMultiLvlLbl val="0"/>
      </c:catAx>
      <c:valAx>
        <c:axId val="971167616"/>
        <c:scaling>
          <c:orientation val="minMax"/>
        </c:scaling>
        <c:delete val="0"/>
        <c:axPos val="l"/>
        <c:majorGridlines>
          <c:spPr>
            <a:ln w="9525">
              <a:solidFill>
                <a:schemeClr val="lt1">
                  <a:lumMod val="50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71167200"/>
        <c:crosses val="autoZero"/>
        <c:crossBetween val="between"/>
      </c:valAx>
      <c:serAx>
        <c:axId val="903866352"/>
        <c:scaling>
          <c:orientation val="minMax"/>
        </c:scaling>
        <c:delete val="1"/>
        <c:axPos val="b"/>
        <c:majorTickMark val="none"/>
        <c:minorTickMark val="none"/>
        <c:tickLblPos val="nextTo"/>
        <c:crossAx val="971167616"/>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2021-22.xlsm]Visuals!Quarter Wise Complaints</c:name>
    <c:fmtId val="11"/>
  </c:pivotSource>
  <c:chart>
    <c:autoTitleDeleted val="1"/>
    <c:pivotFmts>
      <c:pivotFmt>
        <c:idx val="0"/>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2"/>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3"/>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4"/>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s>
    <c:plotArea>
      <c:layout>
        <c:manualLayout>
          <c:layoutTarget val="inner"/>
          <c:xMode val="edge"/>
          <c:yMode val="edge"/>
          <c:x val="0.26287620297462816"/>
          <c:y val="0.16924575705589778"/>
          <c:w val="0.47632611548556431"/>
          <c:h val="0.75582312647046679"/>
        </c:manualLayout>
      </c:layout>
      <c:doughnutChart>
        <c:varyColors val="1"/>
        <c:ser>
          <c:idx val="0"/>
          <c:order val="0"/>
          <c:tx>
            <c:strRef>
              <c:f>Visuals!$B$59</c:f>
              <c:strCache>
                <c:ptCount val="1"/>
                <c:pt idx="0">
                  <c:v>Total</c:v>
                </c:pt>
              </c:strCache>
            </c:strRef>
          </c:tx>
          <c:dPt>
            <c:idx val="0"/>
            <c:bubble3D val="0"/>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9A35-4EA7-B852-4FDFD5D64DEB}"/>
              </c:ext>
            </c:extLst>
          </c:dPt>
          <c:dPt>
            <c:idx val="1"/>
            <c:bubble3D val="0"/>
            <c:spPr>
              <a:solidFill>
                <a:schemeClr val="accent5">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9A35-4EA7-B852-4FDFD5D64DEB}"/>
              </c:ext>
            </c:extLst>
          </c:dPt>
          <c:dPt>
            <c:idx val="2"/>
            <c:bubble3D val="0"/>
            <c:spPr>
              <a:solidFill>
                <a:schemeClr val="accent4">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5-9A35-4EA7-B852-4FDFD5D64DEB}"/>
              </c:ext>
            </c:extLst>
          </c:dPt>
          <c:dPt>
            <c:idx val="3"/>
            <c:bubble3D val="0"/>
            <c:spPr>
              <a:solidFill>
                <a:schemeClr val="accent6">
                  <a:lumMod val="60000"/>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7-9A35-4EA7-B852-4FDFD5D64D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Visuals!$A$60:$A$64</c:f>
              <c:strCache>
                <c:ptCount val="4"/>
                <c:pt idx="0">
                  <c:v>Qtr1</c:v>
                </c:pt>
                <c:pt idx="1">
                  <c:v>Qtr2</c:v>
                </c:pt>
                <c:pt idx="2">
                  <c:v>Qtr3</c:v>
                </c:pt>
                <c:pt idx="3">
                  <c:v>Qtr4</c:v>
                </c:pt>
              </c:strCache>
            </c:strRef>
          </c:cat>
          <c:val>
            <c:numRef>
              <c:f>Visuals!$B$60:$B$64</c:f>
              <c:numCache>
                <c:formatCode>General</c:formatCode>
                <c:ptCount val="4"/>
                <c:pt idx="0">
                  <c:v>1292</c:v>
                </c:pt>
                <c:pt idx="1">
                  <c:v>1598</c:v>
                </c:pt>
                <c:pt idx="2">
                  <c:v>1893</c:v>
                </c:pt>
                <c:pt idx="3">
                  <c:v>828</c:v>
                </c:pt>
              </c:numCache>
            </c:numRef>
          </c:val>
          <c:extLst>
            <c:ext xmlns:c16="http://schemas.microsoft.com/office/drawing/2014/chart" uri="{C3380CC4-5D6E-409C-BE32-E72D297353CC}">
              <c16:uniqueId val="{00000000-F6DD-446D-9F7F-DCE5A994FAE4}"/>
            </c:ext>
          </c:extLst>
        </c:ser>
        <c:dLbls>
          <c:showLegendKey val="0"/>
          <c:showVal val="1"/>
          <c:showCatName val="1"/>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[Sitara Colony FRO Complaints 2021-22.xlsm]Visuals!Month Wise Complaints</c:name>
    <c:fmtId val="12"/>
  </c:pivotSource>
  <c:chart>
    <c:autoTitleDeleted val="1"/>
    <c:pivotFmts>
      <c:pivotFmt>
        <c:idx val="0"/>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dLbl>
          <c:idx val="0"/>
          <c:spPr>
            <a:solidFill>
              <a:srgbClr val="4BACC6"/>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Visuals!$B$78</c:f>
              <c:strCache>
                <c:ptCount val="1"/>
                <c:pt idx="0">
                  <c:v>Total</c:v>
                </c:pt>
              </c:strCache>
            </c:strRef>
          </c:tx>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dLbls>
            <c:spPr>
              <a:solidFill>
                <a:srgbClr val="4BACC6"/>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5">
                          <a:lumMod val="60000"/>
                          <a:lumOff val="40000"/>
                        </a:schemeClr>
                      </a:solidFill>
                    </a:ln>
                    <a:effectLst/>
                  </c:spPr>
                </c15:leaderLines>
              </c:ext>
            </c:extLst>
          </c:dLbls>
          <c:cat>
            <c:strRef>
              <c:f>Visuals!$A$79:$A$91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Visuals!$B$79:$B$91</c:f>
              <c:numCache>
                <c:formatCode>General</c:formatCode>
                <c:ptCount val="12"/>
                <c:pt idx="0">
                  <c:v>437</c:v>
                </c:pt>
                <c:pt idx="1">
                  <c:v>433</c:v>
                </c:pt>
                <c:pt idx="2">
                  <c:v>422</c:v>
                </c:pt>
                <c:pt idx="3">
                  <c:v>460</c:v>
                </c:pt>
                <c:pt idx="4">
                  <c:v>393</c:v>
                </c:pt>
                <c:pt idx="5">
                  <c:v>745</c:v>
                </c:pt>
                <c:pt idx="6">
                  <c:v>702</c:v>
                </c:pt>
                <c:pt idx="7">
                  <c:v>686</c:v>
                </c:pt>
                <c:pt idx="8">
                  <c:v>505</c:v>
                </c:pt>
                <c:pt idx="9">
                  <c:v>384</c:v>
                </c:pt>
                <c:pt idx="10">
                  <c:v>203</c:v>
                </c:pt>
                <c:pt idx="11">
                  <c:v>241</c:v>
                </c:pt>
              </c:numCache>
            </c:numRef>
          </c:val>
          <c:smooth val="0"/>
          <c:extLst>
            <c:ext xmlns:c16="http://schemas.microsoft.com/office/drawing/2014/chart" uri="{C3380CC4-5D6E-409C-BE32-E72D297353CC}">
              <c16:uniqueId val="{00000000-02D5-431F-9F1C-E7F3477A058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32991744"/>
        <c:axId val="1033006720"/>
      </c:lineChart>
      <c:catAx>
        <c:axId val="1032991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033006720"/>
        <c:crosses val="autoZero"/>
        <c:auto val="1"/>
        <c:lblAlgn val="ctr"/>
        <c:lblOffset val="100"/>
        <c:noMultiLvlLbl val="0"/>
      </c:catAx>
      <c:valAx>
        <c:axId val="1033006720"/>
        <c:scaling>
          <c:orientation val="minMax"/>
        </c:scaling>
        <c:delete val="1"/>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crossAx val="103299174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2021-22.xlsm]Visuals!Shift Wise Complaints</c:name>
    <c:fmtId val="12"/>
  </c:pivotSource>
  <c:chart>
    <c:autoTitleDeleted val="1"/>
    <c:pivotFmts>
      <c:pivotFmt>
        <c:idx val="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2"/>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3"/>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Visuals!$B$102</c:f>
              <c:strCache>
                <c:ptCount val="1"/>
                <c:pt idx="0">
                  <c:v>Total</c:v>
                </c:pt>
              </c:strCache>
            </c:strRef>
          </c:tx>
          <c:dPt>
            <c:idx val="0"/>
            <c:bubble3D val="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E534-4170-B861-4B6FC120165A}"/>
              </c:ext>
            </c:extLst>
          </c:dPt>
          <c:dPt>
            <c:idx val="1"/>
            <c:bubble3D val="0"/>
            <c:spPr>
              <a:solidFill>
                <a:schemeClr val="accent2">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E534-4170-B861-4B6FC120165A}"/>
              </c:ext>
            </c:extLst>
          </c:dPt>
          <c:dPt>
            <c:idx val="2"/>
            <c:bubble3D val="0"/>
            <c:spPr>
              <a:solidFill>
                <a:schemeClr val="accent3">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5-E534-4170-B861-4B6FC12016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Visuals!$A$103:$A$106</c:f>
              <c:strCache>
                <c:ptCount val="3"/>
                <c:pt idx="0">
                  <c:v>1st Shift</c:v>
                </c:pt>
                <c:pt idx="1">
                  <c:v>2nd Shift</c:v>
                </c:pt>
                <c:pt idx="2">
                  <c:v>3rd Shift</c:v>
                </c:pt>
              </c:strCache>
            </c:strRef>
          </c:cat>
          <c:val>
            <c:numRef>
              <c:f>Visuals!$B$103:$B$106</c:f>
              <c:numCache>
                <c:formatCode>General</c:formatCode>
                <c:ptCount val="3"/>
                <c:pt idx="0">
                  <c:v>2442</c:v>
                </c:pt>
                <c:pt idx="1">
                  <c:v>2289</c:v>
                </c:pt>
                <c:pt idx="2">
                  <c:v>880</c:v>
                </c:pt>
              </c:numCache>
            </c:numRef>
          </c:val>
          <c:extLst>
            <c:ext xmlns:c16="http://schemas.microsoft.com/office/drawing/2014/chart" uri="{C3380CC4-5D6E-409C-BE32-E72D297353CC}">
              <c16:uniqueId val="{00000000-831A-4495-8CED-79F98CD62300}"/>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2021-22.xlsm]Visuals!Year Wise Complaints</c:name>
    <c:fmtId val="20"/>
  </c:pivotSource>
  <c:chart>
    <c:autoTitleDeleted val="1"/>
    <c:pivotFmts>
      <c:pivotFmt>
        <c:idx val="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2"/>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3"/>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4"/>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Visuals!$B$42</c:f>
              <c:strCache>
                <c:ptCount val="1"/>
                <c:pt idx="0">
                  <c:v>Total</c:v>
                </c:pt>
              </c:strCache>
            </c:strRef>
          </c:tx>
          <c:dPt>
            <c:idx val="0"/>
            <c:bubble3D val="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03E3-444D-A3D4-C18B38EA7FC4}"/>
              </c:ext>
            </c:extLst>
          </c:dPt>
          <c:dPt>
            <c:idx val="1"/>
            <c:bubble3D val="0"/>
            <c:spPr>
              <a:solidFill>
                <a:schemeClr val="accent2">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03E3-444D-A3D4-C18B38EA7FC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Ref>
              <c:f>Visuals!$A$43:$A$45</c:f>
              <c:strCache>
                <c:ptCount val="2"/>
                <c:pt idx="0">
                  <c:v>2021</c:v>
                </c:pt>
                <c:pt idx="1">
                  <c:v>2022</c:v>
                </c:pt>
              </c:strCache>
            </c:strRef>
          </c:cat>
          <c:val>
            <c:numRef>
              <c:f>Visuals!$B$43:$B$45</c:f>
              <c:numCache>
                <c:formatCode>General</c:formatCode>
                <c:ptCount val="2"/>
                <c:pt idx="0">
                  <c:v>2721</c:v>
                </c:pt>
                <c:pt idx="1">
                  <c:v>2890</c:v>
                </c:pt>
              </c:numCache>
            </c:numRef>
          </c:val>
          <c:extLst>
            <c:ext xmlns:c16="http://schemas.microsoft.com/office/drawing/2014/chart" uri="{C3380CC4-5D6E-409C-BE32-E72D297353CC}">
              <c16:uniqueId val="{00000000-DEC7-4E34-B73A-5847A7667982}"/>
            </c:ext>
          </c:extLst>
        </c:ser>
        <c:dLbls>
          <c:dLblPos val="inEnd"/>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2021-22.xlsm]Visuals!PivotTable1</c:name>
    <c:fmtId val="19"/>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Visuals!$B$114:$B$115</c:f>
              <c:strCache>
                <c:ptCount val="1"/>
                <c:pt idx="0">
                  <c:v>1st Shift</c:v>
                </c:pt>
              </c:strCache>
            </c:strRef>
          </c:tx>
          <c:spPr>
            <a:solidFill>
              <a:schemeClr val="accent1"/>
            </a:solidFill>
            <a:ln>
              <a:noFill/>
            </a:ln>
            <a:effectLst/>
            <a:sp3d/>
          </c:spPr>
          <c:invertIfNegative val="0"/>
          <c:cat>
            <c:strRef>
              <c:f>Visuals!$A$116:$A$123</c:f>
              <c:strCache>
                <c:ptCount val="7"/>
                <c:pt idx="0">
                  <c:v>08 FAULT OF 11 KV SYSTEM AT G/STATION</c:v>
                </c:pt>
                <c:pt idx="1">
                  <c:v>09 FAULT IN 11 KV FEEDER</c:v>
                </c:pt>
                <c:pt idx="2">
                  <c:v>10 FAULT IN 11 KV FEEDER DUE TO ACCIDENT</c:v>
                </c:pt>
                <c:pt idx="3">
                  <c:v>12 FAULT IN DISTRIBUTION TRANSFORMER</c:v>
                </c:pt>
                <c:pt idx="4">
                  <c:v>13 FAULT IN LT LINES</c:v>
                </c:pt>
                <c:pt idx="5">
                  <c:v>14 FAULT IN CONSUMER'S CABLE &amp; METERS TO CONS</c:v>
                </c:pt>
                <c:pt idx="6">
                  <c:v>15 FAULT IN CONSUMER'S WIRING</c:v>
                </c:pt>
              </c:strCache>
            </c:strRef>
          </c:cat>
          <c:val>
            <c:numRef>
              <c:f>Visuals!$B$116:$B$123</c:f>
              <c:numCache>
                <c:formatCode>_-* #,##0_-;\-* #,##0_-;_-* "-"??_-;_-@_-</c:formatCode>
                <c:ptCount val="7"/>
                <c:pt idx="1">
                  <c:v>138.1759045774792</c:v>
                </c:pt>
                <c:pt idx="2">
                  <c:v>87.57271284958415</c:v>
                </c:pt>
                <c:pt idx="3">
                  <c:v>134.01854645988416</c:v>
                </c:pt>
                <c:pt idx="4">
                  <c:v>137.8489052672823</c:v>
                </c:pt>
                <c:pt idx="5">
                  <c:v>130.68442620411435</c:v>
                </c:pt>
                <c:pt idx="6">
                  <c:v>157.92395383233955</c:v>
                </c:pt>
              </c:numCache>
            </c:numRef>
          </c:val>
          <c:extLst>
            <c:ext xmlns:c16="http://schemas.microsoft.com/office/drawing/2014/chart" uri="{C3380CC4-5D6E-409C-BE32-E72D297353CC}">
              <c16:uniqueId val="{00000000-2603-4B7B-A6CA-8BADD18008C3}"/>
            </c:ext>
          </c:extLst>
        </c:ser>
        <c:ser>
          <c:idx val="1"/>
          <c:order val="1"/>
          <c:tx>
            <c:strRef>
              <c:f>Visuals!$C$114:$C$115</c:f>
              <c:strCache>
                <c:ptCount val="1"/>
                <c:pt idx="0">
                  <c:v>2nd Shift</c:v>
                </c:pt>
              </c:strCache>
            </c:strRef>
          </c:tx>
          <c:spPr>
            <a:solidFill>
              <a:schemeClr val="accent2"/>
            </a:solidFill>
            <a:ln>
              <a:noFill/>
            </a:ln>
            <a:effectLst/>
            <a:sp3d/>
          </c:spPr>
          <c:invertIfNegative val="0"/>
          <c:cat>
            <c:strRef>
              <c:f>Visuals!$A$116:$A$123</c:f>
              <c:strCache>
                <c:ptCount val="7"/>
                <c:pt idx="0">
                  <c:v>08 FAULT OF 11 KV SYSTEM AT G/STATION</c:v>
                </c:pt>
                <c:pt idx="1">
                  <c:v>09 FAULT IN 11 KV FEEDER</c:v>
                </c:pt>
                <c:pt idx="2">
                  <c:v>10 FAULT IN 11 KV FEEDER DUE TO ACCIDENT</c:v>
                </c:pt>
                <c:pt idx="3">
                  <c:v>12 FAULT IN DISTRIBUTION TRANSFORMER</c:v>
                </c:pt>
                <c:pt idx="4">
                  <c:v>13 FAULT IN LT LINES</c:v>
                </c:pt>
                <c:pt idx="5">
                  <c:v>14 FAULT IN CONSUMER'S CABLE &amp; METERS TO CONS</c:v>
                </c:pt>
                <c:pt idx="6">
                  <c:v>15 FAULT IN CONSUMER'S WIRING</c:v>
                </c:pt>
              </c:strCache>
            </c:strRef>
          </c:cat>
          <c:val>
            <c:numRef>
              <c:f>Visuals!$C$116:$C$123</c:f>
              <c:numCache>
                <c:formatCode>_-* #,##0_-;\-* #,##0_-;_-* "-"??_-;_-@_-</c:formatCode>
                <c:ptCount val="7"/>
                <c:pt idx="0">
                  <c:v>80</c:v>
                </c:pt>
                <c:pt idx="1">
                  <c:v>159.55316396731945</c:v>
                </c:pt>
                <c:pt idx="2">
                  <c:v>76.595744680471626</c:v>
                </c:pt>
                <c:pt idx="3">
                  <c:v>143.54923898538527</c:v>
                </c:pt>
                <c:pt idx="4">
                  <c:v>139.42851643123231</c:v>
                </c:pt>
                <c:pt idx="5">
                  <c:v>128.65283288682477</c:v>
                </c:pt>
                <c:pt idx="6">
                  <c:v>152.31925220872395</c:v>
                </c:pt>
              </c:numCache>
            </c:numRef>
          </c:val>
          <c:extLst>
            <c:ext xmlns:c16="http://schemas.microsoft.com/office/drawing/2014/chart" uri="{C3380CC4-5D6E-409C-BE32-E72D297353CC}">
              <c16:uniqueId val="{00000000-2B12-49F6-A1DF-4BF9884E2C1B}"/>
            </c:ext>
          </c:extLst>
        </c:ser>
        <c:ser>
          <c:idx val="2"/>
          <c:order val="2"/>
          <c:tx>
            <c:strRef>
              <c:f>Visuals!$D$114:$D$115</c:f>
              <c:strCache>
                <c:ptCount val="1"/>
                <c:pt idx="0">
                  <c:v>3rd Shift</c:v>
                </c:pt>
              </c:strCache>
            </c:strRef>
          </c:tx>
          <c:spPr>
            <a:solidFill>
              <a:schemeClr val="accent3"/>
            </a:solidFill>
            <a:ln>
              <a:noFill/>
            </a:ln>
            <a:effectLst/>
            <a:sp3d/>
          </c:spPr>
          <c:invertIfNegative val="0"/>
          <c:cat>
            <c:strRef>
              <c:f>Visuals!$A$116:$A$123</c:f>
              <c:strCache>
                <c:ptCount val="7"/>
                <c:pt idx="0">
                  <c:v>08 FAULT OF 11 KV SYSTEM AT G/STATION</c:v>
                </c:pt>
                <c:pt idx="1">
                  <c:v>09 FAULT IN 11 KV FEEDER</c:v>
                </c:pt>
                <c:pt idx="2">
                  <c:v>10 FAULT IN 11 KV FEEDER DUE TO ACCIDENT</c:v>
                </c:pt>
                <c:pt idx="3">
                  <c:v>12 FAULT IN DISTRIBUTION TRANSFORMER</c:v>
                </c:pt>
                <c:pt idx="4">
                  <c:v>13 FAULT IN LT LINES</c:v>
                </c:pt>
                <c:pt idx="5">
                  <c:v>14 FAULT IN CONSUMER'S CABLE &amp; METERS TO CONS</c:v>
                </c:pt>
                <c:pt idx="6">
                  <c:v>15 FAULT IN CONSUMER'S WIRING</c:v>
                </c:pt>
              </c:strCache>
            </c:strRef>
          </c:cat>
          <c:val>
            <c:numRef>
              <c:f>Visuals!$D$116:$D$123</c:f>
              <c:numCache>
                <c:formatCode>_-* #,##0_-;\-* #,##0_-;_-* "-"??_-;_-@_-</c:formatCode>
                <c:ptCount val="7"/>
                <c:pt idx="1">
                  <c:v>201.99648507648297</c:v>
                </c:pt>
                <c:pt idx="3">
                  <c:v>202.23452395084522</c:v>
                </c:pt>
                <c:pt idx="4">
                  <c:v>218.75959309302414</c:v>
                </c:pt>
                <c:pt idx="5">
                  <c:v>179.04733976333242</c:v>
                </c:pt>
                <c:pt idx="6">
                  <c:v>157.29883674498848</c:v>
                </c:pt>
              </c:numCache>
            </c:numRef>
          </c:val>
          <c:extLst>
            <c:ext xmlns:c16="http://schemas.microsoft.com/office/drawing/2014/chart" uri="{C3380CC4-5D6E-409C-BE32-E72D297353CC}">
              <c16:uniqueId val="{00000001-2B12-49F6-A1DF-4BF9884E2C1B}"/>
            </c:ext>
          </c:extLst>
        </c:ser>
        <c:dLbls>
          <c:showLegendKey val="0"/>
          <c:showVal val="0"/>
          <c:showCatName val="0"/>
          <c:showSerName val="0"/>
          <c:showPercent val="0"/>
          <c:showBubbleSize val="0"/>
        </c:dLbls>
        <c:gapWidth val="150"/>
        <c:shape val="box"/>
        <c:axId val="1236735775"/>
        <c:axId val="1236736607"/>
        <c:axId val="1236301215"/>
      </c:bar3DChart>
      <c:catAx>
        <c:axId val="12367357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736607"/>
        <c:crosses val="autoZero"/>
        <c:auto val="1"/>
        <c:lblAlgn val="ctr"/>
        <c:lblOffset val="100"/>
        <c:noMultiLvlLbl val="0"/>
      </c:catAx>
      <c:valAx>
        <c:axId val="123673660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735775"/>
        <c:crosses val="autoZero"/>
        <c:crossBetween val="between"/>
      </c:valAx>
      <c:serAx>
        <c:axId val="1236301215"/>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736607"/>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[Sitara Colony FRO Complaints 2021-22.xlsm]Visuals!Reason Wise Complaints</c:name>
    <c:fmtId val="13"/>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9525" cap="flat" cmpd="sng" algn="ctr">
            <a:solidFill>
              <a:schemeClr val="accent5">
                <a:lumMod val="75000"/>
              </a:schemeClr>
            </a:solidFill>
            <a:round/>
          </a:ln>
          <a:effectLst/>
          <a:sp3d contourW="9525">
            <a:contourClr>
              <a:schemeClr val="accent5">
                <a:lumMod val="75000"/>
              </a:schemeClr>
            </a:contourClr>
          </a:sp3d>
        </c:spPr>
        <c:marker>
          <c:symbol val="none"/>
        </c:marker>
        <c:dLbl>
          <c:idx val="0"/>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B19D2"/>
          </a:solidFill>
          <a:ln w="9525" cap="flat" cmpd="sng" algn="ctr">
            <a:solidFill>
              <a:schemeClr val="accent5">
                <a:lumMod val="75000"/>
              </a:schemeClr>
            </a:solidFill>
            <a:round/>
          </a:ln>
          <a:effectLst/>
          <a:sp3d contourW="9525">
            <a:contourClr>
              <a:schemeClr val="accent5">
                <a:lumMod val="75000"/>
              </a:schemeClr>
            </a:contourClr>
          </a:sp3d>
        </c:spPr>
        <c:dLbl>
          <c:idx val="0"/>
          <c:layout>
            <c:manualLayout>
              <c:x val="4.4745850615096894E-3"/>
              <c:y val="0"/>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w="9525" cap="flat" cmpd="sng" algn="ctr">
            <a:solidFill>
              <a:schemeClr val="accent5">
                <a:lumMod val="75000"/>
              </a:schemeClr>
            </a:solidFill>
            <a:round/>
          </a:ln>
          <a:effectLst/>
          <a:sp3d contourW="9525">
            <a:contourClr>
              <a:schemeClr val="accent5">
                <a:lumMod val="75000"/>
              </a:schemeClr>
            </a:contourClr>
          </a:sp3d>
        </c:spPr>
        <c:dLbl>
          <c:idx val="0"/>
          <c:layout>
            <c:manualLayout>
              <c:x val="6.6307492381164701E-3"/>
              <c:y val="0"/>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0D7E0"/>
          </a:solidFill>
          <a:ln w="9525" cap="flat" cmpd="sng" algn="ctr">
            <a:solidFill>
              <a:schemeClr val="accent5">
                <a:lumMod val="75000"/>
              </a:schemeClr>
            </a:solidFill>
            <a:round/>
          </a:ln>
          <a:effectLst/>
          <a:sp3d contourW="9525">
            <a:contourClr>
              <a:schemeClr val="accent5">
                <a:lumMod val="75000"/>
              </a:schemeClr>
            </a:contourClr>
          </a:sp3d>
        </c:spPr>
        <c:dLbl>
          <c:idx val="0"/>
          <c:layout>
            <c:manualLayout>
              <c:x val="6.6307492381164701E-3"/>
              <c:y val="0"/>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FF00"/>
          </a:solidFill>
          <a:ln w="9525" cap="flat" cmpd="sng" algn="ctr">
            <a:solidFill>
              <a:schemeClr val="accent5">
                <a:lumMod val="75000"/>
              </a:schemeClr>
            </a:solidFill>
            <a:round/>
          </a:ln>
          <a:effectLst/>
          <a:sp3d contourW="9525">
            <a:contourClr>
              <a:schemeClr val="accent5">
                <a:lumMod val="75000"/>
              </a:schemeClr>
            </a:contourClr>
          </a:sp3d>
        </c:spPr>
        <c:dLbl>
          <c:idx val="0"/>
          <c:layout>
            <c:manualLayout>
              <c:x val="8.9491701230192972E-3"/>
              <c:y val="-5.4421120949483753E-17"/>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50"/>
          </a:solidFill>
          <a:ln w="9525" cap="flat" cmpd="sng" algn="ctr">
            <a:solidFill>
              <a:schemeClr val="accent5">
                <a:lumMod val="75000"/>
              </a:schemeClr>
            </a:solidFill>
            <a:round/>
          </a:ln>
          <a:effectLst/>
          <a:sp3d contourW="9525">
            <a:contourClr>
              <a:schemeClr val="accent5">
                <a:lumMod val="75000"/>
              </a:schemeClr>
            </a:contourClr>
          </a:sp3d>
        </c:spPr>
      </c:pivotFmt>
      <c:pivotFmt>
        <c:idx val="8"/>
        <c:spPr>
          <a:solidFill>
            <a:srgbClr val="FF0000"/>
          </a:solidFill>
          <a:ln w="9525" cap="flat" cmpd="sng" algn="ctr">
            <a:solidFill>
              <a:schemeClr val="accent5">
                <a:lumMod val="75000"/>
              </a:schemeClr>
            </a:solidFill>
            <a:round/>
          </a:ln>
          <a:effectLst/>
          <a:sp3d contourW="9525">
            <a:contourClr>
              <a:schemeClr val="accent5">
                <a:lumMod val="75000"/>
              </a:schemeClr>
            </a:contourClr>
          </a:sp3d>
        </c:spPr>
        <c:dLbl>
          <c:idx val="0"/>
          <c:layout>
            <c:manualLayout>
              <c:x val="6.6307492381164701E-3"/>
              <c:y val="2.3815534396776328E-7"/>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1"/>
          <c:extLst>
            <c:ext xmlns:c15="http://schemas.microsoft.com/office/drawing/2012/chart" uri="{CE6537A1-D6FC-4f65-9D91-7224C49458BB}">
              <c15:layout>
                <c:manualLayout>
                  <c:w val="5.169395860915614E-2"/>
                  <c:h val="9.5094332184636809E-2"/>
                </c:manualLayout>
              </c15:layout>
            </c:ext>
          </c:extLst>
        </c:dLbl>
      </c:pivotFmt>
      <c:pivotFmt>
        <c:idx val="9"/>
        <c:spPr>
          <a:solidFill>
            <a:srgbClr val="00B0F0"/>
          </a:solidFill>
          <a:ln w="9525" cap="flat" cmpd="sng" algn="ctr">
            <a:solidFill>
              <a:schemeClr val="accent5">
                <a:lumMod val="75000"/>
              </a:schemeClr>
            </a:solidFill>
            <a:round/>
          </a:ln>
          <a:effectLst/>
          <a:sp3d contourW="9525">
            <a:contourClr>
              <a:schemeClr val="accent5">
                <a:lumMod val="75000"/>
              </a:schemeClr>
            </a:contourClr>
          </a:sp3d>
        </c:spPr>
        <c:dLbl>
          <c:idx val="0"/>
          <c:layout>
            <c:manualLayout>
              <c:x val="1.2642225031605562E-2"/>
              <c:y val="-1.0926804440817395E-16"/>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5699453008291313"/>
          <c:y val="1.7857151226636309E-2"/>
          <c:w val="0.54300546991708687"/>
          <c:h val="0.97023808128893962"/>
        </c:manualLayout>
      </c:layout>
      <c:bar3DChart>
        <c:barDir val="bar"/>
        <c:grouping val="clustered"/>
        <c:varyColors val="0"/>
        <c:ser>
          <c:idx val="0"/>
          <c:order val="0"/>
          <c:tx>
            <c:strRef>
              <c:f>Visuals!$B$4</c:f>
              <c:strCache>
                <c:ptCount val="1"/>
                <c:pt idx="0">
                  <c:v>Total</c:v>
                </c:pt>
              </c:strCache>
            </c:strRef>
          </c:tx>
          <c:spPr>
            <a:solidFill>
              <a:srgbClr val="00B0F0"/>
            </a:solidFill>
            <a:ln w="9525" cap="flat" cmpd="sng" algn="ctr">
              <a:solidFill>
                <a:schemeClr val="accent5">
                  <a:lumMod val="75000"/>
                </a:schemeClr>
              </a:solidFill>
              <a:round/>
            </a:ln>
            <a:effectLst/>
            <a:sp3d contourW="9525">
              <a:contourClr>
                <a:schemeClr val="accent5">
                  <a:lumMod val="75000"/>
                </a:schemeClr>
              </a:contourClr>
            </a:sp3d>
          </c:spPr>
          <c:invertIfNegative val="0"/>
          <c:dPt>
            <c:idx val="0"/>
            <c:invertIfNegative val="0"/>
            <c:bubble3D val="0"/>
            <c:spPr>
              <a:solidFill>
                <a:srgbClr val="00B0F0"/>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D-BD03-48F4-AFB0-F2783E6CBA1D}"/>
              </c:ext>
            </c:extLst>
          </c:dPt>
          <c:dPt>
            <c:idx val="1"/>
            <c:invertIfNegative val="0"/>
            <c:bubble3D val="0"/>
            <c:spPr>
              <a:solidFill>
                <a:srgbClr val="FF0000"/>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6-2A2B-4114-90A4-43B9FD98870C}"/>
              </c:ext>
            </c:extLst>
          </c:dPt>
          <c:dPt>
            <c:idx val="2"/>
            <c:invertIfNegative val="0"/>
            <c:bubble3D val="0"/>
            <c:spPr>
              <a:solidFill>
                <a:srgbClr val="00B050"/>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5-2A2B-4114-90A4-43B9FD98870C}"/>
              </c:ext>
            </c:extLst>
          </c:dPt>
          <c:dPt>
            <c:idx val="3"/>
            <c:invertIfNegative val="0"/>
            <c:bubble3D val="0"/>
            <c:spPr>
              <a:solidFill>
                <a:srgbClr val="FFFF00"/>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4-2A2B-4114-90A4-43B9FD98870C}"/>
              </c:ext>
            </c:extLst>
          </c:dPt>
          <c:dPt>
            <c:idx val="4"/>
            <c:invertIfNegative val="0"/>
            <c:bubble3D val="0"/>
            <c:spPr>
              <a:solidFill>
                <a:srgbClr val="20D7E0"/>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3-2A2B-4114-90A4-43B9FD98870C}"/>
              </c:ext>
            </c:extLst>
          </c:dPt>
          <c:dPt>
            <c:idx val="5"/>
            <c:invertIfNegative val="0"/>
            <c:bubble3D val="0"/>
            <c:spPr>
              <a:solidFill>
                <a:schemeClr val="accent6">
                  <a:lumMod val="75000"/>
                </a:schemeClr>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2-2A2B-4114-90A4-43B9FD98870C}"/>
              </c:ext>
            </c:extLst>
          </c:dPt>
          <c:dPt>
            <c:idx val="6"/>
            <c:invertIfNegative val="0"/>
            <c:bubble3D val="0"/>
            <c:spPr>
              <a:solidFill>
                <a:srgbClr val="DB19D2"/>
              </a:solidFill>
              <a:ln w="9525" cap="flat" cmpd="sng" algn="ctr">
                <a:solidFill>
                  <a:schemeClr val="accent5">
                    <a:lumMod val="75000"/>
                  </a:schemeClr>
                </a:solidFill>
                <a:round/>
              </a:ln>
              <a:effectLst/>
              <a:sp3d contourW="9525">
                <a:contourClr>
                  <a:schemeClr val="accent5">
                    <a:lumMod val="75000"/>
                  </a:schemeClr>
                </a:contourClr>
              </a:sp3d>
            </c:spPr>
            <c:extLst>
              <c:ext xmlns:c16="http://schemas.microsoft.com/office/drawing/2014/chart" uri="{C3380CC4-5D6E-409C-BE32-E72D297353CC}">
                <c16:uniqueId val="{00000001-2A2B-4114-90A4-43B9FD98870C}"/>
              </c:ext>
            </c:extLst>
          </c:dPt>
          <c:dLbls>
            <c:dLbl>
              <c:idx val="0"/>
              <c:layout>
                <c:manualLayout>
                  <c:x val="1.2642225031605562E-2"/>
                  <c:y val="-1.0926804440817395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D03-48F4-AFB0-F2783E6CBA1D}"/>
                </c:ext>
              </c:extLst>
            </c:dLbl>
            <c:dLbl>
              <c:idx val="1"/>
              <c:layout>
                <c:manualLayout>
                  <c:x val="6.6307492381164701E-3"/>
                  <c:y val="2.3815534396776328E-7"/>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1"/>
              <c:extLst>
                <c:ext xmlns:c15="http://schemas.microsoft.com/office/drawing/2012/chart" uri="{CE6537A1-D6FC-4f65-9D91-7224C49458BB}">
                  <c15:layout>
                    <c:manualLayout>
                      <c:w val="5.169395860915614E-2"/>
                      <c:h val="9.5094332184636809E-2"/>
                    </c:manualLayout>
                  </c15:layout>
                </c:ext>
                <c:ext xmlns:c16="http://schemas.microsoft.com/office/drawing/2014/chart" uri="{C3380CC4-5D6E-409C-BE32-E72D297353CC}">
                  <c16:uniqueId val="{00000006-2A2B-4114-90A4-43B9FD98870C}"/>
                </c:ext>
              </c:extLst>
            </c:dLbl>
            <c:dLbl>
              <c:idx val="3"/>
              <c:layout>
                <c:manualLayout>
                  <c:x val="8.9491701230192972E-3"/>
                  <c:y val="-5.442112094948375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A2B-4114-90A4-43B9FD98870C}"/>
                </c:ext>
              </c:extLst>
            </c:dLbl>
            <c:dLbl>
              <c:idx val="4"/>
              <c:layout>
                <c:manualLayout>
                  <c:x val="6.630749238116470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2B-4114-90A4-43B9FD98870C}"/>
                </c:ext>
              </c:extLst>
            </c:dLbl>
            <c:dLbl>
              <c:idx val="5"/>
              <c:layout>
                <c:manualLayout>
                  <c:x val="6.630749238116470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A2B-4114-90A4-43B9FD98870C}"/>
                </c:ext>
              </c:extLst>
            </c:dLbl>
            <c:dLbl>
              <c:idx val="6"/>
              <c:layout>
                <c:manualLayout>
                  <c:x val="4.4745850615096894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A2B-4114-90A4-43B9FD98870C}"/>
                </c:ext>
              </c:extLst>
            </c:dLbl>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Visuals!$A$5:$A$12</c:f>
              <c:strCache>
                <c:ptCount val="7"/>
                <c:pt idx="0">
                  <c:v>08 FAULT OF 11 KV SYSTEM AT G/STATION</c:v>
                </c:pt>
                <c:pt idx="1">
                  <c:v>10 FAULT IN 11 KV FEEDER DUE TO ACCIDENT</c:v>
                </c:pt>
                <c:pt idx="2">
                  <c:v>15 FAULT IN CONSUMER'S WIRING</c:v>
                </c:pt>
                <c:pt idx="3">
                  <c:v>09 FAULT IN 11 KV FEEDER</c:v>
                </c:pt>
                <c:pt idx="4">
                  <c:v>13 FAULT IN LT LINES</c:v>
                </c:pt>
                <c:pt idx="5">
                  <c:v>12 FAULT IN DISTRIBUTION TRANSFORMER</c:v>
                </c:pt>
                <c:pt idx="6">
                  <c:v>14 FAULT IN CONSUMER'S CABLE &amp; METERS TO CONS</c:v>
                </c:pt>
              </c:strCache>
            </c:strRef>
          </c:cat>
          <c:val>
            <c:numRef>
              <c:f>Visuals!$B$5:$B$12</c:f>
              <c:numCache>
                <c:formatCode>General</c:formatCode>
                <c:ptCount val="7"/>
                <c:pt idx="0">
                  <c:v>1</c:v>
                </c:pt>
                <c:pt idx="1">
                  <c:v>3</c:v>
                </c:pt>
                <c:pt idx="2">
                  <c:v>99</c:v>
                </c:pt>
                <c:pt idx="3">
                  <c:v>115</c:v>
                </c:pt>
                <c:pt idx="4">
                  <c:v>393</c:v>
                </c:pt>
                <c:pt idx="5">
                  <c:v>1849</c:v>
                </c:pt>
                <c:pt idx="6">
                  <c:v>3151</c:v>
                </c:pt>
              </c:numCache>
            </c:numRef>
          </c:val>
          <c:extLst>
            <c:ext xmlns:c16="http://schemas.microsoft.com/office/drawing/2014/chart" uri="{C3380CC4-5D6E-409C-BE32-E72D297353CC}">
              <c16:uniqueId val="{00000000-E842-4EB6-BB26-4F387409E797}"/>
            </c:ext>
          </c:extLst>
        </c:ser>
        <c:dLbls>
          <c:showLegendKey val="0"/>
          <c:showVal val="1"/>
          <c:showCatName val="0"/>
          <c:showSerName val="0"/>
          <c:showPercent val="0"/>
          <c:showBubbleSize val="0"/>
        </c:dLbls>
        <c:gapWidth val="65"/>
        <c:shape val="box"/>
        <c:axId val="1840838752"/>
        <c:axId val="1840842912"/>
        <c:axId val="0"/>
      </c:bar3DChart>
      <c:catAx>
        <c:axId val="1840838752"/>
        <c:scaling>
          <c:orientation val="minMax"/>
        </c:scaling>
        <c:delete val="0"/>
        <c:axPos val="l"/>
        <c:numFmt formatCode="General" sourceLinked="1"/>
        <c:majorTickMark val="none"/>
        <c:minorTickMark val="none"/>
        <c:tickLblPos val="nextTo"/>
        <c:spPr>
          <a:noFill/>
          <a:ln w="19050" cap="flat" cmpd="sng" algn="ctr">
            <a:noFill/>
            <a:round/>
          </a:ln>
          <a:effectLst>
            <a:glow rad="127000">
              <a:schemeClr val="bg1"/>
            </a:glow>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1840842912"/>
        <c:crosses val="autoZero"/>
        <c:auto val="0"/>
        <c:lblAlgn val="ctr"/>
        <c:lblOffset val="100"/>
        <c:noMultiLvlLbl val="0"/>
      </c:catAx>
      <c:valAx>
        <c:axId val="1840842912"/>
        <c:scaling>
          <c:orientation val="minMax"/>
        </c:scaling>
        <c:delete val="1"/>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84083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2021-22.xlsm]Visuals!Year Wise Complaints</c:name>
    <c:fmtId val="24"/>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rgbClr val="DB19D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27470349593886E-3"/>
          <c:y val="1.32456223469484E-4"/>
          <c:w val="0.89060952249042524"/>
          <c:h val="0.90207977601698675"/>
        </c:manualLayout>
      </c:layout>
      <c:pie3DChart>
        <c:varyColors val="1"/>
        <c:ser>
          <c:idx val="0"/>
          <c:order val="0"/>
          <c:tx>
            <c:strRef>
              <c:f>Visuals!$B$42</c:f>
              <c:strCache>
                <c:ptCount val="1"/>
                <c:pt idx="0">
                  <c:v>Total</c:v>
                </c:pt>
              </c:strCache>
            </c:strRef>
          </c:tx>
          <c:dPt>
            <c:idx val="0"/>
            <c:bubble3D val="0"/>
            <c:spPr>
              <a:solidFill>
                <a:srgbClr val="DB19D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E92F-4EB6-A061-AD5CD90A1410}"/>
              </c:ext>
            </c:extLst>
          </c:dPt>
          <c:dPt>
            <c:idx val="1"/>
            <c:bubble3D val="0"/>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E92F-4EB6-A061-AD5CD90A1410}"/>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E92F-4EB6-A061-AD5CD90A1410}"/>
                </c:ext>
              </c:extLst>
            </c:dLbl>
            <c:dLbl>
              <c:idx val="1"/>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E92F-4EB6-A061-AD5CD90A1410}"/>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Visuals!$A$43:$A$45</c:f>
              <c:strCache>
                <c:ptCount val="2"/>
                <c:pt idx="0">
                  <c:v>2021</c:v>
                </c:pt>
                <c:pt idx="1">
                  <c:v>2022</c:v>
                </c:pt>
              </c:strCache>
            </c:strRef>
          </c:cat>
          <c:val>
            <c:numRef>
              <c:f>Visuals!$B$43:$B$45</c:f>
              <c:numCache>
                <c:formatCode>General</c:formatCode>
                <c:ptCount val="2"/>
                <c:pt idx="0">
                  <c:v>2721</c:v>
                </c:pt>
                <c:pt idx="1">
                  <c:v>2890</c:v>
                </c:pt>
              </c:numCache>
            </c:numRef>
          </c:val>
          <c:extLst>
            <c:ext xmlns:c16="http://schemas.microsoft.com/office/drawing/2014/chart" uri="{C3380CC4-5D6E-409C-BE32-E72D297353CC}">
              <c16:uniqueId val="{00000004-E92F-4EB6-A061-AD5CD90A1410}"/>
            </c:ext>
          </c:extLst>
        </c:ser>
        <c:dLbls>
          <c:dLblPos val="inEnd"/>
          <c:showLegendKey val="0"/>
          <c:showVal val="1"/>
          <c:showCatName val="0"/>
          <c:showSerName val="0"/>
          <c:showPercent val="0"/>
          <c:showBubbleSize val="0"/>
          <c:showLeaderLines val="0"/>
        </c:dLbls>
      </c:pie3DChart>
      <c:spPr>
        <a:noFill/>
        <a:ln>
          <a:noFill/>
        </a:ln>
        <a:effectLst/>
      </c:spPr>
    </c:plotArea>
    <c:legend>
      <c:legendPos val="r"/>
      <c:layout>
        <c:manualLayout>
          <c:xMode val="edge"/>
          <c:yMode val="edge"/>
          <c:x val="0.7708290463692038"/>
          <c:y val="0.1567922469419015"/>
          <c:w val="0.13236950102024267"/>
          <c:h val="0.1094742855710060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2021-22.xlsm]Visuals!Shift Wise Complaints</c:name>
    <c:fmtId val="17"/>
  </c:pivotSource>
  <c:chart>
    <c:autoTitleDeleted val="1"/>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5">
                      <a:lumMod val="20000"/>
                      <a:lumOff val="80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9"/>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5">
                      <a:lumMod val="20000"/>
                      <a:lumOff val="80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10"/>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tx>
            <c:rich>
              <a:bodyPr rot="0" spcFirstLastPara="1" vertOverflow="ellipsis" vert="horz" wrap="square" lIns="38100" tIns="19050" rIns="38100" bIns="19050" anchor="ctr" anchorCtr="1">
                <a:spAutoFit/>
              </a:bodyPr>
              <a:lstStyle/>
              <a:p>
                <a:pPr>
                  <a:defRPr sz="1050" b="1" i="0" u="none" strike="noStrike" kern="1200" baseline="0">
                    <a:solidFill>
                      <a:schemeClr val="accent5">
                        <a:lumMod val="20000"/>
                        <a:lumOff val="80000"/>
                      </a:schemeClr>
                    </a:solidFill>
                    <a:latin typeface="+mn-lt"/>
                    <a:ea typeface="+mn-ea"/>
                    <a:cs typeface="+mn-cs"/>
                  </a:defRPr>
                </a:pPr>
                <a:r>
                  <a:rPr lang="en-US" baseline="0"/>
                  <a:t>
</a:t>
                </a:r>
                <a:fld id="{FE6D78DA-B9DF-42F3-86E5-2251341E8890}" type="VALUE">
                  <a:rPr lang="en-US" baseline="0"/>
                  <a:pPr>
                    <a:defRPr sz="1050" b="1">
                      <a:solidFill>
                        <a:schemeClr val="accent5">
                          <a:lumMod val="20000"/>
                          <a:lumOff val="80000"/>
                        </a:schemeClr>
                      </a:solidFill>
                    </a:defRPr>
                  </a:pPr>
                  <a:t>[VALUE]</a:t>
                </a:fld>
                <a:r>
                  <a:rPr lang="en-US" baseline="0"/>
                  <a:t>
</a:t>
                </a:r>
                <a:fld id="{8291CD2B-F10E-49C9-9A41-2A22716AC1C4}" type="PERCENTAGE">
                  <a:rPr lang="en-US" baseline="0"/>
                  <a:pPr>
                    <a:defRPr sz="1050" b="1">
                      <a:solidFill>
                        <a:schemeClr val="accent5">
                          <a:lumMod val="20000"/>
                          <a:lumOff val="80000"/>
                        </a:schemeClr>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5">
                      <a:lumMod val="20000"/>
                      <a:lumOff val="80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dlblFieldTable/>
              <c15:showDataLabelsRange val="0"/>
            </c:ext>
          </c:extLst>
        </c:dLbl>
      </c:pivotFmt>
      <c:pivotFmt>
        <c:idx val="11"/>
        <c:spPr>
          <a:solidFill>
            <a:srgbClr val="DB19D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accent5">
                      <a:lumMod val="20000"/>
                      <a:lumOff val="80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5509217578893828"/>
                  <c:h val="0.22605558248352803"/>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8712618437680264E-2"/>
          <c:y val="7.1023104537292853E-2"/>
          <c:w val="0.91568299023276412"/>
          <c:h val="0.92477194148102104"/>
        </c:manualLayout>
      </c:layout>
      <c:pie3DChart>
        <c:varyColors val="1"/>
        <c:ser>
          <c:idx val="0"/>
          <c:order val="0"/>
          <c:tx>
            <c:strRef>
              <c:f>Visuals!$B$102</c:f>
              <c:strCache>
                <c:ptCount val="1"/>
                <c:pt idx="0">
                  <c:v>Total</c:v>
                </c:pt>
              </c:strCache>
            </c:strRef>
          </c:tx>
          <c:dPt>
            <c:idx val="0"/>
            <c:bubble3D val="0"/>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29E6-41D5-A3BF-143B0D4FE561}"/>
              </c:ext>
            </c:extLst>
          </c:dPt>
          <c:dPt>
            <c:idx val="1"/>
            <c:bubble3D val="0"/>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29E6-41D5-A3BF-143B0D4FE561}"/>
              </c:ext>
            </c:extLst>
          </c:dPt>
          <c:dPt>
            <c:idx val="2"/>
            <c:bubble3D val="0"/>
            <c:spPr>
              <a:solidFill>
                <a:srgbClr val="DB19D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5-29E6-41D5-A3BF-143B0D4FE561}"/>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29E6-41D5-A3BF-143B0D4FE561}"/>
                </c:ext>
              </c:extLst>
            </c:dLbl>
            <c:dLbl>
              <c:idx val="1"/>
              <c:tx>
                <c:rich>
                  <a:bodyPr/>
                  <a:lstStyle/>
                  <a:p>
                    <a:r>
                      <a:rPr lang="en-US" baseline="0"/>
                      <a:t>
</a:t>
                    </a:r>
                    <a:fld id="{FE6D78DA-B9DF-42F3-86E5-2251341E8890}" type="VALUE">
                      <a:rPr lang="en-US" baseline="0"/>
                      <a:pPr/>
                      <a:t>[VALUE]</a:t>
                    </a:fld>
                    <a:r>
                      <a:rPr lang="en-US" baseline="0"/>
                      <a:t>
</a:t>
                    </a:r>
                    <a:fld id="{8291CD2B-F10E-49C9-9A41-2A22716AC1C4}" type="PERCENTAGE">
                      <a:rPr lang="en-US" baseline="0"/>
                      <a:pPr/>
                      <a:t>[PERCENTAGE]</a:t>
                    </a:fld>
                    <a:endParaRPr lang="en-US" baseline="0"/>
                  </a:p>
                </c:rich>
              </c:tx>
              <c:dLblPos val="ctr"/>
              <c:showLegendKey val="0"/>
              <c:showVal val="1"/>
              <c:showCatName val="1"/>
              <c:showSerName val="0"/>
              <c:showPercent val="1"/>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3-29E6-41D5-A3BF-143B0D4FE561}"/>
                </c:ext>
              </c:extLst>
            </c:dLbl>
            <c:dLbl>
              <c:idx val="2"/>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accent5">
                          <a:lumMod val="20000"/>
                          <a:lumOff val="80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5509217578893828"/>
                      <c:h val="0.22605558248352803"/>
                    </c:manualLayout>
                  </c15:layout>
                </c:ext>
                <c:ext xmlns:c16="http://schemas.microsoft.com/office/drawing/2014/chart" uri="{C3380CC4-5D6E-409C-BE32-E72D297353CC}">
                  <c16:uniqueId val="{00000005-29E6-41D5-A3BF-143B0D4FE56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5">
                        <a:lumMod val="20000"/>
                        <a:lumOff val="80000"/>
                      </a:schemeClr>
                    </a:solidFill>
                    <a:latin typeface="+mn-lt"/>
                    <a:ea typeface="+mn-ea"/>
                    <a:cs typeface="+mn-cs"/>
                  </a:defRPr>
                </a:pPr>
                <a:endParaRPr lang="en-US"/>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Visuals!$A$103:$A$106</c:f>
              <c:strCache>
                <c:ptCount val="3"/>
                <c:pt idx="0">
                  <c:v>1st Shift</c:v>
                </c:pt>
                <c:pt idx="1">
                  <c:v>2nd Shift</c:v>
                </c:pt>
                <c:pt idx="2">
                  <c:v>3rd Shift</c:v>
                </c:pt>
              </c:strCache>
            </c:strRef>
          </c:cat>
          <c:val>
            <c:numRef>
              <c:f>Visuals!$B$103:$B$106</c:f>
              <c:numCache>
                <c:formatCode>General</c:formatCode>
                <c:ptCount val="3"/>
                <c:pt idx="0">
                  <c:v>2442</c:v>
                </c:pt>
                <c:pt idx="1">
                  <c:v>2289</c:v>
                </c:pt>
                <c:pt idx="2">
                  <c:v>880</c:v>
                </c:pt>
              </c:numCache>
            </c:numRef>
          </c:val>
          <c:extLst>
            <c:ext xmlns:c16="http://schemas.microsoft.com/office/drawing/2014/chart" uri="{C3380CC4-5D6E-409C-BE32-E72D297353CC}">
              <c16:uniqueId val="{00000006-29E6-41D5-A3BF-143B0D4FE561}"/>
            </c:ext>
          </c:extLst>
        </c:ser>
        <c:dLbls>
          <c:showLegendKey val="0"/>
          <c:showVal val="0"/>
          <c:showCatName val="1"/>
          <c:showSerName val="0"/>
          <c:showPercent val="1"/>
          <c:showBubbleSize val="0"/>
          <c:showLeaderLines val="0"/>
        </c:dLbls>
      </c:pie3DChart>
      <c:spPr>
        <a:noFill/>
        <a:ln>
          <a:noFill/>
        </a:ln>
        <a:effectLst/>
      </c:spPr>
    </c:plotArea>
    <c:legend>
      <c:legendPos val="r"/>
      <c:layout>
        <c:manualLayout>
          <c:xMode val="edge"/>
          <c:yMode val="edge"/>
          <c:x val="0.73114508125884314"/>
          <c:y val="4.3472675152705898E-4"/>
          <c:w val="0.12215272992689458"/>
          <c:h val="0.204330224496354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[Sitara Colony FRO Complaints 2021-22.xlsm]Visuals!Month Wise Complaints</c:name>
    <c:fmtId val="14"/>
  </c:pivotSource>
  <c:chart>
    <c:autoTitleDeleted val="1"/>
    <c:pivotFmts>
      <c:pivotFmt>
        <c:idx val="0"/>
        <c:spPr>
          <a:pattFill prst="ltUpDiag">
            <a:fgClr>
              <a:schemeClr val="accent5"/>
            </a:fgClr>
            <a:bgClr>
              <a:schemeClr val="lt1"/>
            </a:bgClr>
          </a:pattFill>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dLbl>
          <c:idx val="0"/>
          <c:spPr>
            <a:solidFill>
              <a:srgbClr val="4BACC6"/>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5"/>
            </a:fgClr>
            <a:bgClr>
              <a:schemeClr val="lt1"/>
            </a:bgClr>
          </a:pattFill>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dLbl>
          <c:idx val="0"/>
          <c:spPr>
            <a:solidFill>
              <a:srgbClr val="4BACC6"/>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dLbl>
          <c:idx val="0"/>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4"/>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5"/>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6"/>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7"/>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8"/>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9"/>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10"/>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11"/>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12"/>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
        <c:idx val="13"/>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pivotFmt>
    </c:pivotFmts>
    <c:plotArea>
      <c:layout>
        <c:manualLayout>
          <c:layoutTarget val="inner"/>
          <c:xMode val="edge"/>
          <c:yMode val="edge"/>
          <c:x val="3.6447297829483053E-3"/>
          <c:y val="0"/>
          <c:w val="0.99198377198321619"/>
          <c:h val="0.88141947621709305"/>
        </c:manualLayout>
      </c:layout>
      <c:lineChart>
        <c:grouping val="stacked"/>
        <c:varyColors val="0"/>
        <c:ser>
          <c:idx val="0"/>
          <c:order val="0"/>
          <c:tx>
            <c:strRef>
              <c:f>Visuals!$B$78</c:f>
              <c:strCache>
                <c:ptCount val="1"/>
                <c:pt idx="0">
                  <c:v>Total</c:v>
                </c:pt>
              </c:strCache>
            </c:strRef>
          </c:tx>
          <c:spPr>
            <a:ln w="25400" cap="rnd">
              <a:solidFill>
                <a:schemeClr val="lt1"/>
              </a:solidFill>
              <a:round/>
            </a:ln>
            <a:effectLst>
              <a:outerShdw dist="25400" dir="2700000" algn="tl" rotWithShape="0">
                <a:schemeClr val="accent5"/>
              </a:outerShdw>
            </a:effectLst>
          </c:spPr>
          <c:marker>
            <c:symbol val="circle"/>
            <c:size val="14"/>
            <c:spPr>
              <a:solidFill>
                <a:schemeClr val="accent5"/>
              </a:solidFill>
              <a:ln>
                <a:noFill/>
              </a:ln>
              <a:effectLst/>
            </c:spPr>
          </c:marker>
          <c:dLbls>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5">
                          <a:lumMod val="60000"/>
                          <a:lumOff val="40000"/>
                        </a:schemeClr>
                      </a:solidFill>
                    </a:ln>
                    <a:effectLst/>
                  </c:spPr>
                </c15:leaderLines>
              </c:ext>
            </c:extLst>
          </c:dLbls>
          <c:cat>
            <c:strRef>
              <c:f>Visuals!$A$79:$A$91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Visuals!$B$79:$B$91</c:f>
              <c:numCache>
                <c:formatCode>General</c:formatCode>
                <c:ptCount val="12"/>
                <c:pt idx="0">
                  <c:v>437</c:v>
                </c:pt>
                <c:pt idx="1">
                  <c:v>433</c:v>
                </c:pt>
                <c:pt idx="2">
                  <c:v>422</c:v>
                </c:pt>
                <c:pt idx="3">
                  <c:v>460</c:v>
                </c:pt>
                <c:pt idx="4">
                  <c:v>393</c:v>
                </c:pt>
                <c:pt idx="5">
                  <c:v>745</c:v>
                </c:pt>
                <c:pt idx="6">
                  <c:v>702</c:v>
                </c:pt>
                <c:pt idx="7">
                  <c:v>686</c:v>
                </c:pt>
                <c:pt idx="8">
                  <c:v>505</c:v>
                </c:pt>
                <c:pt idx="9">
                  <c:v>384</c:v>
                </c:pt>
                <c:pt idx="10">
                  <c:v>203</c:v>
                </c:pt>
                <c:pt idx="11">
                  <c:v>241</c:v>
                </c:pt>
              </c:numCache>
            </c:numRef>
          </c:val>
          <c:smooth val="0"/>
          <c:extLst>
            <c:ext xmlns:c16="http://schemas.microsoft.com/office/drawing/2014/chart" uri="{C3380CC4-5D6E-409C-BE32-E72D297353CC}">
              <c16:uniqueId val="{00000000-8305-4242-8965-4316620F72DD}"/>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32991744"/>
        <c:axId val="1033006720"/>
      </c:lineChart>
      <c:catAx>
        <c:axId val="1032991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033006720"/>
        <c:crosses val="autoZero"/>
        <c:auto val="1"/>
        <c:lblAlgn val="ctr"/>
        <c:lblOffset val="100"/>
        <c:noMultiLvlLbl val="0"/>
      </c:catAx>
      <c:valAx>
        <c:axId val="1033006720"/>
        <c:scaling>
          <c:orientation val="minMax"/>
        </c:scaling>
        <c:delete val="1"/>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General" sourceLinked="1"/>
        <c:majorTickMark val="none"/>
        <c:minorTickMark val="none"/>
        <c:tickLblPos val="nextTo"/>
        <c:crossAx val="103299174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2021-22.xlsm]Visuals!Quarter Wise Complaints</c:name>
    <c:fmtId val="18"/>
  </c:pivotSource>
  <c:chart>
    <c:autoTitleDeleted val="1"/>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layout>
            <c:manualLayout>
              <c:x val="-1.2229298381720377E-2"/>
              <c:y val="-2.6666364722874626E-1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3056143392856743"/>
                  <c:h val="0.18255213916727597"/>
                </c:manualLayout>
              </c15:layout>
            </c:ext>
          </c:extLst>
        </c:dLbl>
      </c:pivotFmt>
      <c:pivotFmt>
        <c:idx val="12"/>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layout>
            <c:manualLayout>
              <c:x val="-7.4733737891107131E-17"/>
              <c:y val="2.327273260363237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spPr>
          <a:solidFill>
            <a:srgbClr val="DB19D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layout>
            <c:manualLayout>
              <c:x val="4.3547215523569646E-3"/>
              <c:y val="5.8181831509080944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1258634220102929"/>
                  <c:h val="0.16324082480965124"/>
                </c:manualLayout>
              </c15:layout>
            </c:ext>
          </c:extLst>
        </c:dLbl>
      </c:pivotFmt>
      <c:pivotFmt>
        <c:idx val="14"/>
        <c:spPr>
          <a:solidFill>
            <a:schemeClr val="accent6">
              <a:lumMod val="60000"/>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fld id="{91FF5FB2-FCEA-4E59-BDB7-5DE59381641E}" type="VALUE">
                  <a:rPr lang="en-US"/>
                  <a:pPr>
                    <a:defRPr sz="900" b="1" i="0" u="none" strike="noStrike" kern="1200" baseline="0">
                      <a:solidFill>
                        <a:schemeClr val="accent5">
                          <a:lumMod val="20000"/>
                          <a:lumOff val="80000"/>
                        </a:schemeClr>
                      </a:solidFill>
                      <a:latin typeface="+mn-lt"/>
                      <a:ea typeface="+mn-ea"/>
                      <a:cs typeface="+mn-cs"/>
                    </a:defRPr>
                  </a:pPr>
                  <a:t>[VALUE]</a:t>
                </a:fld>
                <a:r>
                  <a:rPr lang="en-US" baseline="0"/>
                  <a:t>, </a:t>
                </a:r>
                <a:fld id="{00216C41-ADCD-4FB1-BE35-C4B71D6C1A79}" type="PERCENTAGE">
                  <a:rPr lang="en-US" baseline="0"/>
                  <a:pPr>
                    <a:defRPr sz="900" b="1" i="0" u="none" strike="noStrike" kern="1200" baseline="0">
                      <a:solidFill>
                        <a:schemeClr val="accent5">
                          <a:lumMod val="20000"/>
                          <a:lumOff val="80000"/>
                        </a:schemeClr>
                      </a:solidFill>
                      <a:latin typeface="+mn-lt"/>
                      <a:ea typeface="+mn-ea"/>
                      <a:cs typeface="+mn-cs"/>
                    </a:defRPr>
                  </a:pPr>
                  <a:t>[PERCENTAGE]</a:t>
                </a:fld>
                <a:endParaRPr lang="en-US" baseline="0"/>
              </a:p>
            </c:rich>
          </c:tx>
          <c:spPr>
            <a:noFill/>
            <a:ln>
              <a:noFill/>
            </a:ln>
            <a:effectLst/>
          </c:sp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s>
    <c:plotArea>
      <c:layout>
        <c:manualLayout>
          <c:layoutTarget val="inner"/>
          <c:xMode val="edge"/>
          <c:yMode val="edge"/>
          <c:x val="7.0097085632585279E-2"/>
          <c:y val="1.8461680353782713E-2"/>
          <c:w val="0.79131814282432844"/>
          <c:h val="0.98153847048408471"/>
        </c:manualLayout>
      </c:layout>
      <c:doughnutChart>
        <c:varyColors val="1"/>
        <c:ser>
          <c:idx val="0"/>
          <c:order val="0"/>
          <c:tx>
            <c:strRef>
              <c:f>Visuals!$B$59</c:f>
              <c:strCache>
                <c:ptCount val="1"/>
                <c:pt idx="0">
                  <c:v>Total</c:v>
                </c:pt>
              </c:strCache>
            </c:strRef>
          </c:tx>
          <c:dPt>
            <c:idx val="0"/>
            <c:bubble3D val="0"/>
            <c:spPr>
              <a:solidFill>
                <a:schemeClr val="accent6">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42A8-4E38-AB30-9362D918AB12}"/>
              </c:ext>
            </c:extLst>
          </c:dPt>
          <c:dPt>
            <c:idx val="1"/>
            <c:bubble3D val="0"/>
            <c:spPr>
              <a:solidFill>
                <a:srgbClr val="20D7E0"/>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42A8-4E38-AB30-9362D918AB12}"/>
              </c:ext>
            </c:extLst>
          </c:dPt>
          <c:dPt>
            <c:idx val="2"/>
            <c:bubble3D val="0"/>
            <c:spPr>
              <a:solidFill>
                <a:srgbClr val="DB19D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5-42A8-4E38-AB30-9362D918AB12}"/>
              </c:ext>
            </c:extLst>
          </c:dPt>
          <c:dPt>
            <c:idx val="3"/>
            <c:bubble3D val="0"/>
            <c:spPr>
              <a:solidFill>
                <a:schemeClr val="accent6">
                  <a:lumMod val="60000"/>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7-42A8-4E38-AB30-9362D918AB12}"/>
              </c:ext>
            </c:extLst>
          </c:dPt>
          <c:dLbls>
            <c:dLbl>
              <c:idx val="0"/>
              <c:layout>
                <c:manualLayout>
                  <c:x val="-1.2229298381720377E-2"/>
                  <c:y val="-2.6666364722874626E-17"/>
                </c:manualLayout>
              </c:layout>
              <c:showLegendKey val="0"/>
              <c:showVal val="1"/>
              <c:showCatName val="0"/>
              <c:showSerName val="0"/>
              <c:showPercent val="1"/>
              <c:showBubbleSize val="0"/>
              <c:extLst>
                <c:ext xmlns:c15="http://schemas.microsoft.com/office/drawing/2012/chart" uri="{CE6537A1-D6FC-4f65-9D91-7224C49458BB}">
                  <c15:layout>
                    <c:manualLayout>
                      <c:w val="0.23056143392856743"/>
                      <c:h val="0.18255213916727597"/>
                    </c:manualLayout>
                  </c15:layout>
                </c:ext>
                <c:ext xmlns:c16="http://schemas.microsoft.com/office/drawing/2014/chart" uri="{C3380CC4-5D6E-409C-BE32-E72D297353CC}">
                  <c16:uniqueId val="{00000001-42A8-4E38-AB30-9362D918AB12}"/>
                </c:ext>
              </c:extLst>
            </c:dLbl>
            <c:dLbl>
              <c:idx val="1"/>
              <c:layout>
                <c:manualLayout>
                  <c:x val="-7.4733737891107131E-17"/>
                  <c:y val="2.3272732603632378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2A8-4E38-AB30-9362D918AB12}"/>
                </c:ext>
              </c:extLst>
            </c:dLbl>
            <c:dLbl>
              <c:idx val="2"/>
              <c:layout>
                <c:manualLayout>
                  <c:x val="4.3547215523569646E-3"/>
                  <c:y val="5.8181831509080944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1258634220102929"/>
                      <c:h val="0.16324082480965124"/>
                    </c:manualLayout>
                  </c15:layout>
                </c:ext>
                <c:ext xmlns:c16="http://schemas.microsoft.com/office/drawing/2014/chart" uri="{C3380CC4-5D6E-409C-BE32-E72D297353CC}">
                  <c16:uniqueId val="{00000005-42A8-4E38-AB30-9362D918AB12}"/>
                </c:ext>
              </c:extLst>
            </c:dLbl>
            <c:dLbl>
              <c:idx val="3"/>
              <c:tx>
                <c:rich>
                  <a:bodyPr/>
                  <a:lstStyle/>
                  <a:p>
                    <a:fld id="{91FF5FB2-FCEA-4E59-BDB7-5DE59381641E}" type="VALUE">
                      <a:rPr lang="en-US"/>
                      <a:pPr/>
                      <a:t>[VALUE]</a:t>
                    </a:fld>
                    <a:r>
                      <a:rPr lang="en-US" baseline="0"/>
                      <a:t>, </a:t>
                    </a:r>
                    <a:fld id="{00216C41-ADCD-4FB1-BE35-C4B71D6C1A79}" type="PERCENTAGE">
                      <a:rPr lang="en-US" baseline="0"/>
                      <a:pPr/>
                      <a:t>[PERCENTAGE]</a:t>
                    </a:fld>
                    <a:endParaRPr lang="en-US" baseline="0"/>
                  </a:p>
                </c:rich>
              </c:tx>
              <c:showLegendKey val="0"/>
              <c:showVal val="1"/>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42A8-4E38-AB30-9362D918AB12}"/>
                </c:ext>
              </c:extLst>
            </c:dLbl>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5">
                        <a:lumMod val="20000"/>
                        <a:lumOff val="80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c15:spPr>
              </c:ext>
            </c:extLst>
          </c:dLbls>
          <c:cat>
            <c:strRef>
              <c:f>Visuals!$A$60:$A$64</c:f>
              <c:strCache>
                <c:ptCount val="4"/>
                <c:pt idx="0">
                  <c:v>Qtr1</c:v>
                </c:pt>
                <c:pt idx="1">
                  <c:v>Qtr2</c:v>
                </c:pt>
                <c:pt idx="2">
                  <c:v>Qtr3</c:v>
                </c:pt>
                <c:pt idx="3">
                  <c:v>Qtr4</c:v>
                </c:pt>
              </c:strCache>
            </c:strRef>
          </c:cat>
          <c:val>
            <c:numRef>
              <c:f>Visuals!$B$60:$B$64</c:f>
              <c:numCache>
                <c:formatCode>General</c:formatCode>
                <c:ptCount val="4"/>
                <c:pt idx="0">
                  <c:v>1292</c:v>
                </c:pt>
                <c:pt idx="1">
                  <c:v>1598</c:v>
                </c:pt>
                <c:pt idx="2">
                  <c:v>1893</c:v>
                </c:pt>
                <c:pt idx="3">
                  <c:v>828</c:v>
                </c:pt>
              </c:numCache>
            </c:numRef>
          </c:val>
          <c:extLst>
            <c:ext xmlns:c16="http://schemas.microsoft.com/office/drawing/2014/chart" uri="{C3380CC4-5D6E-409C-BE32-E72D297353CC}">
              <c16:uniqueId val="{00000008-42A8-4E38-AB30-9362D918AB12}"/>
            </c:ext>
          </c:extLst>
        </c:ser>
        <c:dLbls>
          <c:showLegendKey val="0"/>
          <c:showVal val="1"/>
          <c:showCatName val="1"/>
          <c:showSerName val="0"/>
          <c:showPercent val="0"/>
          <c:showBubbleSize val="0"/>
          <c:showLeaderLines val="0"/>
        </c:dLbls>
        <c:firstSliceAng val="0"/>
        <c:holeSize val="50"/>
      </c:doughnutChart>
      <c:spPr>
        <a:noFill/>
        <a:ln>
          <a:noFill/>
        </a:ln>
        <a:effectLst/>
        <a:scene3d>
          <a:camera prst="orthographicFront"/>
          <a:lightRig rig="threePt" dir="t"/>
        </a:scene3d>
        <a:sp3d>
          <a:bevelT w="165100" prst="coolSlant"/>
        </a:sp3d>
      </c:spPr>
    </c:plotArea>
    <c:legend>
      <c:legendPos val="r"/>
      <c:layout>
        <c:manualLayout>
          <c:xMode val="edge"/>
          <c:yMode val="edge"/>
          <c:x val="0.8237607015450541"/>
          <c:y val="4.1089530475357247E-3"/>
          <c:w val="0.17623929845494601"/>
          <c:h val="0.31190994459025956"/>
        </c:manualLayout>
      </c:layout>
      <c:overlay val="0"/>
      <c:txPr>
        <a:bodyPr/>
        <a:lstStyle/>
        <a:p>
          <a:pPr>
            <a:defRPr>
              <a:solidFill>
                <a:schemeClr val="bg1"/>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2021-22.xlsm]Visuals!PivotTable1</c:name>
    <c:fmtId val="2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sp3d/>
        </c:spPr>
        <c:marker>
          <c:symbol val="none"/>
        </c:marker>
        <c:dLbl>
          <c:idx val="0"/>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0D7E0"/>
          </a:solidFill>
          <a:ln>
            <a:noFill/>
          </a:ln>
          <a:effectLst/>
          <a:sp3d/>
        </c:spPr>
        <c:marker>
          <c:symbol val="none"/>
        </c:marker>
        <c:dLbl>
          <c:idx val="0"/>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B19D2"/>
          </a:solidFill>
          <a:ln>
            <a:noFill/>
          </a:ln>
          <a:effectLst/>
          <a:sp3d/>
        </c:spPr>
        <c:marker>
          <c:symbol val="none"/>
        </c:marker>
        <c:dLbl>
          <c:idx val="0"/>
          <c:spPr>
            <a:solidFill>
              <a:srgbClr val="00B050"/>
            </a:solidFill>
            <a:ln>
              <a:solidFill>
                <a:schemeClr val="tx1">
                  <a:lumMod val="65000"/>
                  <a:lumOff val="3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20D7E0"/>
          </a:solidFill>
          <a:ln>
            <a:noFill/>
          </a:ln>
          <a:effectLst/>
          <a:sp3d/>
        </c:spPr>
        <c:dLbl>
          <c:idx val="0"/>
          <c:layout>
            <c:manualLayout>
              <c:x val="1.1327433808733032E-2"/>
              <c:y val="-2.6170203659549572E-3"/>
            </c:manualLayout>
          </c:layout>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692202205899296E-2"/>
          <c:y val="0.10826025677071255"/>
          <c:w val="0.93668525138812031"/>
          <c:h val="0.74032332687792346"/>
        </c:manualLayout>
      </c:layout>
      <c:bar3DChart>
        <c:barDir val="col"/>
        <c:grouping val="standard"/>
        <c:varyColors val="0"/>
        <c:ser>
          <c:idx val="0"/>
          <c:order val="0"/>
          <c:tx>
            <c:strRef>
              <c:f>Visuals!$B$114:$B$115</c:f>
              <c:strCache>
                <c:ptCount val="1"/>
                <c:pt idx="0">
                  <c:v>1st Shift</c:v>
                </c:pt>
              </c:strCache>
            </c:strRef>
          </c:tx>
          <c:spPr>
            <a:solidFill>
              <a:schemeClr val="accent6"/>
            </a:solidFill>
            <a:ln>
              <a:noFill/>
            </a:ln>
            <a:effectLst/>
            <a:sp3d/>
          </c:spPr>
          <c:invertIfNegative val="0"/>
          <c:dLbls>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Visuals!$A$116:$A$123</c:f>
              <c:strCache>
                <c:ptCount val="7"/>
                <c:pt idx="0">
                  <c:v>08 FAULT OF 11 KV SYSTEM AT G/STATION</c:v>
                </c:pt>
                <c:pt idx="1">
                  <c:v>09 FAULT IN 11 KV FEEDER</c:v>
                </c:pt>
                <c:pt idx="2">
                  <c:v>10 FAULT IN 11 KV FEEDER DUE TO ACCIDENT</c:v>
                </c:pt>
                <c:pt idx="3">
                  <c:v>12 FAULT IN DISTRIBUTION TRANSFORMER</c:v>
                </c:pt>
                <c:pt idx="4">
                  <c:v>13 FAULT IN LT LINES</c:v>
                </c:pt>
                <c:pt idx="5">
                  <c:v>14 FAULT IN CONSUMER'S CABLE &amp; METERS TO CONS</c:v>
                </c:pt>
                <c:pt idx="6">
                  <c:v>15 FAULT IN CONSUMER'S WIRING</c:v>
                </c:pt>
              </c:strCache>
            </c:strRef>
          </c:cat>
          <c:val>
            <c:numRef>
              <c:f>Visuals!$B$116:$B$123</c:f>
              <c:numCache>
                <c:formatCode>_-* #,##0_-;\-* #,##0_-;_-* "-"??_-;_-@_-</c:formatCode>
                <c:ptCount val="7"/>
                <c:pt idx="1">
                  <c:v>138.1759045774792</c:v>
                </c:pt>
                <c:pt idx="2">
                  <c:v>87.57271284958415</c:v>
                </c:pt>
                <c:pt idx="3">
                  <c:v>134.01854645988416</c:v>
                </c:pt>
                <c:pt idx="4">
                  <c:v>137.8489052672823</c:v>
                </c:pt>
                <c:pt idx="5">
                  <c:v>130.68442620411435</c:v>
                </c:pt>
                <c:pt idx="6">
                  <c:v>157.92395383233955</c:v>
                </c:pt>
              </c:numCache>
            </c:numRef>
          </c:val>
          <c:extLst>
            <c:ext xmlns:c16="http://schemas.microsoft.com/office/drawing/2014/chart" uri="{C3380CC4-5D6E-409C-BE32-E72D297353CC}">
              <c16:uniqueId val="{00000000-6EC9-4D4F-91F4-3D12A5070993}"/>
            </c:ext>
          </c:extLst>
        </c:ser>
        <c:ser>
          <c:idx val="1"/>
          <c:order val="1"/>
          <c:tx>
            <c:strRef>
              <c:f>Visuals!$C$114:$C$115</c:f>
              <c:strCache>
                <c:ptCount val="1"/>
                <c:pt idx="0">
                  <c:v>2nd Shift</c:v>
                </c:pt>
              </c:strCache>
            </c:strRef>
          </c:tx>
          <c:spPr>
            <a:solidFill>
              <a:srgbClr val="20D7E0"/>
            </a:solidFill>
            <a:ln>
              <a:noFill/>
            </a:ln>
            <a:effectLst/>
            <a:sp3d/>
          </c:spPr>
          <c:invertIfNegative val="0"/>
          <c:dPt>
            <c:idx val="2"/>
            <c:invertIfNegative val="0"/>
            <c:bubble3D val="0"/>
            <c:spPr>
              <a:solidFill>
                <a:srgbClr val="20D7E0"/>
              </a:solidFill>
              <a:ln>
                <a:noFill/>
              </a:ln>
              <a:effectLst/>
              <a:sp3d/>
            </c:spPr>
          </c:dPt>
          <c:dLbls>
            <c:dLbl>
              <c:idx val="2"/>
              <c:layout>
                <c:manualLayout>
                  <c:x val="1.1327433808733032E-2"/>
                  <c:y val="-2.6170203659549572E-3"/>
                </c:manualLayout>
              </c:layout>
              <c:showLegendKey val="0"/>
              <c:showVal val="1"/>
              <c:showCatName val="0"/>
              <c:showSerName val="0"/>
              <c:showPercent val="0"/>
              <c:showBubbleSize val="0"/>
              <c:extLst>
                <c:ext xmlns:c15="http://schemas.microsoft.com/office/drawing/2012/chart" uri="{CE6537A1-D6FC-4f65-9D91-7224C49458BB}"/>
              </c:extLst>
            </c:dLbl>
            <c:spPr>
              <a:solidFill>
                <a:srgbClr val="00B050"/>
              </a:solidFill>
              <a:ln>
                <a:solidFill>
                  <a:schemeClr val="tx1">
                    <a:lumMod val="75000"/>
                    <a:lumOff val="2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Visuals!$A$116:$A$123</c:f>
              <c:strCache>
                <c:ptCount val="7"/>
                <c:pt idx="0">
                  <c:v>08 FAULT OF 11 KV SYSTEM AT G/STATION</c:v>
                </c:pt>
                <c:pt idx="1">
                  <c:v>09 FAULT IN 11 KV FEEDER</c:v>
                </c:pt>
                <c:pt idx="2">
                  <c:v>10 FAULT IN 11 KV FEEDER DUE TO ACCIDENT</c:v>
                </c:pt>
                <c:pt idx="3">
                  <c:v>12 FAULT IN DISTRIBUTION TRANSFORMER</c:v>
                </c:pt>
                <c:pt idx="4">
                  <c:v>13 FAULT IN LT LINES</c:v>
                </c:pt>
                <c:pt idx="5">
                  <c:v>14 FAULT IN CONSUMER'S CABLE &amp; METERS TO CONS</c:v>
                </c:pt>
                <c:pt idx="6">
                  <c:v>15 FAULT IN CONSUMER'S WIRING</c:v>
                </c:pt>
              </c:strCache>
            </c:strRef>
          </c:cat>
          <c:val>
            <c:numRef>
              <c:f>Visuals!$C$116:$C$123</c:f>
              <c:numCache>
                <c:formatCode>_-* #,##0_-;\-* #,##0_-;_-* "-"??_-;_-@_-</c:formatCode>
                <c:ptCount val="7"/>
                <c:pt idx="0">
                  <c:v>80</c:v>
                </c:pt>
                <c:pt idx="1">
                  <c:v>159.55316396731945</c:v>
                </c:pt>
                <c:pt idx="2">
                  <c:v>76.595744680471626</c:v>
                </c:pt>
                <c:pt idx="3">
                  <c:v>143.54923898538527</c:v>
                </c:pt>
                <c:pt idx="4">
                  <c:v>139.42851643123231</c:v>
                </c:pt>
                <c:pt idx="5">
                  <c:v>128.65283288682477</c:v>
                </c:pt>
                <c:pt idx="6">
                  <c:v>152.31925220872395</c:v>
                </c:pt>
              </c:numCache>
            </c:numRef>
          </c:val>
          <c:extLst>
            <c:ext xmlns:c16="http://schemas.microsoft.com/office/drawing/2014/chart" uri="{C3380CC4-5D6E-409C-BE32-E72D297353CC}">
              <c16:uniqueId val="{00000003-FB9A-4ADF-8C65-9162D670127A}"/>
            </c:ext>
          </c:extLst>
        </c:ser>
        <c:ser>
          <c:idx val="2"/>
          <c:order val="2"/>
          <c:tx>
            <c:strRef>
              <c:f>Visuals!$D$114:$D$115</c:f>
              <c:strCache>
                <c:ptCount val="1"/>
                <c:pt idx="0">
                  <c:v>3rd Shift</c:v>
                </c:pt>
              </c:strCache>
            </c:strRef>
          </c:tx>
          <c:spPr>
            <a:solidFill>
              <a:srgbClr val="DB19D2"/>
            </a:solidFill>
            <a:ln>
              <a:noFill/>
            </a:ln>
            <a:effectLst/>
            <a:sp3d/>
          </c:spPr>
          <c:invertIfNegative val="0"/>
          <c:dLbls>
            <c:spPr>
              <a:solidFill>
                <a:srgbClr val="00B050"/>
              </a:solidFill>
              <a:ln>
                <a:solidFill>
                  <a:schemeClr val="tx1">
                    <a:lumMod val="65000"/>
                    <a:lumOff val="35000"/>
                  </a:schemeClr>
                </a:solidFill>
              </a:ln>
              <a:effectLst>
                <a:glow rad="63500">
                  <a:schemeClr val="accent3">
                    <a:satMod val="175000"/>
                    <a:alpha val="40000"/>
                  </a:schemeClr>
                </a:glow>
                <a:outerShdw blurRad="63500" dist="88900" dir="3000000" algn="ctr" rotWithShape="0">
                  <a:srgbClr val="000000">
                    <a:alpha val="40000"/>
                  </a:srgb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Visuals!$A$116:$A$123</c:f>
              <c:strCache>
                <c:ptCount val="7"/>
                <c:pt idx="0">
                  <c:v>08 FAULT OF 11 KV SYSTEM AT G/STATION</c:v>
                </c:pt>
                <c:pt idx="1">
                  <c:v>09 FAULT IN 11 KV FEEDER</c:v>
                </c:pt>
                <c:pt idx="2">
                  <c:v>10 FAULT IN 11 KV FEEDER DUE TO ACCIDENT</c:v>
                </c:pt>
                <c:pt idx="3">
                  <c:v>12 FAULT IN DISTRIBUTION TRANSFORMER</c:v>
                </c:pt>
                <c:pt idx="4">
                  <c:v>13 FAULT IN LT LINES</c:v>
                </c:pt>
                <c:pt idx="5">
                  <c:v>14 FAULT IN CONSUMER'S CABLE &amp; METERS TO CONS</c:v>
                </c:pt>
                <c:pt idx="6">
                  <c:v>15 FAULT IN CONSUMER'S WIRING</c:v>
                </c:pt>
              </c:strCache>
            </c:strRef>
          </c:cat>
          <c:val>
            <c:numRef>
              <c:f>Visuals!$D$116:$D$123</c:f>
              <c:numCache>
                <c:formatCode>_-* #,##0_-;\-* #,##0_-;_-* "-"??_-;_-@_-</c:formatCode>
                <c:ptCount val="7"/>
                <c:pt idx="1">
                  <c:v>201.99648507648297</c:v>
                </c:pt>
                <c:pt idx="3">
                  <c:v>202.23452395084522</c:v>
                </c:pt>
                <c:pt idx="4">
                  <c:v>218.75959309302414</c:v>
                </c:pt>
                <c:pt idx="5">
                  <c:v>179.04733976333242</c:v>
                </c:pt>
                <c:pt idx="6">
                  <c:v>157.29883674498848</c:v>
                </c:pt>
              </c:numCache>
            </c:numRef>
          </c:val>
          <c:extLst>
            <c:ext xmlns:c16="http://schemas.microsoft.com/office/drawing/2014/chart" uri="{C3380CC4-5D6E-409C-BE32-E72D297353CC}">
              <c16:uniqueId val="{00000004-FB9A-4ADF-8C65-9162D670127A}"/>
            </c:ext>
          </c:extLst>
        </c:ser>
        <c:dLbls>
          <c:showLegendKey val="0"/>
          <c:showVal val="0"/>
          <c:showCatName val="0"/>
          <c:showSerName val="0"/>
          <c:showPercent val="0"/>
          <c:showBubbleSize val="0"/>
        </c:dLbls>
        <c:gapWidth val="150"/>
        <c:shape val="box"/>
        <c:axId val="1236735775"/>
        <c:axId val="1236736607"/>
        <c:axId val="1236301215"/>
      </c:bar3DChart>
      <c:catAx>
        <c:axId val="12367357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736607"/>
        <c:crosses val="autoZero"/>
        <c:auto val="1"/>
        <c:lblAlgn val="ctr"/>
        <c:lblOffset val="100"/>
        <c:noMultiLvlLbl val="0"/>
      </c:catAx>
      <c:valAx>
        <c:axId val="123673660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735775"/>
        <c:crosses val="autoZero"/>
        <c:crossBetween val="between"/>
      </c:valAx>
      <c:serAx>
        <c:axId val="1236301215"/>
        <c:scaling>
          <c:orientation val="minMax"/>
        </c:scaling>
        <c:delete val="1"/>
        <c:axPos val="b"/>
        <c:majorTickMark val="none"/>
        <c:minorTickMark val="none"/>
        <c:tickLblPos val="nextTo"/>
        <c:crossAx val="1236736607"/>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[Sitara Colony FRO Complaints 2021-22.xlsm]Visuals!Batch Wise Comlaints</c:name>
    <c:fmtId val="13"/>
  </c:pivotSource>
  <c:chart>
    <c:autoTitleDeleted val="1"/>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marker>
          <c:symbol val="none"/>
        </c:marker>
        <c:dLbl>
          <c:idx val="0"/>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4"/>
        <c:spPr>
          <a:solidFill>
            <a:srgbClr val="1005EF">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5"/>
        <c:spPr>
          <a:solidFill>
            <a:srgbClr val="DB19D2">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dLbl>
          <c:idx val="0"/>
          <c:layout>
            <c:manualLayout>
              <c:x val="-2.9969854353046511E-17"/>
              <c:y val="0"/>
            </c:manualLayout>
          </c:layout>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7"/>
        <c:spPr>
          <a:solidFill>
            <a:schemeClr val="tx2">
              <a:lumMod val="60000"/>
              <a:lumOff val="40000"/>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dLbl>
          <c:idx val="0"/>
          <c:layout>
            <c:manualLayout>
              <c:x val="6.5389528510606748E-3"/>
              <c:y val="0"/>
            </c:manualLayout>
          </c:layout>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dLbl>
          <c:idx val="0"/>
          <c:layout>
            <c:manualLayout>
              <c:x val="0"/>
              <c:y val="0"/>
            </c:manualLayout>
          </c:layout>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5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dLbl>
          <c:idx val="0"/>
          <c:layout>
            <c:manualLayout>
              <c:x val="0"/>
              <c:y val="0"/>
            </c:manualLayout>
          </c:layout>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1"/>
        <c:spPr>
          <a:solidFill>
            <a:srgbClr val="92D05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2"/>
        <c:spPr>
          <a:solidFill>
            <a:srgbClr val="FFFF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3"/>
        <c:spPr>
          <a:solidFill>
            <a:srgbClr val="FFC0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4"/>
        <c:spPr>
          <a:solidFill>
            <a:srgbClr val="00B0F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5"/>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6"/>
        <c:spPr>
          <a:solidFill>
            <a:srgbClr val="20D7E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7"/>
        <c:spPr>
          <a:solidFill>
            <a:schemeClr val="accent2">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18"/>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dLbl>
          <c:idx val="0"/>
          <c:layout>
            <c:manualLayout>
              <c:x val="0"/>
              <c:y val="-5.3444677814861747E-3"/>
            </c:manualLayout>
          </c:layout>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20D7E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20"/>
        <c:spPr>
          <a:solidFill>
            <a:srgbClr val="DB19D2">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
        <c:idx val="21"/>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pivotFmt>
    </c:pivotFmts>
    <c:view3D>
      <c:rotX val="15"/>
      <c:rotY val="20"/>
      <c:depthPercent val="100"/>
      <c:rAngAx val="1"/>
    </c:view3D>
    <c:floor>
      <c:thickness val="0"/>
      <c:spPr>
        <a:solidFill>
          <a:schemeClr val="accent5">
            <a:lumMod val="50000"/>
            <a:alpha val="27000"/>
          </a:schemeClr>
        </a:solidFill>
        <a:ln>
          <a:noFill/>
        </a:ln>
        <a:effectLst>
          <a:outerShdw blurRad="50800" dist="38100" dir="13500000" algn="br" rotWithShape="0">
            <a:prstClr val="black">
              <a:alpha val="40000"/>
            </a:prstClr>
          </a:outerShdw>
        </a:effectLst>
        <a:scene3d>
          <a:camera prst="orthographicFront"/>
          <a:lightRig rig="threePt" dir="t"/>
        </a:scene3d>
        <a:sp3d prstMaterial="powder">
          <a:bevelT prst="angle"/>
          <a:bevelB w="114300" prst="artDeco"/>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9088614138451774E-2"/>
          <c:y val="0.12839668540581428"/>
          <c:w val="0.94612533576493141"/>
          <c:h val="0.8219364072412193"/>
        </c:manualLayout>
      </c:layout>
      <c:bar3DChart>
        <c:barDir val="col"/>
        <c:grouping val="standard"/>
        <c:varyColors val="0"/>
        <c:ser>
          <c:idx val="0"/>
          <c:order val="0"/>
          <c:tx>
            <c:strRef>
              <c:f>Visuals!$B$18</c:f>
              <c:strCache>
                <c:ptCount val="1"/>
                <c:pt idx="0">
                  <c:v>Total</c:v>
                </c:pt>
              </c:strCache>
            </c:strRef>
          </c:tx>
          <c:spPr>
            <a:solidFill>
              <a:srgbClr val="00B05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invertIfNegative val="0"/>
          <c:dPt>
            <c:idx val="0"/>
            <c:invertIfNegative val="0"/>
            <c:bubble3D val="0"/>
            <c:spPr>
              <a:solidFill>
                <a:srgbClr val="C000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2-98CD-4684-81A8-A4C870841672}"/>
              </c:ext>
            </c:extLst>
          </c:dPt>
          <c:dPt>
            <c:idx val="1"/>
            <c:invertIfNegative val="0"/>
            <c:bubble3D val="0"/>
            <c:spPr>
              <a:solidFill>
                <a:srgbClr val="1005EF">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3-98CD-4684-81A8-A4C870841672}"/>
              </c:ext>
            </c:extLst>
          </c:dPt>
          <c:dPt>
            <c:idx val="2"/>
            <c:invertIfNegative val="0"/>
            <c:bubble3D val="0"/>
            <c:spPr>
              <a:solidFill>
                <a:srgbClr val="DB19D2">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4-98CD-4684-81A8-A4C870841672}"/>
              </c:ext>
            </c:extLst>
          </c:dPt>
          <c:dPt>
            <c:idx val="3"/>
            <c:invertIfNegative val="0"/>
            <c:bubble3D val="0"/>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5-98CD-4684-81A8-A4C870841672}"/>
              </c:ext>
            </c:extLst>
          </c:dPt>
          <c:dPt>
            <c:idx val="4"/>
            <c:invertIfNegative val="0"/>
            <c:bubble3D val="0"/>
            <c:spPr>
              <a:solidFill>
                <a:schemeClr val="tx2">
                  <a:lumMod val="60000"/>
                  <a:lumOff val="40000"/>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6-98CD-4684-81A8-A4C870841672}"/>
              </c:ext>
            </c:extLst>
          </c:dPt>
          <c:dPt>
            <c:idx val="5"/>
            <c:invertIfNegative val="0"/>
            <c:bubble3D val="0"/>
            <c:spPr>
              <a:solidFill>
                <a:srgbClr val="FF00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7-98CD-4684-81A8-A4C870841672}"/>
              </c:ext>
            </c:extLst>
          </c:dPt>
          <c:dPt>
            <c:idx val="6"/>
            <c:invertIfNegative val="0"/>
            <c:bubble3D val="0"/>
            <c:spPr>
              <a:solidFill>
                <a:srgbClr val="00B05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8-98CD-4684-81A8-A4C870841672}"/>
              </c:ext>
            </c:extLst>
          </c:dPt>
          <c:dPt>
            <c:idx val="7"/>
            <c:invertIfNegative val="0"/>
            <c:bubble3D val="0"/>
            <c:spPr>
              <a:solidFill>
                <a:schemeClr val="accent4">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9-98CD-4684-81A8-A4C870841672}"/>
              </c:ext>
            </c:extLst>
          </c:dPt>
          <c:dPt>
            <c:idx val="8"/>
            <c:invertIfNegative val="0"/>
            <c:bubble3D val="0"/>
            <c:spPr>
              <a:solidFill>
                <a:srgbClr val="92D05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A-98CD-4684-81A8-A4C870841672}"/>
              </c:ext>
            </c:extLst>
          </c:dPt>
          <c:dPt>
            <c:idx val="9"/>
            <c:invertIfNegative val="0"/>
            <c:bubble3D val="0"/>
            <c:spPr>
              <a:solidFill>
                <a:srgbClr val="FFFF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B-98CD-4684-81A8-A4C870841672}"/>
              </c:ext>
            </c:extLst>
          </c:dPt>
          <c:dPt>
            <c:idx val="10"/>
            <c:invertIfNegative val="0"/>
            <c:bubble3D val="0"/>
            <c:spPr>
              <a:solidFill>
                <a:srgbClr val="FFC00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C-98CD-4684-81A8-A4C870841672}"/>
              </c:ext>
            </c:extLst>
          </c:dPt>
          <c:dPt>
            <c:idx val="11"/>
            <c:invertIfNegative val="0"/>
            <c:bubble3D val="0"/>
            <c:spPr>
              <a:solidFill>
                <a:srgbClr val="00B0F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D-98CD-4684-81A8-A4C870841672}"/>
              </c:ext>
            </c:extLst>
          </c:dPt>
          <c:dPt>
            <c:idx val="12"/>
            <c:invertIfNegative val="0"/>
            <c:bubble3D val="0"/>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E-98CD-4684-81A8-A4C870841672}"/>
              </c:ext>
            </c:extLst>
          </c:dPt>
          <c:dPt>
            <c:idx val="13"/>
            <c:invertIfNegative val="0"/>
            <c:bubble3D val="0"/>
            <c:spPr>
              <a:solidFill>
                <a:srgbClr val="20D7E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0F-98CD-4684-81A8-A4C870841672}"/>
              </c:ext>
            </c:extLst>
          </c:dPt>
          <c:dPt>
            <c:idx val="14"/>
            <c:invertIfNegative val="0"/>
            <c:bubble3D val="0"/>
            <c:spPr>
              <a:solidFill>
                <a:schemeClr val="accent2">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10-98CD-4684-81A8-A4C870841672}"/>
              </c:ext>
            </c:extLst>
          </c:dPt>
          <c:dPt>
            <c:idx val="15"/>
            <c:invertIfNegative val="0"/>
            <c:bubble3D val="0"/>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11-98CD-4684-81A8-A4C870841672}"/>
              </c:ext>
            </c:extLst>
          </c:dPt>
          <c:dPt>
            <c:idx val="16"/>
            <c:invertIfNegative val="0"/>
            <c:bubble3D val="0"/>
            <c:spPr>
              <a:solidFill>
                <a:srgbClr val="20D7E0">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12-98CD-4684-81A8-A4C870841672}"/>
              </c:ext>
            </c:extLst>
          </c:dPt>
          <c:dPt>
            <c:idx val="17"/>
            <c:invertIfNegative val="0"/>
            <c:bubble3D val="0"/>
            <c:spPr>
              <a:solidFill>
                <a:srgbClr val="DB19D2">
                  <a:alpha val="88000"/>
                </a:srgb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13-98CD-4684-81A8-A4C870841672}"/>
              </c:ext>
            </c:extLst>
          </c:dPt>
          <c:dPt>
            <c:idx val="18"/>
            <c:invertIfNegative val="0"/>
            <c:bubble3D val="0"/>
            <c:spPr>
              <a:solidFill>
                <a:schemeClr val="accent6">
                  <a:alpha val="88000"/>
                </a:schemeClr>
              </a:solidFill>
              <a:ln>
                <a:solidFill>
                  <a:schemeClr val="tx2">
                    <a:lumMod val="50000"/>
                  </a:schemeClr>
                </a:solidFill>
              </a:ln>
              <a:effectLst/>
              <a:scene3d>
                <a:camera prst="orthographicFront"/>
                <a:lightRig rig="threePt" dir="t"/>
              </a:scene3d>
              <a:sp3d prstMaterial="flat">
                <a:contourClr>
                  <a:schemeClr val="tx2">
                    <a:lumMod val="50000"/>
                  </a:schemeClr>
                </a:contourClr>
              </a:sp3d>
            </c:spPr>
            <c:extLst>
              <c:ext xmlns:c16="http://schemas.microsoft.com/office/drawing/2014/chart" uri="{C3380CC4-5D6E-409C-BE32-E72D297353CC}">
                <c16:uniqueId val="{00000025-60FE-48A1-9025-B5E759EB1235}"/>
              </c:ext>
            </c:extLst>
          </c:dPt>
          <c:dLbls>
            <c:dLbl>
              <c:idx val="2"/>
              <c:layout>
                <c:manualLayout>
                  <c:x val="-2.9969854353046511E-17"/>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8CD-4684-81A8-A4C870841672}"/>
                </c:ext>
              </c:extLst>
            </c:dLbl>
            <c:dLbl>
              <c:idx val="4"/>
              <c:layout>
                <c:manualLayout>
                  <c:x val="6.5389528510606748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8CD-4684-81A8-A4C870841672}"/>
                </c:ext>
              </c:extLst>
            </c:dLbl>
            <c:dLbl>
              <c:idx val="5"/>
              <c:layout>
                <c:manualLayout>
                  <c:x val="0"/>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8CD-4684-81A8-A4C870841672}"/>
                </c:ext>
              </c:extLst>
            </c:dLbl>
            <c:dLbl>
              <c:idx val="6"/>
              <c:layout>
                <c:manualLayout>
                  <c:x val="0"/>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8CD-4684-81A8-A4C870841672}"/>
                </c:ext>
              </c:extLst>
            </c:dLbl>
            <c:dLbl>
              <c:idx val="15"/>
              <c:layout>
                <c:manualLayout>
                  <c:x val="0"/>
                  <c:y val="-5.344467781486174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8CD-4684-81A8-A4C870841672}"/>
                </c:ext>
              </c:extLst>
            </c:dLbl>
            <c:spPr>
              <a:solidFill>
                <a:srgbClr val="00B050"/>
              </a:solidFill>
              <a:ln>
                <a:solidFill>
                  <a:schemeClr val="tx1">
                    <a:lumMod val="75000"/>
                    <a:lumOff val="25000"/>
                    <a:alpha val="50000"/>
                  </a:schemeClr>
                </a:solidFill>
                <a:round/>
              </a:ln>
              <a:effectLst>
                <a:glow rad="63500">
                  <a:schemeClr val="accent3">
                    <a:satMod val="175000"/>
                    <a:alpha val="40000"/>
                  </a:schemeClr>
                </a:glow>
                <a:outerShdw blurRad="63500" dist="88900" dir="3000000" algn="tl" rotWithShape="0">
                  <a:prstClr val="black">
                    <a:alpha val="40000"/>
                  </a:prstClr>
                </a:outerShdw>
              </a:effectLst>
              <a:scene3d>
                <a:camera prst="orthographicFront"/>
                <a:lightRig rig="threePt" dir="t"/>
              </a:scene3d>
              <a:sp3d>
                <a:bevelT w="114300" prst="artDeco"/>
              </a:sp3d>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Visuals!$A$19:$A$38</c:f>
              <c:strCach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17</c:v>
                </c:pt>
                <c:pt idx="16">
                  <c:v>27</c:v>
                </c:pt>
                <c:pt idx="17">
                  <c:v>44</c:v>
                </c:pt>
                <c:pt idx="18">
                  <c:v>46</c:v>
                </c:pt>
              </c:strCache>
            </c:strRef>
          </c:cat>
          <c:val>
            <c:numRef>
              <c:f>Visuals!$B$19:$B$38</c:f>
              <c:numCache>
                <c:formatCode>General</c:formatCode>
                <c:ptCount val="19"/>
                <c:pt idx="0">
                  <c:v>484</c:v>
                </c:pt>
                <c:pt idx="1">
                  <c:v>317</c:v>
                </c:pt>
                <c:pt idx="2">
                  <c:v>689</c:v>
                </c:pt>
                <c:pt idx="3">
                  <c:v>151</c:v>
                </c:pt>
                <c:pt idx="4">
                  <c:v>230</c:v>
                </c:pt>
                <c:pt idx="5">
                  <c:v>474</c:v>
                </c:pt>
                <c:pt idx="6">
                  <c:v>597</c:v>
                </c:pt>
                <c:pt idx="7">
                  <c:v>255</c:v>
                </c:pt>
                <c:pt idx="8">
                  <c:v>191</c:v>
                </c:pt>
                <c:pt idx="9">
                  <c:v>363</c:v>
                </c:pt>
                <c:pt idx="10">
                  <c:v>388</c:v>
                </c:pt>
                <c:pt idx="11">
                  <c:v>500</c:v>
                </c:pt>
                <c:pt idx="12">
                  <c:v>388</c:v>
                </c:pt>
                <c:pt idx="13">
                  <c:v>359</c:v>
                </c:pt>
                <c:pt idx="14">
                  <c:v>196</c:v>
                </c:pt>
                <c:pt idx="15">
                  <c:v>3</c:v>
                </c:pt>
                <c:pt idx="16">
                  <c:v>10</c:v>
                </c:pt>
                <c:pt idx="17">
                  <c:v>4</c:v>
                </c:pt>
                <c:pt idx="18">
                  <c:v>12</c:v>
                </c:pt>
              </c:numCache>
            </c:numRef>
          </c:val>
          <c:extLst>
            <c:ext xmlns:c16="http://schemas.microsoft.com/office/drawing/2014/chart" uri="{C3380CC4-5D6E-409C-BE32-E72D297353CC}">
              <c16:uniqueId val="{00000000-98CD-4684-81A8-A4C870841672}"/>
            </c:ext>
          </c:extLst>
        </c:ser>
        <c:dLbls>
          <c:showLegendKey val="0"/>
          <c:showVal val="1"/>
          <c:showCatName val="0"/>
          <c:showSerName val="0"/>
          <c:showPercent val="0"/>
          <c:showBubbleSize val="0"/>
        </c:dLbls>
        <c:gapWidth val="21"/>
        <c:gapDepth val="288"/>
        <c:shape val="box"/>
        <c:axId val="971167200"/>
        <c:axId val="971167616"/>
        <c:axId val="903866352"/>
      </c:bar3DChart>
      <c:catAx>
        <c:axId val="971167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71167616"/>
        <c:crosses val="autoZero"/>
        <c:auto val="1"/>
        <c:lblAlgn val="ctr"/>
        <c:lblOffset val="100"/>
        <c:noMultiLvlLbl val="0"/>
      </c:catAx>
      <c:valAx>
        <c:axId val="971167616"/>
        <c:scaling>
          <c:orientation val="minMax"/>
        </c:scaling>
        <c:delete val="0"/>
        <c:axPos val="l"/>
        <c:majorGridlines>
          <c:spPr>
            <a:ln w="9525">
              <a:solidFill>
                <a:schemeClr val="lt1">
                  <a:lumMod val="50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71167200"/>
        <c:crosses val="autoZero"/>
        <c:crossBetween val="between"/>
      </c:valAx>
      <c:serAx>
        <c:axId val="903866352"/>
        <c:scaling>
          <c:orientation val="minMax"/>
        </c:scaling>
        <c:delete val="1"/>
        <c:axPos val="b"/>
        <c:majorTickMark val="none"/>
        <c:minorTickMark val="none"/>
        <c:tickLblPos val="nextTo"/>
        <c:crossAx val="971167616"/>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8">
  <a:schemeClr val="accent5"/>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257175</xdr:colOff>
      <xdr:row>1</xdr:row>
      <xdr:rowOff>119062</xdr:rowOff>
    </xdr:from>
    <xdr:to>
      <xdr:col>12</xdr:col>
      <xdr:colOff>161925</xdr:colOff>
      <xdr:row>16</xdr:row>
      <xdr:rowOff>4762</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476249</xdr:colOff>
      <xdr:row>19</xdr:row>
      <xdr:rowOff>38100</xdr:rowOff>
    </xdr:from>
    <xdr:to>
      <xdr:col>12</xdr:col>
      <xdr:colOff>409574</xdr:colOff>
      <xdr:row>37</xdr:row>
      <xdr:rowOff>133349</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257174</xdr:colOff>
      <xdr:row>54</xdr:row>
      <xdr:rowOff>114300</xdr:rowOff>
    </xdr:from>
    <xdr:to>
      <xdr:col>11</xdr:col>
      <xdr:colOff>404811</xdr:colOff>
      <xdr:row>68</xdr:row>
      <xdr:rowOff>19049</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9525</xdr:colOff>
      <xdr:row>74</xdr:row>
      <xdr:rowOff>47625</xdr:rowOff>
    </xdr:from>
    <xdr:to>
      <xdr:col>15</xdr:col>
      <xdr:colOff>0</xdr:colOff>
      <xdr:row>92</xdr:row>
      <xdr:rowOff>104775</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314325</xdr:colOff>
      <xdr:row>94</xdr:row>
      <xdr:rowOff>14287</xdr:rowOff>
    </xdr:from>
    <xdr:to>
      <xdr:col>10</xdr:col>
      <xdr:colOff>9525</xdr:colOff>
      <xdr:row>108</xdr:row>
      <xdr:rowOff>90487</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152400</xdr:colOff>
      <xdr:row>39</xdr:row>
      <xdr:rowOff>14287</xdr:rowOff>
    </xdr:from>
    <xdr:to>
      <xdr:col>12</xdr:col>
      <xdr:colOff>457200</xdr:colOff>
      <xdr:row>53</xdr:row>
      <xdr:rowOff>90487</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504825</xdr:colOff>
      <xdr:row>110</xdr:row>
      <xdr:rowOff>23812</xdr:rowOff>
    </xdr:from>
    <xdr:to>
      <xdr:col>13</xdr:col>
      <xdr:colOff>200025</xdr:colOff>
      <xdr:row>124</xdr:row>
      <xdr:rowOff>100012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198438</xdr:colOff>
      <xdr:row>0</xdr:row>
      <xdr:rowOff>0</xdr:rowOff>
    </xdr:from>
    <xdr:to>
      <xdr:col>22</xdr:col>
      <xdr:colOff>307578</xdr:colOff>
      <xdr:row>5</xdr:row>
      <xdr:rowOff>128985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645547" y="0"/>
          <a:ext cx="7977187" cy="1071563"/>
        </a:xfrm>
        <a:prstGeom prst="rect">
          <a:avLst/>
        </a:prstGeom>
        <a:solidFill>
          <a:schemeClr val="tx2">
            <a:lumMod val="50000"/>
          </a:schemeClr>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bg1"/>
              </a:solidFill>
            </a:rPr>
            <a:t>            </a:t>
          </a:r>
          <a:r>
            <a:rPr lang="en-US" sz="2000">
              <a:solidFill>
                <a:schemeClr val="bg1"/>
              </a:solidFill>
              <a:latin typeface="Times New Roman" panose="02020603050405020304" pitchFamily="18" charset="0"/>
              <a:cs typeface="Times New Roman" panose="02020603050405020304" pitchFamily="18" charset="0"/>
            </a:rPr>
            <a:t> </a:t>
          </a:r>
          <a:r>
            <a:rPr lang="en-US" sz="2000" b="1">
              <a:solidFill>
                <a:schemeClr val="bg1"/>
              </a:solidFill>
              <a:latin typeface="Times New Roman" panose="02020603050405020304" pitchFamily="18" charset="0"/>
              <a:cs typeface="Times New Roman" panose="02020603050405020304" pitchFamily="18" charset="0"/>
            </a:rPr>
            <a:t> </a:t>
          </a:r>
          <a:r>
            <a:rPr lang="en-US" sz="2000" b="1">
              <a:blipFill>
                <a:blip xmlns:r="http://schemas.openxmlformats.org/officeDocument/2006/relationships" r:embed="rId1"/>
                <a:tile tx="0" ty="0" sx="100000" sy="100000" flip="none" algn="tl"/>
              </a:blipFill>
              <a:latin typeface="Times New Roman" panose="02020603050405020304" pitchFamily="18" charset="0"/>
              <a:cs typeface="Times New Roman" panose="02020603050405020304" pitchFamily="18" charset="0"/>
            </a:rPr>
            <a:t>LAHORE ELECTRIC</a:t>
          </a:r>
          <a:r>
            <a:rPr lang="en-US" sz="2000" b="1" baseline="0">
              <a:blipFill>
                <a:blip xmlns:r="http://schemas.openxmlformats.org/officeDocument/2006/relationships" r:embed="rId1"/>
                <a:tile tx="0" ty="0" sx="100000" sy="100000" flip="none" algn="tl"/>
              </a:blipFill>
              <a:latin typeface="Times New Roman" panose="02020603050405020304" pitchFamily="18" charset="0"/>
              <a:cs typeface="Times New Roman" panose="02020603050405020304" pitchFamily="18" charset="0"/>
            </a:rPr>
            <a:t> SUPPLY COMPANY LTD. </a:t>
          </a:r>
        </a:p>
        <a:p>
          <a:pPr algn="l"/>
          <a:r>
            <a:rPr lang="en-US" sz="2000" b="1" baseline="0">
              <a:blipFill>
                <a:blip xmlns:r="http://schemas.openxmlformats.org/officeDocument/2006/relationships" r:embed="rId1"/>
                <a:tile tx="0" ty="0" sx="100000" sy="100000" flip="none" algn="tl"/>
              </a:blipFill>
              <a:latin typeface="Times New Roman" panose="02020603050405020304" pitchFamily="18" charset="0"/>
              <a:cs typeface="Times New Roman" panose="02020603050405020304" pitchFamily="18" charset="0"/>
            </a:rPr>
            <a:t>                                   SITARA  COLONY SUB DIVISION (11527)</a:t>
          </a:r>
        </a:p>
        <a:p>
          <a:pPr algn="ctr"/>
          <a:r>
            <a:rPr lang="en-US" sz="2000" b="1" baseline="0">
              <a:blipFill>
                <a:blip xmlns:r="http://schemas.openxmlformats.org/officeDocument/2006/relationships" r:embed="rId1"/>
                <a:tile tx="0" ty="0" sx="100000" sy="100000" flip="none" algn="tl"/>
              </a:blipFill>
              <a:latin typeface="Times New Roman" panose="02020603050405020304" pitchFamily="18" charset="0"/>
              <a:cs typeface="Times New Roman" panose="02020603050405020304" pitchFamily="18" charset="0"/>
            </a:rPr>
            <a:t>                    FRO COMPLAINTS </a:t>
          </a:r>
          <a:r>
            <a:rPr lang="en-US" sz="2000" b="1" baseline="0">
              <a:blipFill>
                <a:blip xmlns:r="http://schemas.openxmlformats.org/officeDocument/2006/relationships" r:embed="rId1"/>
                <a:tile tx="0" ty="0" sx="100000" sy="100000" flip="none" algn="tl"/>
              </a:blipFill>
              <a:effectLst/>
              <a:latin typeface="Times New Roman" panose="02020603050405020304" pitchFamily="18" charset="0"/>
              <a:ea typeface="+mn-ea"/>
              <a:cs typeface="Times New Roman" panose="02020603050405020304" pitchFamily="18" charset="0"/>
            </a:rPr>
            <a:t>(2021-22)</a:t>
          </a:r>
          <a:r>
            <a:rPr lang="en-US" sz="2000" b="1" baseline="0">
              <a:blipFill>
                <a:blip xmlns:r="http://schemas.openxmlformats.org/officeDocument/2006/relationships" r:embed="rId1"/>
                <a:tile tx="0" ty="0" sx="100000" sy="100000" flip="none" algn="tl"/>
              </a:blipFill>
              <a:latin typeface="Times New Roman" panose="02020603050405020304" pitchFamily="18" charset="0"/>
              <a:cs typeface="Times New Roman" panose="02020603050405020304" pitchFamily="18" charset="0"/>
            </a:rPr>
            <a:t> DETAILED ANALYSIS </a:t>
          </a:r>
          <a:endParaRPr lang="en-PK" sz="2000" b="1">
            <a:blipFill>
              <a:blip xmlns:r="http://schemas.openxmlformats.org/officeDocument/2006/relationships" r:embed="rId1"/>
              <a:tile tx="0" ty="0" sx="100000" sy="100000" flip="none" algn="tl"/>
            </a:blipFill>
            <a:latin typeface="Times New Roman" panose="02020603050405020304" pitchFamily="18" charset="0"/>
            <a:cs typeface="Times New Roman" panose="02020603050405020304" pitchFamily="18" charset="0"/>
          </a:endParaRPr>
        </a:p>
      </xdr:txBody>
    </xdr:sp>
    <xdr:clientData/>
  </xdr:twoCellAnchor>
  <xdr:twoCellAnchor editAs="oneCell">
    <xdr:from>
      <xdr:col>9</xdr:col>
      <xdr:colOff>213520</xdr:colOff>
      <xdr:row>0</xdr:row>
      <xdr:rowOff>38894</xdr:rowOff>
    </xdr:from>
    <xdr:to>
      <xdr:col>11</xdr:col>
      <xdr:colOff>51594</xdr:colOff>
      <xdr:row>5</xdr:row>
      <xdr:rowOff>115093</xdr:rowOff>
    </xdr:to>
    <xdr:pic>
      <xdr:nvPicPr>
        <xdr:cNvPr id="3" name="Picture 2">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rcRect/>
        <a:stretch>
          <a:fillRect/>
        </a:stretch>
      </xdr:blipFill>
      <xdr:spPr>
        <a:xfrm>
          <a:off x="5660629" y="38894"/>
          <a:ext cx="1048543" cy="1018777"/>
        </a:xfrm>
        <a:prstGeom prst="rect">
          <a:avLst/>
        </a:prstGeom>
        <a:noFill/>
        <a:ln w="9525">
          <a:solidFill>
            <a:schemeClr val="bg1"/>
          </a:solidFill>
          <a:miter lim="800000"/>
        </a:ln>
        <a:scene3d>
          <a:camera prst="orthographicFront"/>
          <a:lightRig rig="threePt" dir="t"/>
        </a:scene3d>
        <a:sp3d>
          <a:bevelT w="165100" prst="coolSlant"/>
        </a:sp3d>
      </xdr:spPr>
    </xdr:pic>
    <xdr:clientData/>
  </xdr:twoCellAnchor>
  <xdr:twoCellAnchor editAs="absolute">
    <xdr:from>
      <xdr:col>2</xdr:col>
      <xdr:colOff>178595</xdr:colOff>
      <xdr:row>0</xdr:row>
      <xdr:rowOff>9128</xdr:rowOff>
    </xdr:from>
    <xdr:to>
      <xdr:col>4</xdr:col>
      <xdr:colOff>337740</xdr:colOff>
      <xdr:row>3</xdr:row>
      <xdr:rowOff>84357</xdr:rowOff>
    </xdr:to>
    <mc:AlternateContent xmlns:mc="http://schemas.openxmlformats.org/markup-compatibility/2006" xmlns:a14="http://schemas.microsoft.com/office/drawing/2010/main">
      <mc:Choice Requires="a14">
        <xdr:graphicFrame macro="">
          <xdr:nvGraphicFramePr>
            <xdr:cNvPr id="11" name="Shifts 1">
              <a:extLst>
                <a:ext uri="{FF2B5EF4-FFF2-40B4-BE49-F238E27FC236}">
                  <a16:creationId xmlns:a16="http://schemas.microsoft.com/office/drawing/2014/main" id="{00000000-0008-0000-0200-00000B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hifts 1"/>
            </a:graphicData>
          </a:graphic>
        </xdr:graphicFrame>
      </mc:Choice>
      <mc:Fallback xmlns="">
        <xdr:sp macro="" textlink="">
          <xdr:nvSpPr>
            <xdr:cNvPr id="0" name=""/>
            <xdr:cNvSpPr>
              <a:spLocks noTextEdit="1"/>
            </xdr:cNvSpPr>
          </xdr:nvSpPr>
          <xdr:spPr>
            <a:xfrm>
              <a:off x="1319608" y="9128"/>
              <a:ext cx="1439069" cy="640776"/>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3</xdr:row>
      <xdr:rowOff>79377</xdr:rowOff>
    </xdr:from>
    <xdr:to>
      <xdr:col>4</xdr:col>
      <xdr:colOff>347265</xdr:colOff>
      <xdr:row>9</xdr:row>
      <xdr:rowOff>99220</xdr:rowOff>
    </xdr:to>
    <mc:AlternateContent xmlns:mc="http://schemas.openxmlformats.org/markup-compatibility/2006" xmlns:tsle="http://schemas.microsoft.com/office/drawing/2012/timeslicer">
      <mc:Choice Requires="tsle">
        <xdr:graphicFrame macro="">
          <xdr:nvGraphicFramePr>
            <xdr:cNvPr id="14" name="TIMELINE">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microsoft.com/office/drawing/2012/timeslicer">
              <tsle:timeslicer name="TIMELINE"/>
            </a:graphicData>
          </a:graphic>
        </xdr:graphicFrame>
      </mc:Choice>
      <mc:Fallback xmlns="">
        <xdr:sp macro="" textlink="">
          <xdr:nvSpPr>
            <xdr:cNvPr id="0" name=""/>
            <xdr:cNvSpPr>
              <a:spLocks noTextEdit="1"/>
            </xdr:cNvSpPr>
          </xdr:nvSpPr>
          <xdr:spPr>
            <a:xfrm>
              <a:off x="0" y="644924"/>
              <a:ext cx="2768203" cy="1150937"/>
            </a:xfrm>
            <a:prstGeom prst="rect">
              <a:avLst/>
            </a:prstGeom>
            <a:solidFill>
              <a:prstClr val="white"/>
            </a:solidFill>
            <a:ln w="1">
              <a:solidFill>
                <a:prstClr val="green"/>
              </a:solidFill>
            </a:ln>
          </xdr:spPr>
          <xdr:txBody>
            <a:bodyPr vertOverflow="clip" horzOverflow="clip"/>
            <a:lstStyle/>
            <a:p>
              <a:r>
                <a:rPr lang="en-PK" sz="1100"/>
                <a:t>Timeline: Works in Excel 2013 or higher. Do not move or resize.</a:t>
              </a:r>
            </a:p>
          </xdr:txBody>
        </xdr:sp>
      </mc:Fallback>
    </mc:AlternateContent>
    <xdr:clientData fLocksWithSheet="0"/>
  </xdr:twoCellAnchor>
  <xdr:twoCellAnchor editAs="absolute">
    <xdr:from>
      <xdr:col>0</xdr:col>
      <xdr:colOff>0</xdr:colOff>
      <xdr:row>0</xdr:row>
      <xdr:rowOff>1</xdr:rowOff>
    </xdr:from>
    <xdr:to>
      <xdr:col>2</xdr:col>
      <xdr:colOff>218280</xdr:colOff>
      <xdr:row>3</xdr:row>
      <xdr:rowOff>79375</xdr:rowOff>
    </xdr:to>
    <mc:AlternateContent xmlns:mc="http://schemas.openxmlformats.org/markup-compatibility/2006" xmlns:a14="http://schemas.microsoft.com/office/drawing/2010/main">
      <mc:Choice Requires="a14">
        <xdr:graphicFrame macro="">
          <xdr:nvGraphicFramePr>
            <xdr:cNvPr id="17" name="Batch NO. 2">
              <a:extLst>
                <a:ext uri="{FF2B5EF4-FFF2-40B4-BE49-F238E27FC236}">
                  <a16:creationId xmlns:a16="http://schemas.microsoft.com/office/drawing/2014/main" id="{00000000-0008-0000-0200-000011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Batch NO. 2"/>
            </a:graphicData>
          </a:graphic>
        </xdr:graphicFrame>
      </mc:Choice>
      <mc:Fallback xmlns="">
        <xdr:sp macro="" textlink="">
          <xdr:nvSpPr>
            <xdr:cNvPr id="0" name=""/>
            <xdr:cNvSpPr>
              <a:spLocks noTextEdit="1"/>
            </xdr:cNvSpPr>
          </xdr:nvSpPr>
          <xdr:spPr>
            <a:xfrm>
              <a:off x="1" y="1"/>
              <a:ext cx="1309978" cy="644921"/>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357187</xdr:colOff>
      <xdr:row>0</xdr:row>
      <xdr:rowOff>19844</xdr:rowOff>
    </xdr:from>
    <xdr:to>
      <xdr:col>9</xdr:col>
      <xdr:colOff>178594</xdr:colOff>
      <xdr:row>18</xdr:row>
      <xdr:rowOff>69453</xdr:rowOff>
    </xdr:to>
    <xdr:sp macro="" textlink="">
      <xdr:nvSpPr>
        <xdr:cNvPr id="18" name="Rectangle 17">
          <a:extLst>
            <a:ext uri="{FF2B5EF4-FFF2-40B4-BE49-F238E27FC236}">
              <a16:creationId xmlns:a16="http://schemas.microsoft.com/office/drawing/2014/main" id="{00000000-0008-0000-0200-000012000000}"/>
            </a:ext>
          </a:extLst>
        </xdr:cNvPr>
        <xdr:cNvSpPr/>
      </xdr:nvSpPr>
      <xdr:spPr>
        <a:xfrm>
          <a:off x="2778125" y="19844"/>
          <a:ext cx="2847578" cy="3442890"/>
        </a:xfrm>
        <a:prstGeom prst="rect">
          <a:avLst/>
        </a:prstGeom>
        <a:solidFill>
          <a:schemeClr val="accent5"/>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           </a:t>
          </a:r>
          <a:r>
            <a:rPr lang="en-US" sz="1400" b="1">
              <a:blipFill>
                <a:blip xmlns:r="http://schemas.openxmlformats.org/officeDocument/2006/relationships" r:embed="rId1"/>
                <a:tile tx="0" ty="0" sx="100000" sy="100000" flip="none" algn="tl"/>
              </a:blipFill>
              <a:latin typeface="Arial Black" panose="020B0A04020102020204" pitchFamily="34" charset="0"/>
            </a:rPr>
            <a:t>TOTAL COMPLAINTS</a:t>
          </a:r>
          <a:r>
            <a:rPr lang="en-US" sz="1100" b="1">
              <a:blipFill>
                <a:blip xmlns:r="http://schemas.openxmlformats.org/officeDocument/2006/relationships" r:embed="rId1"/>
                <a:tile tx="0" ty="0" sx="100000" sy="100000" flip="none" algn="tl"/>
              </a:blipFill>
            </a:rPr>
            <a:t> </a:t>
          </a:r>
          <a:r>
            <a:rPr lang="en-US" sz="1100" b="1"/>
            <a:t> </a:t>
          </a:r>
          <a:endParaRPr lang="en-PK" sz="1100" b="1"/>
        </a:p>
      </xdr:txBody>
    </xdr:sp>
    <xdr:clientData/>
  </xdr:twoCellAnchor>
  <xdr:twoCellAnchor editAs="absolute">
    <xdr:from>
      <xdr:col>0</xdr:col>
      <xdr:colOff>9525</xdr:colOff>
      <xdr:row>18</xdr:row>
      <xdr:rowOff>69452</xdr:rowOff>
    </xdr:from>
    <xdr:to>
      <xdr:col>9</xdr:col>
      <xdr:colOff>307579</xdr:colOff>
      <xdr:row>31</xdr:row>
      <xdr:rowOff>168672</xdr:rowOff>
    </xdr:to>
    <xdr:sp macro="" textlink="">
      <xdr:nvSpPr>
        <xdr:cNvPr id="20" name="Rectangle 19">
          <a:extLst>
            <a:ext uri="{FF2B5EF4-FFF2-40B4-BE49-F238E27FC236}">
              <a16:creationId xmlns:a16="http://schemas.microsoft.com/office/drawing/2014/main" id="{00000000-0008-0000-0200-000014000000}"/>
            </a:ext>
          </a:extLst>
        </xdr:cNvPr>
        <xdr:cNvSpPr/>
      </xdr:nvSpPr>
      <xdr:spPr>
        <a:xfrm>
          <a:off x="9525" y="3462733"/>
          <a:ext cx="5745163" cy="2549923"/>
        </a:xfrm>
        <a:prstGeom prst="rect">
          <a:avLst/>
        </a:prstGeom>
        <a:solidFill>
          <a:schemeClr val="tx2">
            <a:lumMod val="50000"/>
          </a:schemeClr>
        </a:solidFill>
        <a:ln>
          <a:solidFill>
            <a:schemeClr val="bg1"/>
          </a:solidFill>
        </a:ln>
        <a:scene3d>
          <a:camera prst="orthographicFront"/>
          <a:lightRig rig="freezing" dir="t"/>
        </a:scene3d>
        <a:sp3d>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2000"/>
            <a:t> </a:t>
          </a:r>
          <a:r>
            <a:rPr lang="en-US" sz="2000" b="1" baseline="0">
              <a:blipFill>
                <a:blip xmlns:r="http://schemas.openxmlformats.org/officeDocument/2006/relationships" r:embed="rId1"/>
                <a:tile tx="0" ty="0" sx="100000" sy="100000" flip="none" algn="tl"/>
              </a:blipFill>
              <a:latin typeface="+mn-lt"/>
              <a:cs typeface="Times New Roman" panose="02020603050405020304" pitchFamily="18" charset="0"/>
            </a:rPr>
            <a:t>COMPLAINTS BY CATEGORIES</a:t>
          </a:r>
          <a:endParaRPr lang="en-PK" sz="2000" b="1">
            <a:blipFill>
              <a:blip xmlns:r="http://schemas.openxmlformats.org/officeDocument/2006/relationships" r:embed="rId1"/>
              <a:tile tx="0" ty="0" sx="100000" sy="100000" flip="none" algn="tl"/>
            </a:blipFill>
            <a:latin typeface="+mn-lt"/>
            <a:cs typeface="Times New Roman" panose="02020603050405020304" pitchFamily="18" charset="0"/>
          </a:endParaRPr>
        </a:p>
      </xdr:txBody>
    </xdr:sp>
    <xdr:clientData/>
  </xdr:twoCellAnchor>
  <xdr:twoCellAnchor>
    <xdr:from>
      <xdr:col>0</xdr:col>
      <xdr:colOff>28575</xdr:colOff>
      <xdr:row>20</xdr:row>
      <xdr:rowOff>29765</xdr:rowOff>
    </xdr:from>
    <xdr:to>
      <xdr:col>9</xdr:col>
      <xdr:colOff>257970</xdr:colOff>
      <xdr:row>31</xdr:row>
      <xdr:rowOff>95251</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496093</xdr:colOff>
      <xdr:row>1</xdr:row>
      <xdr:rowOff>128985</xdr:rowOff>
    </xdr:from>
    <xdr:to>
      <xdr:col>9</xdr:col>
      <xdr:colOff>79375</xdr:colOff>
      <xdr:row>17</xdr:row>
      <xdr:rowOff>99219</xdr:rowOff>
    </xdr:to>
    <xdr:sp macro="" textlink="Visuals!B13">
      <xdr:nvSpPr>
        <xdr:cNvPr id="10" name="TextBox 9">
          <a:extLst>
            <a:ext uri="{FF2B5EF4-FFF2-40B4-BE49-F238E27FC236}">
              <a16:creationId xmlns:a16="http://schemas.microsoft.com/office/drawing/2014/main" id="{00000000-0008-0000-0200-00000A000000}"/>
            </a:ext>
          </a:extLst>
        </xdr:cNvPr>
        <xdr:cNvSpPr txBox="1"/>
      </xdr:nvSpPr>
      <xdr:spPr>
        <a:xfrm>
          <a:off x="2917031" y="317501"/>
          <a:ext cx="2609453" cy="2986484"/>
        </a:xfrm>
        <a:prstGeom prst="rect">
          <a:avLst/>
        </a:prstGeom>
        <a:solidFill>
          <a:schemeClr val="tx2">
            <a:lumMod val="50000"/>
          </a:schemeClr>
        </a:solidFill>
        <a:ln w="9525" cmpd="sng">
          <a:solidFill>
            <a:schemeClr val="lt1">
              <a:shade val="50000"/>
            </a:schemeClr>
          </a:solidFill>
        </a:ln>
        <a:scene3d>
          <a:camera prst="orthographicFront"/>
          <a:lightRig rig="freezing" dir="t"/>
        </a:scene3d>
        <a:sp3d>
          <a:bevelT w="165100" prst="coolSlan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6FE0FC-0704-4AA7-A0C2-D3E689FB9E92}" type="TxLink">
            <a:rPr lang="en-US" sz="9400" b="1" i="0" u="none" strike="noStrike">
              <a:solidFill>
                <a:schemeClr val="bg1"/>
              </a:solidFill>
              <a:effectLst>
                <a:glow rad="63500">
                  <a:schemeClr val="accent5">
                    <a:satMod val="175000"/>
                    <a:alpha val="40000"/>
                  </a:schemeClr>
                </a:glow>
              </a:effectLst>
              <a:latin typeface="Calibri"/>
              <a:cs typeface="Calibri"/>
            </a:rPr>
            <a:pPr algn="ctr"/>
            <a:t>5611</a:t>
          </a:fld>
          <a:endParaRPr lang="en-PK" sz="9400" b="1">
            <a:solidFill>
              <a:schemeClr val="bg1"/>
            </a:solidFill>
            <a:effectLst>
              <a:glow rad="63500">
                <a:schemeClr val="accent5">
                  <a:satMod val="175000"/>
                  <a:alpha val="40000"/>
                </a:schemeClr>
              </a:glow>
            </a:effectLst>
          </a:endParaRPr>
        </a:p>
      </xdr:txBody>
    </xdr:sp>
    <xdr:clientData/>
  </xdr:twoCellAnchor>
  <xdr:twoCellAnchor>
    <xdr:from>
      <xdr:col>9</xdr:col>
      <xdr:colOff>188515</xdr:colOff>
      <xdr:row>5</xdr:row>
      <xdr:rowOff>138906</xdr:rowOff>
    </xdr:from>
    <xdr:to>
      <xdr:col>16</xdr:col>
      <xdr:colOff>9922</xdr:colOff>
      <xdr:row>18</xdr:row>
      <xdr:rowOff>76994</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635624" y="1081484"/>
          <a:ext cx="4058048" cy="2388791"/>
        </a:xfrm>
        <a:prstGeom prst="rect">
          <a:avLst/>
        </a:prstGeom>
        <a:solidFill>
          <a:schemeClr val="tx2">
            <a:lumMod val="50000"/>
          </a:schemeClr>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blipFill>
                <a:blip xmlns:r="http://schemas.openxmlformats.org/officeDocument/2006/relationships" r:embed="rId1"/>
                <a:tile tx="0" ty="0" sx="100000" sy="100000" flip="none" algn="tl"/>
              </a:blipFill>
            </a:rPr>
            <a:t>COMPLAINTS BY SHIFTS</a:t>
          </a:r>
          <a:r>
            <a:rPr lang="en-US" sz="1400" b="1"/>
            <a:t>  </a:t>
          </a:r>
          <a:endParaRPr lang="en-PK" sz="1400" b="1"/>
        </a:p>
      </xdr:txBody>
    </xdr:sp>
    <xdr:clientData/>
  </xdr:twoCellAnchor>
  <xdr:twoCellAnchor>
    <xdr:from>
      <xdr:col>16</xdr:col>
      <xdr:colOff>29766</xdr:colOff>
      <xdr:row>5</xdr:row>
      <xdr:rowOff>138906</xdr:rowOff>
    </xdr:from>
    <xdr:to>
      <xdr:col>21</xdr:col>
      <xdr:colOff>257971</xdr:colOff>
      <xdr:row>18</xdr:row>
      <xdr:rowOff>138905</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9713516" y="1081484"/>
          <a:ext cx="3254377" cy="2450702"/>
        </a:xfrm>
        <a:prstGeom prst="rect">
          <a:avLst/>
        </a:prstGeom>
        <a:solidFill>
          <a:schemeClr val="tx2">
            <a:lumMod val="50000"/>
          </a:schemeClr>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              </a:t>
          </a:r>
          <a:r>
            <a:rPr lang="en-US" sz="1400" b="1">
              <a:blipFill>
                <a:blip xmlns:r="http://schemas.openxmlformats.org/officeDocument/2006/relationships" r:embed="rId1"/>
                <a:tile tx="0" ty="0" sx="100000" sy="100000" flip="none" algn="tl"/>
              </a:blipFill>
            </a:rPr>
            <a:t> COMPLAINTS BY YEARS</a:t>
          </a:r>
          <a:endParaRPr lang="en-PK" sz="1400" b="1">
            <a:blipFill>
              <a:blip xmlns:r="http://schemas.openxmlformats.org/officeDocument/2006/relationships" r:embed="rId1"/>
              <a:tile tx="0" ty="0" sx="100000" sy="100000" flip="none" algn="tl"/>
            </a:blipFill>
          </a:endParaRPr>
        </a:p>
      </xdr:txBody>
    </xdr:sp>
    <xdr:clientData/>
  </xdr:twoCellAnchor>
  <xdr:twoCellAnchor>
    <xdr:from>
      <xdr:col>16</xdr:col>
      <xdr:colOff>69453</xdr:colOff>
      <xdr:row>3</xdr:row>
      <xdr:rowOff>138906</xdr:rowOff>
    </xdr:from>
    <xdr:to>
      <xdr:col>21</xdr:col>
      <xdr:colOff>585391</xdr:colOff>
      <xdr:row>25</xdr:row>
      <xdr:rowOff>119063</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208359</xdr:colOff>
      <xdr:row>6</xdr:row>
      <xdr:rowOff>59531</xdr:rowOff>
    </xdr:from>
    <xdr:to>
      <xdr:col>17</xdr:col>
      <xdr:colOff>218282</xdr:colOff>
      <xdr:row>18</xdr:row>
      <xdr:rowOff>148828</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337342</xdr:colOff>
      <xdr:row>18</xdr:row>
      <xdr:rowOff>89297</xdr:rowOff>
    </xdr:from>
    <xdr:to>
      <xdr:col>25</xdr:col>
      <xdr:colOff>515937</xdr:colOff>
      <xdr:row>31</xdr:row>
      <xdr:rowOff>158749</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5784451" y="3482578"/>
          <a:ext cx="9862345" cy="2520155"/>
        </a:xfrm>
        <a:prstGeom prst="rect">
          <a:avLst/>
        </a:prstGeom>
        <a:solidFill>
          <a:schemeClr val="tx2">
            <a:lumMod val="50000"/>
          </a:schemeClr>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2000" b="1"/>
            <a:t>                    </a:t>
          </a:r>
          <a:r>
            <a:rPr lang="en-US" sz="2000" b="1">
              <a:blipFill>
                <a:blip xmlns:r="http://schemas.openxmlformats.org/officeDocument/2006/relationships" r:embed="rId1"/>
                <a:tile tx="0" ty="0" sx="100000" sy="100000" flip="none" algn="tl"/>
              </a:blipFill>
            </a:rPr>
            <a:t>COMPLAINTS BY MONTHS</a:t>
          </a:r>
          <a:endParaRPr lang="en-PK" sz="2000" b="1">
            <a:blipFill>
              <a:blip xmlns:r="http://schemas.openxmlformats.org/officeDocument/2006/relationships" r:embed="rId1"/>
              <a:tile tx="0" ty="0" sx="100000" sy="100000" flip="none" algn="tl"/>
            </a:blipFill>
          </a:endParaRPr>
        </a:p>
      </xdr:txBody>
    </xdr:sp>
    <xdr:clientData/>
  </xdr:twoCellAnchor>
  <xdr:twoCellAnchor>
    <xdr:from>
      <xdr:col>9</xdr:col>
      <xdr:colOff>357188</xdr:colOff>
      <xdr:row>20</xdr:row>
      <xdr:rowOff>148828</xdr:rowOff>
    </xdr:from>
    <xdr:to>
      <xdr:col>25</xdr:col>
      <xdr:colOff>426641</xdr:colOff>
      <xdr:row>31</xdr:row>
      <xdr:rowOff>128985</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277813</xdr:colOff>
      <xdr:row>5</xdr:row>
      <xdr:rowOff>138907</xdr:rowOff>
    </xdr:from>
    <xdr:to>
      <xdr:col>25</xdr:col>
      <xdr:colOff>525860</xdr:colOff>
      <xdr:row>18</xdr:row>
      <xdr:rowOff>69454</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12987735" y="1081485"/>
          <a:ext cx="2668984" cy="2381250"/>
        </a:xfrm>
        <a:prstGeom prst="rect">
          <a:avLst/>
        </a:prstGeom>
        <a:solidFill>
          <a:schemeClr val="tx2">
            <a:lumMod val="50000"/>
          </a:schemeClr>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latin typeface="+mn-lt"/>
            </a:rPr>
            <a:t>          </a:t>
          </a:r>
          <a:r>
            <a:rPr lang="en-US" sz="1200" b="1">
              <a:blipFill>
                <a:blip xmlns:r="http://schemas.openxmlformats.org/officeDocument/2006/relationships" r:embed="rId1"/>
                <a:tile tx="0" ty="0" sx="100000" sy="100000" flip="none" algn="tl"/>
              </a:blipFill>
              <a:latin typeface="+mn-lt"/>
            </a:rPr>
            <a:t>COMPLAINTS BY QUARTERS</a:t>
          </a:r>
          <a:endParaRPr lang="en-PK" sz="1200" b="1">
            <a:blipFill>
              <a:blip xmlns:r="http://schemas.openxmlformats.org/officeDocument/2006/relationships" r:embed="rId1"/>
              <a:tile tx="0" ty="0" sx="100000" sy="100000" flip="none" algn="tl"/>
            </a:blipFill>
            <a:latin typeface="+mn-lt"/>
          </a:endParaRPr>
        </a:p>
      </xdr:txBody>
    </xdr:sp>
    <xdr:clientData/>
  </xdr:twoCellAnchor>
  <xdr:twoCellAnchor>
    <xdr:from>
      <xdr:col>21</xdr:col>
      <xdr:colOff>238125</xdr:colOff>
      <xdr:row>6</xdr:row>
      <xdr:rowOff>148828</xdr:rowOff>
    </xdr:from>
    <xdr:to>
      <xdr:col>25</xdr:col>
      <xdr:colOff>486172</xdr:colOff>
      <xdr:row>17</xdr:row>
      <xdr:rowOff>178594</xdr:rowOff>
    </xdr:to>
    <xdr:graphicFrame macro="">
      <xdr:nvGraphicFramePr>
        <xdr:cNvPr id="26" name="Chart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9</xdr:row>
      <xdr:rowOff>99218</xdr:rowOff>
    </xdr:from>
    <xdr:to>
      <xdr:col>4</xdr:col>
      <xdr:colOff>347663</xdr:colOff>
      <xdr:row>18</xdr:row>
      <xdr:rowOff>104008</xdr:rowOff>
    </xdr:to>
    <mc:AlternateContent xmlns:mc="http://schemas.openxmlformats.org/markup-compatibility/2006" xmlns:a14="http://schemas.microsoft.com/office/drawing/2010/main">
      <mc:Choice Requires="a14">
        <xdr:graphicFrame macro="">
          <xdr:nvGraphicFramePr>
            <xdr:cNvPr id="27" name="REASONS">
              <a:extLst>
                <a:ext uri="{FF2B5EF4-FFF2-40B4-BE49-F238E27FC236}">
                  <a16:creationId xmlns:a16="http://schemas.microsoft.com/office/drawing/2014/main" id="{00000000-0008-0000-0200-00001B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ASONS"/>
            </a:graphicData>
          </a:graphic>
        </xdr:graphicFrame>
      </mc:Choice>
      <mc:Fallback xmlns="">
        <xdr:sp macro="" textlink="">
          <xdr:nvSpPr>
            <xdr:cNvPr id="0" name=""/>
            <xdr:cNvSpPr>
              <a:spLocks noTextEdit="1"/>
            </xdr:cNvSpPr>
          </xdr:nvSpPr>
          <xdr:spPr>
            <a:xfrm>
              <a:off x="0" y="1795859"/>
              <a:ext cx="2768601" cy="170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3</xdr:col>
          <xdr:colOff>209550</xdr:colOff>
          <xdr:row>5</xdr:row>
          <xdr:rowOff>161925</xdr:rowOff>
        </xdr:from>
        <xdr:to>
          <xdr:col>4</xdr:col>
          <xdr:colOff>314325</xdr:colOff>
          <xdr:row>8</xdr:row>
          <xdr:rowOff>38100</xdr:rowOff>
        </xdr:to>
        <xdr:sp macro="" textlink="">
          <xdr:nvSpPr>
            <xdr:cNvPr id="2049" name="Label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138907</xdr:colOff>
      <xdr:row>0</xdr:row>
      <xdr:rowOff>39688</xdr:rowOff>
    </xdr:from>
    <xdr:to>
      <xdr:col>25</xdr:col>
      <xdr:colOff>555625</xdr:colOff>
      <xdr:row>5</xdr:row>
      <xdr:rowOff>119063</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13454063" y="39688"/>
          <a:ext cx="2232421" cy="1021953"/>
        </a:xfrm>
        <a:prstGeom prst="rect">
          <a:avLst/>
        </a:prstGeom>
        <a:solidFill>
          <a:schemeClr val="accent5"/>
        </a:solidFill>
        <a:ln>
          <a:solidFill>
            <a:schemeClr val="bg1"/>
          </a:solidFill>
        </a:ln>
        <a:scene3d>
          <a:camera prst="orthographicFront"/>
          <a:lightRig rig="freezing"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blipFill>
                <a:blip xmlns:r="http://schemas.openxmlformats.org/officeDocument/2006/relationships" r:embed="rId1"/>
                <a:tile tx="0" ty="0" sx="100000" sy="100000" flip="none" algn="tl"/>
              </a:blipFill>
            </a:rPr>
            <a:t>                </a:t>
          </a:r>
          <a:r>
            <a:rPr lang="en-US" sz="1400" b="1">
              <a:blipFill>
                <a:blip xmlns:r="http://schemas.openxmlformats.org/officeDocument/2006/relationships" r:embed="rId1"/>
                <a:tile tx="0" ty="0" sx="100000" sy="100000" flip="none" algn="tl"/>
              </a:blipFill>
            </a:rPr>
            <a:t>EFFICIENCY %</a:t>
          </a:r>
          <a:endParaRPr lang="en-PK" sz="1400" b="1">
            <a:blipFill>
              <a:blip xmlns:r="http://schemas.openxmlformats.org/officeDocument/2006/relationships" r:embed="rId1"/>
              <a:tile tx="0" ty="0" sx="100000" sy="100000" flip="none" algn="tl"/>
            </a:blipFill>
          </a:endParaRPr>
        </a:p>
      </xdr:txBody>
    </xdr:sp>
    <xdr:clientData/>
  </xdr:twoCellAnchor>
  <xdr:twoCellAnchor>
    <xdr:from>
      <xdr:col>22</xdr:col>
      <xdr:colOff>267892</xdr:colOff>
      <xdr:row>1</xdr:row>
      <xdr:rowOff>119062</xdr:rowOff>
    </xdr:from>
    <xdr:to>
      <xdr:col>25</xdr:col>
      <xdr:colOff>347267</xdr:colOff>
      <xdr:row>5</xdr:row>
      <xdr:rowOff>49608</xdr:rowOff>
    </xdr:to>
    <xdr:sp macro="" textlink="Visuals!E124">
      <xdr:nvSpPr>
        <xdr:cNvPr id="22" name="TextBox 21">
          <a:extLst>
            <a:ext uri="{FF2B5EF4-FFF2-40B4-BE49-F238E27FC236}">
              <a16:creationId xmlns:a16="http://schemas.microsoft.com/office/drawing/2014/main" id="{00000000-0008-0000-0200-000016000000}"/>
            </a:ext>
          </a:extLst>
        </xdr:cNvPr>
        <xdr:cNvSpPr txBox="1"/>
      </xdr:nvSpPr>
      <xdr:spPr>
        <a:xfrm>
          <a:off x="13583048" y="307578"/>
          <a:ext cx="1895078" cy="684608"/>
        </a:xfrm>
        <a:prstGeom prst="rect">
          <a:avLst/>
        </a:prstGeom>
        <a:solidFill>
          <a:schemeClr val="tx2">
            <a:lumMod val="50000"/>
          </a:schemeClr>
        </a:solidFill>
        <a:ln w="9525" cmpd="sng">
          <a:solidFill>
            <a:schemeClr val="lt1">
              <a:shade val="50000"/>
            </a:schemeClr>
          </a:solidFill>
        </a:ln>
        <a:scene3d>
          <a:camera prst="orthographicFront"/>
          <a:lightRig rig="freezing" dir="t"/>
        </a:scene3d>
        <a:sp3d>
          <a:bevelT w="165100" prst="coolSlan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8F960B-ED44-40EA-B7BA-3C2AA0FEAB84}" type="TxLink">
            <a:rPr lang="en-US" sz="7200" b="1" i="0" u="none" strike="noStrike">
              <a:solidFill>
                <a:schemeClr val="bg1"/>
              </a:solidFill>
              <a:effectLst>
                <a:glow rad="63500">
                  <a:schemeClr val="accent5">
                    <a:satMod val="175000"/>
                    <a:alpha val="40000"/>
                  </a:schemeClr>
                </a:glow>
              </a:effectLst>
              <a:latin typeface="Calibri"/>
              <a:cs typeface="Calibri"/>
            </a:rPr>
            <a:pPr algn="ctr"/>
            <a:t>143</a:t>
          </a:fld>
          <a:endParaRPr lang="en-PK" sz="7200" b="1" i="0" u="none" strike="noStrike">
            <a:solidFill>
              <a:schemeClr val="bg1"/>
            </a:solidFill>
            <a:effectLst>
              <a:glow rad="63500">
                <a:schemeClr val="accent5">
                  <a:satMod val="175000"/>
                  <a:alpha val="40000"/>
                </a:schemeClr>
              </a:glow>
            </a:effectLst>
            <a:latin typeface="Calibri"/>
            <a:cs typeface="Calibri"/>
          </a:endParaRPr>
        </a:p>
      </xdr:txBody>
    </xdr:sp>
    <xdr:clientData/>
  </xdr:twoCellAnchor>
  <xdr:twoCellAnchor>
    <xdr:from>
      <xdr:col>11</xdr:col>
      <xdr:colOff>119063</xdr:colOff>
      <xdr:row>0</xdr:row>
      <xdr:rowOff>89298</xdr:rowOff>
    </xdr:from>
    <xdr:to>
      <xdr:col>11</xdr:col>
      <xdr:colOff>486173</xdr:colOff>
      <xdr:row>2</xdr:row>
      <xdr:rowOff>178595</xdr:rowOff>
    </xdr:to>
    <xdr:sp macro="" textlink="">
      <xdr:nvSpPr>
        <xdr:cNvPr id="13" name="Lightning Bolt 12">
          <a:extLst>
            <a:ext uri="{FF2B5EF4-FFF2-40B4-BE49-F238E27FC236}">
              <a16:creationId xmlns:a16="http://schemas.microsoft.com/office/drawing/2014/main" id="{00000000-0008-0000-0200-00000D000000}"/>
            </a:ext>
          </a:extLst>
        </xdr:cNvPr>
        <xdr:cNvSpPr/>
      </xdr:nvSpPr>
      <xdr:spPr>
        <a:xfrm rot="720000">
          <a:off x="6776641" y="89298"/>
          <a:ext cx="367110" cy="466328"/>
        </a:xfrm>
        <a:prstGeom prst="lightningBolt">
          <a:avLst/>
        </a:prstGeom>
        <a:solidFill>
          <a:srgbClr val="20D7E0"/>
        </a:solidFill>
        <a:effectLst>
          <a:reflection endPos="65000" dist="50800" dir="5400000" sy="-100000" algn="bl" rotWithShape="0"/>
        </a:effectLst>
        <a:scene3d>
          <a:camera prst="orthographicFront"/>
          <a:lightRig rig="freezing" dir="t"/>
        </a:scene3d>
        <a:sp3d prstMaterial="translucentPowder">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21</xdr:col>
      <xdr:colOff>321868</xdr:colOff>
      <xdr:row>0</xdr:row>
      <xdr:rowOff>39687</xdr:rowOff>
    </xdr:from>
    <xdr:to>
      <xdr:col>22</xdr:col>
      <xdr:colOff>89298</xdr:colOff>
      <xdr:row>2</xdr:row>
      <xdr:rowOff>128984</xdr:rowOff>
    </xdr:to>
    <xdr:sp macro="" textlink="">
      <xdr:nvSpPr>
        <xdr:cNvPr id="29" name="Lightning Bolt 28">
          <a:extLst>
            <a:ext uri="{FF2B5EF4-FFF2-40B4-BE49-F238E27FC236}">
              <a16:creationId xmlns:a16="http://schemas.microsoft.com/office/drawing/2014/main" id="{00000000-0008-0000-0200-00001D000000}"/>
            </a:ext>
          </a:extLst>
        </xdr:cNvPr>
        <xdr:cNvSpPr/>
      </xdr:nvSpPr>
      <xdr:spPr>
        <a:xfrm rot="720000" flipH="1">
          <a:off x="13031790" y="39687"/>
          <a:ext cx="372664" cy="466328"/>
        </a:xfrm>
        <a:prstGeom prst="lightningBolt">
          <a:avLst/>
        </a:prstGeom>
        <a:solidFill>
          <a:srgbClr val="20D7E0"/>
        </a:solidFill>
        <a:effectLst>
          <a:reflection endPos="65000" dist="50800" dir="5400000" sy="-100000" algn="bl" rotWithShape="0"/>
        </a:effectLst>
        <a:scene3d>
          <a:camera prst="orthographicFront"/>
          <a:lightRig rig="freezing" dir="t"/>
        </a:scene3d>
        <a:sp3d prstMaterial="translucentPowder">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22</xdr:col>
      <xdr:colOff>186660</xdr:colOff>
      <xdr:row>0</xdr:row>
      <xdr:rowOff>159598</xdr:rowOff>
    </xdr:from>
    <xdr:to>
      <xdr:col>22</xdr:col>
      <xdr:colOff>553770</xdr:colOff>
      <xdr:row>2</xdr:row>
      <xdr:rowOff>171317</xdr:rowOff>
    </xdr:to>
    <xdr:sp macro="" textlink="">
      <xdr:nvSpPr>
        <xdr:cNvPr id="28" name="Lightning Bolt 27">
          <a:extLst>
            <a:ext uri="{FF2B5EF4-FFF2-40B4-BE49-F238E27FC236}">
              <a16:creationId xmlns:a16="http://schemas.microsoft.com/office/drawing/2014/main" id="{00000000-0008-0000-0200-00001C000000}"/>
            </a:ext>
          </a:extLst>
        </xdr:cNvPr>
        <xdr:cNvSpPr/>
      </xdr:nvSpPr>
      <xdr:spPr>
        <a:xfrm rot="720000">
          <a:off x="13501816" y="159598"/>
          <a:ext cx="367110" cy="388750"/>
        </a:xfrm>
        <a:prstGeom prst="lightningBolt">
          <a:avLst/>
        </a:prstGeom>
        <a:solidFill>
          <a:srgbClr val="20D7E0"/>
        </a:solidFill>
        <a:effectLst>
          <a:reflection endPos="65000" dist="50800" dir="5400000" sy="-100000" algn="bl" rotWithShape="0"/>
        </a:effectLst>
        <a:scene3d>
          <a:camera prst="orthographicFront"/>
          <a:lightRig rig="freezing" dir="t"/>
        </a:scene3d>
        <a:sp3d prstMaterial="translucentPowder">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25</xdr:col>
      <xdr:colOff>94817</xdr:colOff>
      <xdr:row>0</xdr:row>
      <xdr:rowOff>133795</xdr:rowOff>
    </xdr:from>
    <xdr:to>
      <xdr:col>25</xdr:col>
      <xdr:colOff>391720</xdr:colOff>
      <xdr:row>2</xdr:row>
      <xdr:rowOff>123867</xdr:rowOff>
    </xdr:to>
    <xdr:sp macro="" textlink="">
      <xdr:nvSpPr>
        <xdr:cNvPr id="30" name="Lightning Bolt 29">
          <a:extLst>
            <a:ext uri="{FF2B5EF4-FFF2-40B4-BE49-F238E27FC236}">
              <a16:creationId xmlns:a16="http://schemas.microsoft.com/office/drawing/2014/main" id="{00000000-0008-0000-0200-00001E000000}"/>
            </a:ext>
          </a:extLst>
        </xdr:cNvPr>
        <xdr:cNvSpPr/>
      </xdr:nvSpPr>
      <xdr:spPr>
        <a:xfrm rot="720000" flipH="1">
          <a:off x="15225676" y="133795"/>
          <a:ext cx="296903" cy="367103"/>
        </a:xfrm>
        <a:prstGeom prst="lightningBolt">
          <a:avLst/>
        </a:prstGeom>
        <a:solidFill>
          <a:srgbClr val="20D7E0"/>
        </a:solidFill>
        <a:effectLst>
          <a:reflection endPos="65000" dist="50800" dir="5400000" sy="-100000" algn="bl" rotWithShape="0"/>
        </a:effectLst>
        <a:scene3d>
          <a:camera prst="orthographicFront"/>
          <a:lightRig rig="freezing" dir="t"/>
        </a:scene3d>
        <a:sp3d prstMaterial="translucentPowder">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7</xdr:col>
      <xdr:colOff>357188</xdr:colOff>
      <xdr:row>2</xdr:row>
      <xdr:rowOff>168672</xdr:rowOff>
    </xdr:from>
    <xdr:to>
      <xdr:col>8</xdr:col>
      <xdr:colOff>456406</xdr:colOff>
      <xdr:row>6</xdr:row>
      <xdr:rowOff>89297</xdr:rowOff>
    </xdr:to>
    <xdr:sp macro="" textlink="Visuals!B107">
      <xdr:nvSpPr>
        <xdr:cNvPr id="9" name="Speech Bubble: Rectangle 8">
          <a:extLst>
            <a:ext uri="{FF2B5EF4-FFF2-40B4-BE49-F238E27FC236}">
              <a16:creationId xmlns:a16="http://schemas.microsoft.com/office/drawing/2014/main" id="{00000000-0008-0000-0200-000009000000}"/>
            </a:ext>
          </a:extLst>
        </xdr:cNvPr>
        <xdr:cNvSpPr/>
      </xdr:nvSpPr>
      <xdr:spPr>
        <a:xfrm>
          <a:off x="4593829" y="545703"/>
          <a:ext cx="704452" cy="674688"/>
        </a:xfrm>
        <a:prstGeom prst="wedgeRectCallout">
          <a:avLst/>
        </a:prstGeom>
        <a:solidFill>
          <a:schemeClr val="tx2">
            <a:lumMod val="50000"/>
          </a:schemeClr>
        </a:solidFill>
        <a:scene3d>
          <a:camera prst="orthographicFront"/>
          <a:lightRig rig="freezing"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A83D6C-6859-4AE1-8D5E-92B453AEAE41}" type="TxLink">
            <a:rPr lang="en-US" sz="4000" b="1" i="0" u="none" strike="noStrike">
              <a:solidFill>
                <a:schemeClr val="bg1"/>
              </a:solidFill>
              <a:effectLst>
                <a:glow rad="63500">
                  <a:schemeClr val="accent6">
                    <a:satMod val="175000"/>
                    <a:alpha val="40000"/>
                  </a:schemeClr>
                </a:glow>
              </a:effectLst>
              <a:latin typeface="Calibri"/>
              <a:cs typeface="Calibri"/>
            </a:rPr>
            <a:pPr algn="l"/>
            <a:t>15</a:t>
          </a:fld>
          <a:endParaRPr lang="en-PK" sz="4000" b="1">
            <a:solidFill>
              <a:schemeClr val="bg1"/>
            </a:solidFill>
            <a:effectLst>
              <a:glow rad="63500">
                <a:schemeClr val="accent6">
                  <a:satMod val="175000"/>
                  <a:alpha val="40000"/>
                </a:schemeClr>
              </a:glow>
            </a:effectLst>
          </a:endParaRPr>
        </a:p>
      </xdr:txBody>
    </xdr:sp>
    <xdr:clientData/>
  </xdr:twoCellAnchor>
  <xdr:twoCellAnchor>
    <xdr:from>
      <xdr:col>4</xdr:col>
      <xdr:colOff>605233</xdr:colOff>
      <xdr:row>2</xdr:row>
      <xdr:rowOff>99222</xdr:rowOff>
    </xdr:from>
    <xdr:to>
      <xdr:col>7</xdr:col>
      <xdr:colOff>287734</xdr:colOff>
      <xdr:row>7</xdr:row>
      <xdr:rowOff>29766</xdr:rowOff>
    </xdr:to>
    <xdr:sp macro="" textlink="">
      <xdr:nvSpPr>
        <xdr:cNvPr id="12" name="Arrow: Right 11">
          <a:extLst>
            <a:ext uri="{FF2B5EF4-FFF2-40B4-BE49-F238E27FC236}">
              <a16:creationId xmlns:a16="http://schemas.microsoft.com/office/drawing/2014/main" id="{00000000-0008-0000-0200-00000C000000}"/>
            </a:ext>
          </a:extLst>
        </xdr:cNvPr>
        <xdr:cNvSpPr/>
      </xdr:nvSpPr>
      <xdr:spPr>
        <a:xfrm>
          <a:off x="3026171" y="476253"/>
          <a:ext cx="1498204" cy="873122"/>
        </a:xfrm>
        <a:prstGeom prst="rightArrow">
          <a:avLst/>
        </a:prstGeom>
        <a:solidFill>
          <a:schemeClr val="tx2">
            <a:lumMod val="50000"/>
          </a:schemeClr>
        </a:solidFill>
        <a:scene3d>
          <a:camera prst="orthographicFront"/>
          <a:lightRig rig="freezing"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blipFill>
                <a:blip xmlns:r="http://schemas.openxmlformats.org/officeDocument/2006/relationships" r:embed="rId1"/>
                <a:tile tx="0" ty="0" sx="100000" sy="100000" flip="none" algn="tl"/>
              </a:blipFill>
            </a:rPr>
            <a:t>AVG COMPLAINTS              PER DAY</a:t>
          </a:r>
          <a:endParaRPr lang="en-PK" sz="1100" b="1">
            <a:blipFill>
              <a:blip xmlns:r="http://schemas.openxmlformats.org/officeDocument/2006/relationships" r:embed="rId1"/>
              <a:tile tx="0" ty="0" sx="100000" sy="100000" flip="none" algn="tl"/>
            </a:blipFill>
          </a:endParaRPr>
        </a:p>
      </xdr:txBody>
    </xdr:sp>
    <xdr:clientData/>
  </xdr:twoCellAnchor>
  <xdr:twoCellAnchor>
    <xdr:from>
      <xdr:col>7</xdr:col>
      <xdr:colOff>39688</xdr:colOff>
      <xdr:row>13</xdr:row>
      <xdr:rowOff>29767</xdr:rowOff>
    </xdr:from>
    <xdr:to>
      <xdr:col>9</xdr:col>
      <xdr:colOff>39688</xdr:colOff>
      <xdr:row>16</xdr:row>
      <xdr:rowOff>39688</xdr:rowOff>
    </xdr:to>
    <xdr:sp macro="" textlink="Visuals!A130">
      <xdr:nvSpPr>
        <xdr:cNvPr id="15" name="Thought Bubble: Cloud 14">
          <a:extLst>
            <a:ext uri="{FF2B5EF4-FFF2-40B4-BE49-F238E27FC236}">
              <a16:creationId xmlns:a16="http://schemas.microsoft.com/office/drawing/2014/main" id="{00000000-0008-0000-0200-00000F000000}"/>
            </a:ext>
          </a:extLst>
        </xdr:cNvPr>
        <xdr:cNvSpPr/>
      </xdr:nvSpPr>
      <xdr:spPr>
        <a:xfrm>
          <a:off x="4276329" y="2480470"/>
          <a:ext cx="1210468" cy="575468"/>
        </a:xfrm>
        <a:prstGeom prst="cloudCallout">
          <a:avLst/>
        </a:prstGeom>
        <a:solidFill>
          <a:schemeClr val="tx2">
            <a:lumMod val="50000"/>
          </a:schemeClr>
        </a:solidFill>
        <a:scene3d>
          <a:camera prst="orthographicFront"/>
          <a:lightRig rig="freezing"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39D7427-E1FC-4A2A-A899-E52BC95149CB}" type="TxLink">
            <a:rPr lang="en-US" sz="1500" b="1" i="0" u="none" strike="noStrike">
              <a:solidFill>
                <a:schemeClr val="bg1"/>
              </a:solidFill>
              <a:effectLst>
                <a:glow rad="63500">
                  <a:schemeClr val="accent3">
                    <a:satMod val="175000"/>
                    <a:alpha val="40000"/>
                  </a:schemeClr>
                </a:glow>
              </a:effectLst>
              <a:latin typeface="Calibri"/>
              <a:cs typeface="Calibri"/>
            </a:rPr>
            <a:pPr algn="l"/>
            <a:t>3:05:18</a:t>
          </a:fld>
          <a:endParaRPr lang="en-PK" sz="1500" b="1">
            <a:solidFill>
              <a:schemeClr val="bg1"/>
            </a:solidFill>
            <a:effectLst>
              <a:glow rad="63500">
                <a:schemeClr val="accent3">
                  <a:satMod val="175000"/>
                  <a:alpha val="40000"/>
                </a:schemeClr>
              </a:glow>
            </a:effectLst>
          </a:endParaRPr>
        </a:p>
      </xdr:txBody>
    </xdr:sp>
    <xdr:clientData/>
  </xdr:twoCellAnchor>
  <xdr:twoCellAnchor>
    <xdr:from>
      <xdr:col>4</xdr:col>
      <xdr:colOff>515938</xdr:colOff>
      <xdr:row>12</xdr:row>
      <xdr:rowOff>59531</xdr:rowOff>
    </xdr:from>
    <xdr:to>
      <xdr:col>7</xdr:col>
      <xdr:colOff>19845</xdr:colOff>
      <xdr:row>16</xdr:row>
      <xdr:rowOff>29766</xdr:rowOff>
    </xdr:to>
    <xdr:sp macro="" textlink="">
      <xdr:nvSpPr>
        <xdr:cNvPr id="16" name="Arrow: Right 15">
          <a:extLst>
            <a:ext uri="{FF2B5EF4-FFF2-40B4-BE49-F238E27FC236}">
              <a16:creationId xmlns:a16="http://schemas.microsoft.com/office/drawing/2014/main" id="{00000000-0008-0000-0200-000010000000}"/>
            </a:ext>
          </a:extLst>
        </xdr:cNvPr>
        <xdr:cNvSpPr/>
      </xdr:nvSpPr>
      <xdr:spPr>
        <a:xfrm>
          <a:off x="2936876" y="2321719"/>
          <a:ext cx="1319610" cy="724297"/>
        </a:xfrm>
        <a:prstGeom prst="rightArrow">
          <a:avLst/>
        </a:prstGeom>
        <a:solidFill>
          <a:schemeClr val="tx2">
            <a:lumMod val="50000"/>
          </a:schemeClr>
        </a:solidFill>
        <a:scene3d>
          <a:camera prst="orthographicFront"/>
          <a:lightRig rig="freezing"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50" b="1">
              <a:blipFill>
                <a:blip xmlns:r="http://schemas.openxmlformats.org/officeDocument/2006/relationships" r:embed="rId1"/>
                <a:tile tx="0" ty="0" sx="100000" sy="100000" flip="none" algn="tl"/>
              </a:blipFill>
            </a:rPr>
            <a:t>AVG RESOLVE TIME PER</a:t>
          </a:r>
          <a:r>
            <a:rPr lang="en-US" sz="850" b="1" baseline="0">
              <a:blipFill>
                <a:blip xmlns:r="http://schemas.openxmlformats.org/officeDocument/2006/relationships" r:embed="rId1"/>
                <a:tile tx="0" ty="0" sx="100000" sy="100000" flip="none" algn="tl"/>
              </a:blipFill>
            </a:rPr>
            <a:t> COMPLAINT</a:t>
          </a:r>
          <a:endParaRPr lang="en-PK" sz="850" b="1">
            <a:blipFill>
              <a:blip xmlns:r="http://schemas.openxmlformats.org/officeDocument/2006/relationships" r:embed="rId1"/>
              <a:tile tx="0" ty="0" sx="100000" sy="100000" flip="none" algn="tl"/>
            </a:blipFill>
          </a:endParaRPr>
        </a:p>
      </xdr:txBody>
    </xdr:sp>
    <xdr:clientData/>
  </xdr:twoCellAnchor>
  <xdr:twoCellAnchor>
    <xdr:from>
      <xdr:col>0</xdr:col>
      <xdr:colOff>9921</xdr:colOff>
      <xdr:row>31</xdr:row>
      <xdr:rowOff>148829</xdr:rowOff>
    </xdr:from>
    <xdr:to>
      <xdr:col>13</xdr:col>
      <xdr:colOff>39687</xdr:colOff>
      <xdr:row>55</xdr:row>
      <xdr:rowOff>49610</xdr:rowOff>
    </xdr:to>
    <xdr:sp macro="" textlink="">
      <xdr:nvSpPr>
        <xdr:cNvPr id="23" name="Rectangle 22">
          <a:extLst>
            <a:ext uri="{FF2B5EF4-FFF2-40B4-BE49-F238E27FC236}">
              <a16:creationId xmlns:a16="http://schemas.microsoft.com/office/drawing/2014/main" id="{00000000-0008-0000-0200-000017000000}"/>
            </a:ext>
          </a:extLst>
        </xdr:cNvPr>
        <xdr:cNvSpPr/>
      </xdr:nvSpPr>
      <xdr:spPr>
        <a:xfrm>
          <a:off x="9921" y="5992813"/>
          <a:ext cx="7897813" cy="4425156"/>
        </a:xfrm>
        <a:prstGeom prst="rect">
          <a:avLst/>
        </a:prstGeom>
        <a:solidFill>
          <a:schemeClr val="tx2">
            <a:lumMod val="50000"/>
          </a:schemeClr>
        </a:solidFill>
        <a:ln>
          <a:solidFill>
            <a:schemeClr val="bg1"/>
          </a:solidFill>
        </a:ln>
        <a:scene3d>
          <a:camera prst="orthographicFront"/>
          <a:lightRig rig="freezing"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3d contourW="12700" prstMaterial="translucentPowder">
            <a:contourClr>
              <a:schemeClr val="bg1"/>
            </a:contourClr>
          </a:sp3d>
        </a:bodyPr>
        <a:lstStyle/>
        <a:p>
          <a:pPr algn="l"/>
          <a:r>
            <a:rPr lang="en-US" sz="1100" b="1">
              <a:solidFill>
                <a:schemeClr val="bg1"/>
              </a:solidFill>
              <a:effectLst/>
            </a:rPr>
            <a:t>                                                </a:t>
          </a:r>
          <a:r>
            <a:rPr lang="en-US" sz="2000" b="1">
              <a:solidFill>
                <a:schemeClr val="bg1"/>
              </a:solidFill>
              <a:effectLst/>
            </a:rPr>
            <a:t> </a:t>
          </a:r>
          <a:r>
            <a:rPr lang="en-US" sz="2400" b="1">
              <a:blipFill>
                <a:blip xmlns:r="http://schemas.openxmlformats.org/officeDocument/2006/relationships" r:embed="rId1"/>
                <a:tile tx="0" ty="0" sx="100000" sy="100000" flip="none" algn="tl"/>
              </a:blipFill>
              <a:effectLst/>
            </a:rPr>
            <a:t>EFFICIENCY</a:t>
          </a:r>
          <a:r>
            <a:rPr lang="en-US" sz="2400" b="1" baseline="0">
              <a:blipFill>
                <a:blip xmlns:r="http://schemas.openxmlformats.org/officeDocument/2006/relationships" r:embed="rId1"/>
                <a:tile tx="0" ty="0" sx="100000" sy="100000" flip="none" algn="tl"/>
              </a:blipFill>
              <a:effectLst/>
            </a:rPr>
            <a:t> % OF SHIFTS BY CATEGORIES</a:t>
          </a:r>
          <a:r>
            <a:rPr lang="en-US" sz="1800" b="1">
              <a:blipFill>
                <a:blip xmlns:r="http://schemas.openxmlformats.org/officeDocument/2006/relationships" r:embed="rId1"/>
                <a:tile tx="0" ty="0" sx="100000" sy="100000" flip="none" algn="tl"/>
              </a:blipFill>
              <a:effectLst/>
            </a:rPr>
            <a:t>    </a:t>
          </a:r>
          <a:endParaRPr lang="en-PK" sz="1800" b="1">
            <a:blipFill>
              <a:blip xmlns:r="http://schemas.openxmlformats.org/officeDocument/2006/relationships" r:embed="rId1"/>
              <a:tile tx="0" ty="0" sx="100000" sy="100000" flip="none" algn="tl"/>
            </a:blipFill>
            <a:effectLst/>
          </a:endParaRPr>
        </a:p>
      </xdr:txBody>
    </xdr:sp>
    <xdr:clientData/>
  </xdr:twoCellAnchor>
  <xdr:twoCellAnchor>
    <xdr:from>
      <xdr:col>0</xdr:col>
      <xdr:colOff>9922</xdr:colOff>
      <xdr:row>31</xdr:row>
      <xdr:rowOff>158750</xdr:rowOff>
    </xdr:from>
    <xdr:to>
      <xdr:col>12</xdr:col>
      <xdr:colOff>595312</xdr:colOff>
      <xdr:row>55</xdr:row>
      <xdr:rowOff>19844</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29766</xdr:colOff>
      <xdr:row>31</xdr:row>
      <xdr:rowOff>158751</xdr:rowOff>
    </xdr:from>
    <xdr:to>
      <xdr:col>25</xdr:col>
      <xdr:colOff>515938</xdr:colOff>
      <xdr:row>55</xdr:row>
      <xdr:rowOff>0</xdr:rowOff>
    </xdr:to>
    <xdr:sp macro="" textlink="">
      <xdr:nvSpPr>
        <xdr:cNvPr id="33" name="Rectangle 32">
          <a:extLst>
            <a:ext uri="{FF2B5EF4-FFF2-40B4-BE49-F238E27FC236}">
              <a16:creationId xmlns:a16="http://schemas.microsoft.com/office/drawing/2014/main" id="{00000000-0008-0000-0200-000021000000}"/>
            </a:ext>
          </a:extLst>
        </xdr:cNvPr>
        <xdr:cNvSpPr/>
      </xdr:nvSpPr>
      <xdr:spPr>
        <a:xfrm>
          <a:off x="7897813" y="6002735"/>
          <a:ext cx="7748984" cy="4365624"/>
        </a:xfrm>
        <a:prstGeom prst="rect">
          <a:avLst/>
        </a:prstGeom>
        <a:solidFill>
          <a:schemeClr val="tx2">
            <a:lumMod val="50000"/>
          </a:schemeClr>
        </a:solidFill>
        <a:ln>
          <a:solidFill>
            <a:schemeClr val="bg1"/>
          </a:solidFill>
        </a:ln>
        <a:scene3d>
          <a:camera prst="orthographicFront"/>
          <a:lightRig rig="freezing"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3d/>
        </a:bodyPr>
        <a:lstStyle/>
        <a:p>
          <a:pPr algn="l"/>
          <a:r>
            <a:rPr lang="en-US" sz="1100">
              <a:blipFill>
                <a:blip xmlns:r="http://schemas.openxmlformats.org/officeDocument/2006/relationships" r:embed="rId1"/>
                <a:tile tx="0" ty="0" sx="100000" sy="100000" flip="none" algn="tl"/>
              </a:blipFill>
            </a:rPr>
            <a:t>                                                                             </a:t>
          </a:r>
          <a:r>
            <a:rPr lang="en-US" sz="2400" b="1" baseline="0">
              <a:blipFill>
                <a:blip xmlns:r="http://schemas.openxmlformats.org/officeDocument/2006/relationships" r:embed="rId1"/>
                <a:tile tx="0" ty="0" sx="100000" sy="100000" flip="none" algn="tl"/>
              </a:blipFill>
            </a:rPr>
            <a:t>COMPLAINTS BY BATCH NO.s</a:t>
          </a:r>
          <a:r>
            <a:rPr lang="en-US" sz="1100">
              <a:blipFill>
                <a:blip xmlns:r="http://schemas.openxmlformats.org/officeDocument/2006/relationships" r:embed="rId1"/>
                <a:tile tx="0" ty="0" sx="100000" sy="100000" flip="none" algn="tl"/>
              </a:blipFill>
            </a:rPr>
            <a:t> </a:t>
          </a:r>
          <a:endParaRPr lang="en-PK" sz="1100">
            <a:blipFill>
              <a:blip xmlns:r="http://schemas.openxmlformats.org/officeDocument/2006/relationships" r:embed="rId1"/>
              <a:tile tx="0" ty="0" sx="100000" sy="100000" flip="none" algn="tl"/>
            </a:blipFill>
          </a:endParaRPr>
        </a:p>
      </xdr:txBody>
    </xdr:sp>
    <xdr:clientData/>
  </xdr:twoCellAnchor>
  <xdr:twoCellAnchor>
    <xdr:from>
      <xdr:col>13</xdr:col>
      <xdr:colOff>59531</xdr:colOff>
      <xdr:row>30</xdr:row>
      <xdr:rowOff>109140</xdr:rowOff>
    </xdr:from>
    <xdr:to>
      <xdr:col>25</xdr:col>
      <xdr:colOff>525860</xdr:colOff>
      <xdr:row>55</xdr:row>
      <xdr:rowOff>49610</xdr:rowOff>
    </xdr:to>
    <xdr:graphicFrame macro="">
      <xdr:nvGraphicFramePr>
        <xdr:cNvPr id="35" name="Chart 34">
          <a:extLst>
            <a:ext uri="{FF2B5EF4-FFF2-40B4-BE49-F238E27FC236}">
              <a16:creationId xmlns:a16="http://schemas.microsoft.com/office/drawing/2014/main" id="{00000000-0008-0000-0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JED" refreshedDate="44583.937657407405" createdVersion="7" refreshedVersion="7" minRefreshableVersion="3" recordCount="5611" xr:uid="{CE737A06-2126-4F6E-8293-420D15D610CB}">
  <cacheSource type="worksheet">
    <worksheetSource name="Table6"/>
  </cacheSource>
  <cacheFields count="13">
    <cacheField name="Sr #" numFmtId="0">
      <sharedItems containsSemiMixedTypes="0" containsString="0" containsNumber="1" containsInteger="1" minValue="1" maxValue="5611"/>
    </cacheField>
    <cacheField name="Batch NO." numFmtId="0">
      <sharedItems containsSemiMixedTypes="0" containsString="0" containsNumber="1" containsInteger="1" minValue="1" maxValue="46" count="19">
        <n v="5"/>
        <n v="6"/>
        <n v="12"/>
        <n v="8"/>
        <n v="15"/>
        <n v="13"/>
        <n v="9"/>
        <n v="7"/>
        <n v="4"/>
        <n v="2"/>
        <n v="11"/>
        <n v="10"/>
        <n v="14"/>
        <n v="3"/>
        <n v="1"/>
        <n v="17"/>
        <n v="27"/>
        <n v="46"/>
        <n v="44"/>
      </sharedItems>
    </cacheField>
    <cacheField name="REF NO." numFmtId="1">
      <sharedItems containsSemiMixedTypes="0" containsString="0" containsNumber="1" containsInteger="1" minValue="1111527010220" maxValue="46115279656310"/>
    </cacheField>
    <cacheField name="SHUT TIME" numFmtId="22">
      <sharedItems containsSemiMixedTypes="0" containsNonDate="0" containsDate="1" containsString="0" minDate="2021-07-01T09:15:00" maxDate="2022-06-30T23:35:00" count="1937">
        <d v="2021-07-01T09:15:00"/>
        <d v="2021-07-01T12:10:00"/>
        <d v="2021-07-01T15:10:00"/>
        <d v="2021-07-01T22:15:00"/>
        <d v="2021-07-01T18:40:00"/>
        <d v="2021-07-02T00:15:00"/>
        <d v="2021-07-02T09:10:00"/>
        <d v="2021-07-02T11:30:00"/>
        <d v="2021-07-02T14:40:00"/>
        <d v="2021-07-02T17:05:00"/>
        <d v="2021-07-03T12:40:00"/>
        <d v="2021-07-02T23:10:00"/>
        <d v="2021-07-03T09:15:00"/>
        <d v="2021-07-03T09:40:00"/>
        <d v="2021-07-03T14:55:00"/>
        <d v="2021-07-03T18:20:00"/>
        <d v="2021-07-03T22:15:00"/>
        <d v="2021-07-04T00:25:00"/>
        <d v="2021-07-04T09:15:00"/>
        <d v="2021-07-04T12:25:00"/>
        <d v="2021-07-04T14:30:00"/>
        <d v="2021-07-04T17:25:00"/>
        <d v="2021-07-04T22:10:00"/>
        <d v="2021-07-05T08:20:00"/>
        <d v="2021-07-05T00:25:00"/>
        <d v="2021-07-05T15:50:00"/>
        <d v="2021-07-05T18:20:00"/>
        <d v="2021-07-05T22:25:00"/>
        <d v="2021-07-06T00:15:00"/>
        <d v="2021-07-06T00:20:00"/>
        <d v="2021-07-06T09:30:00"/>
        <d v="2021-07-06T12:00:00"/>
        <d v="2021-07-06T14:25:00"/>
        <d v="2021-07-06T22:50:00"/>
        <d v="2021-07-06T19:10:00"/>
        <d v="2021-07-07T00:20:00"/>
        <d v="2021-07-07T08:30:00"/>
        <d v="2021-07-07T12:30:00"/>
        <d v="2021-07-07T14:55:00"/>
        <d v="2021-07-07T19:50:00"/>
        <d v="2021-07-07T22:10:00"/>
        <d v="2021-07-08T07:00:00"/>
        <d v="2021-07-08T11:00:00"/>
        <d v="2021-07-08T14:30:00"/>
        <d v="2021-07-08T16:45:00"/>
        <d v="2021-07-08T22:35:00"/>
        <d v="2021-07-08T22:15:00"/>
        <d v="2021-07-09T08:00:00"/>
        <d v="2021-07-09T12:45:00"/>
        <d v="2021-07-09T14:55:00"/>
        <d v="2021-07-09T14:50:00"/>
        <d v="2021-07-09T20:05:00"/>
        <d v="2021-07-09T22:30:00"/>
        <d v="2021-07-10T00:18:00"/>
        <d v="2021-07-10T07:15:00"/>
        <d v="2021-07-10T12:30:00"/>
        <d v="2021-07-10T14:40:00"/>
        <d v="2021-07-10T17:00:00"/>
        <d v="2021-07-10T19:15:00"/>
        <d v="2021-07-10T22:45:00"/>
        <d v="2021-07-11T01:00:00"/>
        <d v="2021-07-11T09:15:00"/>
        <d v="2021-07-11T12:25:00"/>
        <d v="2021-07-11T14:25:00"/>
        <d v="2021-07-11T18:35:00"/>
        <d v="2021-07-11T22:15:00"/>
        <d v="2021-07-12T00:10:00"/>
        <d v="2021-07-12T07:15:00"/>
        <d v="2021-07-12T12:00:00"/>
        <d v="2021-07-12T14:30:00"/>
        <d v="2021-07-12T19:30:00"/>
        <d v="2021-07-12T23:30:00"/>
        <d v="2021-07-13T09:00:00"/>
        <d v="2021-07-13T12:00:00"/>
        <d v="2021-07-13T14:30:00"/>
        <d v="2021-07-13T18:00:00"/>
        <d v="2021-07-13T22:20:00"/>
        <d v="2021-07-14T00:15:00"/>
        <d v="2021-07-14T07:00:00"/>
        <d v="2021-07-14T13:00:00"/>
        <d v="2021-07-14T15:00:00"/>
        <d v="2021-07-14T17:00:00"/>
        <d v="2021-07-14T22:30:00"/>
        <d v="2021-07-15T00:15:00"/>
        <d v="2021-07-15T08:30:00"/>
        <d v="2021-07-15T13:15:00"/>
        <d v="2021-07-15T14:20:00"/>
        <d v="2021-07-15T19:00:00"/>
        <d v="2021-07-15T23:50:00"/>
        <d v="2021-07-16T09:00:00"/>
        <d v="2021-07-16T13:00:00"/>
        <d v="2021-07-16T14:15:00"/>
        <d v="2021-07-16T20:30:00"/>
        <d v="2021-07-16T22:30:00"/>
        <d v="2021-07-17T04:00:00"/>
        <d v="2021-07-17T08:00:00"/>
        <d v="2021-07-17T12:45:00"/>
        <d v="2021-07-17T14:30:00"/>
        <d v="2021-07-17T17:30:00"/>
        <d v="2021-07-17T23:30:00"/>
        <d v="2021-07-18T08:45:00"/>
        <d v="2021-07-18T14:30:00"/>
        <d v="2021-07-18T18:30:00"/>
        <d v="2021-07-18T22:30:00"/>
        <d v="2021-07-19T00:30:00"/>
        <d v="2021-07-19T07:00:00"/>
        <d v="2021-07-19T12:30:00"/>
        <d v="2021-07-19T14:45:00"/>
        <d v="2021-07-19T17:00:00"/>
        <d v="2021-07-19T22:30:00"/>
        <d v="2021-07-20T22:30:00"/>
        <d v="2021-07-20T00:30:00"/>
        <d v="2021-07-20T08:00:00"/>
        <d v="2021-07-20T15:00:00"/>
        <d v="2021-07-21T08:00:00"/>
        <d v="2021-07-21T12:00:00"/>
        <d v="2021-07-21T14:15:00"/>
        <d v="2021-07-21T18:30:00"/>
        <d v="2021-07-21T22:30:00"/>
        <d v="2021-07-22T00:30:00"/>
        <d v="2021-07-22T08:00:00"/>
        <d v="2021-07-22T12:35:00"/>
        <d v="2021-07-22T15:00:00"/>
        <d v="2021-07-22T22:30:00"/>
        <d v="2021-07-23T08:00:00"/>
        <d v="2021-07-23T12:30:00"/>
        <d v="2021-07-23T15:00:00"/>
        <d v="2021-07-23T19:00:00"/>
        <d v="2021-07-23T22:30:00"/>
        <d v="2021-07-23T00:30:00"/>
        <d v="2021-07-24T08:00:00"/>
        <d v="2021-07-24T14:30:00"/>
        <d v="2021-07-24T17:00:00"/>
        <d v="2021-07-24T23:00:00"/>
        <d v="2021-07-25T08:00:00"/>
        <d v="2021-07-25T12:35:00"/>
        <d v="2021-07-25T14:20:00"/>
        <d v="2021-07-25T19:00:00"/>
        <d v="2021-07-26T22:30:00"/>
        <d v="2021-07-25T23:00:00"/>
        <d v="2021-07-26T08:00:00"/>
        <d v="2021-07-26T12:45:00"/>
        <d v="2021-07-26T14:30:00"/>
        <d v="2021-07-26T18:30:00"/>
        <d v="2021-07-27T08:30:00"/>
        <d v="2021-07-27T14:30:00"/>
        <d v="2021-07-27T20:30:00"/>
        <d v="2021-07-27T22:30:00"/>
        <d v="2021-07-28T22:45:00"/>
        <d v="2021-07-28T01:00:00"/>
        <d v="2021-07-28T09:00:00"/>
        <d v="2021-07-28T15:00:00"/>
        <d v="2021-07-29T08:30:00"/>
        <d v="2021-07-29T16:00:00"/>
        <d v="2021-07-30T10:30:00"/>
        <d v="2021-07-30T17:00:00"/>
        <d v="2021-07-30T23:00:00"/>
        <d v="2021-07-31T23:00:00"/>
        <d v="2021-07-31T09:30:00"/>
        <d v="2021-07-31T16:00:00"/>
        <d v="2021-07-31T23:30:00"/>
        <d v="2021-08-01T09:00:00"/>
        <d v="2021-08-01T15:00:00"/>
        <d v="2021-08-01T22:30:00"/>
        <d v="2021-08-02T00:30:00"/>
        <d v="2021-08-02T08:30:00"/>
        <d v="2021-08-02T12:45:00"/>
        <d v="2021-08-02T15:00:00"/>
        <d v="2021-08-02T16:45:00"/>
        <d v="2021-08-02T22:30:00"/>
        <d v="2021-08-03T08:30:00"/>
        <d v="2021-08-03T13:00:00"/>
        <d v="2021-08-03T15:00:00"/>
        <d v="2021-08-03T19:30:00"/>
        <d v="2021-08-03T22:15:00"/>
        <d v="2021-08-04T00:30:00"/>
        <d v="2021-08-04T08:00:00"/>
        <d v="2021-08-04T16:30:00"/>
        <d v="2021-08-04T22:30:00"/>
        <d v="2021-08-05T01:00:00"/>
        <d v="2021-08-05T08:00:00"/>
        <d v="2021-08-05T14:30:00"/>
        <d v="2021-08-05T23:00:00"/>
        <d v="2021-08-06T23:50:00"/>
        <d v="2021-08-06T09:30:00"/>
        <d v="2021-08-06T15:00:00"/>
        <d v="2021-08-07T23:50:00"/>
        <d v="2021-08-07T08:00:00"/>
        <d v="2021-08-07T11:30:00"/>
        <d v="2021-08-07T16:00:00"/>
        <d v="2021-08-07T19:15:00"/>
        <d v="2021-08-07T22:30:00"/>
        <d v="2021-08-08T00:30:00"/>
        <d v="2021-08-08T09:00:00"/>
        <d v="2021-08-08T15:00:00"/>
        <d v="2021-08-08T19:30:00"/>
        <d v="2021-08-08T23:50:00"/>
        <d v="2021-08-09T09:00:00"/>
        <d v="2021-08-09T12:45:00"/>
        <d v="2021-08-09T16:30:00"/>
        <d v="2021-08-10T00:35:00"/>
        <d v="2021-08-10T10:00:00"/>
        <d v="2021-08-10T15:00:00"/>
        <d v="2021-08-10T17:30:00"/>
        <d v="2021-08-10T22:40:00"/>
        <d v="2021-08-11T01:00:00"/>
        <d v="2021-08-11T08:15:00"/>
        <d v="2021-08-11T19:45:00"/>
        <d v="2021-08-11T20:50:00"/>
        <d v="2021-08-11T23:40:00"/>
        <d v="2021-08-12T12:00:00"/>
        <d v="2021-08-12T18:40:00"/>
        <d v="2021-08-12T22:30:00"/>
        <d v="2021-08-13T01:30:00"/>
        <d v="2021-08-13T06:50:00"/>
        <d v="2021-08-13T16:00:00"/>
        <d v="2021-08-13T23:40:00"/>
        <d v="2021-08-14T23:25:00"/>
        <d v="2021-08-14T08:50:00"/>
        <d v="2021-08-14T11:55:00"/>
        <d v="2021-08-14T15:50:00"/>
        <d v="2021-08-15T09:50:00"/>
        <d v="2021-08-15T10:50:00"/>
        <d v="2021-08-15T12:30:00"/>
        <d v="2021-08-15T17:55:00"/>
        <d v="2021-08-16T01:35:00"/>
        <d v="2021-08-16T08:25:00"/>
        <d v="2021-08-16T10:40:00"/>
        <d v="2021-08-16T08:15:00"/>
        <d v="2021-08-16T16:35:00"/>
        <d v="2021-08-16T19:15:00"/>
        <d v="2021-08-16T10:50:00"/>
        <d v="2021-08-17T08:15:00"/>
        <d v="2021-08-17T15:30:00"/>
        <d v="2021-08-17T22:30:00"/>
        <d v="2021-08-18T06:50:00"/>
        <d v="2021-08-18T07:50:00"/>
        <d v="2021-08-18T11:35:00"/>
        <d v="2021-08-18T18:35:00"/>
        <d v="2021-08-18T11:10:00"/>
        <d v="2021-08-19T07:30:00"/>
        <d v="2021-08-19T15:40:00"/>
        <d v="2021-08-19T18:15:00"/>
        <d v="2021-08-19T21:10:00"/>
        <d v="2021-08-20T00:10:00"/>
        <d v="2021-08-20T10:20:00"/>
        <d v="2021-08-20T16:30:00"/>
        <d v="2021-08-20T10:35:00"/>
        <d v="2021-08-21T08:50:00"/>
        <d v="2021-08-21T12:05:00"/>
        <d v="2021-08-21T16:30:00"/>
        <d v="2021-08-21T22:30:00"/>
        <d v="2021-08-22T08:20:00"/>
        <d v="2021-08-22T11:40:00"/>
        <d v="2021-08-22T13:05:00"/>
        <d v="2021-08-22T17:00:00"/>
        <d v="2021-08-22T19:30:00"/>
        <d v="2021-08-22T22:00:00"/>
        <d v="2021-08-23T09:30:00"/>
        <d v="2021-08-23T12:00:00"/>
        <d v="2021-08-23T16:10:00"/>
        <d v="2021-08-23T18:35:00"/>
        <d v="2021-08-23T20:40:00"/>
        <d v="2021-08-24T00:10:00"/>
        <d v="2021-08-24T02:15:00"/>
        <d v="2021-08-24T10:50:00"/>
        <d v="2021-08-24T16:00:00"/>
        <d v="2021-08-24T19:45:00"/>
        <d v="2021-08-25T01:45:00"/>
        <d v="2021-08-25T08:35:00"/>
        <d v="2021-08-25T16:15:00"/>
        <d v="2021-08-25T18:25:00"/>
        <d v="2021-08-25T20:50:00"/>
        <d v="2021-08-25T22:00:00"/>
        <d v="2021-08-26T02:30:00"/>
        <d v="2021-08-26T07:45:00"/>
        <d v="2021-08-26T09:15:00"/>
        <d v="2021-08-26T11:20:00"/>
        <d v="2021-08-26T18:10:00"/>
        <d v="2021-08-26T21:20:00"/>
        <d v="2021-08-26T22:30:00"/>
        <d v="2021-08-27T09:30:00"/>
        <d v="2021-08-27T16:40:00"/>
        <d v="2021-08-27T22:15:00"/>
        <d v="2021-08-28T08:15:00"/>
        <d v="2021-08-28T11:30:00"/>
        <d v="2021-08-28T16:00:00"/>
        <d v="2021-08-28T18:10:00"/>
        <d v="2021-08-29T02:20:00"/>
        <d v="2021-08-29T09:00:00"/>
        <d v="2021-08-29T17:00:00"/>
        <d v="2021-08-29T21:20:00"/>
        <d v="2021-08-30T09:30:00"/>
        <d v="2021-08-30T12:10:00"/>
        <d v="2021-08-30T16:00:00"/>
        <d v="2021-08-30T19:50:00"/>
        <d v="2021-08-30T22:45:00"/>
        <d v="2021-08-31T15:00:00"/>
        <d v="2021-08-31T19:30:00"/>
        <d v="2021-09-01T00:20:00"/>
        <d v="2021-09-01T09:10:00"/>
        <d v="2021-09-01T15:50:00"/>
        <d v="2021-09-01T17:30:00"/>
        <d v="2021-09-01T23:40:00"/>
        <d v="2021-09-01T22:50:00"/>
        <d v="2021-09-01T23:45:00"/>
        <d v="2021-09-02T03:10:00"/>
        <d v="2021-09-02T08:05:00"/>
        <d v="2021-09-02T09:10:00"/>
        <d v="2021-09-02T11:00:00"/>
        <d v="2021-09-02T15:00:00"/>
        <d v="2021-09-02T17:25:00"/>
        <d v="2021-09-02T15:25:00"/>
        <d v="2021-09-02T23:30:00"/>
        <d v="2021-09-03T09:10:00"/>
        <d v="2021-09-03T16:50:00"/>
        <d v="2021-09-04T00:50:00"/>
        <d v="2021-09-04T10:10:00"/>
        <d v="2021-09-04T12:55:00"/>
        <d v="2021-09-04T16:55:00"/>
        <d v="2021-09-04T18:55:00"/>
        <d v="2021-09-05T00:20:00"/>
        <d v="2021-09-05T09:45:00"/>
        <d v="2021-09-05T15:00:00"/>
        <d v="2021-09-05T20:50:00"/>
        <d v="2021-09-06T01:30:00"/>
        <d v="2021-09-06T08:30:00"/>
        <d v="2021-09-06T15:30:00"/>
        <d v="2021-09-06T18:00:00"/>
        <d v="2021-09-06T20:10:00"/>
        <d v="2021-09-06T22:30:00"/>
        <d v="2021-09-07T10:20:00"/>
        <d v="2021-09-07T15:30:00"/>
        <d v="2021-09-08T12:30:00"/>
        <d v="2021-09-08T16:25:00"/>
        <d v="2021-09-08T19:30:00"/>
        <d v="2021-09-08T22:20:00"/>
        <d v="2021-09-09T16:10:00"/>
        <d v="2021-09-09T19:45:00"/>
        <d v="2021-09-09T22:30:00"/>
        <d v="2021-09-09T23:45:00"/>
        <d v="2021-09-10T08:30:00"/>
        <d v="2021-09-10T11:00:00"/>
        <d v="2021-09-10T19:45:00"/>
        <d v="2021-09-10T22:50:00"/>
        <d v="2021-09-11T08:26:00"/>
        <d v="2021-09-11T11:25:00"/>
        <d v="2021-09-11T17:45:00"/>
        <d v="2021-09-11T20:30:00"/>
        <d v="2021-09-12T08:30:00"/>
        <d v="2021-09-12T13:00:00"/>
        <d v="2021-09-12T15:00:00"/>
        <d v="2021-09-12T17:00:00"/>
        <d v="2021-09-12T19:30:00"/>
        <d v="2021-09-13T09:30:00"/>
        <d v="2021-09-13T12:05:00"/>
        <d v="2021-09-13T19:40:00"/>
        <d v="2021-09-13T21:15:00"/>
        <d v="2021-09-13T22:30:00"/>
        <d v="2021-09-14T00:20:00"/>
        <d v="2021-09-14T12:30:00"/>
        <d v="2021-09-15T08:30:00"/>
        <d v="2021-09-15T10:30:00"/>
        <d v="2021-09-15T13:00:00"/>
        <d v="2021-09-15T17:50:00"/>
        <d v="2021-09-16T10:30:00"/>
        <d v="2021-09-16T16:40:00"/>
        <d v="2021-09-16T18:50:00"/>
        <d v="2021-09-17T09:10:00"/>
        <d v="2021-09-17T12:15:00"/>
        <d v="2021-09-17T16:50:00"/>
        <d v="2021-09-17T18:45:00"/>
        <d v="2021-09-18T00:15:00"/>
        <d v="2021-09-18T09:50:00"/>
        <d v="2021-09-18T11:30:00"/>
        <d v="2021-09-18T15:30:00"/>
        <d v="2021-09-18T20:20:00"/>
        <d v="2021-09-18T23:50:00"/>
        <d v="2021-09-19T09:50:00"/>
        <d v="2021-09-19T12:05:00"/>
        <d v="2021-09-19T18:50:00"/>
        <d v="2021-09-20T09:50:00"/>
        <d v="2021-09-20T13:00:00"/>
        <d v="2021-09-20T15:20:00"/>
        <d v="2021-09-20T16:10:00"/>
        <d v="2021-09-21T09:30:00"/>
        <d v="2021-09-22T09:00:00"/>
        <d v="2021-09-22T15:00:00"/>
        <d v="2021-09-22T19:15:00"/>
        <d v="2021-09-23T07:50:00"/>
        <d v="2021-09-23T15:45:00"/>
        <d v="2021-09-23T20:00:00"/>
        <d v="2021-09-24T08:50:00"/>
        <d v="2021-09-24T10:30:00"/>
        <d v="2021-09-24T16:50:00"/>
        <d v="2021-09-24T18:10:00"/>
        <d v="2021-09-25T10:00:00"/>
        <d v="2021-09-25T18:00:00"/>
        <d v="2021-09-26T00:30:00"/>
        <d v="2021-09-26T10:30:00"/>
        <d v="2021-09-26T15:50:00"/>
        <d v="2021-09-26T19:15:00"/>
        <d v="2021-09-27T08:30:00"/>
        <d v="2021-09-27T11:15:00"/>
        <d v="2021-09-27T18:10:00"/>
        <d v="2021-09-27T20:20:00"/>
        <d v="2021-09-27T22:30:00"/>
        <d v="2021-09-28T19:00:00"/>
        <d v="2021-09-28T22:00:00"/>
        <d v="2021-09-29T00:50:00"/>
        <d v="2021-09-29T09:20:00"/>
        <d v="2021-09-29T12:30:00"/>
        <d v="2021-09-29T14:35:00"/>
        <d v="2021-09-29T15:50:00"/>
        <d v="2021-09-29T18:50:00"/>
        <d v="2021-09-30T08:30:00"/>
        <d v="2021-09-30T18:00:00"/>
        <d v="2021-09-30T21:05:00"/>
        <d v="2021-10-01T09:15:00"/>
        <d v="2021-10-01T13:00:00"/>
        <d v="2021-10-01T15:20:00"/>
        <d v="2021-10-01T17:40:00"/>
        <d v="2021-10-01T22:30:00"/>
        <d v="2021-10-02T09:50:00"/>
        <d v="2021-10-02T12:40:00"/>
        <d v="2021-10-02T15:20:00"/>
        <d v="2021-10-02T18:00:00"/>
        <d v="2021-10-03T00:50:00"/>
        <d v="2021-10-03T08:40:00"/>
        <d v="2021-10-03T15:25:00"/>
        <d v="2021-10-03T20:00:00"/>
        <d v="2021-10-04T00:30:00"/>
        <d v="2021-10-04T09:45:00"/>
        <d v="2021-10-04T14:46:00"/>
        <d v="2021-10-04T16:30:00"/>
        <d v="2021-10-05T02:50:00"/>
        <d v="2021-10-05T11:00:00"/>
        <d v="2021-10-06T02:50:00"/>
        <d v="2021-10-06T08:50:00"/>
        <d v="2021-10-06T11:00:00"/>
        <d v="2021-10-06T19:10:00"/>
        <d v="2021-10-07T00:30:00"/>
        <d v="2021-10-07T08:45:00"/>
        <d v="2021-10-07T16:30:00"/>
        <d v="2021-10-07T19:00:00"/>
        <d v="2021-10-08T09:35:00"/>
        <d v="2021-10-08T11:00:00"/>
        <d v="2021-10-08T16:00:00"/>
        <d v="2021-10-08T19:35:00"/>
        <d v="2021-10-08T20:30:00"/>
        <d v="2021-10-09T00:30:00"/>
        <d v="2021-10-09T08:00:00"/>
        <d v="2021-10-09T18:30:00"/>
        <d v="2021-10-09T19:50:00"/>
        <d v="2021-10-09T22:30:00"/>
        <d v="2021-10-10T08:40:00"/>
        <d v="2021-10-10T16:45:00"/>
        <d v="2021-10-10T18:30:00"/>
        <d v="2021-10-10T17:35:00"/>
        <d v="2021-10-10T22:50:00"/>
        <d v="2021-10-11T10:42:00"/>
        <d v="2021-10-11T15:25:00"/>
        <d v="2021-10-11T19:50:00"/>
        <d v="2021-10-11T23:20:00"/>
        <d v="2021-10-12T08:30:00"/>
        <d v="2021-10-12T09:30:00"/>
        <d v="2021-10-12T15:00:00"/>
        <d v="2021-10-12T22:35:00"/>
        <d v="2021-10-13T08:40:00"/>
        <d v="2021-10-13T12:20:00"/>
        <d v="2021-10-13T16:40:00"/>
        <d v="2021-10-13T19:00:00"/>
        <d v="2021-10-14T10:25:00"/>
        <d v="2021-10-14T15:45:00"/>
        <d v="2021-10-14T18:10:00"/>
        <d v="2021-10-14T22:15:00"/>
        <d v="2021-10-15T08:15:00"/>
        <d v="2021-10-15T10:15:00"/>
        <d v="2021-10-15T17:10:00"/>
        <d v="2021-10-15T19:50:00"/>
        <d v="2021-10-15T20:50:00"/>
        <d v="2021-10-15T23:15:00"/>
        <d v="2021-10-16T09:35:00"/>
        <d v="2021-10-16T15:40:00"/>
        <d v="2021-10-17T08:40:00"/>
        <d v="2021-10-17T12:30:00"/>
        <d v="2021-10-17T16:10:00"/>
        <d v="2021-10-17T17:45:00"/>
        <d v="2021-10-17T21:10:00"/>
        <d v="2021-10-17T23:30:00"/>
        <d v="2021-10-18T09:45:00"/>
        <d v="2021-10-19T00:40:00"/>
        <d v="2021-10-19T09:30:00"/>
        <d v="2021-10-19T22:20:00"/>
        <d v="2021-10-20T10:00:00"/>
        <d v="2021-10-20T15:35:00"/>
        <d v="2021-10-21T09:15:00"/>
        <d v="2021-10-21T15:25:00"/>
        <d v="2021-10-21T20:10:00"/>
        <d v="2021-10-21T21:15:00"/>
        <d v="2021-10-21T22:20:00"/>
        <d v="2021-10-22T10:45:00"/>
        <d v="2021-10-22T12:10:00"/>
        <d v="2021-10-22T18:35:00"/>
        <d v="2021-10-22T20:50:00"/>
        <d v="2021-10-23T09:40:00"/>
        <d v="2021-10-23T17:00:00"/>
        <d v="2021-10-23T19:35:00"/>
        <d v="2021-10-24T11:50:00"/>
        <d v="2021-10-24T15:50:00"/>
        <d v="2021-10-24T18:55:00"/>
        <d v="2021-10-25T08:45:00"/>
        <d v="2021-10-25T13:05:00"/>
        <d v="2021-10-25T15:50:00"/>
        <d v="2021-10-26T10:40:00"/>
        <d v="2021-10-26T15:45:00"/>
        <d v="2021-10-26T17:30:00"/>
        <d v="2021-10-26T18:30:00"/>
        <d v="2021-10-26T23:00:00"/>
        <d v="2021-10-27T10:05:00"/>
        <d v="2021-10-27T13:20:00"/>
        <d v="2021-10-27T15:55:00"/>
        <d v="2021-10-27T19:15:00"/>
        <d v="2021-10-28T09:00:00"/>
        <d v="2021-10-28T11:30:00"/>
        <d v="2021-10-28T13:05:00"/>
        <d v="2021-10-28T15:20:00"/>
        <d v="2021-10-29T09:40:00"/>
        <d v="2021-10-29T12:06:00"/>
        <d v="2021-10-29T16:40:00"/>
        <d v="2021-10-29T18:50:00"/>
        <d v="2021-10-30T09:20:00"/>
        <d v="2021-10-30T12:40:00"/>
        <d v="2021-10-30T17:45:00"/>
        <d v="2021-10-31T09:30:00"/>
        <d v="2021-10-31T15:45:00"/>
        <d v="2021-10-31T21:15:00"/>
        <d v="2021-10-31T23:30:00"/>
        <d v="2021-11-01T10:30:00"/>
        <d v="2021-11-01T13:05:00"/>
        <d v="2021-11-01T15:00:00"/>
        <d v="2021-11-01T16:25:00"/>
        <d v="2021-11-01T21:15:00"/>
        <d v="2021-11-01T23:40:00"/>
        <d v="2021-11-02T17:40:00"/>
        <d v="2021-11-02T22:30:00"/>
        <d v="2021-11-03T08:45:00"/>
        <d v="2021-11-03T13:05:00"/>
        <d v="2021-11-03T15:35:00"/>
        <d v="2021-11-03T15:45:00"/>
        <d v="2021-11-03T17:45:00"/>
        <d v="2021-11-04T08:30:00"/>
        <d v="2021-11-04T12:05:00"/>
        <d v="2021-11-04T13:40:00"/>
        <d v="2021-11-05T08:30:00"/>
        <d v="2021-11-05T12:35:00"/>
        <d v="2021-11-05T15:15:00"/>
        <d v="2021-11-05T18:30:00"/>
        <d v="2021-11-05T23:50:00"/>
        <d v="2021-11-06T12:05:00"/>
        <d v="2021-11-07T01:10:00"/>
        <d v="2021-11-07T08:19:00"/>
        <d v="2021-11-07T09:50:00"/>
        <d v="2021-11-07T12:40:00"/>
        <d v="2021-11-07T16:45:00"/>
        <d v="2021-11-07T20:00:00"/>
        <d v="2021-11-08T09:20:00"/>
        <d v="2021-11-08T11:50:00"/>
        <d v="2021-11-08T16:35:00"/>
        <d v="2021-11-08T19:15:00"/>
        <d v="2021-11-08T23:15:00"/>
        <d v="2021-11-09T07:45:00"/>
        <d v="2021-11-09T11:15:00"/>
        <d v="2021-11-09T13:00:00"/>
        <d v="2021-11-09T16:00:00"/>
        <d v="2021-11-10T09:30:00"/>
        <d v="2021-11-10T15:15:00"/>
        <d v="2021-11-10T18:25:00"/>
        <d v="2021-11-10T21:50:00"/>
        <d v="2021-11-11T17:45:00"/>
        <d v="2021-11-12T11:20:00"/>
        <d v="2021-11-12T19:40:00"/>
        <d v="2021-11-13T10:30:00"/>
        <d v="2021-11-13T12:45:00"/>
        <d v="2021-11-13T18:45:00"/>
        <d v="2021-11-13T20:15:00"/>
        <d v="2021-11-14T13:30:00"/>
        <d v="2021-11-14T18:20:00"/>
        <d v="2021-11-14T18:50:00"/>
        <d v="2021-11-14T16:35:00"/>
        <d v="2021-11-14T23:15:00"/>
        <d v="2021-11-15T08:35:00"/>
        <d v="2021-11-15T12:15:00"/>
        <d v="2021-11-15T15:55:00"/>
        <d v="2021-11-15T19:25:00"/>
        <d v="2021-11-15T22:50:00"/>
        <d v="2021-11-17T10:02:00"/>
        <d v="2021-11-17T15:20:00"/>
        <d v="2021-11-17T23:30:00"/>
        <d v="2021-11-18T15:55:00"/>
        <d v="2021-11-18T19:45:00"/>
        <d v="2021-11-19T09:00:00"/>
        <d v="2021-11-19T11:30:00"/>
        <d v="2021-11-19T11:33:00"/>
        <d v="2021-11-19T15:45:00"/>
        <d v="2021-11-19T18:15:00"/>
        <d v="2021-11-19T20:40:00"/>
        <d v="2021-11-19T23:45:00"/>
        <d v="2021-11-20T09:20:00"/>
        <d v="2021-11-20T12:55:00"/>
        <d v="2021-11-20T17:10:00"/>
        <d v="2021-11-21T10:30:00"/>
        <d v="2021-11-21T10:50:00"/>
        <d v="2021-11-21T17:20:00"/>
        <d v="2021-11-21T23:30:00"/>
        <d v="2021-11-22T09:10:00"/>
        <d v="2021-11-22T17:25:00"/>
        <d v="2021-11-22T20:10:00"/>
        <d v="2021-11-23T09:15:00"/>
        <d v="2021-11-23T11:45:00"/>
        <d v="2021-11-23T15:20:00"/>
        <d v="2021-11-24T09:30:00"/>
        <d v="2021-11-24T16:15:00"/>
        <d v="2021-11-25T09:25:00"/>
        <d v="2021-11-25T11:40:00"/>
        <d v="2021-11-25T17:40:00"/>
        <d v="2021-11-25T20:45:00"/>
        <d v="2021-11-25T20:05:00"/>
        <d v="2021-11-26T10:40:00"/>
        <d v="2021-11-26T15:50:00"/>
        <d v="2021-11-27T09:40:00"/>
        <d v="2021-11-27T12:55:00"/>
        <d v="2021-11-27T14:56:00"/>
        <d v="2021-11-27T22:40:00"/>
        <d v="2021-11-28T09:20:00"/>
        <d v="2021-11-28T10:20:00"/>
        <d v="2021-11-28T17:00:00"/>
        <d v="2021-11-28T19:50:00"/>
        <d v="2021-11-28T22:55:00"/>
        <d v="2021-11-29T10:00:00"/>
        <d v="2021-11-29T18:00:00"/>
        <d v="2021-11-29T21:10:00"/>
        <d v="2021-11-29T23:10:00"/>
        <d v="2021-11-30T11:00:00"/>
        <d v="2021-11-30T12:00:00"/>
        <d v="2021-11-30T15:00:00"/>
        <d v="2021-12-01T09:15:00"/>
        <d v="2021-12-01T11:30:00"/>
        <d v="2021-12-01T17:40:00"/>
        <d v="2021-12-01T16:25:00"/>
        <d v="2021-12-02T19:50:00"/>
        <d v="2021-12-03T09:15:00"/>
        <d v="2021-12-03T10:27:00"/>
        <d v="2021-12-03T15:30:00"/>
        <d v="2021-12-03T23:50:00"/>
        <d v="2021-12-04T07:25:00"/>
        <d v="2021-12-04T17:30:00"/>
        <d v="2021-12-04T20:30:00"/>
        <d v="2021-12-04T22:30:00"/>
        <d v="2021-12-05T13:10:00"/>
        <d v="2021-12-05T16:20:00"/>
        <d v="2021-12-06T01:40:00"/>
        <d v="2021-12-06T09:10:00"/>
        <d v="2021-12-06T10:15:00"/>
        <d v="2021-12-06T16:00:00"/>
        <d v="2021-12-06T18:45:00"/>
        <d v="2021-12-07T10:00:00"/>
        <d v="2021-12-07T17:00:00"/>
        <d v="2021-12-08T12:30:00"/>
        <d v="2021-12-08T11:45:00"/>
        <d v="2021-12-08T15:00:00"/>
        <d v="2021-12-08T17:30:00"/>
        <d v="2021-12-08T19:45:00"/>
        <d v="2021-12-08T23:50:00"/>
        <d v="2021-12-09T07:00:00"/>
        <d v="2021-12-09T08:00:00"/>
        <d v="2021-12-09T15:35:00"/>
        <d v="2021-12-09T17:10:00"/>
        <d v="2021-12-10T10:27:00"/>
        <d v="2021-12-10T14:28:00"/>
        <d v="2021-12-10T18:45:00"/>
        <d v="2021-12-11T08:25:00"/>
        <d v="2021-12-11T15:25:00"/>
        <d v="2021-12-11T22:40:00"/>
        <d v="2021-12-12T08:20:00"/>
        <d v="2021-12-12T10:30:00"/>
        <d v="2021-12-12T13:41:00"/>
        <d v="2021-12-12T15:40:00"/>
        <d v="2021-12-12T17:30:00"/>
        <d v="2021-12-13T10:00:00"/>
        <d v="2021-12-13T16:40:00"/>
        <d v="2021-12-14T10:30:00"/>
        <d v="2021-12-14T15:00:00"/>
        <d v="2021-12-15T10:15:00"/>
        <d v="2021-12-15T16:20:00"/>
        <d v="2021-12-15T19:00:00"/>
        <d v="2021-12-15T22:30:00"/>
        <d v="2021-12-16T11:15:00"/>
        <d v="2021-12-16T16:30:00"/>
        <d v="2021-12-17T00:10:00"/>
        <d v="2021-12-17T09:58:00"/>
        <d v="2021-12-17T15:45:00"/>
        <d v="2021-12-17T18:00:00"/>
        <d v="2021-12-18T07:30:00"/>
        <d v="2021-12-18T11:15:00"/>
        <d v="2021-12-18T15:00:00"/>
        <d v="2021-12-18T17:30:00"/>
        <d v="2021-12-19T16:25:00"/>
        <d v="2021-12-20T13:37:00"/>
        <d v="2021-12-20T11:37:00"/>
        <d v="2021-12-20T17:10:00"/>
        <d v="2021-12-21T09:15:00"/>
        <d v="2021-12-21T15:42:00"/>
        <d v="2021-12-22T10:42:00"/>
        <d v="2021-12-22T18:15:00"/>
        <d v="2021-12-22T21:00:00"/>
        <d v="2021-12-23T10:30:00"/>
        <d v="2021-12-23T12:15:00"/>
        <d v="2021-12-23T16:45:00"/>
        <d v="2021-12-23T21:20:00"/>
        <d v="2021-12-23T22:40:00"/>
        <d v="2021-12-23T23:45:00"/>
        <d v="2021-12-24T09:10:00"/>
        <d v="2021-12-24T12:45:00"/>
        <d v="2021-12-24T16:00:00"/>
        <d v="2021-12-24T18:35:00"/>
        <d v="2021-12-24T22:50:00"/>
        <d v="2021-12-25T09:00:00"/>
        <d v="2021-12-25T16:40:00"/>
        <d v="2021-12-25T23:15:00"/>
        <d v="2021-12-26T15:25:00"/>
        <d v="2021-12-26T17:40:00"/>
        <d v="2021-12-27T09:45:00"/>
        <d v="2021-12-27T16:20:00"/>
        <d v="2021-12-27T21:25:00"/>
        <d v="2021-12-27T22:30:00"/>
        <d v="2021-12-28T09:30:00"/>
        <d v="2021-12-28T16:15:00"/>
        <d v="2021-12-28T18:45:00"/>
        <d v="2021-12-29T10:15:00"/>
        <d v="2021-12-29T16:20:00"/>
        <d v="2021-12-29T19:00:00"/>
        <d v="2021-12-30T10:30:00"/>
        <d v="2021-12-30T12:15:00"/>
        <d v="2021-12-30T12:45:00"/>
        <d v="2021-12-30T16:00:00"/>
        <d v="2021-12-30T19:10:00"/>
        <d v="2021-12-31T09:47:00"/>
        <d v="2021-12-31T11:15:00"/>
        <d v="2021-12-31T17:15:00"/>
        <d v="2021-12-31T15:20:00"/>
        <d v="2021-12-31T16:35:00"/>
        <d v="2021-12-31T20:00:00"/>
        <d v="2022-01-01T02:55:00"/>
        <d v="2022-01-01T09:00:00"/>
        <d v="2022-01-01T12:08:00"/>
        <d v="2022-01-01T15:25:00"/>
        <d v="2022-01-01T19:20:00"/>
        <d v="2022-01-02T16:00:00"/>
        <d v="2022-01-02T17:45:00"/>
        <d v="2022-01-03T08:15:00"/>
        <d v="2022-01-03T11:00:00"/>
        <d v="2022-01-03T12:00:00"/>
        <d v="2022-01-03T13:10:00"/>
        <d v="2022-01-03T12:30:00"/>
        <d v="2022-01-03T16:45:00"/>
        <d v="2022-01-03T19:20:00"/>
        <d v="2022-01-03T19:00:00"/>
        <d v="2022-01-03T20:50:00"/>
        <d v="2022-01-04T15:00:00"/>
        <d v="2022-01-05T22:45:00"/>
        <d v="2022-01-04T23:00:00"/>
        <d v="2022-01-05T05:00:00"/>
        <d v="2022-01-05T08:15:00"/>
        <d v="2022-01-05T15:45:00"/>
        <d v="2022-01-06T10:25:00"/>
        <d v="2022-01-06T16:30:00"/>
        <d v="2022-01-06T18:15:00"/>
        <d v="2022-01-06T18:50:00"/>
        <d v="2022-01-06T19:45:00"/>
        <d v="2022-01-06T23:05:00"/>
        <d v="2022-01-07T12:30:00"/>
        <d v="2022-01-07T09:45:00"/>
        <d v="2022-01-07T11:30:00"/>
        <d v="2022-01-07T12:15:00"/>
        <d v="2022-01-07T21:15:00"/>
        <d v="2022-01-07T16:10:00"/>
        <d v="2022-01-07T23:30:00"/>
        <d v="2022-01-08T09:00:00"/>
        <d v="2022-01-08T15:30:00"/>
        <d v="2022-01-08T20:40:00"/>
        <d v="2022-01-08T22:30:00"/>
        <d v="2022-01-09T10:00:00"/>
        <d v="2022-01-09T11:30:00"/>
        <d v="2022-01-09T12:50:00"/>
        <d v="2022-01-09T15:32:00"/>
        <d v="2022-01-09T20:25:00"/>
        <d v="2022-01-10T10:00:00"/>
        <d v="2022-01-10T16:30:00"/>
        <d v="2022-01-11T10:00:00"/>
        <d v="2022-01-11T17:00:00"/>
        <d v="2022-01-11T22:40:00"/>
        <d v="2022-01-12T01:00:00"/>
        <d v="2022-01-12T09:00:00"/>
        <d v="2022-01-12T17:30:00"/>
        <d v="2022-01-12T19:30:00"/>
        <d v="2022-01-13T23:25:00"/>
        <d v="2022-01-13T01:00:00"/>
        <d v="2022-01-13T09:00:00"/>
        <d v="2022-01-13T14:50:00"/>
        <d v="2022-01-13T20:05:00"/>
        <d v="2022-01-13T19:10:00"/>
        <d v="2022-01-14T03:50:00"/>
        <d v="2022-01-14T10:30:00"/>
        <d v="2022-01-14T16:11:00"/>
        <d v="2022-01-14T17:55:00"/>
        <d v="2022-01-14T21:15:00"/>
        <d v="2022-01-15T10:30:00"/>
        <d v="2022-01-15T15:02:00"/>
        <d v="2022-01-15T17:03:00"/>
        <d v="2022-01-15T21:05:00"/>
        <d v="2022-01-16T11:00:00"/>
        <d v="2022-01-16T16:09:00"/>
        <d v="2022-01-16T14:50:00"/>
        <d v="2022-01-16T18:56:00"/>
        <d v="2022-01-16T21:30:00"/>
        <d v="2022-01-16T23:15:00"/>
        <d v="2022-01-17T01:00:00"/>
        <d v="2022-01-17T03:00:00"/>
        <d v="2022-01-17T10:30:00"/>
        <d v="2022-01-17T12:25:00"/>
        <d v="2022-01-17T16:00:00"/>
        <d v="2022-01-17T18:30:00"/>
        <d v="2022-01-17T17:50:00"/>
        <d v="2022-01-17T22:20:00"/>
        <d v="2022-01-17T23:15:00"/>
        <d v="2022-01-18T11:15:00"/>
        <d v="2022-01-18T10:15:00"/>
        <d v="2022-01-18T16:50:00"/>
        <d v="2022-01-18T18:50:00"/>
        <d v="2022-01-19T09:55:00"/>
        <d v="2022-01-19T15:55:00"/>
        <d v="2022-01-19T18:00:00"/>
        <d v="2022-01-19T19:00:00"/>
        <d v="2022-01-19T20:15:00"/>
        <d v="2022-01-20T09:20:00"/>
        <d v="2022-01-20T11:40:00"/>
        <d v="2022-01-20T15:30:00"/>
        <d v="2022-01-20T15:00:00"/>
        <d v="2022-01-20T16:04:00"/>
        <d v="2022-01-21T23:20:00"/>
        <d v="2022-01-21T00:50:00"/>
        <d v="2022-01-21T12:30:00"/>
        <d v="2022-01-21T09:30:00"/>
        <d v="2022-01-21T11:00:00"/>
        <d v="2022-01-21T16:45:00"/>
        <d v="2022-01-21T17:15:00"/>
        <d v="2022-01-21T20:30:00"/>
        <d v="2022-01-22T01:15:00"/>
        <d v="2022-01-22T09:40:00"/>
        <d v="2022-01-22T12:50:00"/>
        <d v="2022-01-22T17:50:00"/>
        <d v="2022-01-22T14:55:00"/>
        <d v="2022-01-22T18:48:00"/>
        <d v="2022-01-23T00:10:00"/>
        <d v="2022-01-23T00:45:00"/>
        <d v="2022-01-22T23:15:00"/>
        <d v="2022-01-22T23:50:00"/>
        <d v="2022-01-23T12:30:00"/>
        <d v="2022-01-23T11:40:00"/>
        <d v="2022-01-23T08:50:00"/>
        <d v="2022-01-23T12:00:00"/>
        <d v="2022-01-23T19:45:00"/>
        <d v="2022-01-23T15:40:00"/>
        <d v="2022-01-23T18:30:00"/>
        <d v="2022-01-24T00:10:00"/>
        <d v="2022-01-24T11:30:00"/>
        <d v="2022-01-24T09:50:00"/>
        <d v="2022-01-24T16:10:00"/>
        <d v="2022-01-24T15:45:00"/>
        <d v="2022-01-24T17:30:00"/>
        <d v="2022-01-24T18:45:00"/>
        <d v="2022-01-24T23:15:00"/>
        <d v="2022-01-25T01:00:00"/>
        <d v="2022-01-25T01:40:00"/>
        <d v="2022-01-25T09:15:00"/>
        <d v="2022-01-25T09:30:00"/>
        <d v="2022-01-25T15:10:00"/>
        <d v="2022-01-26T10:30:00"/>
        <d v="2022-01-26T15:40:00"/>
        <d v="2022-01-26T18:30:00"/>
        <d v="2022-01-26T22:45:00"/>
        <d v="2022-01-27T10:25:00"/>
        <d v="2022-01-27T09:45:00"/>
        <d v="2022-01-27T10:55:00"/>
        <d v="2022-01-27T13:10:00"/>
        <d v="2022-01-27T16:00:00"/>
        <d v="2022-01-27T16:04:00"/>
        <d v="2022-01-27T15:20:00"/>
        <d v="2022-01-27T18:40:00"/>
        <d v="2022-01-27T20:50:00"/>
        <d v="2022-01-27T23:20:00"/>
        <d v="2022-01-28T00:50:00"/>
        <d v="2022-01-28T12:25:00"/>
        <d v="2022-01-28T10:50:00"/>
        <d v="2022-01-28T13:00:00"/>
        <d v="2022-01-28T18:20:00"/>
        <d v="2022-01-28T17:25:00"/>
        <d v="2022-01-28T16:30:00"/>
        <d v="2022-01-28T23:20:00"/>
        <d v="2022-01-29T00:35:00"/>
        <d v="2022-01-29T02:25:00"/>
        <d v="2022-01-29T12:30:00"/>
        <d v="2022-01-29T10:45:00"/>
        <d v="2022-01-29T17:30:00"/>
        <d v="2022-01-29T18:50:00"/>
        <d v="2022-01-29T22:40:00"/>
        <d v="2022-01-30T00:00:01"/>
        <d v="2022-01-30T01:50:00"/>
        <d v="2022-01-30T12:10:00"/>
        <d v="2022-01-30T10:00:00"/>
        <d v="2022-01-30T18:00:00"/>
        <d v="2022-01-30T15:20:00"/>
        <d v="2022-01-30T15:33:00"/>
        <d v="2022-01-30T23:20:00"/>
        <d v="2022-01-31T01:25:00"/>
        <d v="2022-01-31T10:45:00"/>
        <d v="2022-01-31T18:35:00"/>
        <d v="2022-01-31T20:45:00"/>
        <d v="2022-01-31T22:40:00"/>
        <d v="2022-02-01T01:10:00"/>
        <d v="2022-02-01T10:30:00"/>
        <d v="2022-02-01T22:30:00"/>
        <d v="2022-02-02T08:50:00"/>
        <d v="2022-02-02T10:05:00"/>
        <d v="2022-02-02T09:15:00"/>
        <d v="2022-02-02T12:45:00"/>
        <d v="2022-02-02T12:40:00"/>
        <d v="2022-02-02T18:00:00"/>
        <d v="2022-02-02T15:30:00"/>
        <d v="2022-02-02T16:30:00"/>
        <d v="2022-02-02T22:45:00"/>
        <d v="2022-02-03T00:00:01"/>
        <d v="2022-02-03T01:15:00"/>
        <d v="2022-02-03T12:20:00"/>
        <d v="2022-02-03T09:30:00"/>
        <d v="2022-02-03T10:25:00"/>
        <d v="2022-02-03T17:10:00"/>
        <d v="2022-02-03T19:40:00"/>
        <d v="2022-02-03T23:45:00"/>
        <d v="2022-02-04T01:25:00"/>
        <d v="2022-02-04T02:35:00"/>
        <d v="2022-02-04T11:20:00"/>
        <d v="2022-02-04T15:45:00"/>
        <d v="2022-02-04T22:50:00"/>
        <d v="2022-02-05T00:30:00"/>
        <d v="2022-02-05T11:30:00"/>
        <d v="2022-02-05T18:50:00"/>
        <d v="2022-02-05T16:00:00"/>
        <d v="2022-02-06T10:45:00"/>
        <d v="2022-02-06T18:05:00"/>
        <d v="2022-02-06T20:55:00"/>
        <d v="2022-02-07T22:25:00"/>
        <d v="2022-02-06T23:45:00"/>
        <d v="2022-02-07T01:30:00"/>
        <d v="2022-02-07T10:45:00"/>
        <d v="2022-02-07T11:30:00"/>
        <d v="2022-02-07T14:50:00"/>
        <d v="2022-02-07T15:45:00"/>
        <d v="2022-02-07T18:30:00"/>
        <d v="2022-02-07T19:20:00"/>
        <d v="2022-02-08T01:50:00"/>
        <d v="2022-02-08T09:00:00"/>
        <d v="2022-02-08T11:10:00"/>
        <d v="2022-02-08T10:45:00"/>
        <d v="2022-02-08T09:45:00"/>
        <d v="2022-02-08T15:00:00"/>
        <d v="2022-02-08T17:30:00"/>
        <d v="2022-02-08T22:50:00"/>
        <d v="2022-02-09T08:30:00"/>
        <d v="2022-02-09T12:55:00"/>
        <d v="2022-02-09T10:45:00"/>
        <d v="2022-02-09T15:50:00"/>
        <d v="2022-02-09T20:35:00"/>
        <d v="2022-02-09T18:55:00"/>
        <d v="2022-02-09T22:30:00"/>
        <d v="2022-02-10T01:10:00"/>
        <d v="2022-02-10T11:45:00"/>
        <d v="2022-02-10T09:35:00"/>
        <d v="2022-02-10T08:45:00"/>
        <d v="2022-02-10T10:00:00"/>
        <d v="2022-02-10T15:55:00"/>
        <d v="2022-02-10T18:00:00"/>
        <d v="2022-02-10T20:00:00"/>
        <d v="2022-02-10T23:40:00"/>
        <d v="2022-02-11T02:15:00"/>
        <d v="2022-02-11T09:27:00"/>
        <d v="2022-02-11T10:35:00"/>
        <d v="2022-02-11T13:00:00"/>
        <d v="2022-02-11T16:50:00"/>
        <d v="2022-02-11T18:55:00"/>
        <d v="2022-02-11T23:20:00"/>
        <d v="2022-02-12T01:30:00"/>
        <d v="2022-02-12T10:00:00"/>
        <d v="2022-02-12T15:28:00"/>
        <d v="2022-02-12T17:00:00"/>
        <d v="2022-02-12T18:05:00"/>
        <d v="2022-02-13T09:20:00"/>
        <d v="2022-02-13T12:20:00"/>
        <d v="2022-02-13T01:15:00"/>
        <d v="2022-02-13T14:15:00"/>
        <d v="2022-02-13T15:30:00"/>
        <d v="2022-02-13T19:40:00"/>
        <d v="2022-02-13T23:40:00"/>
        <d v="2022-02-14T01:20:00"/>
        <d v="2022-02-14T10:30:00"/>
        <d v="2022-02-14T11:45:00"/>
        <d v="2022-02-14T18:15:00"/>
        <d v="2022-02-14T19:00:00"/>
        <d v="2022-02-14T17:30:00"/>
        <d v="2022-02-14T19:30:00"/>
        <d v="2022-02-14T18:00:00"/>
        <d v="2022-02-14T19:15:00"/>
        <d v="2022-02-14T19:45:00"/>
        <d v="2022-02-14T16:00:00"/>
        <d v="2022-02-15T00:30:00"/>
        <d v="2022-02-15T10:20:00"/>
        <d v="2022-02-15T12:15:00"/>
        <d v="2022-02-15T11:00:00"/>
        <d v="2022-02-15T11:15:00"/>
        <d v="2022-02-15T16:30:00"/>
        <d v="2022-02-16T12:15:00"/>
        <d v="2022-02-16T10:30:00"/>
        <d v="2022-02-16T18:15:00"/>
        <d v="2022-02-16T15:10:00"/>
        <d v="2022-02-16T21:00:00"/>
        <d v="2022-02-16T22:15:00"/>
        <d v="2022-02-17T00:50:00"/>
        <d v="2022-02-17T09:50:00"/>
        <d v="2022-02-17T09:15:00"/>
        <d v="2022-02-17T12:15:00"/>
        <d v="2022-02-17T16:30:00"/>
        <d v="2022-02-17T20:00:00"/>
        <d v="2022-02-18T10:50:00"/>
        <d v="2022-02-18T09:45:00"/>
        <d v="2022-02-18T13:15:00"/>
        <d v="2022-02-18T12:45:00"/>
        <d v="2022-02-18T15:30:00"/>
        <d v="2022-02-18T22:45:00"/>
        <d v="2022-02-19T01:10:00"/>
        <d v="2022-02-19T10:00:00"/>
        <d v="2022-02-19T11:15:00"/>
        <d v="2022-02-19T09:20:00"/>
        <d v="2022-02-19T12:30:00"/>
        <d v="2022-02-19T13:00:00"/>
        <d v="2022-02-19T14:45:00"/>
        <d v="2022-02-19T15:30:00"/>
        <d v="2022-02-19T19:30:00"/>
        <d v="2022-02-19T22:35:00"/>
        <d v="2022-02-20T00:30:00"/>
        <d v="2022-02-20T09:30:00"/>
        <d v="2022-02-20T12:30:00"/>
        <d v="2022-02-20T10:45:00"/>
        <d v="2022-02-20T13:00:00"/>
        <d v="2022-02-21T15:30:00"/>
        <d v="2022-02-21T08:40:00"/>
        <d v="2022-02-21T10:30:00"/>
        <d v="2022-02-21T11:30:00"/>
        <d v="2022-02-21T14:00:00"/>
        <d v="2022-02-21T13:00:00"/>
        <d v="2022-02-21T11:00:00"/>
        <d v="2022-02-21T18:54:00"/>
        <d v="2022-02-21T22:00:00"/>
        <d v="2022-02-22T22:30:00"/>
        <d v="2022-02-22T00:15:00"/>
        <d v="2022-02-22T02:10:00"/>
        <d v="2022-02-22T03:50:00"/>
        <d v="2022-02-22T10:40:00"/>
        <d v="2022-02-22T07:20:00"/>
        <d v="2022-02-22T14:10:00"/>
        <d v="2022-02-22T17:30:00"/>
        <d v="2022-02-22T15:20:00"/>
        <d v="2022-02-23T10:15:00"/>
        <d v="2022-02-23T18:48:00"/>
        <d v="2022-02-23T15:45:00"/>
        <d v="2022-02-23T23:00:00"/>
        <d v="2022-02-24T00:25:00"/>
        <d v="2022-02-24T15:45:00"/>
        <d v="2022-02-24T17:20:00"/>
        <d v="2022-02-24T20:20:00"/>
        <d v="2022-02-24T22:50:00"/>
        <d v="2022-02-25T00:10:00"/>
        <d v="2022-02-25T10:15:00"/>
        <d v="2022-02-25T12:25:00"/>
        <d v="2022-02-25T13:25:00"/>
        <d v="2022-02-25T15:15:00"/>
        <d v="2022-02-25T22:25:00"/>
        <d v="2022-02-26T00:50:00"/>
        <d v="2022-02-26T01:45:00"/>
        <d v="2022-02-26T09:22:00"/>
        <d v="2022-02-26T12:20:00"/>
        <d v="2022-02-26T15:30:00"/>
        <d v="2022-02-26T17:18:00"/>
        <d v="2022-02-26T20:15:00"/>
        <d v="2022-02-26T21:25:00"/>
        <d v="2022-02-26T22:20:00"/>
        <d v="2022-02-27T00:30:00"/>
        <d v="2022-02-27T10:45:00"/>
        <d v="2022-02-27T13:30:00"/>
        <d v="2022-02-27T12:10:00"/>
        <d v="2022-02-27T15:28:00"/>
        <d v="2022-02-27T19:00:00"/>
        <d v="2022-02-27T19:55:00"/>
        <d v="2022-02-27T22:45:00"/>
        <d v="2022-02-28T01:35:00"/>
        <d v="2022-02-28T03:15:00"/>
        <d v="2022-02-28T08:45:00"/>
        <d v="2022-02-28T11:15:00"/>
        <d v="2022-02-28T13:20:00"/>
        <d v="2022-02-28T12:45:00"/>
        <d v="2022-02-28T14:50:00"/>
        <d v="2022-02-28T18:30:00"/>
        <d v="2022-03-01T11:30:00"/>
        <d v="2022-03-01T14:35:00"/>
        <d v="2022-03-02T10:15:00"/>
        <d v="2022-03-02T09:55:00"/>
        <d v="2022-03-02T09:45:00"/>
        <d v="2022-03-02T18:10:00"/>
        <d v="2022-03-03T00:00:01"/>
        <d v="2022-03-03T01:15:00"/>
        <d v="2022-03-03T08:15:00"/>
        <d v="2022-03-03T08:50:00"/>
        <d v="2022-03-03T11:00:00"/>
        <d v="2022-03-03T16:30:00"/>
        <d v="2022-03-03T23:00:00"/>
        <d v="2022-03-04T04:30:00"/>
        <d v="2022-03-04T11:25:00"/>
        <d v="2022-03-04T09:30:00"/>
        <d v="2022-03-04T12:00:00"/>
        <d v="2022-03-04T15:18:00"/>
        <d v="2022-03-04T17:12:00"/>
        <d v="2022-03-04T18:45:00"/>
        <d v="2022-03-04T23:10:00"/>
        <d v="2022-03-05T00:50:00"/>
        <d v="2022-03-05T04:45:00"/>
        <d v="2022-03-05T08:03:00"/>
        <d v="2022-03-05T10:30:00"/>
        <d v="2022-03-05T16:30:00"/>
        <d v="2022-03-05T19:30:00"/>
        <d v="2022-03-05T22:50:00"/>
        <d v="2022-03-06T01:00:00"/>
        <d v="2022-03-06T08:48:00"/>
        <d v="2022-03-06T09:45:00"/>
        <d v="2022-03-06T10:55:00"/>
        <d v="2022-03-06T10:20:00"/>
        <d v="2022-03-06T16:15:00"/>
        <d v="2022-03-06T19:10:00"/>
        <d v="2022-03-06T23:00:00"/>
        <d v="2022-03-07T00:30:00"/>
        <d v="2022-03-07T09:30:00"/>
        <d v="2022-03-07T16:15:00"/>
        <d v="2022-03-07T18:50:00"/>
        <d v="2022-03-07T20:40:00"/>
        <d v="2022-03-08T00:10:00"/>
        <d v="2022-03-08T08:15:00"/>
        <d v="2022-03-08T11:05:00"/>
        <d v="2022-03-08T17:00:00"/>
        <d v="2022-03-08T22:50:00"/>
        <d v="2022-03-09T11:50:00"/>
        <d v="2022-03-09T08:30:00"/>
        <d v="2022-03-09T09:30:00"/>
        <d v="2022-03-09T17:37:00"/>
        <d v="2022-03-09T20:00:00"/>
        <d v="2022-03-09T23:15:00"/>
        <d v="2022-03-10T01:00:00"/>
        <d v="2022-03-10T02:40:00"/>
        <d v="2022-03-10T10:30:00"/>
        <d v="2022-03-10T08:45:00"/>
        <d v="2022-03-10T09:30:00"/>
        <d v="2022-03-10T16:15:00"/>
        <d v="2022-03-10T23:30:00"/>
        <d v="2022-03-11T00:25:00"/>
        <d v="2022-03-11T09:00:00"/>
        <d v="2022-03-11T10:20:00"/>
        <d v="2022-03-11T12:05:00"/>
        <d v="2022-03-11T15:37:00"/>
        <d v="2022-03-11T18:05:00"/>
        <d v="2022-03-11T23:15:00"/>
        <d v="2022-03-12T00:20:00"/>
        <d v="2022-03-12T12:30:00"/>
        <d v="2022-03-12T10:45:00"/>
        <d v="2022-03-12T11:30:00"/>
        <d v="2022-03-12T11:45:00"/>
        <d v="2022-03-12T16:30:00"/>
        <d v="2022-03-12T23:15:00"/>
        <d v="2022-03-13T11:20:00"/>
        <d v="2022-03-13T10:35:00"/>
        <d v="2022-03-13T09:50:00"/>
        <d v="2022-03-13T10:00:00"/>
        <d v="2022-03-13T12:35:00"/>
        <d v="2022-03-13T15:40:00"/>
        <d v="2022-03-13T16:40:00"/>
        <d v="2022-03-13T17:40:00"/>
        <d v="2022-03-13T19:15:00"/>
        <d v="2022-03-13T22:20:00"/>
        <d v="2022-03-14T00:00:01"/>
        <d v="2022-03-14T09:00:00"/>
        <d v="2022-03-14T15:20:00"/>
        <d v="2022-03-14T20:55:00"/>
        <d v="2022-03-14T23:00:00"/>
        <d v="2022-03-15T00:45:00"/>
        <d v="2022-03-15T08:45:00"/>
        <d v="2022-03-15T15:00:00"/>
        <d v="2022-03-15T17:20:00"/>
        <d v="2022-03-15T22:30:00"/>
        <d v="2022-03-16T00:00:01"/>
        <d v="2022-03-16T12:45:00"/>
        <d v="2022-03-16T10:30:00"/>
        <d v="2022-03-16T17:00:00"/>
        <d v="2022-03-16T20:20:00"/>
        <d v="2022-03-16T22:40:00"/>
        <d v="2022-03-17T00:45:00"/>
        <d v="2022-03-17T08:25:00"/>
        <d v="2022-03-17T09:02:00"/>
        <d v="2022-03-17T07:05:00"/>
        <d v="2022-03-17T11:45:00"/>
        <d v="2022-03-17T10:30:00"/>
        <d v="2022-03-17T16:25:00"/>
        <d v="2022-03-17T18:45:00"/>
        <d v="2022-03-17T18:30:00"/>
        <d v="2022-03-17T18:35:00"/>
        <d v="2022-03-18T12:45:00"/>
        <d v="2022-03-18T10:55:00"/>
        <d v="2022-03-18T11:30:00"/>
        <d v="2022-03-18T09:30:00"/>
        <d v="2022-03-18T17:00:00"/>
        <d v="2022-03-18T17:27:00"/>
        <d v="2022-03-18T19:31:00"/>
        <d v="2022-03-18T23:40:00"/>
        <d v="2022-03-18T23:00:00"/>
        <d v="2022-03-19T00:10:00"/>
        <d v="2022-03-19T09:30:00"/>
        <d v="2022-03-19T17:30:00"/>
        <d v="2022-03-20T00:45:00"/>
        <d v="2022-03-20T04:00:00"/>
        <d v="2022-03-20T13:00:00"/>
        <d v="2022-03-20T10:00:00"/>
        <d v="2022-03-20T07:30:00"/>
        <d v="2022-03-20T08:30:00"/>
        <d v="2022-03-20T09:05:00"/>
        <d v="2022-03-20T18:26:00"/>
        <d v="2022-03-20T20:10:00"/>
        <d v="2022-03-20T14:40:00"/>
        <d v="2022-03-20T23:30:00"/>
        <d v="2022-03-21T00:45:00"/>
        <d v="2022-03-21T02:10:00"/>
        <d v="2022-03-21T11:05:00"/>
        <d v="2022-03-21T12:20:00"/>
        <d v="2022-03-21T08:30:00"/>
        <d v="2022-03-21T10:00:00"/>
        <d v="2022-03-21T15:20:00"/>
        <d v="2022-03-21T20:02:00"/>
        <d v="2022-03-21T19:10:00"/>
        <d v="2022-03-21T20:20:00"/>
        <d v="2022-03-21T23:00:00"/>
        <d v="2022-03-22T09:00:00"/>
        <d v="2022-03-22T15:30:00"/>
        <d v="2022-03-22T22:25:00"/>
        <d v="2022-03-23T00:00:01"/>
        <d v="2022-03-23T10:30:00"/>
        <d v="2022-03-23T13:00:00"/>
        <d v="2022-03-23T15:20:00"/>
        <d v="2022-03-23T19:35:00"/>
        <d v="2022-03-23T23:45:00"/>
        <d v="2022-03-24T08:50:00"/>
        <d v="2022-03-24T08:30:00"/>
        <d v="2022-03-24T11:00:00"/>
        <d v="2022-03-24T12:05:00"/>
        <d v="2022-03-24T11:50:00"/>
        <d v="2022-03-24T15:45:00"/>
        <d v="2022-03-24T15:15:00"/>
        <d v="2022-03-24T21:40:00"/>
        <d v="2022-03-24T23:15:00"/>
        <d v="2022-03-25T00:20:00"/>
        <d v="2022-03-25T07:46:00"/>
        <d v="2022-03-25T11:20:00"/>
        <d v="2022-03-25T10:55:00"/>
        <d v="2022-03-25T17:25:00"/>
        <d v="2022-03-25T20:30:00"/>
        <d v="2022-03-25T23:00:00"/>
        <d v="2022-03-26T00:20:00"/>
        <d v="2022-03-26T10:30:00"/>
        <d v="2022-03-26T19:05:00"/>
        <d v="2022-03-26T15:15:00"/>
        <d v="2022-03-26T23:40:00"/>
        <d v="2022-03-26T22:30:00"/>
        <d v="2022-03-27T00:55:00"/>
        <d v="2022-03-27T09:30:00"/>
        <d v="2022-03-27T11:45:00"/>
        <d v="2022-03-27T11:00:00"/>
        <d v="2022-03-27T17:37:00"/>
        <d v="2022-03-27T15:10:00"/>
        <d v="2022-03-27T15:20:00"/>
        <d v="2022-03-27T23:30:00"/>
        <d v="2022-03-28T09:15:00"/>
        <d v="2022-03-28T08:00:00"/>
        <d v="2022-03-28T18:25:00"/>
        <d v="2022-03-29T07:45:00"/>
        <d v="2022-03-29T09:10:00"/>
        <d v="2022-03-29T09:45:00"/>
        <d v="2022-03-29T15:20:00"/>
        <d v="2022-03-29T19:20:00"/>
        <d v="2022-03-29T23:45:00"/>
        <d v="2022-03-30T08:15:00"/>
        <d v="2022-03-30T08:50:00"/>
        <d v="2022-03-30T11:30:00"/>
        <d v="2022-03-30T12:25:00"/>
        <d v="2022-03-30T12:05:00"/>
        <d v="2022-03-30T15:55:00"/>
        <d v="2022-03-30T19:15:00"/>
        <d v="2022-03-30T22:15:00"/>
        <d v="2022-03-30T23:45:00"/>
        <d v="2022-03-31T07:55:00"/>
        <d v="2022-03-31T07:30:00"/>
        <d v="2022-03-31T08:20:00"/>
        <d v="2022-03-31T15:30:00"/>
        <d v="2022-03-31T19:05:00"/>
        <d v="2022-03-31T21:10:00"/>
        <d v="2022-03-31T23:20:00"/>
        <d v="2022-04-01T01:10:00"/>
        <d v="2022-04-01T13:00:00"/>
        <d v="2022-04-01T09:00:00"/>
        <d v="2022-04-01T13:20:00"/>
        <d v="2022-04-01T12:40:00"/>
        <d v="2022-04-01T16:10:00"/>
        <d v="2022-04-01T17:10:00"/>
        <d v="2022-04-01T20:30:00"/>
        <d v="2022-04-02T10:06:00"/>
        <d v="2022-04-02T16:40:00"/>
        <d v="2022-04-02T18:50:00"/>
        <d v="2022-04-02T23:10:00"/>
        <d v="2022-04-03T00:00:01"/>
        <d v="2022-04-03T08:00:00"/>
        <d v="2022-04-03T08:20:00"/>
        <d v="2022-04-03T12:20:00"/>
        <d v="2022-04-03T11:30:00"/>
        <d v="2022-04-03T10:15:00"/>
        <d v="2022-04-03T17:55:00"/>
        <d v="2022-04-04T11:00:00"/>
        <d v="2022-04-04T10:15:00"/>
        <d v="2022-04-04T09:57:00"/>
        <d v="2022-04-04T11:45:00"/>
        <d v="2022-04-04T15:45:00"/>
        <d v="2022-04-04T19:50:00"/>
        <d v="2022-04-04T23:45:00"/>
        <d v="2022-04-05T01:15:00"/>
        <d v="2022-04-05T09:30:00"/>
        <d v="2022-04-05T15:30:00"/>
        <d v="2022-04-05T22:20:00"/>
        <d v="2022-04-05T23:35:00"/>
        <d v="2022-04-06T00:50:00"/>
        <d v="2022-04-06T07:40:00"/>
        <d v="2022-04-06T10:15:00"/>
        <d v="2022-04-06T19:15:00"/>
        <d v="2022-04-06T16:50:00"/>
        <d v="2022-04-06T17:05:00"/>
        <d v="2022-04-06T21:25:00"/>
        <d v="2022-04-06T22:30:00"/>
        <d v="2022-04-07T00:45:00"/>
        <d v="2022-04-07T09:30:00"/>
        <d v="2022-04-07T10:40:00"/>
        <d v="2022-04-07T16:04:00"/>
        <d v="2022-04-07T15:25:00"/>
        <d v="2022-04-07T17:50:00"/>
        <d v="2022-04-07T17:30:00"/>
        <d v="2022-04-07T23:45:00"/>
        <d v="2022-04-08T00:35:00"/>
        <d v="2022-04-08T02:15:00"/>
        <d v="2022-04-08T08:05:00"/>
        <d v="2022-04-08T11:45:00"/>
        <d v="2022-04-08T11:00:00"/>
        <d v="2022-04-08T13:00:00"/>
        <d v="2022-04-08T17:05:00"/>
        <d v="2022-04-09T01:10:00"/>
        <d v="2022-04-09T02:40:00"/>
        <d v="2022-04-09T10:00:00"/>
        <d v="2022-04-09T11:45:00"/>
        <d v="2022-04-09T10:45:00"/>
        <d v="2022-04-09T18:59:00"/>
        <d v="2022-04-09T17:00:00"/>
        <d v="2022-04-09T16:25:00"/>
        <d v="2022-04-10T01:20:00"/>
        <d v="2022-04-10T00:30:00"/>
        <d v="2022-04-10T03:30:00"/>
        <d v="2022-04-10T12:10:00"/>
        <d v="2022-04-10T09:45:00"/>
        <d v="2022-04-10T13:15:00"/>
        <d v="2022-04-10T21:30:00"/>
        <d v="2022-04-11T00:45:00"/>
        <d v="2022-04-11T10:45:00"/>
        <d v="2022-04-11T09:28:00"/>
        <d v="2022-04-11T13:15:00"/>
        <d v="2022-04-11T12:00:00"/>
        <d v="2022-04-11T11:15:00"/>
        <d v="2022-04-11T20:21:00"/>
        <d v="2022-04-12T00:00:01"/>
        <d v="2022-04-12T01:15:00"/>
        <d v="2022-04-12T10:50:00"/>
        <d v="2022-04-12T09:43:00"/>
        <d v="2022-04-12T11:35:00"/>
        <d v="2022-04-12T17:00:00"/>
        <d v="2022-04-12T18:45:00"/>
        <d v="2022-04-12T23:10:00"/>
        <d v="2022-04-13T08:20:00"/>
        <d v="2022-04-13T11:20:00"/>
        <d v="2022-04-13T10:30:00"/>
        <d v="2022-04-13T13:00:00"/>
        <d v="2022-04-13T09:55:00"/>
        <d v="2022-04-13T18:05:00"/>
        <d v="2022-04-13T21:00:00"/>
        <d v="2022-04-14T00:30:00"/>
        <d v="2022-04-14T07:45:00"/>
        <d v="2022-04-14T10:00:00"/>
        <d v="2022-04-14T15:45:00"/>
        <d v="2022-04-14T18:44:00"/>
        <d v="2022-04-14T22:40:00"/>
        <d v="2022-04-15T00:20:00"/>
        <d v="2022-04-15T02:40:00"/>
        <d v="2022-04-15T09:09:00"/>
        <d v="2022-04-15T12:15:00"/>
        <d v="2022-04-15T11:30:00"/>
        <d v="2022-04-15T10:55:00"/>
        <d v="2022-04-15T15:05:00"/>
        <d v="2022-04-15T18:15:00"/>
        <d v="2022-04-15T22:25:00"/>
        <d v="2022-04-16T11:30:00"/>
        <d v="2022-04-16T07:50:00"/>
        <d v="2022-04-16T10:15:00"/>
        <d v="2022-04-16T10:45:00"/>
        <d v="2022-04-16T12:45:00"/>
        <d v="2022-04-16T12:00:00"/>
        <d v="2022-04-16T11:25:00"/>
        <d v="2022-04-16T11:00:00"/>
        <d v="2022-04-16T07:15:00"/>
        <d v="2022-04-16T15:00:00"/>
        <d v="2022-04-16T18:00:00"/>
        <d v="2022-04-16T16:00:00"/>
        <d v="2022-04-17T13:55:00"/>
        <d v="2022-04-17T10:30:00"/>
        <d v="2022-04-17T09:30:00"/>
        <d v="2022-04-17T14:20:00"/>
        <d v="2022-04-17T11:50:00"/>
        <d v="2022-04-17T12:00:00"/>
        <d v="2022-04-17T13:00:00"/>
        <d v="2022-04-17T14:15:00"/>
        <d v="2022-04-17T16:05:00"/>
        <d v="2022-04-17T18:30:00"/>
        <d v="2022-04-17T22:50:00"/>
        <d v="2022-04-18T00:25:00"/>
        <d v="2022-04-18T09:00:00"/>
        <d v="2022-04-18T13:15:00"/>
        <d v="2022-04-18T12:00:00"/>
        <d v="2022-04-18T11:15:00"/>
        <d v="2022-04-18T13:30:00"/>
        <d v="2022-04-18T15:40:00"/>
        <d v="2022-04-18T17:14:00"/>
        <d v="2022-04-18T20:40:00"/>
        <d v="2022-04-19T10:40:00"/>
        <d v="2022-04-19T17:15:00"/>
        <d v="2022-04-19T22:30:00"/>
        <d v="2022-04-20T12:00:00"/>
        <d v="2022-04-20T09:49:00"/>
        <d v="2022-04-20T12:30:00"/>
        <d v="2022-04-20T13:59:00"/>
        <d v="2022-04-20T13:15:00"/>
        <d v="2022-04-20T16:00:00"/>
        <d v="2022-04-20T21:00:00"/>
        <d v="2022-04-20T20:06:00"/>
        <d v="2022-04-20T19:45:00"/>
        <d v="2022-04-21T08:45:00"/>
        <d v="2022-04-21T11:50:00"/>
        <d v="2022-04-21T10:15:00"/>
        <d v="2022-04-21T11:00:00"/>
        <d v="2022-04-21T12:15:00"/>
        <d v="2022-04-21T17:35:00"/>
        <d v="2022-04-21T20:50:00"/>
        <d v="2022-04-21T21:36:00"/>
        <d v="2022-04-21T23:40:00"/>
        <d v="2022-04-22T00:20:00"/>
        <d v="2022-04-22T01:15:00"/>
        <d v="2022-04-21T22:30:00"/>
        <d v="2022-04-22T22:35:00"/>
        <d v="2022-04-22T13:15:00"/>
        <d v="2022-04-22T10:00:00"/>
        <d v="2022-04-22T19:00:00"/>
        <d v="2022-04-22T16:00:00"/>
        <d v="2022-04-23T00:20:00"/>
        <d v="2022-04-23T01:00:00"/>
        <d v="2022-04-22T23:40:00"/>
        <d v="2022-04-23T01:35:00"/>
        <d v="2022-04-23T12:00:00"/>
        <d v="2022-04-23T12:52:00"/>
        <d v="2022-04-23T16:30:00"/>
        <d v="2022-04-23T22:50:00"/>
        <d v="2022-04-24T23:10:00"/>
        <d v="2022-04-24T00:40:00"/>
        <d v="2022-04-24T01:40:00"/>
        <d v="2022-04-24T02:15:00"/>
        <d v="2022-04-24T03:25:00"/>
        <d v="2022-04-24T10:30:00"/>
        <d v="2022-04-24T11:30:00"/>
        <d v="2022-04-24T12:30:00"/>
        <d v="2022-04-24T13:15:00"/>
        <d v="2022-04-24T08:25:00"/>
        <d v="2022-04-24T07:09:00"/>
        <d v="2022-04-24T10:00:00"/>
        <d v="2022-04-24T15:50:00"/>
        <d v="2022-04-24T21:20:00"/>
        <d v="2022-04-25T10:30:00"/>
        <d v="2022-04-25T09:00:00"/>
        <d v="2022-04-25T10:40:00"/>
        <d v="2022-04-25T10:00:00"/>
        <d v="2022-04-25T19:13:00"/>
        <d v="2022-04-25T16:35:00"/>
        <d v="2022-04-26T20:15:00"/>
        <d v="2022-04-27T08:30:00"/>
        <d v="2022-04-27T12:00:00"/>
        <d v="2022-04-27T10:10:00"/>
        <d v="2022-04-27T10:30:00"/>
        <d v="2022-04-27T11:45:00"/>
        <d v="2022-04-27T21:00:00"/>
        <d v="2022-04-27T18:30:00"/>
        <d v="2022-04-27T19:43:00"/>
        <d v="2022-04-28T01:20:00"/>
        <d v="2022-04-28T08:00:00"/>
        <d v="2022-04-28T07:45:00"/>
        <d v="2022-04-28T13:00:00"/>
        <d v="2022-04-28T16:00:00"/>
        <d v="2022-04-28T16:35:00"/>
        <d v="2022-04-28T20:40:00"/>
        <d v="2022-04-28T23:30:00"/>
        <d v="2022-04-29T01:20:00"/>
        <d v="2022-04-29T08:45:00"/>
        <d v="2022-04-29T11:00:00"/>
        <d v="2022-04-29T18:30:00"/>
        <d v="2022-04-29T19:05:00"/>
        <d v="2022-04-30T00:30:00"/>
        <d v="2022-04-30T01:45:00"/>
        <d v="2022-04-30T03:20:00"/>
        <d v="2022-04-30T10:30:00"/>
        <d v="2022-04-30T09:10:00"/>
        <d v="2022-04-30T10:15:00"/>
        <d v="2022-04-30T10:00:00"/>
        <d v="2022-04-30T16:45:00"/>
        <d v="2022-05-01T11:15:00"/>
        <d v="2022-05-01T10:00:00"/>
        <d v="2022-05-01T13:15:00"/>
        <d v="2022-05-01T13:00:00"/>
        <d v="2022-05-01T17:05:00"/>
        <d v="2022-05-01T23:00:00"/>
        <d v="2022-05-02T01:10:00"/>
        <d v="2022-05-02T12:00:00"/>
        <d v="2022-05-02T11:30:00"/>
        <d v="2022-05-02T16:17:00"/>
        <d v="2022-05-02T22:50:00"/>
        <d v="2022-05-03T00:25:00"/>
        <d v="2022-05-03T12:55:00"/>
        <d v="2022-05-03T17:07:00"/>
        <d v="2022-05-03T22:45:00"/>
        <d v="2022-05-04T11:00:00"/>
        <d v="2022-05-04T08:26:00"/>
        <d v="2022-05-04T13:00:00"/>
        <d v="2022-05-04T12:30:00"/>
        <d v="2022-05-04T17:00:00"/>
        <d v="2022-05-05T00:30:00"/>
        <d v="2022-05-05T01:40:00"/>
        <d v="2022-05-05T11:00:00"/>
        <d v="2022-05-02T10:10:00"/>
        <d v="2022-05-05T18:15:00"/>
        <d v="2022-05-06T00:00:01"/>
        <d v="2022-05-06T08:30:00"/>
        <d v="2022-05-06T09:50:00"/>
        <d v="2022-05-06T13:15:00"/>
        <d v="2022-05-06T15:15:00"/>
        <d v="2022-05-06T23:25:00"/>
        <d v="2022-05-07T01:00:00"/>
        <d v="2022-05-07T09:15:00"/>
        <d v="2022-05-07T08:45:00"/>
        <d v="2022-05-07T09:20:00"/>
        <d v="2022-05-07T13:15:00"/>
        <d v="2022-05-07T18:06:00"/>
        <d v="2022-05-07T18:26:00"/>
        <d v="2022-05-07T16:26:00"/>
        <d v="2022-05-07T23:20:00"/>
        <d v="2022-05-08T01:45:00"/>
        <d v="2022-05-08T09:45:00"/>
        <d v="2022-05-08T10:00:00"/>
        <d v="2022-05-08T11:00:00"/>
        <d v="2022-05-08T15:50:00"/>
        <d v="2022-05-08T20:20:00"/>
        <d v="2022-05-08T23:15:00"/>
        <d v="2022-05-09T01:10:00"/>
        <d v="2022-05-09T03:15:00"/>
        <d v="2022-05-09T08:50:00"/>
        <d v="2022-05-09T12:45:00"/>
        <d v="2022-05-09T17:30:00"/>
        <d v="2022-05-09T20:50:00"/>
        <d v="2022-05-09T22:20:00"/>
        <d v="2022-05-10T02:00:00"/>
        <d v="2022-05-10T04:20:00"/>
        <d v="2022-05-10T10:20:00"/>
        <d v="2022-05-10T14:55:00"/>
        <d v="2022-05-10T15:15:00"/>
        <d v="2022-05-10T21:00:00"/>
        <d v="2022-05-11T09:10:00"/>
        <d v="2022-05-11T11:00:00"/>
        <d v="2022-05-11T13:20:00"/>
        <d v="2022-05-11T12:20:00"/>
        <d v="2022-05-11T12:45:00"/>
        <d v="2022-05-12T10:00:00"/>
        <d v="2022-05-12T12:00:00"/>
        <d v="2022-05-12T19:53:00"/>
        <d v="2022-05-12T20:15:00"/>
        <d v="2022-05-12T20:42:00"/>
        <d v="2022-05-12T20:31:00"/>
        <d v="2022-05-12T22:40:00"/>
        <d v="2022-05-13T10:43:00"/>
        <d v="2022-05-13T13:07:00"/>
        <d v="2022-05-13T11:30:00"/>
        <d v="2022-05-13T12:30:00"/>
        <d v="2022-05-13T15:00:00"/>
        <d v="2022-05-13T17:30:00"/>
        <d v="2022-05-13T18:46:00"/>
        <d v="2022-05-14T02:40:00"/>
        <d v="2022-05-13T22:35:00"/>
        <d v="2022-05-14T00:10:00"/>
        <d v="2022-05-14T08:37:00"/>
        <d v="2022-05-14T10:15:00"/>
        <d v="2022-05-14T12:20:00"/>
        <d v="2022-05-14T11:30:00"/>
        <d v="2022-05-14T15:53:00"/>
        <d v="2022-05-14T16:56:00"/>
        <d v="2022-05-14T18:12:00"/>
        <d v="2022-05-15T11:00:00"/>
        <d v="2022-05-15T09:45:00"/>
        <d v="2022-05-15T10:05:00"/>
        <d v="2022-05-15T12:40:00"/>
        <d v="2022-05-15T16:37:00"/>
        <d v="2022-05-15T23:25:00"/>
        <d v="2022-05-16T02:40:00"/>
        <d v="2022-05-16T02:15:00"/>
        <d v="2022-05-16T08:15:00"/>
        <d v="2022-05-16T09:12:00"/>
        <d v="2022-05-16T11:45:00"/>
        <d v="2022-05-16T15:24:00"/>
        <d v="2022-05-16T21:00:00"/>
        <d v="2022-05-16T22:35:00"/>
        <d v="2022-05-18T09:00:00"/>
        <d v="2022-05-18T12:30:00"/>
        <d v="2022-05-18T10:40:00"/>
        <d v="2022-05-18T10:30:00"/>
        <d v="2022-05-18T15:40:00"/>
        <d v="2022-05-18T21:05:00"/>
        <d v="2022-05-18T22:20:00"/>
        <d v="2022-05-19T08:30:00"/>
        <d v="2022-05-19T16:45:00"/>
        <d v="2022-05-19T20:30:00"/>
        <d v="2022-05-19T22:20:00"/>
        <d v="2022-05-20T03:50:00"/>
        <d v="2022-05-20T04:25:00"/>
        <d v="2022-05-20T02:40:00"/>
        <d v="2022-05-20T03:15:00"/>
        <d v="2022-05-20T09:55:00"/>
        <d v="2022-05-20T15:30:00"/>
        <d v="2022-05-20T18:10:00"/>
        <d v="2022-05-20T17:59:00"/>
        <d v="2022-05-21T04:30:00"/>
        <d v="2022-05-21T10:15:00"/>
        <d v="2022-05-21T07:30:00"/>
        <d v="2022-05-21T10:10:00"/>
        <d v="2022-05-21T08:00:00"/>
        <d v="2022-05-21T15:16:00"/>
        <d v="2022-05-21T20:00:00"/>
        <d v="2022-05-21T23:30:00"/>
        <d v="2022-05-22T00:20:00"/>
        <d v="2022-05-22T10:30:00"/>
        <d v="2022-05-22T09:20:00"/>
        <d v="2022-05-22T12:30:00"/>
        <d v="2022-05-22T16:00:00"/>
        <d v="2022-05-22T17:45:00"/>
        <d v="2022-05-22T20:00:00"/>
        <d v="2022-05-22T22:20:00"/>
        <d v="2022-05-22T23:25:00"/>
        <d v="2022-05-23T00:15:00"/>
        <d v="2022-05-23T08:45:00"/>
        <d v="2022-05-23T19:30:00"/>
        <d v="2022-05-23T23:00:00"/>
        <d v="2022-05-24T04:05:00"/>
        <d v="2022-05-24T08:34:00"/>
        <d v="2022-05-24T16:30:00"/>
        <d v="2022-05-24T15:30:00"/>
        <d v="2022-05-24T19:00:00"/>
        <d v="2022-05-24T22:30:00"/>
        <d v="2022-05-25T10:45:00"/>
        <d v="2022-05-25T08:05:00"/>
        <d v="2022-05-25T12:00:00"/>
        <d v="2022-05-25T14:10:00"/>
        <d v="2022-05-25T09:00:00"/>
        <d v="2022-05-25T18:20:00"/>
        <d v="2022-05-25T19:18:00"/>
        <d v="2022-05-25T19:10:00"/>
        <d v="2022-05-25T15:30:00"/>
        <d v="2022-05-25T19:40:00"/>
        <d v="2022-05-26T11:45:00"/>
        <d v="2022-05-26T12:30:00"/>
        <d v="2022-05-26T10:40:00"/>
        <d v="2022-05-26T13:30:00"/>
        <d v="2022-05-26T15:58:00"/>
        <d v="2022-05-27T09:00:00"/>
        <d v="2022-05-27T08:15:00"/>
        <d v="2022-05-27T10:00:00"/>
        <d v="2022-05-27T12:40:00"/>
        <d v="2022-05-27T19:27:00"/>
        <d v="2022-05-27T18:43:00"/>
        <d v="2022-05-27T17:53:00"/>
        <d v="2022-05-27T15:15:00"/>
        <d v="2022-05-27T20:35:00"/>
        <d v="2022-05-27T21:15:00"/>
        <d v="2022-05-27T23:00:00"/>
        <d v="2022-05-28T10:00:00"/>
        <d v="2022-05-28T09:36:00"/>
        <d v="2022-05-28T13:00:00"/>
        <d v="2022-05-28T16:30:00"/>
        <d v="2022-05-28T22:56:00"/>
        <d v="2022-05-29T02:30:00"/>
        <d v="2022-05-29T10:30:00"/>
        <d v="2022-05-29T17:48:00"/>
        <d v="2022-05-29T20:50:00"/>
        <d v="2022-05-29T22:30:00"/>
        <d v="2022-05-30T11:45:00"/>
        <d v="2022-05-30T09:00:00"/>
        <d v="2022-05-30T18:05:00"/>
        <d v="2022-05-30T21:00:00"/>
        <d v="2022-05-31T09:00:00"/>
        <d v="2022-05-31T16:00:00"/>
        <d v="2022-05-31T22:15:00"/>
        <d v="2022-06-01T12:10:00"/>
        <d v="2022-06-01T13:00:00"/>
        <d v="2022-06-01T08:30:00"/>
        <d v="2022-06-01T11:25:00"/>
        <d v="2022-06-01T09:15:00"/>
        <d v="2022-06-01T15:55:00"/>
        <d v="2022-06-01T19:20:00"/>
        <d v="2022-06-01T20:10:00"/>
        <d v="2022-06-01T23:40:00"/>
        <d v="2022-06-02T05:00:00"/>
        <d v="2022-06-02T13:20:00"/>
        <d v="2022-06-02T09:15:00"/>
        <d v="2022-06-02T08:00:00"/>
        <d v="2022-06-02T12:40:00"/>
        <d v="2022-06-02T10:20:00"/>
        <d v="2022-06-02T16:15:00"/>
        <d v="2022-06-02T20:40:00"/>
        <d v="2022-06-03T13:15:00"/>
        <d v="2022-06-03T12:20:00"/>
        <d v="2022-06-03T09:15:00"/>
        <d v="2022-06-03T10:40:00"/>
        <d v="2022-06-03T08:15:00"/>
        <d v="2022-06-03T11:30:00"/>
        <d v="2022-06-03T09:30:00"/>
        <d v="2022-06-03T17:21:00"/>
        <d v="2022-06-03T22:40:00"/>
        <d v="2022-06-04T01:55:00"/>
        <d v="2022-06-04T13:20:00"/>
        <d v="2022-06-04T10:00:00"/>
        <d v="2022-06-04T12:20:00"/>
        <d v="2022-06-04T11:00:00"/>
        <d v="2022-06-04T09:50:00"/>
        <d v="2022-06-04T10:45:00"/>
        <d v="2022-06-04T12:15:00"/>
        <d v="2022-06-04T16:00:00"/>
        <d v="2022-06-04T16:50:00"/>
        <d v="2022-06-04T23:50:00"/>
        <d v="2022-06-05T07:30:00"/>
        <d v="2022-06-05T10:20:00"/>
        <d v="2022-06-05T08:55:00"/>
        <d v="2022-06-05T16:10:00"/>
        <d v="2022-06-06T01:30:00"/>
        <d v="2022-06-06T09:30:00"/>
        <d v="2022-06-06T10:50:00"/>
        <d v="2022-06-06T09:50:00"/>
        <d v="2022-06-06T16:40:00"/>
        <d v="2022-06-06T23:10:00"/>
        <d v="2022-06-07T10:00:00"/>
        <d v="2022-06-07T16:10:00"/>
        <d v="2022-06-08T08:25:00"/>
        <d v="2022-06-08T11:15:00"/>
        <d v="2022-06-08T12:59:00"/>
        <d v="2022-06-08T15:30:00"/>
        <d v="2022-06-08T18:59:00"/>
        <d v="2022-06-08T23:40:00"/>
        <d v="2022-06-09T10:15:00"/>
        <d v="2022-06-09T13:26:00"/>
        <d v="2022-06-09T17:12:00"/>
        <d v="2022-06-09T21:10:00"/>
        <d v="2022-06-09T22:45:00"/>
        <d v="2022-06-10T08:24:00"/>
        <d v="2022-06-10T13:00:00"/>
        <d v="2022-06-10T11:00:00"/>
        <d v="2022-06-10T15:50:00"/>
        <d v="2022-06-10T21:00:00"/>
        <d v="2022-06-10T22:30:00"/>
        <d v="2022-06-11T09:50:00"/>
        <d v="2022-06-11T12:30:00"/>
        <d v="2022-06-11T09:10:00"/>
        <d v="2022-06-11T11:50:00"/>
        <d v="2022-06-11T16:45:00"/>
        <d v="2022-06-11T20:10:00"/>
        <d v="2022-06-11T20:30:00"/>
        <d v="2022-06-11T23:30:00"/>
        <d v="2022-06-12T07:02:00"/>
        <d v="2022-06-12T10:15:00"/>
        <d v="2022-06-12T18:20:00"/>
        <d v="2022-06-12T20:30:00"/>
        <d v="2022-06-12T22:30:00"/>
        <d v="2022-06-13T08:50:00"/>
        <d v="2022-06-13T10:15:00"/>
        <d v="2022-06-13T13:15:00"/>
        <d v="2022-06-13T17:23:00"/>
        <d v="2022-06-14T09:30:00"/>
        <d v="2022-06-14T16:40:00"/>
        <d v="2022-06-14T17:05:00"/>
        <d v="2022-06-14T18:00:00"/>
        <d v="2022-06-14T22:20:00"/>
        <d v="2022-06-15T02:30:00"/>
        <d v="2022-06-15T09:00:00"/>
        <d v="2022-06-15T10:15:00"/>
        <d v="2022-06-15T12:15:00"/>
        <d v="2022-06-15T20:21:00"/>
        <d v="2022-06-15T18:05:00"/>
        <d v="2022-06-15T17:32:00"/>
        <d v="2022-06-15T15:40:00"/>
        <d v="2022-06-15T23:40:00"/>
        <d v="2022-06-16T04:30:00"/>
        <d v="2022-06-16T12:40:00"/>
        <d v="2022-06-16T09:20:00"/>
        <d v="2022-06-16T12:52:00"/>
        <d v="2022-06-16T20:20:00"/>
        <d v="2022-06-17T11:20:00"/>
        <d v="2022-06-17T17:40:00"/>
        <d v="2022-06-17T19:15:00"/>
        <d v="2022-06-17T22:30:00"/>
        <d v="2022-06-18T00:20:00"/>
        <d v="2022-06-18T11:20:00"/>
        <d v="2022-06-18T09:10:00"/>
        <d v="2022-06-18T11:30:00"/>
        <d v="2022-06-18T10:30:00"/>
        <d v="2022-06-18T13:15:00"/>
        <d v="2022-06-18T16:40:00"/>
        <d v="2022-06-18T20:00:00"/>
        <d v="2022-06-18T23:00:00"/>
        <d v="2022-06-20T12:20:00"/>
        <d v="2022-06-19T12:20:00"/>
        <d v="2022-06-19T10:25:00"/>
        <d v="2022-06-19T11:07:00"/>
        <d v="2022-06-20T16:40:00"/>
        <d v="2022-06-19T16:40:00"/>
        <d v="2022-06-20T17:00:00"/>
        <d v="2022-06-19T17:00:00"/>
        <d v="2022-06-19T21:10:00"/>
        <d v="2022-06-20T21:10:00"/>
        <d v="2022-06-19T22:35:00"/>
        <d v="2022-06-20T22:35:00"/>
        <d v="2022-06-20T09:30:00"/>
        <d v="2022-06-21T09:30:00"/>
        <d v="2022-06-20T15:30:00"/>
        <d v="2022-06-21T15:30:00"/>
        <d v="2022-06-21T18:00:00"/>
        <d v="2022-06-20T18:00:00"/>
        <d v="2022-06-21T22:45:00"/>
        <d v="2022-06-21T23:55:00"/>
        <d v="2022-06-22T07:20:00"/>
        <d v="2022-06-22T11:15:00"/>
        <d v="2022-06-22T16:30:00"/>
        <d v="2022-06-23T00:00:01"/>
        <d v="2022-06-23T03:00:00"/>
        <d v="2022-06-23T07:40:00"/>
        <d v="2022-06-23T13:35:00"/>
        <d v="2022-06-23T11:00:00"/>
        <d v="2022-06-23T12:20:00"/>
        <d v="2022-06-23T11:20:00"/>
        <d v="2022-06-23T13:05:00"/>
        <d v="2022-06-23T16:30:00"/>
        <d v="2022-06-24T22:50:00"/>
        <d v="2022-06-23T22:40:00"/>
        <d v="2022-06-24T12:18:00"/>
        <d v="2022-06-24T13:50:00"/>
        <d v="2022-06-24T13:10:00"/>
        <d v="2022-06-24T15:00:00"/>
        <d v="2022-06-24T17:10:00"/>
        <d v="2022-06-25T00:40:00"/>
        <d v="2022-06-25T08:00:00"/>
        <d v="2022-06-25T09:20:00"/>
        <d v="2022-06-25T12:40:00"/>
        <d v="2022-06-25T10:54:00"/>
        <d v="2022-06-25T15:00:00"/>
        <d v="2022-06-25T18:30:00"/>
        <d v="2022-06-25T23:40:00"/>
        <d v="2022-06-26T03:15:00"/>
        <d v="2022-06-26T07:52:00"/>
        <d v="2022-06-26T09:30:00"/>
        <d v="2022-06-26T21:00:00"/>
        <d v="2022-06-26T19:00:00"/>
        <d v="2022-06-26T22:45:00"/>
        <d v="2022-06-27T11:20:00"/>
        <d v="2022-06-27T07:30:00"/>
        <d v="2022-06-27T12:45:00"/>
        <d v="2022-06-27T15:45:00"/>
        <d v="2022-06-27T19:30:00"/>
        <d v="2022-06-27T23:30:00"/>
        <d v="2022-06-28T03:00:00"/>
        <d v="2022-06-28T09:30:00"/>
        <d v="2022-06-28T18:50:00"/>
        <d v="2022-06-28T23:00:00"/>
        <d v="2022-06-29T09:45:00"/>
        <d v="2022-06-29T13:00:00"/>
        <d v="2022-06-29T16:48:00"/>
        <d v="2022-06-29T19:15:00"/>
        <d v="2022-06-29T20:40:00"/>
        <d v="2022-06-29T22:15:00"/>
        <d v="2022-06-30T02:30:00"/>
        <d v="2022-06-30T09:40:00"/>
        <d v="2022-06-30T08:46:00"/>
        <d v="2022-06-30T19:10:00"/>
        <d v="2022-06-30T20:00:00"/>
        <d v="2022-06-30T16:45:00"/>
        <d v="2022-06-30T23:35:00"/>
      </sharedItems>
      <fieldGroup par="12" base="3">
        <rangePr groupBy="months" startDate="2021-07-01T09:15:00" endDate="2022-06-30T23:35:00"/>
        <groupItems count="14">
          <s v="&lt;01-07-2021"/>
          <s v="Jan"/>
          <s v="Feb"/>
          <s v="Mar"/>
          <s v="Apr"/>
          <s v="May"/>
          <s v="Jun"/>
          <s v="Jul"/>
          <s v="Aug"/>
          <s v="Sep"/>
          <s v="Oct"/>
          <s v="Nov"/>
          <s v="Dec"/>
          <s v="&gt;30-06-2022"/>
        </groupItems>
      </fieldGroup>
    </cacheField>
    <cacheField name="RESTORE TIME" numFmtId="22">
      <sharedItems containsSemiMixedTypes="0" containsNonDate="0" containsDate="1" containsString="0" minDate="2021-07-01T11:15:00" maxDate="2022-07-01T00:50:00"/>
    </cacheField>
    <cacheField name="TIME TEKKEN" numFmtId="46">
      <sharedItems containsSemiMixedTypes="0" containsNonDate="0" containsDate="1" containsString="0" minDate="1899-12-30T00:29:00" maxDate="1900-01-02T03:40:00"/>
    </cacheField>
    <cacheField name="EFFICIENCY %" numFmtId="166">
      <sharedItems containsSemiMixedTypes="0" containsString="0" containsNumber="1" minValue="3.9647577092470345" maxValue="620.68965516743049"/>
    </cacheField>
    <cacheField name="TRIPPING TYPE" numFmtId="0">
      <sharedItems/>
    </cacheField>
    <cacheField name="REASON" numFmtId="0">
      <sharedItems count="7">
        <s v="14 FAULT IN CONSUMER'S CABLE &amp; METERS TO CONS"/>
        <s v="12 FAULT IN DISTRIBUTION TRANSFORMER"/>
        <s v="13 FAULT IN LT LINES"/>
        <s v="15 FAULT IN CONSUMER'S WIRING"/>
        <s v="10 FAULT IN 11 KV FEEDER DUE TO ACCIDENT"/>
        <s v="08 FAULT OF 11 KV SYSTEM AT G/STATION"/>
        <s v="09 FAULT IN 11 KV FEEDER"/>
      </sharedItems>
    </cacheField>
    <cacheField name="Time" numFmtId="165">
      <sharedItems containsSemiMixedTypes="0" containsNonDate="0" containsDate="1" containsString="0" minDate="1899-12-30T00:00:01" maxDate="1899-12-30T23:55:00"/>
    </cacheField>
    <cacheField name="Shifts" numFmtId="0">
      <sharedItems count="3">
        <s v="1st Shift"/>
        <s v="2nd Shift"/>
        <s v="3rd Shift"/>
      </sharedItems>
    </cacheField>
    <cacheField name="Quarters" numFmtId="0" databaseField="0">
      <fieldGroup base="3">
        <rangePr groupBy="quarters" startDate="2021-07-01T09:15:00" endDate="2022-06-30T23:35:00"/>
        <groupItems count="6">
          <s v="&lt;01-07-2021"/>
          <s v="Qtr1"/>
          <s v="Qtr2"/>
          <s v="Qtr3"/>
          <s v="Qtr4"/>
          <s v="&gt;30-06-2022"/>
        </groupItems>
      </fieldGroup>
    </cacheField>
    <cacheField name="Years" numFmtId="0" databaseField="0">
      <fieldGroup base="3">
        <rangePr groupBy="years" startDate="2021-07-01T09:15:00" endDate="2022-06-30T23:35:00"/>
        <groupItems count="4">
          <s v="&lt;01-07-2021"/>
          <s v="2021"/>
          <s v="2022"/>
          <s v="&gt;30-06-2022"/>
        </groupItems>
      </fieldGroup>
    </cacheField>
  </cacheFields>
  <extLst>
    <ext xmlns:x14="http://schemas.microsoft.com/office/spreadsheetml/2009/9/main" uri="{725AE2AE-9491-48be-B2B4-4EB974FC3084}">
      <x14:pivotCacheDefinition pivotCacheId="19884249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11">
  <r>
    <n v="1"/>
    <x v="0"/>
    <n v="5115270962800"/>
    <x v="0"/>
    <d v="2021-07-01T11:15:00"/>
    <d v="1899-12-30T02:00:00"/>
    <n v="149.99999999563443"/>
    <s v="UNPLANNED"/>
    <x v="0"/>
    <d v="1899-12-30T09:15:00"/>
    <x v="0"/>
  </r>
  <r>
    <n v="2"/>
    <x v="1"/>
    <n v="6115271742000"/>
    <x v="0"/>
    <d v="2021-07-01T11:20:00"/>
    <d v="1899-12-30T02:05:00"/>
    <n v="144.00000000134111"/>
    <s v="UNPLANNED"/>
    <x v="0"/>
    <d v="1899-12-30T09:15:00"/>
    <x v="0"/>
  </r>
  <r>
    <n v="3"/>
    <x v="2"/>
    <n v="12115271580900"/>
    <x v="1"/>
    <d v="2021-07-01T13:50:00"/>
    <d v="1899-12-30T01:40:00"/>
    <n v="179.99999999790452"/>
    <s v="UNPLANNED"/>
    <x v="0"/>
    <d v="1899-12-30T12:10:00"/>
    <x v="0"/>
  </r>
  <r>
    <n v="4"/>
    <x v="3"/>
    <n v="8115271833811"/>
    <x v="1"/>
    <d v="2021-07-01T13:50:00"/>
    <d v="1899-12-30T01:40:00"/>
    <n v="179.99999999790452"/>
    <s v="UNPLANNED"/>
    <x v="0"/>
    <d v="1899-12-30T12:10:00"/>
    <x v="0"/>
  </r>
  <r>
    <n v="5"/>
    <x v="3"/>
    <n v="8115271833810"/>
    <x v="1"/>
    <d v="2021-07-01T13:50:00"/>
    <d v="1899-12-30T01:40:00"/>
    <n v="179.99999999790452"/>
    <s v="UNPLANNED"/>
    <x v="1"/>
    <d v="1899-12-30T12:10:00"/>
    <x v="0"/>
  </r>
  <r>
    <n v="6"/>
    <x v="4"/>
    <n v="15115271747300"/>
    <x v="2"/>
    <d v="2021-07-01T17:55:00"/>
    <d v="1899-12-30T02:45:00"/>
    <n v="109.09090908860001"/>
    <s v="UNPLANNED"/>
    <x v="0"/>
    <d v="1899-12-30T15:10:00"/>
    <x v="1"/>
  </r>
  <r>
    <n v="7"/>
    <x v="5"/>
    <n v="13115271617807"/>
    <x v="2"/>
    <d v="2021-07-01T17:55:00"/>
    <d v="1899-12-30T02:45:00"/>
    <n v="109.09090908860001"/>
    <s v="UNPLANNED"/>
    <x v="0"/>
    <d v="1899-12-30T15:10:00"/>
    <x v="1"/>
  </r>
  <r>
    <n v="8"/>
    <x v="5"/>
    <n v="13115271617807"/>
    <x v="2"/>
    <d v="2021-07-01T17:55:00"/>
    <d v="1899-12-30T02:45:00"/>
    <n v="109.09090908860001"/>
    <s v="UNPLANNED"/>
    <x v="1"/>
    <d v="1899-12-30T15:10:00"/>
    <x v="1"/>
  </r>
  <r>
    <n v="9"/>
    <x v="5"/>
    <n v="13115271617804"/>
    <x v="2"/>
    <d v="2021-07-01T17:55:00"/>
    <d v="1899-12-30T02:45:00"/>
    <n v="109.09090908860001"/>
    <s v="UNPLANNED"/>
    <x v="0"/>
    <d v="1899-12-30T15:10:00"/>
    <x v="1"/>
  </r>
  <r>
    <n v="10"/>
    <x v="5"/>
    <n v="13115271617804"/>
    <x v="2"/>
    <d v="2021-07-01T17:55:00"/>
    <d v="1899-12-30T02:45:00"/>
    <n v="109.09090908860001"/>
    <s v="UNPLANNED"/>
    <x v="2"/>
    <d v="1899-12-30T15:10:00"/>
    <x v="1"/>
  </r>
  <r>
    <n v="11"/>
    <x v="5"/>
    <n v="13115271617700"/>
    <x v="2"/>
    <d v="2021-07-01T17:55:00"/>
    <d v="1899-12-30T02:45:00"/>
    <n v="109.09090908860001"/>
    <s v="UNPLANNED"/>
    <x v="0"/>
    <d v="1899-12-30T15:10:00"/>
    <x v="1"/>
  </r>
  <r>
    <n v="12"/>
    <x v="6"/>
    <n v="9115271952901"/>
    <x v="2"/>
    <d v="2021-07-01T17:55:00"/>
    <d v="1899-12-30T02:45:00"/>
    <n v="109.09090908860001"/>
    <s v="UNPLANNED"/>
    <x v="2"/>
    <d v="1899-12-30T15:10:00"/>
    <x v="1"/>
  </r>
  <r>
    <n v="13"/>
    <x v="6"/>
    <n v="9115271931600"/>
    <x v="2"/>
    <d v="2021-07-01T17:55:00"/>
    <d v="1899-12-30T02:45:00"/>
    <n v="109.09090908860001"/>
    <s v="UNPLANNED"/>
    <x v="0"/>
    <d v="1899-12-30T15:10:00"/>
    <x v="1"/>
  </r>
  <r>
    <n v="14"/>
    <x v="7"/>
    <n v="7115271761101"/>
    <x v="2"/>
    <d v="2021-07-01T17:55:00"/>
    <d v="1899-12-30T02:45:00"/>
    <n v="109.09090908860001"/>
    <s v="UNPLANNED"/>
    <x v="0"/>
    <d v="1899-12-30T15:10:00"/>
    <x v="1"/>
  </r>
  <r>
    <n v="15"/>
    <x v="8"/>
    <n v="4115270860200"/>
    <x v="2"/>
    <d v="2021-07-01T17:55:00"/>
    <d v="1899-12-30T02:45:00"/>
    <n v="109.09090908860001"/>
    <s v="UNPLANNED"/>
    <x v="0"/>
    <d v="1899-12-30T15:10:00"/>
    <x v="1"/>
  </r>
  <r>
    <n v="16"/>
    <x v="8"/>
    <n v="4115270860200"/>
    <x v="2"/>
    <d v="2021-07-01T17:55:00"/>
    <d v="1899-12-30T02:45:00"/>
    <n v="109.09090908860001"/>
    <s v="UNPLANNED"/>
    <x v="0"/>
    <d v="1899-12-30T15:10:00"/>
    <x v="1"/>
  </r>
  <r>
    <n v="17"/>
    <x v="9"/>
    <n v="2115270274400"/>
    <x v="2"/>
    <d v="2021-07-01T17:55:00"/>
    <d v="1899-12-30T02:45:00"/>
    <n v="109.09090908860001"/>
    <s v="UNPLANNED"/>
    <x v="0"/>
    <d v="1899-12-30T15:10:00"/>
    <x v="1"/>
  </r>
  <r>
    <n v="18"/>
    <x v="5"/>
    <n v="13115271660100"/>
    <x v="3"/>
    <d v="2021-07-01T23:50:00"/>
    <d v="1899-12-30T01:35:00"/>
    <n v="189.47368421981375"/>
    <s v="UNPLANNED"/>
    <x v="1"/>
    <d v="1899-12-30T22:15:00"/>
    <x v="2"/>
  </r>
  <r>
    <n v="19"/>
    <x v="10"/>
    <n v="11115271054000"/>
    <x v="4"/>
    <d v="2021-07-01T23:50:00"/>
    <d v="1899-12-30T05:10:00"/>
    <n v="58.064516130122513"/>
    <s v="UNPLANNED"/>
    <x v="0"/>
    <d v="1899-12-30T18:40:00"/>
    <x v="1"/>
  </r>
  <r>
    <n v="20"/>
    <x v="1"/>
    <n v="6115271722206"/>
    <x v="4"/>
    <d v="2021-07-01T23:50:00"/>
    <d v="1899-12-30T05:10:00"/>
    <n v="58.064516130122513"/>
    <s v="UNPLANNED"/>
    <x v="0"/>
    <d v="1899-12-30T18:40:00"/>
    <x v="1"/>
  </r>
  <r>
    <n v="21"/>
    <x v="1"/>
    <n v="6115271722200"/>
    <x v="4"/>
    <d v="2021-07-01T23:50:00"/>
    <d v="1899-12-30T05:10:00"/>
    <n v="58.064516130122513"/>
    <s v="UNPLANNED"/>
    <x v="0"/>
    <d v="1899-12-30T18:40:00"/>
    <x v="1"/>
  </r>
  <r>
    <n v="22"/>
    <x v="1"/>
    <n v="6115271737718"/>
    <x v="5"/>
    <d v="2021-07-02T02:20:00"/>
    <d v="1899-12-30T02:05:00"/>
    <n v="144.00000000134111"/>
    <s v="UNPLANNED"/>
    <x v="2"/>
    <d v="1899-12-30T00:15:00"/>
    <x v="2"/>
  </r>
  <r>
    <n v="23"/>
    <x v="1"/>
    <n v="6115271737717"/>
    <x v="5"/>
    <d v="2021-07-02T02:20:00"/>
    <d v="1899-12-30T02:05:00"/>
    <n v="144.00000000134111"/>
    <s v="UNPLANNED"/>
    <x v="0"/>
    <d v="1899-12-30T00:15:00"/>
    <x v="2"/>
  </r>
  <r>
    <n v="24"/>
    <x v="11"/>
    <n v="10115271447110"/>
    <x v="6"/>
    <d v="2021-07-02T11:00:00"/>
    <d v="1899-12-30T01:50:00"/>
    <n v="163.63636363290004"/>
    <s v="UNPLANNED"/>
    <x v="0"/>
    <d v="1899-12-30T09:10:00"/>
    <x v="0"/>
  </r>
  <r>
    <n v="25"/>
    <x v="11"/>
    <n v="10115271447100"/>
    <x v="6"/>
    <d v="2021-07-02T11:00:00"/>
    <d v="1899-12-30T01:50:00"/>
    <n v="163.63636363290004"/>
    <s v="UNPLANNED"/>
    <x v="0"/>
    <d v="1899-12-30T09:10:00"/>
    <x v="0"/>
  </r>
  <r>
    <n v="26"/>
    <x v="12"/>
    <n v="14115271690612"/>
    <x v="7"/>
    <d v="2021-07-02T13:50:00"/>
    <d v="1899-12-30T02:20:00"/>
    <n v="128.57142856608297"/>
    <s v="UNPLANNED"/>
    <x v="0"/>
    <d v="1899-12-30T11:30:00"/>
    <x v="0"/>
  </r>
  <r>
    <n v="27"/>
    <x v="12"/>
    <n v="14115271690612"/>
    <x v="7"/>
    <d v="2021-07-02T13:50:00"/>
    <d v="1899-12-30T02:20:00"/>
    <n v="128.57142856608297"/>
    <s v="UNPLANNED"/>
    <x v="0"/>
    <d v="1899-12-30T11:30:00"/>
    <x v="0"/>
  </r>
  <r>
    <n v="28"/>
    <x v="10"/>
    <n v="11115271508506"/>
    <x v="7"/>
    <d v="2021-07-02T13:50:00"/>
    <d v="1899-12-30T02:20:00"/>
    <n v="128.57142856608297"/>
    <s v="UNPLANNED"/>
    <x v="0"/>
    <d v="1899-12-30T11:30:00"/>
    <x v="0"/>
  </r>
  <r>
    <n v="29"/>
    <x v="11"/>
    <n v="10115271421101"/>
    <x v="7"/>
    <d v="2021-07-02T13:50:00"/>
    <d v="1899-12-30T02:20:00"/>
    <n v="128.57142856608297"/>
    <s v="UNPLANNED"/>
    <x v="0"/>
    <d v="1899-12-30T11:30:00"/>
    <x v="0"/>
  </r>
  <r>
    <n v="30"/>
    <x v="11"/>
    <n v="10115271421100"/>
    <x v="7"/>
    <d v="2021-07-02T13:50:00"/>
    <d v="1899-12-30T02:20:00"/>
    <n v="128.57142856608297"/>
    <s v="UNPLANNED"/>
    <x v="0"/>
    <d v="1899-12-30T11:30:00"/>
    <x v="0"/>
  </r>
  <r>
    <n v="31"/>
    <x v="6"/>
    <n v="9115270622000"/>
    <x v="7"/>
    <d v="2021-07-02T13:50:00"/>
    <d v="1899-12-30T02:20:00"/>
    <n v="128.57142856608297"/>
    <s v="UNPLANNED"/>
    <x v="0"/>
    <d v="1899-12-30T11:30:00"/>
    <x v="0"/>
  </r>
  <r>
    <n v="32"/>
    <x v="13"/>
    <n v="3115270308000"/>
    <x v="7"/>
    <d v="2021-07-02T13:50:00"/>
    <d v="1899-12-30T02:20:00"/>
    <n v="128.57142856608297"/>
    <s v="UNPLANNED"/>
    <x v="0"/>
    <d v="1899-12-30T11:30:00"/>
    <x v="0"/>
  </r>
  <r>
    <n v="33"/>
    <x v="14"/>
    <n v="1115270372915"/>
    <x v="7"/>
    <d v="2021-07-02T13:50:00"/>
    <d v="1899-12-30T02:20:00"/>
    <n v="128.57142856608297"/>
    <s v="UNPLANNED"/>
    <x v="0"/>
    <d v="1899-12-30T11:30:00"/>
    <x v="0"/>
  </r>
  <r>
    <n v="34"/>
    <x v="3"/>
    <n v="8115271833602"/>
    <x v="8"/>
    <d v="2021-07-02T16:50:00"/>
    <d v="1899-12-30T02:10:00"/>
    <n v="138.46153845657875"/>
    <s v="UNPLANNED"/>
    <x v="0"/>
    <d v="1899-12-30T14:40:00"/>
    <x v="1"/>
  </r>
  <r>
    <n v="35"/>
    <x v="3"/>
    <n v="8115271833600"/>
    <x v="8"/>
    <d v="2021-07-02T16:50:00"/>
    <d v="1899-12-30T02:10:00"/>
    <n v="138.46153845657875"/>
    <s v="UNPLANNED"/>
    <x v="1"/>
    <d v="1899-12-30T14:40:00"/>
    <x v="1"/>
  </r>
  <r>
    <n v="36"/>
    <x v="1"/>
    <n v="6115271746744"/>
    <x v="8"/>
    <d v="2021-07-02T16:50:00"/>
    <d v="1899-12-30T02:10:00"/>
    <n v="138.46153845657875"/>
    <s v="UNPLANNED"/>
    <x v="1"/>
    <d v="1899-12-30T14:40:00"/>
    <x v="1"/>
  </r>
  <r>
    <n v="37"/>
    <x v="0"/>
    <n v="5115271261100"/>
    <x v="8"/>
    <d v="2021-07-02T16:50:00"/>
    <d v="1899-12-30T02:10:00"/>
    <n v="138.46153845657875"/>
    <s v="UNPLANNED"/>
    <x v="1"/>
    <d v="1899-12-30T14:40:00"/>
    <x v="1"/>
  </r>
  <r>
    <n v="38"/>
    <x v="11"/>
    <n v="10115271424100"/>
    <x v="9"/>
    <d v="2021-07-02T21:50:00"/>
    <d v="1899-12-30T04:45:00"/>
    <n v="63.157894737616061"/>
    <s v="UNPLANNED"/>
    <x v="0"/>
    <d v="1899-12-30T17:05:00"/>
    <x v="1"/>
  </r>
  <r>
    <n v="39"/>
    <x v="1"/>
    <n v="6115271753105"/>
    <x v="9"/>
    <d v="2021-07-02T21:50:00"/>
    <d v="1899-12-30T04:45:00"/>
    <n v="63.157894737616061"/>
    <s v="UNPLANNED"/>
    <x v="1"/>
    <d v="1899-12-30T17:05:00"/>
    <x v="1"/>
  </r>
  <r>
    <n v="40"/>
    <x v="13"/>
    <n v="3115270307001"/>
    <x v="9"/>
    <d v="2021-07-02T21:50:00"/>
    <d v="1899-12-30T04:45:00"/>
    <n v="63.157894737616061"/>
    <s v="UNPLANNED"/>
    <x v="0"/>
    <d v="1899-12-30T17:05:00"/>
    <x v="1"/>
  </r>
  <r>
    <n v="41"/>
    <x v="13"/>
    <n v="3115270307000"/>
    <x v="9"/>
    <d v="2021-07-02T21:50:00"/>
    <d v="1899-12-30T04:45:00"/>
    <n v="63.157894737616061"/>
    <s v="UNPLANNED"/>
    <x v="0"/>
    <d v="1899-12-30T17:05:00"/>
    <x v="1"/>
  </r>
  <r>
    <n v="42"/>
    <x v="9"/>
    <n v="2115270155401"/>
    <x v="9"/>
    <d v="2021-07-02T21:50:00"/>
    <d v="1899-12-30T04:45:00"/>
    <n v="63.157894737616061"/>
    <s v="UNPLANNED"/>
    <x v="0"/>
    <d v="1899-12-30T17:05:00"/>
    <x v="1"/>
  </r>
  <r>
    <n v="43"/>
    <x v="11"/>
    <n v="10115271959300"/>
    <x v="10"/>
    <d v="2021-07-03T13:55:00"/>
    <d v="1899-12-30T01:15:00"/>
    <n v="240.00000002235174"/>
    <s v="UNPLANNED"/>
    <x v="2"/>
    <d v="1899-12-30T12:40:00"/>
    <x v="0"/>
  </r>
  <r>
    <n v="44"/>
    <x v="11"/>
    <n v="10115271469100"/>
    <x v="10"/>
    <d v="2021-07-03T13:55:00"/>
    <d v="1899-12-30T01:15:00"/>
    <n v="240.00000002235174"/>
    <s v="UNPLANNED"/>
    <x v="2"/>
    <d v="1899-12-30T12:40:00"/>
    <x v="0"/>
  </r>
  <r>
    <n v="45"/>
    <x v="6"/>
    <n v="9115271943600"/>
    <x v="10"/>
    <d v="2021-07-03T13:55:00"/>
    <d v="1899-12-30T01:15:00"/>
    <n v="240.00000002235174"/>
    <s v="UNPLANNED"/>
    <x v="0"/>
    <d v="1899-12-30T12:40:00"/>
    <x v="0"/>
  </r>
  <r>
    <n v="46"/>
    <x v="6"/>
    <n v="9115271943600"/>
    <x v="10"/>
    <d v="2021-07-03T13:55:00"/>
    <d v="1899-12-30T01:15:00"/>
    <n v="240.00000002235174"/>
    <s v="UNPLANNED"/>
    <x v="0"/>
    <d v="1899-12-30T12:40:00"/>
    <x v="0"/>
  </r>
  <r>
    <n v="47"/>
    <x v="3"/>
    <n v="8115271819304"/>
    <x v="10"/>
    <d v="2021-07-03T13:55:00"/>
    <d v="1899-12-30T01:15:00"/>
    <n v="240.00000002235174"/>
    <s v="UNPLANNED"/>
    <x v="0"/>
    <d v="1899-12-30T12:40:00"/>
    <x v="0"/>
  </r>
  <r>
    <n v="48"/>
    <x v="0"/>
    <n v="5115271685515"/>
    <x v="10"/>
    <d v="2021-07-03T13:55:00"/>
    <d v="1899-12-30T01:15:00"/>
    <n v="240.00000002235174"/>
    <s v="UNPLANNED"/>
    <x v="1"/>
    <d v="1899-12-30T12:40:00"/>
    <x v="0"/>
  </r>
  <r>
    <n v="49"/>
    <x v="13"/>
    <n v="3115270418706"/>
    <x v="10"/>
    <d v="2021-07-03T13:55:00"/>
    <d v="1899-12-30T01:15:00"/>
    <n v="240.00000002235174"/>
    <s v="UNPLANNED"/>
    <x v="1"/>
    <d v="1899-12-30T12:40:00"/>
    <x v="0"/>
  </r>
  <r>
    <n v="50"/>
    <x v="13"/>
    <n v="3115270418700"/>
    <x v="10"/>
    <d v="2021-07-03T13:55:00"/>
    <d v="1899-12-30T01:15:00"/>
    <n v="240.00000002235174"/>
    <s v="UNPLANNED"/>
    <x v="0"/>
    <d v="1899-12-30T12:40:00"/>
    <x v="0"/>
  </r>
  <r>
    <n v="51"/>
    <x v="6"/>
    <n v="9115271910014"/>
    <x v="11"/>
    <d v="2021-07-03T02:20:00"/>
    <d v="1899-12-30T03:10:00"/>
    <n v="94.736842109906874"/>
    <s v="UNPLANNED"/>
    <x v="1"/>
    <d v="1899-12-30T23:10:00"/>
    <x v="2"/>
  </r>
  <r>
    <n v="52"/>
    <x v="8"/>
    <n v="4115270846700"/>
    <x v="11"/>
    <d v="2021-07-03T02:20:00"/>
    <d v="1899-12-30T03:10:00"/>
    <n v="94.736842109906874"/>
    <s v="UNPLANNED"/>
    <x v="0"/>
    <d v="1899-12-30T23:10:00"/>
    <x v="2"/>
  </r>
  <r>
    <n v="53"/>
    <x v="11"/>
    <n v="10115271412203"/>
    <x v="12"/>
    <d v="2021-07-03T12:00:00"/>
    <d v="1899-12-30T02:45:00"/>
    <n v="109.09090908860001"/>
    <s v="UNPLANNED"/>
    <x v="0"/>
    <d v="1899-12-30T09:15:00"/>
    <x v="0"/>
  </r>
  <r>
    <n v="54"/>
    <x v="12"/>
    <n v="14115271673711"/>
    <x v="13"/>
    <d v="2021-07-03T12:22:00"/>
    <d v="1899-12-30T02:42:00"/>
    <n v="111.1111111154228"/>
    <s v="UNPLANNED"/>
    <x v="1"/>
    <d v="1899-12-30T09:40:00"/>
    <x v="0"/>
  </r>
  <r>
    <n v="55"/>
    <x v="12"/>
    <n v="14115271673701"/>
    <x v="13"/>
    <d v="2021-07-03T12:22:00"/>
    <d v="1899-12-30T02:42:00"/>
    <n v="111.1111111154228"/>
    <s v="UNPLANNED"/>
    <x v="0"/>
    <d v="1899-12-30T09:40:00"/>
    <x v="0"/>
  </r>
  <r>
    <n v="56"/>
    <x v="5"/>
    <n v="13115271660525"/>
    <x v="13"/>
    <d v="2021-07-03T12:22:00"/>
    <d v="1899-12-30T02:42:00"/>
    <n v="111.1111111154228"/>
    <s v="UNPLANNED"/>
    <x v="0"/>
    <d v="1899-12-30T09:40:00"/>
    <x v="0"/>
  </r>
  <r>
    <n v="57"/>
    <x v="5"/>
    <n v="13115271660505"/>
    <x v="13"/>
    <d v="2021-07-03T12:22:00"/>
    <d v="1899-12-30T02:42:00"/>
    <n v="111.1111111154228"/>
    <s v="UNPLANNED"/>
    <x v="1"/>
    <d v="1899-12-30T09:40:00"/>
    <x v="0"/>
  </r>
  <r>
    <n v="58"/>
    <x v="14"/>
    <n v="1115270070200"/>
    <x v="13"/>
    <d v="2021-07-03T12:22:00"/>
    <d v="1899-12-30T02:42:00"/>
    <n v="111.1111111154228"/>
    <s v="UNPLANNED"/>
    <x v="1"/>
    <d v="1899-12-30T09:40:00"/>
    <x v="0"/>
  </r>
  <r>
    <n v="59"/>
    <x v="4"/>
    <n v="15115271793104"/>
    <x v="14"/>
    <d v="2021-07-03T17:50:00"/>
    <d v="1899-12-30T02:55:00"/>
    <n v="102.85714286056404"/>
    <s v="UNPLANNED"/>
    <x v="1"/>
    <d v="1899-12-30T14:55:00"/>
    <x v="1"/>
  </r>
  <r>
    <n v="60"/>
    <x v="4"/>
    <n v="15115271793103"/>
    <x v="14"/>
    <d v="2021-07-03T17:50:00"/>
    <d v="1899-12-30T02:55:00"/>
    <n v="102.85714286056404"/>
    <s v="UNPLANNED"/>
    <x v="0"/>
    <d v="1899-12-30T14:55:00"/>
    <x v="1"/>
  </r>
  <r>
    <n v="61"/>
    <x v="5"/>
    <n v="13115271660101"/>
    <x v="14"/>
    <d v="2021-07-03T17:50:00"/>
    <d v="1899-12-30T02:55:00"/>
    <n v="102.85714286056404"/>
    <s v="UNPLANNED"/>
    <x v="0"/>
    <d v="1899-12-30T14:55:00"/>
    <x v="1"/>
  </r>
  <r>
    <n v="62"/>
    <x v="5"/>
    <n v="13115271660100"/>
    <x v="14"/>
    <d v="2021-07-03T17:50:00"/>
    <d v="1899-12-30T02:55:00"/>
    <n v="102.85714286056404"/>
    <s v="UNPLANNED"/>
    <x v="0"/>
    <d v="1899-12-30T14:55:00"/>
    <x v="1"/>
  </r>
  <r>
    <n v="63"/>
    <x v="5"/>
    <n v="13115271607600"/>
    <x v="14"/>
    <d v="2021-07-03T17:50:00"/>
    <d v="1899-12-30T02:55:00"/>
    <n v="102.85714286056404"/>
    <s v="UNPLANNED"/>
    <x v="0"/>
    <d v="1899-12-30T14:55:00"/>
    <x v="1"/>
  </r>
  <r>
    <n v="64"/>
    <x v="10"/>
    <n v="11115271508501"/>
    <x v="14"/>
    <d v="2021-07-03T17:50:00"/>
    <d v="1899-12-30T02:55:00"/>
    <n v="102.85714286056404"/>
    <s v="UNPLANNED"/>
    <x v="0"/>
    <d v="1899-12-30T14:55:00"/>
    <x v="1"/>
  </r>
  <r>
    <n v="65"/>
    <x v="0"/>
    <n v="5115271660302"/>
    <x v="15"/>
    <d v="2021-07-03T21:40:00"/>
    <d v="1899-12-30T03:20:00"/>
    <n v="89.999999998952262"/>
    <s v="UNPLANNED"/>
    <x v="1"/>
    <d v="1899-12-30T18:20:00"/>
    <x v="1"/>
  </r>
  <r>
    <n v="66"/>
    <x v="13"/>
    <n v="3115270349305"/>
    <x v="15"/>
    <d v="2021-07-03T21:40:00"/>
    <d v="1899-12-30T03:20:00"/>
    <n v="89.999999998952262"/>
    <s v="UNPLANNED"/>
    <x v="0"/>
    <d v="1899-12-30T18:20:00"/>
    <x v="1"/>
  </r>
  <r>
    <n v="67"/>
    <x v="13"/>
    <n v="3115270349300"/>
    <x v="15"/>
    <d v="2021-07-03T21:40:00"/>
    <d v="1899-12-30T03:20:00"/>
    <n v="89.999999998952262"/>
    <s v="UNPLANNED"/>
    <x v="0"/>
    <d v="1899-12-30T18:20:00"/>
    <x v="1"/>
  </r>
  <r>
    <n v="68"/>
    <x v="14"/>
    <n v="1115270018010"/>
    <x v="15"/>
    <d v="2021-07-03T21:40:00"/>
    <d v="1899-12-30T03:20:00"/>
    <n v="89.999999998952262"/>
    <s v="UNPLANNED"/>
    <x v="0"/>
    <d v="1899-12-30T18:20:00"/>
    <x v="1"/>
  </r>
  <r>
    <n v="69"/>
    <x v="14"/>
    <n v="1115270018000"/>
    <x v="15"/>
    <d v="2021-07-03T21:40:00"/>
    <d v="1899-12-30T03:20:00"/>
    <n v="89.999999998952262"/>
    <s v="UNPLANNED"/>
    <x v="0"/>
    <d v="1899-12-30T18:20:00"/>
    <x v="1"/>
  </r>
  <r>
    <n v="70"/>
    <x v="8"/>
    <n v="4115270827000"/>
    <x v="16"/>
    <d v="2021-07-03T23:45:00"/>
    <d v="1899-12-30T01:30:00"/>
    <n v="200"/>
    <s v="UNPLANNED"/>
    <x v="0"/>
    <d v="1899-12-30T22:15:00"/>
    <x v="2"/>
  </r>
  <r>
    <n v="71"/>
    <x v="10"/>
    <n v="11115271540702"/>
    <x v="17"/>
    <d v="2021-07-04T02:40:00"/>
    <d v="1899-12-30T02:15:00"/>
    <n v="133.33333333333331"/>
    <s v="UNPLANNED"/>
    <x v="0"/>
    <d v="1899-12-30T00:25:00"/>
    <x v="2"/>
  </r>
  <r>
    <n v="72"/>
    <x v="5"/>
    <n v="13115271667409"/>
    <x v="18"/>
    <d v="2021-07-04T12:00:00"/>
    <d v="1899-12-30T02:45:00"/>
    <n v="109.09090908860001"/>
    <s v="UNPLANNED"/>
    <x v="0"/>
    <d v="1899-12-30T09:15:00"/>
    <x v="0"/>
  </r>
  <r>
    <n v="73"/>
    <x v="5"/>
    <n v="13115271667402"/>
    <x v="18"/>
    <d v="2021-07-04T12:00:00"/>
    <d v="1899-12-30T02:45:00"/>
    <n v="109.09090908860001"/>
    <s v="UNPLANNED"/>
    <x v="1"/>
    <d v="1899-12-30T09:15:00"/>
    <x v="0"/>
  </r>
  <r>
    <n v="74"/>
    <x v="10"/>
    <n v="11115271540700"/>
    <x v="18"/>
    <d v="2021-07-04T12:00:00"/>
    <d v="1899-12-30T02:45:00"/>
    <n v="109.09090908860001"/>
    <s v="UNPLANNED"/>
    <x v="0"/>
    <d v="1899-12-30T09:15:00"/>
    <x v="0"/>
  </r>
  <r>
    <n v="75"/>
    <x v="1"/>
    <n v="6115271729903"/>
    <x v="18"/>
    <d v="2021-07-04T12:00:00"/>
    <d v="1899-12-30T02:45:00"/>
    <n v="109.09090908860001"/>
    <s v="UNPLANNED"/>
    <x v="0"/>
    <d v="1899-12-30T09:15:00"/>
    <x v="0"/>
  </r>
  <r>
    <n v="76"/>
    <x v="8"/>
    <n v="4115270830100"/>
    <x v="18"/>
    <d v="2021-07-04T12:00:00"/>
    <d v="1899-12-30T02:45:00"/>
    <n v="109.09090908860001"/>
    <s v="UNPLANNED"/>
    <x v="0"/>
    <d v="1899-12-30T09:15:00"/>
    <x v="0"/>
  </r>
  <r>
    <n v="77"/>
    <x v="13"/>
    <n v="3115270408800"/>
    <x v="18"/>
    <d v="2021-07-04T12:00:00"/>
    <d v="1899-12-30T02:45:00"/>
    <n v="109.09090908860001"/>
    <s v="UNPLANNED"/>
    <x v="0"/>
    <d v="1899-12-30T09:15:00"/>
    <x v="0"/>
  </r>
  <r>
    <n v="78"/>
    <x v="13"/>
    <n v="3115270320700"/>
    <x v="18"/>
    <d v="2021-07-04T12:00:00"/>
    <d v="1899-12-30T02:45:00"/>
    <n v="109.09090908860001"/>
    <s v="UNPLANNED"/>
    <x v="0"/>
    <d v="1899-12-30T09:15:00"/>
    <x v="0"/>
  </r>
  <r>
    <n v="79"/>
    <x v="13"/>
    <n v="3115270280903"/>
    <x v="18"/>
    <d v="2021-07-04T12:00:00"/>
    <d v="1899-12-30T02:45:00"/>
    <n v="109.09090908860001"/>
    <s v="UNPLANNED"/>
    <x v="1"/>
    <d v="1899-12-30T09:15:00"/>
    <x v="0"/>
  </r>
  <r>
    <n v="80"/>
    <x v="4"/>
    <n v="15115271761310"/>
    <x v="19"/>
    <d v="2021-07-04T13:50:00"/>
    <d v="1899-12-30T01:25:00"/>
    <n v="211.7647058707517"/>
    <s v="UNPLANNED"/>
    <x v="2"/>
    <d v="1899-12-30T12:25:00"/>
    <x v="0"/>
  </r>
  <r>
    <n v="81"/>
    <x v="4"/>
    <n v="15115271761300"/>
    <x v="19"/>
    <d v="2021-07-04T13:50:00"/>
    <d v="1899-12-30T01:25:00"/>
    <n v="211.7647058707517"/>
    <s v="UNPLANNED"/>
    <x v="1"/>
    <d v="1899-12-30T12:25:00"/>
    <x v="0"/>
  </r>
  <r>
    <n v="82"/>
    <x v="12"/>
    <n v="14115271678800"/>
    <x v="19"/>
    <d v="2021-07-04T13:50:00"/>
    <d v="1899-12-30T01:25:00"/>
    <n v="211.7647058707517"/>
    <s v="UNPLANNED"/>
    <x v="2"/>
    <d v="1899-12-30T12:25:00"/>
    <x v="0"/>
  </r>
  <r>
    <n v="83"/>
    <x v="5"/>
    <n v="13115271634400"/>
    <x v="19"/>
    <d v="2021-07-04T13:50:00"/>
    <d v="1899-12-30T01:25:00"/>
    <n v="211.7647058707517"/>
    <s v="UNPLANNED"/>
    <x v="2"/>
    <d v="1899-12-30T12:25:00"/>
    <x v="0"/>
  </r>
  <r>
    <n v="84"/>
    <x v="7"/>
    <n v="7115271760304"/>
    <x v="20"/>
    <d v="2021-07-04T16:00:00"/>
    <d v="1899-12-30T01:30:00"/>
    <n v="200"/>
    <s v="UNPLANNED"/>
    <x v="1"/>
    <d v="1899-12-30T14:30:00"/>
    <x v="1"/>
  </r>
  <r>
    <n v="85"/>
    <x v="1"/>
    <n v="6115271729705"/>
    <x v="20"/>
    <d v="2021-07-04T16:00:00"/>
    <d v="1899-12-30T01:30:00"/>
    <n v="200"/>
    <s v="UNPLANNED"/>
    <x v="1"/>
    <d v="1899-12-30T14:30:00"/>
    <x v="1"/>
  </r>
  <r>
    <n v="86"/>
    <x v="1"/>
    <n v="6115271729701"/>
    <x v="20"/>
    <d v="2021-07-04T16:00:00"/>
    <d v="1899-12-30T01:30:00"/>
    <n v="200"/>
    <s v="UNPLANNED"/>
    <x v="0"/>
    <d v="1899-12-30T14:30:00"/>
    <x v="1"/>
  </r>
  <r>
    <n v="87"/>
    <x v="12"/>
    <n v="14115271673305"/>
    <x v="21"/>
    <d v="2021-07-04T20:30:00"/>
    <d v="1899-12-30T03:05:00"/>
    <n v="97.297297299746361"/>
    <s v="UNPLANNED"/>
    <x v="2"/>
    <d v="1899-12-30T17:25:00"/>
    <x v="1"/>
  </r>
  <r>
    <n v="88"/>
    <x v="12"/>
    <n v="14115271673300"/>
    <x v="21"/>
    <d v="2021-07-04T20:30:00"/>
    <d v="1899-12-30T03:05:00"/>
    <n v="97.297297299746361"/>
    <s v="UNPLANNED"/>
    <x v="1"/>
    <d v="1899-12-30T17:25:00"/>
    <x v="1"/>
  </r>
  <r>
    <n v="89"/>
    <x v="10"/>
    <n v="11115271052706"/>
    <x v="21"/>
    <d v="2021-07-04T20:30:00"/>
    <d v="1899-12-30T03:05:00"/>
    <n v="97.297297299746361"/>
    <s v="UNPLANNED"/>
    <x v="0"/>
    <d v="1899-12-30T17:25:00"/>
    <x v="1"/>
  </r>
  <r>
    <n v="90"/>
    <x v="10"/>
    <n v="11115271052700"/>
    <x v="21"/>
    <d v="2021-07-04T20:30:00"/>
    <d v="1899-12-30T03:05:00"/>
    <n v="97.297297299746361"/>
    <s v="UNPLANNED"/>
    <x v="0"/>
    <d v="1899-12-30T17:25:00"/>
    <x v="1"/>
  </r>
  <r>
    <n v="91"/>
    <x v="0"/>
    <n v="5115271275400"/>
    <x v="22"/>
    <d v="2021-07-04T23:55:00"/>
    <d v="1899-12-30T01:45:00"/>
    <n v="171.42857141716746"/>
    <s v="UNPLANNED"/>
    <x v="0"/>
    <d v="1899-12-30T22:10:00"/>
    <x v="2"/>
  </r>
  <r>
    <n v="92"/>
    <x v="10"/>
    <n v="11115271508506"/>
    <x v="23"/>
    <d v="2021-07-05T13:50:00"/>
    <d v="1899-12-30T05:30:00"/>
    <n v="54.545454544300007"/>
    <s v="UNPLANNED"/>
    <x v="0"/>
    <d v="1899-12-30T08:20:00"/>
    <x v="0"/>
  </r>
  <r>
    <n v="93"/>
    <x v="10"/>
    <n v="11115271483507"/>
    <x v="23"/>
    <d v="2021-07-05T13:50:00"/>
    <d v="1899-12-30T05:30:00"/>
    <n v="54.545454544300007"/>
    <s v="UNPLANNED"/>
    <x v="3"/>
    <d v="1899-12-30T08:20:00"/>
    <x v="0"/>
  </r>
  <r>
    <n v="94"/>
    <x v="10"/>
    <n v="11115271483503"/>
    <x v="23"/>
    <d v="2021-07-05T13:50:00"/>
    <d v="1899-12-30T05:30:00"/>
    <n v="54.545454544300007"/>
    <s v="UNPLANNED"/>
    <x v="0"/>
    <d v="1899-12-30T08:20:00"/>
    <x v="0"/>
  </r>
  <r>
    <n v="95"/>
    <x v="10"/>
    <n v="11115271051904"/>
    <x v="23"/>
    <d v="2021-07-05T13:50:00"/>
    <d v="1899-12-30T05:30:00"/>
    <n v="54.545454544300007"/>
    <s v="UNPLANNED"/>
    <x v="0"/>
    <d v="1899-12-30T08:20:00"/>
    <x v="0"/>
  </r>
  <r>
    <n v="96"/>
    <x v="10"/>
    <n v="11115271051900"/>
    <x v="23"/>
    <d v="2021-07-05T13:50:00"/>
    <d v="1899-12-30T05:30:00"/>
    <n v="54.545454544300007"/>
    <s v="UNPLANNED"/>
    <x v="1"/>
    <d v="1899-12-30T08:20:00"/>
    <x v="0"/>
  </r>
  <r>
    <n v="97"/>
    <x v="11"/>
    <n v="10115271958203"/>
    <x v="23"/>
    <d v="2021-07-05T13:50:00"/>
    <d v="1899-12-30T05:30:00"/>
    <n v="54.545454544300007"/>
    <s v="UNPLANNED"/>
    <x v="0"/>
    <d v="1899-12-30T08:20:00"/>
    <x v="0"/>
  </r>
  <r>
    <n v="98"/>
    <x v="11"/>
    <n v="10115271412210"/>
    <x v="23"/>
    <d v="2021-07-05T11:00:00"/>
    <d v="1899-12-30T02:40:00"/>
    <n v="112.49999999427018"/>
    <s v="UNPLANNED"/>
    <x v="0"/>
    <d v="1899-12-30T08:20:00"/>
    <x v="0"/>
  </r>
  <r>
    <n v="99"/>
    <x v="11"/>
    <n v="10115271412200"/>
    <x v="23"/>
    <d v="2021-07-05T11:00:00"/>
    <d v="1899-12-30T02:40:00"/>
    <n v="112.49999999427018"/>
    <s v="UNPLANNED"/>
    <x v="0"/>
    <d v="1899-12-30T08:20:00"/>
    <x v="0"/>
  </r>
  <r>
    <n v="100"/>
    <x v="7"/>
    <n v="7115271783716"/>
    <x v="23"/>
    <d v="2021-07-05T11:00:00"/>
    <d v="1899-12-30T02:40:00"/>
    <n v="112.49999999427018"/>
    <s v="UNPLANNED"/>
    <x v="0"/>
    <d v="1899-12-30T08:20:00"/>
    <x v="0"/>
  </r>
  <r>
    <n v="101"/>
    <x v="8"/>
    <n v="4115270887610"/>
    <x v="23"/>
    <d v="2021-07-05T11:00:00"/>
    <d v="1899-12-30T02:40:00"/>
    <n v="112.49999999427018"/>
    <s v="UNPLANNED"/>
    <x v="0"/>
    <d v="1899-12-30T08:20:00"/>
    <x v="0"/>
  </r>
  <r>
    <n v="102"/>
    <x v="8"/>
    <n v="4115270887600"/>
    <x v="23"/>
    <d v="2021-07-05T10:00:00"/>
    <d v="1899-12-30T01:40:00"/>
    <n v="179.99999999790452"/>
    <s v="UNPLANNED"/>
    <x v="1"/>
    <d v="1899-12-30T08:20:00"/>
    <x v="0"/>
  </r>
  <r>
    <n v="103"/>
    <x v="13"/>
    <n v="3115270447600"/>
    <x v="23"/>
    <d v="2021-07-05T10:00:00"/>
    <d v="1899-12-30T01:40:00"/>
    <n v="179.99999999790452"/>
    <s v="UNPLANNED"/>
    <x v="3"/>
    <d v="1899-12-30T08:20:00"/>
    <x v="0"/>
  </r>
  <r>
    <n v="104"/>
    <x v="13"/>
    <n v="3115270409300"/>
    <x v="23"/>
    <d v="2021-07-05T11:00:00"/>
    <d v="1899-12-30T02:40:00"/>
    <n v="112.49999999427018"/>
    <s v="UNPLANNED"/>
    <x v="2"/>
    <d v="1899-12-30T08:20:00"/>
    <x v="0"/>
  </r>
  <r>
    <n v="105"/>
    <x v="13"/>
    <n v="3115270379300"/>
    <x v="23"/>
    <d v="2021-07-05T11:00:00"/>
    <d v="1899-12-30T02:40:00"/>
    <n v="112.49999999427018"/>
    <s v="UNPLANNED"/>
    <x v="0"/>
    <d v="1899-12-30T08:20:00"/>
    <x v="0"/>
  </r>
  <r>
    <n v="106"/>
    <x v="13"/>
    <n v="3115270379300"/>
    <x v="23"/>
    <d v="2021-07-05T11:00:00"/>
    <d v="1899-12-30T02:40:00"/>
    <n v="112.49999999427018"/>
    <s v="UNPLANNED"/>
    <x v="0"/>
    <d v="1899-12-30T08:20:00"/>
    <x v="0"/>
  </r>
  <r>
    <n v="107"/>
    <x v="9"/>
    <n v="2115270169700"/>
    <x v="23"/>
    <d v="2021-07-05T11:00:00"/>
    <d v="1899-12-30T02:40:00"/>
    <n v="112.49999999427018"/>
    <s v="UNPLANNED"/>
    <x v="0"/>
    <d v="1899-12-30T08:20:00"/>
    <x v="0"/>
  </r>
  <r>
    <n v="108"/>
    <x v="14"/>
    <n v="1115270058100"/>
    <x v="23"/>
    <d v="2021-07-05T11:00:00"/>
    <d v="1899-12-30T02:40:00"/>
    <n v="112.49999999427018"/>
    <s v="UNPLANNED"/>
    <x v="0"/>
    <d v="1899-12-30T08:20:00"/>
    <x v="0"/>
  </r>
  <r>
    <n v="109"/>
    <x v="10"/>
    <n v="11115271052500"/>
    <x v="24"/>
    <d v="2021-07-05T03:30:00"/>
    <d v="1899-12-30T03:05:00"/>
    <n v="97.297297294235975"/>
    <s v="UNPLANNED"/>
    <x v="0"/>
    <d v="1899-12-30T00:25:00"/>
    <x v="2"/>
  </r>
  <r>
    <n v="110"/>
    <x v="13"/>
    <n v="3115270379800"/>
    <x v="24"/>
    <d v="2021-07-05T03:30:00"/>
    <d v="1899-12-30T03:05:00"/>
    <n v="97.297297294235975"/>
    <s v="UNPLANNED"/>
    <x v="0"/>
    <d v="1899-12-30T00:25:00"/>
    <x v="2"/>
  </r>
  <r>
    <n v="111"/>
    <x v="5"/>
    <n v="13115271608510"/>
    <x v="25"/>
    <d v="2021-07-05T16:30:00"/>
    <d v="1899-12-30T00:40:00"/>
    <n v="449.99999994761311"/>
    <s v="UNPLANNED"/>
    <x v="2"/>
    <d v="1899-12-30T15:50:00"/>
    <x v="1"/>
  </r>
  <r>
    <n v="112"/>
    <x v="5"/>
    <n v="13115271608500"/>
    <x v="25"/>
    <d v="2021-07-05T16:30:00"/>
    <d v="1899-12-30T00:40:00"/>
    <n v="449.99999994761311"/>
    <s v="UNPLANNED"/>
    <x v="2"/>
    <d v="1899-12-30T15:50:00"/>
    <x v="1"/>
  </r>
  <r>
    <n v="113"/>
    <x v="13"/>
    <n v="3115270413400"/>
    <x v="26"/>
    <d v="2021-07-05T20:00:00"/>
    <d v="1899-12-30T01:40:00"/>
    <n v="179.99999999790452"/>
    <s v="UNPLANNED"/>
    <x v="0"/>
    <d v="1899-12-30T18:20:00"/>
    <x v="1"/>
  </r>
  <r>
    <n v="114"/>
    <x v="3"/>
    <n v="8115271858308"/>
    <x v="27"/>
    <d v="2021-07-05T23:30:00"/>
    <d v="1899-12-30T01:05:00"/>
    <n v="276.92307695779488"/>
    <s v="UNPLANNED"/>
    <x v="0"/>
    <d v="1899-12-30T22:25:00"/>
    <x v="2"/>
  </r>
  <r>
    <n v="115"/>
    <x v="11"/>
    <n v="10115271473105"/>
    <x v="28"/>
    <d v="2021-07-06T02:00:00"/>
    <d v="1899-12-30T01:45:00"/>
    <n v="171.42857141716746"/>
    <s v="UNPLANNED"/>
    <x v="0"/>
    <d v="1899-12-30T00:15:00"/>
    <x v="2"/>
  </r>
  <r>
    <n v="116"/>
    <x v="4"/>
    <n v="15115271751500"/>
    <x v="29"/>
    <d v="2021-07-06T02:20:00"/>
    <d v="1899-12-30T02:00:00"/>
    <n v="150.00000000873115"/>
    <s v="UNPLANNED"/>
    <x v="0"/>
    <d v="1899-12-30T00:20:00"/>
    <x v="2"/>
  </r>
  <r>
    <n v="117"/>
    <x v="4"/>
    <n v="15115271766001"/>
    <x v="30"/>
    <d v="2021-07-06T11:15:00"/>
    <d v="1899-12-30T01:45:00"/>
    <n v="171.42857143427341"/>
    <s v="UNPLANNED"/>
    <x v="0"/>
    <d v="1899-12-30T09:30:00"/>
    <x v="0"/>
  </r>
  <r>
    <n v="118"/>
    <x v="12"/>
    <n v="14115271707800"/>
    <x v="30"/>
    <d v="2021-07-06T11:15:00"/>
    <d v="1899-12-30T01:45:00"/>
    <n v="171.42857143427341"/>
    <s v="UNPLANNED"/>
    <x v="1"/>
    <d v="1899-12-30T09:30:00"/>
    <x v="0"/>
  </r>
  <r>
    <n v="119"/>
    <x v="11"/>
    <n v="10115271422400"/>
    <x v="31"/>
    <d v="2021-07-06T13:50:00"/>
    <d v="1899-12-30T01:50:00"/>
    <n v="163.63636363290004"/>
    <s v="UNPLANNED"/>
    <x v="0"/>
    <d v="1899-12-30T12:00:00"/>
    <x v="0"/>
  </r>
  <r>
    <n v="120"/>
    <x v="3"/>
    <n v="8115271812409"/>
    <x v="31"/>
    <d v="2021-07-06T13:50:00"/>
    <d v="1899-12-30T01:50:00"/>
    <n v="163.63636363290004"/>
    <s v="UNPLANNED"/>
    <x v="0"/>
    <d v="1899-12-30T12:00:00"/>
    <x v="0"/>
  </r>
  <r>
    <n v="121"/>
    <x v="1"/>
    <n v="6115271725425"/>
    <x v="32"/>
    <d v="2021-07-06T18:20:00"/>
    <d v="1899-12-30T03:55:00"/>
    <n v="76.595744680471626"/>
    <s v="UNPLANNED"/>
    <x v="1"/>
    <d v="1899-12-30T14:25:00"/>
    <x v="1"/>
  </r>
  <r>
    <n v="122"/>
    <x v="1"/>
    <n v="6115271725424"/>
    <x v="32"/>
    <d v="2021-07-06T18:20:00"/>
    <d v="1899-12-30T03:55:00"/>
    <n v="76.595744680471626"/>
    <s v="UNPLANNED"/>
    <x v="4"/>
    <d v="1899-12-30T14:25:00"/>
    <x v="1"/>
  </r>
  <r>
    <n v="123"/>
    <x v="0"/>
    <n v="5115271239413"/>
    <x v="32"/>
    <d v="2021-07-06T18:20:00"/>
    <d v="1899-12-30T03:55:00"/>
    <n v="76.595744680471626"/>
    <s v="UNPLANNED"/>
    <x v="0"/>
    <d v="1899-12-30T14:25:00"/>
    <x v="1"/>
  </r>
  <r>
    <n v="124"/>
    <x v="0"/>
    <n v="5115271239412"/>
    <x v="32"/>
    <d v="2021-07-06T18:20:00"/>
    <d v="1899-12-30T03:55:00"/>
    <n v="76.595744680471626"/>
    <s v="UNPLANNED"/>
    <x v="0"/>
    <d v="1899-12-30T14:25:00"/>
    <x v="1"/>
  </r>
  <r>
    <n v="125"/>
    <x v="13"/>
    <n v="3115270347400"/>
    <x v="32"/>
    <d v="2021-07-06T18:20:00"/>
    <d v="1899-12-30T03:55:00"/>
    <n v="76.595744680471626"/>
    <s v="UNPLANNED"/>
    <x v="2"/>
    <d v="1899-12-30T14:25:00"/>
    <x v="1"/>
  </r>
  <r>
    <n v="126"/>
    <x v="13"/>
    <n v="3115270347400"/>
    <x v="32"/>
    <d v="2021-07-06T18:20:00"/>
    <d v="1899-12-30T03:55:00"/>
    <n v="76.595744680471626"/>
    <s v="UNPLANNED"/>
    <x v="1"/>
    <d v="1899-12-30T14:25:00"/>
    <x v="1"/>
  </r>
  <r>
    <n v="127"/>
    <x v="9"/>
    <n v="2115270156500"/>
    <x v="32"/>
    <d v="2021-07-06T18:20:00"/>
    <d v="1899-12-30T03:55:00"/>
    <n v="76.595744680471626"/>
    <s v="UNPLANNED"/>
    <x v="0"/>
    <d v="1899-12-30T14:25:00"/>
    <x v="1"/>
  </r>
  <r>
    <n v="128"/>
    <x v="11"/>
    <n v="10115271440501"/>
    <x v="33"/>
    <d v="2021-07-06T23:49:00"/>
    <d v="1899-12-30T00:59:00"/>
    <n v="305.0847457976264"/>
    <s v="UNPLANNED"/>
    <x v="0"/>
    <d v="1899-12-30T22:50:00"/>
    <x v="2"/>
  </r>
  <r>
    <n v="129"/>
    <x v="11"/>
    <n v="10115271440500"/>
    <x v="33"/>
    <d v="2021-07-06T23:49:00"/>
    <d v="1899-12-30T00:59:00"/>
    <n v="305.0847457976264"/>
    <s v="UNPLANNED"/>
    <x v="0"/>
    <d v="1899-12-30T22:50:00"/>
    <x v="2"/>
  </r>
  <r>
    <n v="130"/>
    <x v="7"/>
    <n v="7115271760804"/>
    <x v="34"/>
    <d v="2021-07-06T23:50:00"/>
    <d v="1899-12-30T04:40:00"/>
    <n v="64.285714285447"/>
    <s v="UNPLANNED"/>
    <x v="0"/>
    <d v="1899-12-30T19:10:00"/>
    <x v="1"/>
  </r>
  <r>
    <n v="131"/>
    <x v="7"/>
    <n v="7115271760800"/>
    <x v="34"/>
    <d v="2021-07-06T23:50:00"/>
    <d v="1899-12-30T04:40:00"/>
    <n v="64.285714285447"/>
    <s v="UNPLANNED"/>
    <x v="1"/>
    <d v="1899-12-30T19:10:00"/>
    <x v="1"/>
  </r>
  <r>
    <n v="132"/>
    <x v="0"/>
    <n v="5115271662310"/>
    <x v="34"/>
    <d v="2021-07-06T23:50:00"/>
    <d v="1899-12-30T04:40:00"/>
    <n v="64.285714285447"/>
    <s v="UNPLANNED"/>
    <x v="0"/>
    <d v="1899-12-30T19:10:00"/>
    <x v="1"/>
  </r>
  <r>
    <n v="133"/>
    <x v="0"/>
    <n v="5115271662300"/>
    <x v="34"/>
    <d v="2021-07-06T23:50:00"/>
    <d v="1899-12-30T04:40:00"/>
    <n v="64.285714285447"/>
    <s v="UNPLANNED"/>
    <x v="0"/>
    <d v="1899-12-30T19:10:00"/>
    <x v="1"/>
  </r>
  <r>
    <n v="134"/>
    <x v="2"/>
    <n v="12115271560196"/>
    <x v="35"/>
    <d v="2021-07-07T02:20:00"/>
    <d v="1899-12-30T02:00:00"/>
    <n v="150.00000000873115"/>
    <s v="UNPLANNED"/>
    <x v="0"/>
    <d v="1899-12-30T00:20:00"/>
    <x v="2"/>
  </r>
  <r>
    <n v="135"/>
    <x v="10"/>
    <n v="11115271481900"/>
    <x v="36"/>
    <d v="2021-07-07T12:20:00"/>
    <d v="1899-12-30T03:50:00"/>
    <n v="78.260869563236795"/>
    <s v="UNPLANNED"/>
    <x v="1"/>
    <d v="1899-12-30T08:30:00"/>
    <x v="0"/>
  </r>
  <r>
    <n v="136"/>
    <x v="1"/>
    <n v="6115271750300"/>
    <x v="36"/>
    <d v="2021-07-07T12:20:00"/>
    <d v="1899-12-30T03:50:00"/>
    <n v="78.260869563236795"/>
    <s v="UNPLANNED"/>
    <x v="0"/>
    <d v="1899-12-30T08:30:00"/>
    <x v="0"/>
  </r>
  <r>
    <n v="137"/>
    <x v="11"/>
    <n v="10115270963413"/>
    <x v="37"/>
    <d v="2021-07-07T13:55:00"/>
    <d v="1899-12-30T01:25:00"/>
    <n v="211.76470589685451"/>
    <s v="UNPLANNED"/>
    <x v="0"/>
    <d v="1899-12-30T12:30:00"/>
    <x v="0"/>
  </r>
  <r>
    <n v="138"/>
    <x v="11"/>
    <n v="10115270963403"/>
    <x v="37"/>
    <d v="2021-07-07T13:55:00"/>
    <d v="1899-12-30T01:25:00"/>
    <n v="211.76470589685451"/>
    <s v="UNPLANNED"/>
    <x v="1"/>
    <d v="1899-12-30T12:30:00"/>
    <x v="0"/>
  </r>
  <r>
    <n v="139"/>
    <x v="6"/>
    <n v="9115270623305"/>
    <x v="37"/>
    <d v="2021-07-07T13:55:00"/>
    <d v="1899-12-30T01:25:00"/>
    <n v="211.76470589685451"/>
    <s v="UNPLANNED"/>
    <x v="0"/>
    <d v="1899-12-30T12:30:00"/>
    <x v="0"/>
  </r>
  <r>
    <n v="140"/>
    <x v="6"/>
    <n v="9115270623300"/>
    <x v="37"/>
    <d v="2021-07-07T13:55:00"/>
    <d v="1899-12-30T01:25:00"/>
    <n v="211.76470589685451"/>
    <s v="UNPLANNED"/>
    <x v="3"/>
    <d v="1899-12-30T12:30:00"/>
    <x v="0"/>
  </r>
  <r>
    <n v="141"/>
    <x v="1"/>
    <n v="6115271739111"/>
    <x v="38"/>
    <d v="2021-07-07T19:00:00"/>
    <d v="1899-12-30T04:05:00"/>
    <n v="73.469387757545746"/>
    <s v="UNPLANNED"/>
    <x v="0"/>
    <d v="1899-12-30T14:55:00"/>
    <x v="1"/>
  </r>
  <r>
    <n v="142"/>
    <x v="1"/>
    <n v="6115271739110"/>
    <x v="38"/>
    <d v="2021-07-07T19:00:00"/>
    <d v="1899-12-30T04:05:00"/>
    <n v="73.469387757545746"/>
    <s v="UNPLANNED"/>
    <x v="0"/>
    <d v="1899-12-30T14:55:00"/>
    <x v="1"/>
  </r>
  <r>
    <n v="143"/>
    <x v="0"/>
    <n v="5115271678309"/>
    <x v="38"/>
    <d v="2021-07-07T19:00:00"/>
    <d v="1899-12-30T04:05:00"/>
    <n v="73.469387757545746"/>
    <s v="UNPLANNED"/>
    <x v="1"/>
    <d v="1899-12-30T14:55:00"/>
    <x v="1"/>
  </r>
  <r>
    <n v="144"/>
    <x v="0"/>
    <n v="5115271678303"/>
    <x v="38"/>
    <d v="2021-07-07T19:00:00"/>
    <d v="1899-12-30T04:05:00"/>
    <n v="73.469387757545746"/>
    <s v="UNPLANNED"/>
    <x v="0"/>
    <d v="1899-12-30T14:55:00"/>
    <x v="1"/>
  </r>
  <r>
    <n v="145"/>
    <x v="0"/>
    <n v="5115271262001"/>
    <x v="38"/>
    <d v="2021-07-07T19:00:00"/>
    <d v="1899-12-30T04:05:00"/>
    <n v="73.469387757545746"/>
    <s v="UNPLANNED"/>
    <x v="0"/>
    <d v="1899-12-30T14:55:00"/>
    <x v="1"/>
  </r>
  <r>
    <n v="146"/>
    <x v="0"/>
    <n v="5115271262000"/>
    <x v="38"/>
    <d v="2021-07-07T19:00:00"/>
    <d v="1899-12-30T04:05:00"/>
    <n v="73.469387757545746"/>
    <s v="UNPLANNED"/>
    <x v="1"/>
    <d v="1899-12-30T14:55:00"/>
    <x v="1"/>
  </r>
  <r>
    <n v="147"/>
    <x v="9"/>
    <n v="2115270282907"/>
    <x v="38"/>
    <d v="2021-07-07T19:00:00"/>
    <d v="1899-12-30T04:05:00"/>
    <n v="73.469387757545746"/>
    <s v="UNPLANNED"/>
    <x v="0"/>
    <d v="1899-12-30T14:55:00"/>
    <x v="1"/>
  </r>
  <r>
    <n v="148"/>
    <x v="9"/>
    <n v="2115270282900"/>
    <x v="38"/>
    <d v="2021-07-07T19:00:00"/>
    <d v="1899-12-30T04:05:00"/>
    <n v="73.469387757545746"/>
    <s v="UNPLANNED"/>
    <x v="0"/>
    <d v="1899-12-30T14:55:00"/>
    <x v="1"/>
  </r>
  <r>
    <n v="149"/>
    <x v="3"/>
    <n v="8115271839800"/>
    <x v="39"/>
    <d v="2021-07-07T23:45:00"/>
    <d v="1899-12-30T03:55:00"/>
    <n v="76.595744680471626"/>
    <s v="UNPLANNED"/>
    <x v="1"/>
    <d v="1899-12-30T19:50:00"/>
    <x v="1"/>
  </r>
  <r>
    <n v="150"/>
    <x v="7"/>
    <n v="7115271771104"/>
    <x v="39"/>
    <d v="2021-07-07T23:45:00"/>
    <d v="1899-12-30T03:55:00"/>
    <n v="76.595744680471626"/>
    <s v="UNPLANNED"/>
    <x v="0"/>
    <d v="1899-12-30T19:50:00"/>
    <x v="1"/>
  </r>
  <r>
    <n v="151"/>
    <x v="7"/>
    <n v="7115271771102"/>
    <x v="39"/>
    <d v="2021-07-07T23:45:00"/>
    <d v="1899-12-30T03:55:00"/>
    <n v="76.595744680471626"/>
    <s v="UNPLANNED"/>
    <x v="2"/>
    <d v="1899-12-30T19:50:00"/>
    <x v="1"/>
  </r>
  <r>
    <n v="152"/>
    <x v="7"/>
    <n v="7115271779414"/>
    <x v="40"/>
    <d v="2021-07-08T01:15:00"/>
    <d v="1899-12-30T03:05:00"/>
    <n v="97.297297294235975"/>
    <s v="UNPLANNED"/>
    <x v="0"/>
    <d v="1899-12-30T22:10:00"/>
    <x v="2"/>
  </r>
  <r>
    <n v="153"/>
    <x v="13"/>
    <n v="3115270360900"/>
    <x v="40"/>
    <d v="2021-07-08T01:15:00"/>
    <d v="1899-12-30T03:05:00"/>
    <n v="97.297297294235975"/>
    <s v="UNPLANNED"/>
    <x v="3"/>
    <d v="1899-12-30T22:10:00"/>
    <x v="2"/>
  </r>
  <r>
    <n v="154"/>
    <x v="10"/>
    <n v="11115271501107"/>
    <x v="41"/>
    <d v="2021-07-08T10:15:00"/>
    <d v="1899-12-30T03:15:00"/>
    <n v="92.307692304385839"/>
    <s v="UNPLANNED"/>
    <x v="1"/>
    <d v="1899-12-30T07:00:00"/>
    <x v="0"/>
  </r>
  <r>
    <n v="155"/>
    <x v="6"/>
    <n v="9115270624800"/>
    <x v="41"/>
    <d v="2021-07-08T10:15:00"/>
    <d v="1899-12-30T03:15:00"/>
    <n v="92.307692304385839"/>
    <s v="UNPLANNED"/>
    <x v="0"/>
    <d v="1899-12-30T07:00:00"/>
    <x v="0"/>
  </r>
  <r>
    <n v="156"/>
    <x v="12"/>
    <n v="14115271725003"/>
    <x v="42"/>
    <d v="2021-07-08T13:50:00"/>
    <d v="1899-12-30T02:50:00"/>
    <n v="105.88235294190156"/>
    <s v="UNPLANNED"/>
    <x v="0"/>
    <d v="1899-12-30T11:00:00"/>
    <x v="0"/>
  </r>
  <r>
    <n v="157"/>
    <x v="12"/>
    <n v="14115271725002"/>
    <x v="42"/>
    <d v="2021-07-08T13:50:00"/>
    <d v="1899-12-30T02:50:00"/>
    <n v="105.88235294190156"/>
    <s v="UNPLANNED"/>
    <x v="0"/>
    <d v="1899-12-30T11:00:00"/>
    <x v="0"/>
  </r>
  <r>
    <n v="158"/>
    <x v="12"/>
    <n v="14115271724002"/>
    <x v="42"/>
    <d v="2021-07-08T13:50:00"/>
    <d v="1899-12-30T02:50:00"/>
    <n v="105.88235294190156"/>
    <s v="UNPLANNED"/>
    <x v="0"/>
    <d v="1899-12-30T11:00:00"/>
    <x v="0"/>
  </r>
  <r>
    <n v="159"/>
    <x v="0"/>
    <n v="5115271678309"/>
    <x v="42"/>
    <d v="2021-07-08T13:50:00"/>
    <d v="1899-12-30T02:50:00"/>
    <n v="105.88235294190156"/>
    <s v="UNPLANNED"/>
    <x v="0"/>
    <d v="1899-12-30T11:00:00"/>
    <x v="0"/>
  </r>
  <r>
    <n v="160"/>
    <x v="4"/>
    <n v="15115271783456"/>
    <x v="43"/>
    <d v="2021-07-08T16:00:00"/>
    <d v="1899-12-30T01:30:00"/>
    <n v="200"/>
    <s v="UNPLANNED"/>
    <x v="0"/>
    <d v="1899-12-30T14:30:00"/>
    <x v="1"/>
  </r>
  <r>
    <n v="161"/>
    <x v="4"/>
    <n v="15115271783451"/>
    <x v="43"/>
    <d v="2021-07-08T16:00:00"/>
    <d v="1899-12-30T01:30:00"/>
    <n v="200"/>
    <s v="UNPLANNED"/>
    <x v="1"/>
    <d v="1899-12-30T14:30:00"/>
    <x v="1"/>
  </r>
  <r>
    <n v="162"/>
    <x v="4"/>
    <n v="15115271791216"/>
    <x v="44"/>
    <d v="2021-07-08T21:50:00"/>
    <d v="1899-12-30T05:05:00"/>
    <n v="59.016393442848212"/>
    <s v="UNPLANNED"/>
    <x v="0"/>
    <d v="1899-12-30T16:45:00"/>
    <x v="1"/>
  </r>
  <r>
    <n v="163"/>
    <x v="4"/>
    <n v="15115271791215"/>
    <x v="44"/>
    <d v="2021-07-08T21:50:00"/>
    <d v="1899-12-30T05:05:00"/>
    <n v="59.016393442848212"/>
    <s v="UNPLANNED"/>
    <x v="0"/>
    <d v="1899-12-30T16:45:00"/>
    <x v="1"/>
  </r>
  <r>
    <n v="164"/>
    <x v="0"/>
    <n v="5115271678300"/>
    <x v="45"/>
    <d v="2021-07-08T23:50:00"/>
    <d v="1899-12-30T01:15:00"/>
    <n v="239.99999998882413"/>
    <s v="UNPLANNED"/>
    <x v="0"/>
    <d v="1899-12-30T22:35:00"/>
    <x v="2"/>
  </r>
  <r>
    <n v="165"/>
    <x v="13"/>
    <n v="3115270448602"/>
    <x v="44"/>
    <d v="2021-07-08T21:50:00"/>
    <d v="1899-12-30T05:05:00"/>
    <n v="59.016393442848212"/>
    <s v="UNPLANNED"/>
    <x v="1"/>
    <d v="1899-12-30T16:45:00"/>
    <x v="1"/>
  </r>
  <r>
    <n v="166"/>
    <x v="13"/>
    <n v="3115270448600"/>
    <x v="44"/>
    <d v="2021-07-08T21:50:00"/>
    <d v="1899-12-30T05:05:00"/>
    <n v="59.016393442848212"/>
    <s v="UNPLANNED"/>
    <x v="0"/>
    <d v="1899-12-30T16:45:00"/>
    <x v="1"/>
  </r>
  <r>
    <n v="167"/>
    <x v="9"/>
    <n v="2115270214705"/>
    <x v="44"/>
    <d v="2021-07-08T21:50:00"/>
    <d v="1899-12-30T05:05:00"/>
    <n v="59.016393442848212"/>
    <s v="UNPLANNED"/>
    <x v="1"/>
    <d v="1899-12-30T16:45:00"/>
    <x v="1"/>
  </r>
  <r>
    <n v="168"/>
    <x v="9"/>
    <n v="2115270214700"/>
    <x v="44"/>
    <d v="2021-07-08T21:50:00"/>
    <d v="1899-12-30T05:05:00"/>
    <n v="59.016393442848212"/>
    <s v="UNPLANNED"/>
    <x v="0"/>
    <d v="1899-12-30T16:45:00"/>
    <x v="1"/>
  </r>
  <r>
    <n v="169"/>
    <x v="9"/>
    <n v="2115270156501"/>
    <x v="44"/>
    <d v="2021-07-08T21:50:00"/>
    <d v="1899-12-30T05:05:00"/>
    <n v="59.016393442848212"/>
    <s v="UNPLANNED"/>
    <x v="0"/>
    <d v="1899-12-30T16:45:00"/>
    <x v="1"/>
  </r>
  <r>
    <n v="170"/>
    <x v="9"/>
    <n v="2115270156500"/>
    <x v="44"/>
    <d v="2021-07-08T21:50:00"/>
    <d v="1899-12-30T05:05:00"/>
    <n v="59.016393442848212"/>
    <s v="UNPLANNED"/>
    <x v="0"/>
    <d v="1899-12-30T16:45:00"/>
    <x v="1"/>
  </r>
  <r>
    <n v="171"/>
    <x v="4"/>
    <n v="15115271766405"/>
    <x v="46"/>
    <d v="2021-07-08T23:40:00"/>
    <d v="1899-12-30T01:25:00"/>
    <n v="211.76470589685451"/>
    <s v="UNPLANNED"/>
    <x v="0"/>
    <d v="1899-12-30T22:15:00"/>
    <x v="2"/>
  </r>
  <r>
    <n v="172"/>
    <x v="4"/>
    <n v="15115271766401"/>
    <x v="46"/>
    <d v="2021-07-08T23:40:00"/>
    <d v="1899-12-30T01:25:00"/>
    <n v="211.76470589685451"/>
    <s v="UNPLANNED"/>
    <x v="0"/>
    <d v="1899-12-30T22:15:00"/>
    <x v="2"/>
  </r>
  <r>
    <n v="173"/>
    <x v="12"/>
    <n v="14115271725005"/>
    <x v="47"/>
    <d v="2021-07-09T12:15:00"/>
    <d v="1899-12-30T04:15:00"/>
    <n v="70.588235296051195"/>
    <s v="UNPLANNED"/>
    <x v="2"/>
    <d v="1899-12-30T08:00:00"/>
    <x v="0"/>
  </r>
  <r>
    <n v="174"/>
    <x v="12"/>
    <n v="14115271725002"/>
    <x v="47"/>
    <d v="2021-07-09T12:15:00"/>
    <d v="1899-12-30T04:15:00"/>
    <n v="70.588235296051195"/>
    <s v="UNPLANNED"/>
    <x v="2"/>
    <d v="1899-12-30T08:00:00"/>
    <x v="0"/>
  </r>
  <r>
    <n v="175"/>
    <x v="1"/>
    <n v="6115271725425"/>
    <x v="47"/>
    <d v="2021-07-09T12:15:00"/>
    <d v="1899-12-30T04:15:00"/>
    <n v="70.588235296051195"/>
    <s v="UNPLANNED"/>
    <x v="0"/>
    <d v="1899-12-30T08:00:00"/>
    <x v="0"/>
  </r>
  <r>
    <n v="176"/>
    <x v="1"/>
    <n v="6115271725424"/>
    <x v="47"/>
    <d v="2021-07-09T12:15:00"/>
    <d v="1899-12-30T04:15:00"/>
    <n v="70.588235296051195"/>
    <s v="UNPLANNED"/>
    <x v="0"/>
    <d v="1899-12-30T08:00:00"/>
    <x v="0"/>
  </r>
  <r>
    <n v="177"/>
    <x v="1"/>
    <n v="6115271725413"/>
    <x v="47"/>
    <d v="2021-07-09T12:15:00"/>
    <d v="1899-12-30T04:15:00"/>
    <n v="70.588235296051195"/>
    <s v="UNPLANNED"/>
    <x v="1"/>
    <d v="1899-12-30T08:00:00"/>
    <x v="0"/>
  </r>
  <r>
    <n v="178"/>
    <x v="1"/>
    <n v="6115271725412"/>
    <x v="47"/>
    <d v="2021-07-09T12:15:00"/>
    <d v="1899-12-30T04:15:00"/>
    <n v="70.588235296051195"/>
    <s v="UNPLANNED"/>
    <x v="0"/>
    <d v="1899-12-30T08:00:00"/>
    <x v="0"/>
  </r>
  <r>
    <n v="179"/>
    <x v="8"/>
    <n v="4115270827300"/>
    <x v="47"/>
    <d v="2021-07-09T12:15:00"/>
    <d v="1899-12-30T04:15:00"/>
    <n v="70.588235296051195"/>
    <s v="UNPLANNED"/>
    <x v="0"/>
    <d v="1899-12-30T08:00:00"/>
    <x v="0"/>
  </r>
  <r>
    <n v="180"/>
    <x v="9"/>
    <n v="2115270218303"/>
    <x v="48"/>
    <d v="2021-07-09T13:50:00"/>
    <d v="1899-12-30T01:05:00"/>
    <n v="276.9230769131575"/>
    <s v="UNPLANNED"/>
    <x v="0"/>
    <d v="1899-12-30T12:45:00"/>
    <x v="0"/>
  </r>
  <r>
    <n v="181"/>
    <x v="9"/>
    <n v="2115270218300"/>
    <x v="48"/>
    <d v="2021-07-09T13:50:00"/>
    <d v="1899-12-30T01:05:00"/>
    <n v="276.9230769131575"/>
    <s v="UNPLANNED"/>
    <x v="3"/>
    <d v="1899-12-30T12:45:00"/>
    <x v="0"/>
  </r>
  <r>
    <n v="182"/>
    <x v="5"/>
    <n v="13115271640700"/>
    <x v="49"/>
    <d v="2021-07-09T19:30:00"/>
    <d v="1899-12-30T04:35:00"/>
    <n v="65.4545454556538"/>
    <s v="UNPLANNED"/>
    <x v="1"/>
    <d v="1899-12-30T14:55:00"/>
    <x v="1"/>
  </r>
  <r>
    <n v="183"/>
    <x v="5"/>
    <n v="13115271640501"/>
    <x v="50"/>
    <d v="2021-07-09T19:30:00"/>
    <d v="1899-12-30T04:40:00"/>
    <n v="64.285714285447"/>
    <s v="UNPLANNED"/>
    <x v="0"/>
    <d v="1899-12-30T14:50:00"/>
    <x v="1"/>
  </r>
  <r>
    <n v="184"/>
    <x v="5"/>
    <n v="13115271640500"/>
    <x v="50"/>
    <d v="2021-07-09T19:30:00"/>
    <d v="1899-12-30T04:40:00"/>
    <n v="64.285714285447"/>
    <s v="UNPLANNED"/>
    <x v="1"/>
    <d v="1899-12-30T14:50:00"/>
    <x v="1"/>
  </r>
  <r>
    <n v="185"/>
    <x v="0"/>
    <n v="5115271678309"/>
    <x v="49"/>
    <d v="2021-07-09T19:30:00"/>
    <d v="1899-12-30T04:35:00"/>
    <n v="65.4545454556538"/>
    <s v="UNPLANNED"/>
    <x v="0"/>
    <d v="1899-12-30T14:55:00"/>
    <x v="1"/>
  </r>
  <r>
    <n v="186"/>
    <x v="0"/>
    <n v="5115271678307"/>
    <x v="49"/>
    <d v="2021-07-09T19:30:00"/>
    <d v="1899-12-30T04:35:00"/>
    <n v="65.4545454556538"/>
    <s v="UNPLANNED"/>
    <x v="0"/>
    <d v="1899-12-30T14:55:00"/>
    <x v="1"/>
  </r>
  <r>
    <n v="187"/>
    <x v="14"/>
    <n v="1115270097403"/>
    <x v="49"/>
    <d v="2021-07-09T19:30:00"/>
    <d v="1899-12-30T04:35:00"/>
    <n v="65.4545454556538"/>
    <s v="UNPLANNED"/>
    <x v="0"/>
    <d v="1899-12-30T14:55:00"/>
    <x v="1"/>
  </r>
  <r>
    <n v="188"/>
    <x v="14"/>
    <n v="1115270097400"/>
    <x v="49"/>
    <d v="2021-07-09T19:30:00"/>
    <d v="1899-12-30T04:35:00"/>
    <n v="65.4545454556538"/>
    <s v="UNPLANNED"/>
    <x v="0"/>
    <d v="1899-12-30T14:55:00"/>
    <x v="1"/>
  </r>
  <r>
    <n v="189"/>
    <x v="5"/>
    <n v="13115271640203"/>
    <x v="51"/>
    <d v="2021-07-09T21:50:00"/>
    <d v="1899-12-30T01:45:00"/>
    <n v="171.42857143427341"/>
    <s v="UNPLANNED"/>
    <x v="0"/>
    <d v="1899-12-30T20:05:00"/>
    <x v="1"/>
  </r>
  <r>
    <n v="190"/>
    <x v="13"/>
    <n v="3115270447300"/>
    <x v="52"/>
    <d v="2021-07-09T23:50:00"/>
    <d v="1899-12-30T01:20:00"/>
    <n v="225.00000000327418"/>
    <s v="UNPLANNED"/>
    <x v="1"/>
    <d v="1899-12-30T22:30:00"/>
    <x v="2"/>
  </r>
  <r>
    <n v="191"/>
    <x v="8"/>
    <n v="4115270877504"/>
    <x v="53"/>
    <d v="2021-07-10T02:30:00"/>
    <d v="1899-12-30T02:12:00"/>
    <n v="136.36363636291478"/>
    <s v="UNPLANNED"/>
    <x v="0"/>
    <d v="1899-12-30T00:18:00"/>
    <x v="2"/>
  </r>
  <r>
    <n v="192"/>
    <x v="9"/>
    <n v="2115270169700"/>
    <x v="53"/>
    <d v="2021-07-10T02:30:00"/>
    <d v="1899-12-30T02:12:00"/>
    <n v="136.36363636291478"/>
    <s v="UNPLANNED"/>
    <x v="2"/>
    <d v="1899-12-30T00:18:00"/>
    <x v="2"/>
  </r>
  <r>
    <n v="193"/>
    <x v="7"/>
    <n v="7115271766038"/>
    <x v="54"/>
    <d v="2021-07-10T11:50:00"/>
    <d v="1899-12-30T04:35:00"/>
    <n v="65.4545454556538"/>
    <s v="UNPLANNED"/>
    <x v="0"/>
    <d v="1899-12-30T07:15:00"/>
    <x v="0"/>
  </r>
  <r>
    <n v="194"/>
    <x v="1"/>
    <n v="6115271727900"/>
    <x v="54"/>
    <d v="2021-07-10T11:50:00"/>
    <d v="1899-12-30T04:35:00"/>
    <n v="65.4545454556538"/>
    <s v="UNPLANNED"/>
    <x v="0"/>
    <d v="1899-12-30T07:15:00"/>
    <x v="0"/>
  </r>
  <r>
    <n v="195"/>
    <x v="0"/>
    <n v="5115271676300"/>
    <x v="54"/>
    <d v="2021-07-10T11:50:00"/>
    <d v="1899-12-30T04:35:00"/>
    <n v="65.4545454556538"/>
    <s v="UNPLANNED"/>
    <x v="0"/>
    <d v="1899-12-30T07:15:00"/>
    <x v="0"/>
  </r>
  <r>
    <n v="196"/>
    <x v="13"/>
    <n v="3115270306902"/>
    <x v="54"/>
    <d v="2021-07-10T11:50:00"/>
    <d v="1899-12-30T04:35:00"/>
    <n v="65.4545454556538"/>
    <s v="UNPLANNED"/>
    <x v="0"/>
    <d v="1899-12-30T07:15:00"/>
    <x v="0"/>
  </r>
  <r>
    <n v="197"/>
    <x v="3"/>
    <n v="8115271839200"/>
    <x v="55"/>
    <d v="2021-07-10T13:50:00"/>
    <d v="1899-12-30T01:20:00"/>
    <n v="225.00000000327418"/>
    <s v="UNPLANNED"/>
    <x v="0"/>
    <d v="1899-12-30T12:30:00"/>
    <x v="0"/>
  </r>
  <r>
    <n v="198"/>
    <x v="1"/>
    <n v="6115271699100"/>
    <x v="55"/>
    <d v="2021-07-10T13:50:00"/>
    <d v="1899-12-30T01:20:00"/>
    <n v="225.00000000327418"/>
    <s v="UNPLANNED"/>
    <x v="1"/>
    <d v="1899-12-30T12:30:00"/>
    <x v="0"/>
  </r>
  <r>
    <n v="199"/>
    <x v="12"/>
    <n v="14115271673113"/>
    <x v="56"/>
    <d v="2021-07-10T16:20:00"/>
    <d v="1899-12-30T01:40:00"/>
    <n v="179.99999999790452"/>
    <s v="UNPLANNED"/>
    <x v="0"/>
    <d v="1899-12-30T14:40:00"/>
    <x v="1"/>
  </r>
  <r>
    <n v="200"/>
    <x v="5"/>
    <n v="13115271622705"/>
    <x v="56"/>
    <d v="2021-07-10T16:20:00"/>
    <d v="1899-12-30T01:40:00"/>
    <n v="179.99999999790452"/>
    <s v="UNPLANNED"/>
    <x v="0"/>
    <d v="1899-12-30T14:40:00"/>
    <x v="1"/>
  </r>
  <r>
    <n v="201"/>
    <x v="2"/>
    <n v="12115271571135"/>
    <x v="56"/>
    <d v="2021-07-10T16:20:00"/>
    <d v="1899-12-30T01:40:00"/>
    <n v="179.99999999790452"/>
    <s v="UNPLANNED"/>
    <x v="0"/>
    <d v="1899-12-30T14:40:00"/>
    <x v="1"/>
  </r>
  <r>
    <n v="202"/>
    <x v="2"/>
    <n v="12115271560196"/>
    <x v="56"/>
    <d v="2021-07-10T16:20:00"/>
    <d v="1899-12-30T01:40:00"/>
    <n v="179.99999999790452"/>
    <s v="UNPLANNED"/>
    <x v="1"/>
    <d v="1899-12-30T14:40:00"/>
    <x v="1"/>
  </r>
  <r>
    <n v="203"/>
    <x v="1"/>
    <n v="6115271690612"/>
    <x v="56"/>
    <d v="2021-07-10T16:20:00"/>
    <d v="1899-12-30T01:40:00"/>
    <n v="179.99999999790452"/>
    <s v="UNPLANNED"/>
    <x v="0"/>
    <d v="1899-12-30T14:40:00"/>
    <x v="1"/>
  </r>
  <r>
    <n v="204"/>
    <x v="0"/>
    <n v="5115271258800"/>
    <x v="56"/>
    <d v="2021-07-10T18:20:00"/>
    <d v="1899-12-30T03:40:00"/>
    <n v="81.818181816450021"/>
    <s v="UNPLANNED"/>
    <x v="0"/>
    <d v="1899-12-30T14:40:00"/>
    <x v="1"/>
  </r>
  <r>
    <n v="205"/>
    <x v="11"/>
    <n v="10115271962701"/>
    <x v="57"/>
    <d v="2021-07-10T18:50:00"/>
    <d v="1899-12-30T01:50:00"/>
    <n v="163.63636364848622"/>
    <s v="UNPLANNED"/>
    <x v="3"/>
    <d v="1899-12-30T17:00:00"/>
    <x v="1"/>
  </r>
  <r>
    <n v="206"/>
    <x v="1"/>
    <n v="6115271737702"/>
    <x v="57"/>
    <d v="2021-07-10T18:50:00"/>
    <d v="1899-12-30T01:50:00"/>
    <n v="163.63636364848622"/>
    <s v="UNPLANNED"/>
    <x v="1"/>
    <d v="1899-12-30T17:00:00"/>
    <x v="1"/>
  </r>
  <r>
    <n v="207"/>
    <x v="1"/>
    <n v="6115271690610"/>
    <x v="58"/>
    <d v="2021-07-10T21:30:00"/>
    <d v="1899-12-30T02:15:00"/>
    <n v="133.33333333333331"/>
    <s v="UNPLANNED"/>
    <x v="0"/>
    <d v="1899-12-30T19:15:00"/>
    <x v="1"/>
  </r>
  <r>
    <n v="208"/>
    <x v="8"/>
    <n v="4115270874800"/>
    <x v="58"/>
    <d v="2021-07-10T21:30:00"/>
    <d v="1899-12-30T02:15:00"/>
    <n v="133.33333333333331"/>
    <s v="UNPLANNED"/>
    <x v="2"/>
    <d v="1899-12-30T19:15:00"/>
    <x v="1"/>
  </r>
  <r>
    <n v="209"/>
    <x v="9"/>
    <n v="2115270302701"/>
    <x v="58"/>
    <d v="2021-07-10T21:30:00"/>
    <d v="1899-12-30T02:15:00"/>
    <n v="133.33333333333331"/>
    <s v="UNPLANNED"/>
    <x v="0"/>
    <d v="1899-12-30T19:15:00"/>
    <x v="1"/>
  </r>
  <r>
    <n v="210"/>
    <x v="6"/>
    <n v="9115271944500"/>
    <x v="59"/>
    <d v="2021-07-10T23:30:00"/>
    <d v="1899-12-30T00:45:00"/>
    <n v="400"/>
    <s v="UNPLANNED"/>
    <x v="0"/>
    <d v="1899-12-30T22:45:00"/>
    <x v="2"/>
  </r>
  <r>
    <n v="211"/>
    <x v="10"/>
    <n v="11115271555700"/>
    <x v="60"/>
    <d v="2021-07-11T03:45:00"/>
    <d v="1899-12-30T02:45:00"/>
    <n v="109.09090908860001"/>
    <s v="UNPLANNED"/>
    <x v="0"/>
    <d v="1899-12-30T01:00:00"/>
    <x v="2"/>
  </r>
  <r>
    <n v="212"/>
    <x v="1"/>
    <n v="6115271698600"/>
    <x v="60"/>
    <d v="2021-07-11T03:45:00"/>
    <d v="1899-12-30T02:45:00"/>
    <n v="109.09090908860001"/>
    <s v="UNPLANNED"/>
    <x v="3"/>
    <d v="1899-12-30T01:00:00"/>
    <x v="2"/>
  </r>
  <r>
    <n v="213"/>
    <x v="5"/>
    <n v="13115271644409"/>
    <x v="61"/>
    <d v="2021-07-11T11:50:00"/>
    <d v="1899-12-30T02:35:00"/>
    <n v="116.1290322563201"/>
    <s v="UNPLANNED"/>
    <x v="0"/>
    <d v="1899-12-30T09:15:00"/>
    <x v="0"/>
  </r>
  <r>
    <n v="214"/>
    <x v="10"/>
    <n v="11115271559501"/>
    <x v="61"/>
    <d v="2021-07-11T11:50:00"/>
    <d v="1899-12-30T02:35:00"/>
    <n v="116.1290322563201"/>
    <s v="UNPLANNED"/>
    <x v="0"/>
    <d v="1899-12-30T09:15:00"/>
    <x v="0"/>
  </r>
  <r>
    <n v="215"/>
    <x v="0"/>
    <n v="5115271678309"/>
    <x v="61"/>
    <d v="2021-07-11T11:50:00"/>
    <d v="1899-12-30T02:35:00"/>
    <n v="116.1290322563201"/>
    <s v="UNPLANNED"/>
    <x v="1"/>
    <d v="1899-12-30T09:15:00"/>
    <x v="0"/>
  </r>
  <r>
    <n v="216"/>
    <x v="8"/>
    <n v="4115270875302"/>
    <x v="61"/>
    <d v="2021-07-11T11:50:00"/>
    <d v="1899-12-30T02:35:00"/>
    <n v="116.1290322563201"/>
    <s v="UNPLANNED"/>
    <x v="4"/>
    <d v="1899-12-30T09:15:00"/>
    <x v="0"/>
  </r>
  <r>
    <n v="217"/>
    <x v="12"/>
    <n v="14115271709800"/>
    <x v="62"/>
    <d v="2021-07-11T13:50:00"/>
    <d v="1899-12-30T01:25:00"/>
    <n v="211.7647058707517"/>
    <s v="UNPLANNED"/>
    <x v="0"/>
    <d v="1899-12-30T12:25:00"/>
    <x v="0"/>
  </r>
  <r>
    <n v="218"/>
    <x v="12"/>
    <n v="14115271673113"/>
    <x v="62"/>
    <d v="2021-07-11T13:50:00"/>
    <d v="1899-12-30T01:25:00"/>
    <n v="211.7647058707517"/>
    <s v="UNPLANNED"/>
    <x v="0"/>
    <d v="1899-12-30T12:25:00"/>
    <x v="0"/>
  </r>
  <r>
    <n v="219"/>
    <x v="11"/>
    <n v="10115270963400"/>
    <x v="62"/>
    <d v="2021-07-11T13:50:00"/>
    <d v="1899-12-30T01:25:00"/>
    <n v="211.7647058707517"/>
    <s v="UNPLANNED"/>
    <x v="0"/>
    <d v="1899-12-30T12:25:00"/>
    <x v="0"/>
  </r>
  <r>
    <n v="220"/>
    <x v="2"/>
    <n v="12115271566225"/>
    <x v="63"/>
    <d v="2021-07-11T18:00:00"/>
    <d v="1899-12-30T03:35:00"/>
    <n v="83.720930233011458"/>
    <s v="UNPLANNED"/>
    <x v="0"/>
    <d v="1899-12-30T14:25:00"/>
    <x v="1"/>
  </r>
  <r>
    <n v="221"/>
    <x v="10"/>
    <n v="11115271481900"/>
    <x v="63"/>
    <d v="2021-07-11T18:00:00"/>
    <d v="1899-12-30T03:35:00"/>
    <n v="83.720930233011458"/>
    <s v="UNPLANNED"/>
    <x v="0"/>
    <d v="1899-12-30T14:25:00"/>
    <x v="1"/>
  </r>
  <r>
    <n v="222"/>
    <x v="1"/>
    <n v="6115271696300"/>
    <x v="63"/>
    <d v="2021-07-11T18:00:00"/>
    <d v="1899-12-30T03:35:00"/>
    <n v="83.720930233011458"/>
    <s v="UNPLANNED"/>
    <x v="1"/>
    <d v="1899-12-30T14:25:00"/>
    <x v="1"/>
  </r>
  <r>
    <n v="223"/>
    <x v="13"/>
    <n v="3115270392400"/>
    <x v="63"/>
    <d v="2021-07-11T18:00:00"/>
    <d v="1899-12-30T03:35:00"/>
    <n v="83.720930233011458"/>
    <s v="UNPLANNED"/>
    <x v="0"/>
    <d v="1899-12-30T14:25:00"/>
    <x v="1"/>
  </r>
  <r>
    <n v="224"/>
    <x v="12"/>
    <n v="14115271675406"/>
    <x v="64"/>
    <d v="2021-07-11T21:50:00"/>
    <d v="1899-12-30T03:15:00"/>
    <n v="92.307692309345541"/>
    <s v="UNPLANNED"/>
    <x v="1"/>
    <d v="1899-12-30T18:35:00"/>
    <x v="1"/>
  </r>
  <r>
    <n v="225"/>
    <x v="12"/>
    <n v="14115271673101"/>
    <x v="64"/>
    <d v="2021-07-11T21:50:00"/>
    <d v="1899-12-30T03:15:00"/>
    <n v="92.307692309345541"/>
    <s v="UNPLANNED"/>
    <x v="0"/>
    <d v="1899-12-30T18:35:00"/>
    <x v="1"/>
  </r>
  <r>
    <n v="226"/>
    <x v="10"/>
    <n v="11115271463804"/>
    <x v="64"/>
    <d v="2021-07-11T21:50:00"/>
    <d v="1899-12-30T03:15:00"/>
    <n v="92.307692309345541"/>
    <s v="UNPLANNED"/>
    <x v="0"/>
    <d v="1899-12-30T18:35:00"/>
    <x v="1"/>
  </r>
  <r>
    <n v="227"/>
    <x v="13"/>
    <n v="3115270341200"/>
    <x v="64"/>
    <d v="2021-07-11T21:50:00"/>
    <d v="1899-12-30T03:15:00"/>
    <n v="92.307692309345541"/>
    <s v="UNPLANNED"/>
    <x v="0"/>
    <d v="1899-12-30T18:35:00"/>
    <x v="1"/>
  </r>
  <r>
    <n v="228"/>
    <x v="9"/>
    <n v="2115270286702"/>
    <x v="65"/>
    <d v="2021-07-11T23:45:00"/>
    <d v="1899-12-30T01:30:00"/>
    <n v="200"/>
    <s v="UNPLANNED"/>
    <x v="0"/>
    <d v="1899-12-30T22:15:00"/>
    <x v="2"/>
  </r>
  <r>
    <n v="229"/>
    <x v="8"/>
    <n v="4115270830211"/>
    <x v="66"/>
    <d v="2021-07-12T03:30:00"/>
    <d v="1899-12-30T03:20:00"/>
    <n v="89.999999998952262"/>
    <s v="UNPLANNED"/>
    <x v="0"/>
    <d v="1899-12-30T00:10:00"/>
    <x v="2"/>
  </r>
  <r>
    <n v="230"/>
    <x v="8"/>
    <n v="4115270829402"/>
    <x v="66"/>
    <d v="2021-07-12T03:30:00"/>
    <d v="1899-12-30T03:20:00"/>
    <n v="89.999999998952262"/>
    <s v="UNPLANNED"/>
    <x v="0"/>
    <d v="1899-12-30T00:10:00"/>
    <x v="2"/>
  </r>
  <r>
    <n v="231"/>
    <x v="7"/>
    <n v="7115271804520"/>
    <x v="67"/>
    <d v="2021-07-12T11:50:00"/>
    <d v="1899-12-30T04:35:00"/>
    <n v="65.4545454556538"/>
    <s v="UNPLANNED"/>
    <x v="1"/>
    <d v="1899-12-30T07:15:00"/>
    <x v="0"/>
  </r>
  <r>
    <n v="232"/>
    <x v="0"/>
    <n v="5115271270007"/>
    <x v="67"/>
    <d v="2021-07-12T11:50:00"/>
    <d v="1899-12-30T04:35:00"/>
    <n v="65.4545454556538"/>
    <s v="UNPLANNED"/>
    <x v="1"/>
    <d v="1899-12-30T07:15:00"/>
    <x v="0"/>
  </r>
  <r>
    <n v="233"/>
    <x v="13"/>
    <n v="3115270350702"/>
    <x v="67"/>
    <d v="2021-07-12T11:50:00"/>
    <d v="1899-12-30T04:35:00"/>
    <n v="65.4545454556538"/>
    <s v="UNPLANNED"/>
    <x v="0"/>
    <d v="1899-12-30T07:15:00"/>
    <x v="0"/>
  </r>
  <r>
    <n v="234"/>
    <x v="13"/>
    <n v="3115270343400"/>
    <x v="67"/>
    <d v="2021-07-12T11:50:00"/>
    <d v="1899-12-30T04:35:00"/>
    <n v="65.4545454556538"/>
    <s v="UNPLANNED"/>
    <x v="1"/>
    <d v="1899-12-30T07:15:00"/>
    <x v="0"/>
  </r>
  <r>
    <n v="235"/>
    <x v="9"/>
    <n v="2115270155100"/>
    <x v="67"/>
    <d v="2021-07-12T11:50:00"/>
    <d v="1899-12-30T04:35:00"/>
    <n v="65.4545454556538"/>
    <s v="UNPLANNED"/>
    <x v="0"/>
    <d v="1899-12-30T07:15:00"/>
    <x v="0"/>
  </r>
  <r>
    <n v="236"/>
    <x v="12"/>
    <n v="14115271721604"/>
    <x v="68"/>
    <d v="2021-07-12T14:00:00"/>
    <d v="1899-12-30T02:00:00"/>
    <n v="149.99999999563443"/>
    <s v="UNPLANNED"/>
    <x v="1"/>
    <d v="1899-12-30T12:00:00"/>
    <x v="0"/>
  </r>
  <r>
    <n v="237"/>
    <x v="12"/>
    <n v="14115271721601"/>
    <x v="68"/>
    <d v="2021-07-12T14:00:00"/>
    <d v="1899-12-30T02:00:00"/>
    <n v="149.99999999563443"/>
    <s v="UNPLANNED"/>
    <x v="0"/>
    <d v="1899-12-30T12:00:00"/>
    <x v="0"/>
  </r>
  <r>
    <n v="238"/>
    <x v="5"/>
    <n v="13115271591703"/>
    <x v="68"/>
    <d v="2021-07-12T14:00:00"/>
    <d v="1899-12-30T02:00:00"/>
    <n v="149.99999999563443"/>
    <s v="UNPLANNED"/>
    <x v="0"/>
    <d v="1899-12-30T12:00:00"/>
    <x v="0"/>
  </r>
  <r>
    <n v="239"/>
    <x v="5"/>
    <n v="13115271591701"/>
    <x v="68"/>
    <d v="2021-07-12T14:00:00"/>
    <d v="1899-12-30T02:00:00"/>
    <n v="149.99999999563443"/>
    <s v="UNPLANNED"/>
    <x v="0"/>
    <d v="1899-12-30T12:00:00"/>
    <x v="0"/>
  </r>
  <r>
    <n v="240"/>
    <x v="10"/>
    <n v="11115271484302"/>
    <x v="68"/>
    <d v="2021-07-12T14:00:00"/>
    <d v="1899-12-30T02:00:00"/>
    <n v="149.99999999563443"/>
    <s v="UNPLANNED"/>
    <x v="0"/>
    <d v="1899-12-30T12:00:00"/>
    <x v="0"/>
  </r>
  <r>
    <n v="241"/>
    <x v="10"/>
    <n v="11115271484301"/>
    <x v="68"/>
    <d v="2021-07-12T14:00:00"/>
    <d v="1899-12-30T02:00:00"/>
    <n v="149.99999999563443"/>
    <s v="UNPLANNED"/>
    <x v="1"/>
    <d v="1899-12-30T12:00:00"/>
    <x v="0"/>
  </r>
  <r>
    <n v="242"/>
    <x v="4"/>
    <n v="15115271744801"/>
    <x v="69"/>
    <d v="2021-07-12T18:00:00"/>
    <d v="1899-12-30T03:30:00"/>
    <n v="85.714285712860217"/>
    <s v="UNPLANNED"/>
    <x v="0"/>
    <d v="1899-12-30T14:30:00"/>
    <x v="1"/>
  </r>
  <r>
    <n v="243"/>
    <x v="4"/>
    <n v="15115271744800"/>
    <x v="69"/>
    <d v="2021-07-12T18:00:00"/>
    <d v="1899-12-30T03:30:00"/>
    <n v="85.714285712860217"/>
    <s v="UNPLANNED"/>
    <x v="0"/>
    <d v="1899-12-30T14:30:00"/>
    <x v="1"/>
  </r>
  <r>
    <n v="244"/>
    <x v="5"/>
    <n v="13115271651703"/>
    <x v="69"/>
    <d v="2021-07-12T18:00:00"/>
    <d v="1899-12-30T03:30:00"/>
    <n v="85.714285712860217"/>
    <s v="UNPLANNED"/>
    <x v="2"/>
    <d v="1899-12-30T14:30:00"/>
    <x v="1"/>
  </r>
  <r>
    <n v="245"/>
    <x v="5"/>
    <n v="13115271651702"/>
    <x v="69"/>
    <d v="2021-07-12T18:00:00"/>
    <d v="1899-12-30T03:30:00"/>
    <n v="85.714285712860217"/>
    <s v="UNPLANNED"/>
    <x v="1"/>
    <d v="1899-12-30T14:30:00"/>
    <x v="1"/>
  </r>
  <r>
    <n v="246"/>
    <x v="2"/>
    <n v="12115271560184"/>
    <x v="69"/>
    <d v="2021-07-12T18:00:00"/>
    <d v="1899-12-30T03:30:00"/>
    <n v="85.714285712860217"/>
    <s v="UNPLANNED"/>
    <x v="2"/>
    <d v="1899-12-30T14:30:00"/>
    <x v="1"/>
  </r>
  <r>
    <n v="247"/>
    <x v="2"/>
    <n v="12115271560183"/>
    <x v="69"/>
    <d v="2021-07-12T18:00:00"/>
    <d v="1899-12-30T03:30:00"/>
    <n v="85.714285712860217"/>
    <s v="UNPLANNED"/>
    <x v="0"/>
    <d v="1899-12-30T14:30:00"/>
    <x v="1"/>
  </r>
  <r>
    <n v="248"/>
    <x v="7"/>
    <n v="7115271804616"/>
    <x v="69"/>
    <d v="2021-07-12T18:00:00"/>
    <d v="1899-12-30T03:30:00"/>
    <n v="85.714285712860217"/>
    <s v="UNPLANNED"/>
    <x v="0"/>
    <d v="1899-12-30T14:30:00"/>
    <x v="1"/>
  </r>
  <r>
    <n v="249"/>
    <x v="7"/>
    <n v="7115271804613"/>
    <x v="69"/>
    <d v="2021-07-12T18:00:00"/>
    <d v="1899-12-30T03:30:00"/>
    <n v="85.714285712860217"/>
    <s v="UNPLANNED"/>
    <x v="0"/>
    <d v="1899-12-30T14:30:00"/>
    <x v="1"/>
  </r>
  <r>
    <n v="250"/>
    <x v="1"/>
    <n v="6115271720705"/>
    <x v="69"/>
    <d v="2021-07-12T18:00:00"/>
    <d v="1899-12-30T03:30:00"/>
    <n v="85.714285712860217"/>
    <s v="UNPLANNED"/>
    <x v="0"/>
    <d v="1899-12-30T14:30:00"/>
    <x v="1"/>
  </r>
  <r>
    <n v="251"/>
    <x v="1"/>
    <n v="6115271720704"/>
    <x v="69"/>
    <d v="2021-07-12T18:00:00"/>
    <d v="1899-12-30T03:30:00"/>
    <n v="85.714285712860217"/>
    <s v="UNPLANNED"/>
    <x v="0"/>
    <d v="1899-12-30T14:30:00"/>
    <x v="1"/>
  </r>
  <r>
    <n v="252"/>
    <x v="8"/>
    <n v="4115270825901"/>
    <x v="69"/>
    <d v="2021-07-12T18:00:00"/>
    <d v="1899-12-30T03:30:00"/>
    <n v="85.714285712860217"/>
    <s v="UNPLANNED"/>
    <x v="1"/>
    <d v="1899-12-30T14:30:00"/>
    <x v="1"/>
  </r>
  <r>
    <n v="253"/>
    <x v="8"/>
    <n v="4115270825900"/>
    <x v="69"/>
    <d v="2021-07-12T18:00:00"/>
    <d v="1899-12-30T03:30:00"/>
    <n v="85.714285712860217"/>
    <s v="UNPLANNED"/>
    <x v="0"/>
    <d v="1899-12-30T14:30:00"/>
    <x v="1"/>
  </r>
  <r>
    <n v="254"/>
    <x v="1"/>
    <n v="6115271738509"/>
    <x v="70"/>
    <d v="2021-07-12T21:50:00"/>
    <d v="1899-12-30T02:20:00"/>
    <n v="128.57142857570506"/>
    <s v="UNPLANNED"/>
    <x v="0"/>
    <d v="1899-12-30T19:30:00"/>
    <x v="1"/>
  </r>
  <r>
    <n v="255"/>
    <x v="0"/>
    <n v="5115271685050"/>
    <x v="70"/>
    <d v="2021-07-12T21:50:00"/>
    <d v="1899-12-30T02:20:00"/>
    <n v="128.57142857570506"/>
    <s v="UNPLANNED"/>
    <x v="0"/>
    <d v="1899-12-30T19:30:00"/>
    <x v="1"/>
  </r>
  <r>
    <n v="256"/>
    <x v="13"/>
    <n v="3115270824800"/>
    <x v="70"/>
    <d v="2021-07-12T21:50:00"/>
    <d v="1899-12-30T02:20:00"/>
    <n v="128.57142857570506"/>
    <s v="UNPLANNED"/>
    <x v="1"/>
    <d v="1899-12-30T19:30:00"/>
    <x v="1"/>
  </r>
  <r>
    <n v="257"/>
    <x v="13"/>
    <n v="3115270824800"/>
    <x v="70"/>
    <d v="2021-07-12T21:50:00"/>
    <d v="1899-12-30T02:20:00"/>
    <n v="128.57142857570506"/>
    <s v="UNPLANNED"/>
    <x v="0"/>
    <d v="1899-12-30T19:30:00"/>
    <x v="1"/>
  </r>
  <r>
    <n v="258"/>
    <x v="0"/>
    <n v="5115271685050"/>
    <x v="71"/>
    <d v="2021-07-13T02:00:00"/>
    <d v="1899-12-30T02:30:00"/>
    <n v="119.99999999441206"/>
    <s v="UNPLANNED"/>
    <x v="0"/>
    <d v="1899-12-30T23:30:00"/>
    <x v="2"/>
  </r>
  <r>
    <n v="259"/>
    <x v="13"/>
    <n v="3115270429100"/>
    <x v="71"/>
    <d v="2021-07-13T02:00:00"/>
    <d v="1899-12-30T02:30:00"/>
    <n v="119.99999999441206"/>
    <s v="UNPLANNED"/>
    <x v="0"/>
    <d v="1899-12-30T23:30:00"/>
    <x v="2"/>
  </r>
  <r>
    <n v="260"/>
    <x v="4"/>
    <n v="15115271757000"/>
    <x v="72"/>
    <d v="2021-07-13T11:30:00"/>
    <d v="1899-12-30T02:30:00"/>
    <n v="120.00000000279397"/>
    <s v="UNPLANNED"/>
    <x v="1"/>
    <d v="1899-12-30T09:00:00"/>
    <x v="0"/>
  </r>
  <r>
    <n v="261"/>
    <x v="5"/>
    <n v="13115271592000"/>
    <x v="72"/>
    <d v="2021-07-13T11:30:00"/>
    <d v="1899-12-30T02:30:00"/>
    <n v="120.00000000279397"/>
    <s v="UNPLANNED"/>
    <x v="1"/>
    <d v="1899-12-30T09:00:00"/>
    <x v="0"/>
  </r>
  <r>
    <n v="262"/>
    <x v="11"/>
    <n v="10115270963400"/>
    <x v="72"/>
    <d v="2021-07-13T11:30:00"/>
    <d v="1899-12-30T02:30:00"/>
    <n v="120.00000000279397"/>
    <s v="UNPLANNED"/>
    <x v="0"/>
    <d v="1899-12-30T09:00:00"/>
    <x v="0"/>
  </r>
  <r>
    <n v="263"/>
    <x v="1"/>
    <n v="6115271723031"/>
    <x v="72"/>
    <d v="2021-07-13T11:30:00"/>
    <d v="1899-12-30T02:30:00"/>
    <n v="120.00000000279397"/>
    <s v="UNPLANNED"/>
    <x v="0"/>
    <d v="1899-12-30T09:00:00"/>
    <x v="0"/>
  </r>
  <r>
    <n v="264"/>
    <x v="6"/>
    <n v="9115271934700"/>
    <x v="73"/>
    <d v="2021-07-13T13:40:00"/>
    <d v="1899-12-30T01:40:00"/>
    <n v="179.99999999790452"/>
    <s v="UNPLANNED"/>
    <x v="1"/>
    <d v="1899-12-30T12:00:00"/>
    <x v="0"/>
  </r>
  <r>
    <n v="265"/>
    <x v="7"/>
    <n v="7115271760305"/>
    <x v="73"/>
    <d v="2021-07-13T13:40:00"/>
    <d v="1899-12-30T01:40:00"/>
    <n v="179.99999999790452"/>
    <s v="UNPLANNED"/>
    <x v="0"/>
    <d v="1899-12-30T12:00:00"/>
    <x v="0"/>
  </r>
  <r>
    <n v="266"/>
    <x v="1"/>
    <n v="6115271705400"/>
    <x v="73"/>
    <d v="2021-07-13T13:40:00"/>
    <d v="1899-12-30T01:40:00"/>
    <n v="179.99999999790452"/>
    <s v="UNPLANNED"/>
    <x v="0"/>
    <d v="1899-12-30T12:00:00"/>
    <x v="0"/>
  </r>
  <r>
    <n v="267"/>
    <x v="15"/>
    <n v="17115271672701"/>
    <x v="74"/>
    <d v="2021-07-13T17:35:00"/>
    <d v="1899-12-30T03:05:00"/>
    <n v="97.297297294235975"/>
    <s v="UNPLANNED"/>
    <x v="0"/>
    <d v="1899-12-30T14:30:00"/>
    <x v="1"/>
  </r>
  <r>
    <n v="268"/>
    <x v="15"/>
    <n v="17115271672700"/>
    <x v="74"/>
    <d v="2021-07-13T17:35:00"/>
    <d v="1899-12-30T03:05:00"/>
    <n v="97.297297294235975"/>
    <s v="UNPLANNED"/>
    <x v="0"/>
    <d v="1899-12-30T14:30:00"/>
    <x v="1"/>
  </r>
  <r>
    <n v="269"/>
    <x v="15"/>
    <n v="17115271672700"/>
    <x v="74"/>
    <d v="2021-07-13T17:35:00"/>
    <d v="1899-12-30T03:05:00"/>
    <n v="97.297297294235975"/>
    <s v="UNPLANNED"/>
    <x v="0"/>
    <d v="1899-12-30T14:30:00"/>
    <x v="1"/>
  </r>
  <r>
    <n v="270"/>
    <x v="5"/>
    <n v="13115271601527"/>
    <x v="74"/>
    <d v="2021-07-13T17:35:00"/>
    <d v="1899-12-30T03:05:00"/>
    <n v="97.297297294235975"/>
    <s v="UNPLANNED"/>
    <x v="2"/>
    <d v="1899-12-30T14:30:00"/>
    <x v="1"/>
  </r>
  <r>
    <n v="271"/>
    <x v="5"/>
    <n v="13115271601526"/>
    <x v="74"/>
    <d v="2021-07-13T17:35:00"/>
    <d v="1899-12-30T03:05:00"/>
    <n v="97.297297294235975"/>
    <s v="UNPLANNED"/>
    <x v="1"/>
    <d v="1899-12-30T14:30:00"/>
    <x v="1"/>
  </r>
  <r>
    <n v="272"/>
    <x v="10"/>
    <n v="11115271544405"/>
    <x v="74"/>
    <d v="2021-07-13T17:35:00"/>
    <d v="1899-12-30T03:05:00"/>
    <n v="97.297297294235975"/>
    <s v="UNPLANNED"/>
    <x v="0"/>
    <d v="1899-12-30T14:30:00"/>
    <x v="1"/>
  </r>
  <r>
    <n v="273"/>
    <x v="10"/>
    <n v="11115271544404"/>
    <x v="74"/>
    <d v="2021-07-13T17:35:00"/>
    <d v="1899-12-30T03:05:00"/>
    <n v="97.297297294235975"/>
    <s v="UNPLANNED"/>
    <x v="0"/>
    <d v="1899-12-30T14:30:00"/>
    <x v="1"/>
  </r>
  <r>
    <n v="274"/>
    <x v="1"/>
    <n v="6115271690405"/>
    <x v="74"/>
    <d v="2021-07-13T17:35:00"/>
    <d v="1899-12-30T03:05:00"/>
    <n v="97.297297294235975"/>
    <s v="UNPLANNED"/>
    <x v="0"/>
    <d v="1899-12-30T14:30:00"/>
    <x v="1"/>
  </r>
  <r>
    <n v="275"/>
    <x v="8"/>
    <n v="4115271058201"/>
    <x v="74"/>
    <d v="2021-07-13T17:35:00"/>
    <d v="1899-12-30T03:05:00"/>
    <n v="97.297297294235975"/>
    <s v="UNPLANNED"/>
    <x v="0"/>
    <d v="1899-12-30T14:30:00"/>
    <x v="1"/>
  </r>
  <r>
    <n v="276"/>
    <x v="2"/>
    <n v="12115271571048"/>
    <x v="75"/>
    <d v="2021-07-13T21:50:00"/>
    <d v="1899-12-30T03:50:00"/>
    <n v="78.260869566801873"/>
    <s v="UNPLANNED"/>
    <x v="3"/>
    <d v="1899-12-30T18:00:00"/>
    <x v="1"/>
  </r>
  <r>
    <n v="277"/>
    <x v="2"/>
    <n v="12115271571047"/>
    <x v="75"/>
    <d v="2021-07-13T21:50:00"/>
    <d v="1899-12-30T03:50:00"/>
    <n v="78.260869566801873"/>
    <s v="UNPLANNED"/>
    <x v="1"/>
    <d v="1899-12-30T18:00:00"/>
    <x v="1"/>
  </r>
  <r>
    <n v="278"/>
    <x v="3"/>
    <n v="8115271839801"/>
    <x v="75"/>
    <d v="2021-07-13T21:50:00"/>
    <d v="1899-12-30T03:50:00"/>
    <n v="78.260869566801873"/>
    <s v="UNPLANNED"/>
    <x v="0"/>
    <d v="1899-12-30T18:00:00"/>
    <x v="1"/>
  </r>
  <r>
    <n v="279"/>
    <x v="3"/>
    <n v="8115271839800"/>
    <x v="75"/>
    <d v="2021-07-13T21:50:00"/>
    <d v="1899-12-30T03:50:00"/>
    <n v="78.260869566801873"/>
    <s v="UNPLANNED"/>
    <x v="0"/>
    <d v="1899-12-30T18:00:00"/>
    <x v="1"/>
  </r>
  <r>
    <n v="280"/>
    <x v="1"/>
    <n v="6115271723201"/>
    <x v="75"/>
    <d v="2021-07-13T21:50:00"/>
    <d v="1899-12-30T03:50:00"/>
    <n v="78.260869566801873"/>
    <s v="UNPLANNED"/>
    <x v="0"/>
    <d v="1899-12-30T18:00:00"/>
    <x v="1"/>
  </r>
  <r>
    <n v="281"/>
    <x v="1"/>
    <n v="6115271723200"/>
    <x v="75"/>
    <d v="2021-07-13T21:50:00"/>
    <d v="1899-12-30T03:50:00"/>
    <n v="78.260869566801873"/>
    <s v="UNPLANNED"/>
    <x v="0"/>
    <d v="1899-12-30T18:00:00"/>
    <x v="1"/>
  </r>
  <r>
    <n v="282"/>
    <x v="9"/>
    <n v="2115270184101"/>
    <x v="75"/>
    <d v="2021-07-13T21:50:00"/>
    <d v="1899-12-30T03:50:00"/>
    <n v="78.260869566801873"/>
    <s v="UNPLANNED"/>
    <x v="1"/>
    <d v="1899-12-30T18:00:00"/>
    <x v="1"/>
  </r>
  <r>
    <n v="283"/>
    <x v="9"/>
    <n v="2115270184100"/>
    <x v="75"/>
    <d v="2021-07-13T21:50:00"/>
    <d v="1899-12-30T03:50:00"/>
    <n v="78.260869566801873"/>
    <s v="UNPLANNED"/>
    <x v="0"/>
    <d v="1899-12-30T18:00:00"/>
    <x v="1"/>
  </r>
  <r>
    <n v="284"/>
    <x v="9"/>
    <n v="2115270154201"/>
    <x v="75"/>
    <d v="2021-07-13T21:50:00"/>
    <d v="1899-12-30T03:50:00"/>
    <n v="78.260869566801873"/>
    <s v="UNPLANNED"/>
    <x v="1"/>
    <d v="1899-12-30T18:00:00"/>
    <x v="1"/>
  </r>
  <r>
    <n v="285"/>
    <x v="9"/>
    <n v="2115270154200"/>
    <x v="75"/>
    <d v="2021-07-13T21:50:00"/>
    <d v="1899-12-30T03:50:00"/>
    <n v="78.260869566801873"/>
    <s v="UNPLANNED"/>
    <x v="0"/>
    <d v="1899-12-30T18:00:00"/>
    <x v="1"/>
  </r>
  <r>
    <n v="286"/>
    <x v="11"/>
    <n v="10115271431101"/>
    <x v="76"/>
    <d v="2021-07-13T23:50:00"/>
    <d v="1899-12-30T01:30:00"/>
    <n v="200"/>
    <s v="UNPLANNED"/>
    <x v="0"/>
    <d v="1899-12-30T22:20:00"/>
    <x v="2"/>
  </r>
  <r>
    <n v="287"/>
    <x v="11"/>
    <n v="10115271431100"/>
    <x v="76"/>
    <d v="2021-07-13T23:50:00"/>
    <d v="1899-12-30T01:30:00"/>
    <n v="200"/>
    <s v="UNPLANNED"/>
    <x v="0"/>
    <d v="1899-12-30T22:20:00"/>
    <x v="2"/>
  </r>
  <r>
    <n v="288"/>
    <x v="11"/>
    <n v="10115270953301"/>
    <x v="76"/>
    <d v="2021-07-13T23:50:00"/>
    <d v="1899-12-30T01:30:00"/>
    <n v="200"/>
    <s v="UNPLANNED"/>
    <x v="0"/>
    <d v="1899-12-30T22:20:00"/>
    <x v="2"/>
  </r>
  <r>
    <n v="289"/>
    <x v="11"/>
    <n v="10115270953300"/>
    <x v="76"/>
    <d v="2021-07-13T23:50:00"/>
    <d v="1899-12-30T01:30:00"/>
    <n v="200"/>
    <s v="UNPLANNED"/>
    <x v="0"/>
    <d v="1899-12-30T22:20:00"/>
    <x v="2"/>
  </r>
  <r>
    <n v="290"/>
    <x v="12"/>
    <n v="14115271673112"/>
    <x v="77"/>
    <d v="2021-07-14T03:30:00"/>
    <d v="1899-12-30T03:15:00"/>
    <n v="92.307692304385839"/>
    <s v="UNPLANNED"/>
    <x v="0"/>
    <d v="1899-12-30T00:15:00"/>
    <x v="2"/>
  </r>
  <r>
    <n v="291"/>
    <x v="5"/>
    <n v="13115271591400"/>
    <x v="77"/>
    <d v="2021-07-14T03:30:00"/>
    <d v="1899-12-30T03:15:00"/>
    <n v="92.307692304385839"/>
    <s v="UNPLANNED"/>
    <x v="1"/>
    <d v="1899-12-30T00:15:00"/>
    <x v="2"/>
  </r>
  <r>
    <n v="292"/>
    <x v="4"/>
    <n v="15115271781406"/>
    <x v="78"/>
    <d v="2021-07-14T12:30:00"/>
    <d v="1899-12-30T05:30:00"/>
    <n v="54.545454544300007"/>
    <s v="UNPLANNED"/>
    <x v="0"/>
    <d v="1899-12-30T07:00:00"/>
    <x v="0"/>
  </r>
  <r>
    <n v="293"/>
    <x v="5"/>
    <n v="13115271591700"/>
    <x v="78"/>
    <d v="2021-07-14T12:30:00"/>
    <d v="1899-12-30T05:30:00"/>
    <n v="54.545454544300007"/>
    <s v="UNPLANNED"/>
    <x v="0"/>
    <d v="1899-12-30T07:00:00"/>
    <x v="0"/>
  </r>
  <r>
    <n v="294"/>
    <x v="2"/>
    <n v="12115271560136"/>
    <x v="78"/>
    <d v="2021-07-14T12:30:00"/>
    <d v="1899-12-30T05:30:00"/>
    <n v="54.545454544300007"/>
    <s v="UNPLANNED"/>
    <x v="0"/>
    <d v="1899-12-30T07:00:00"/>
    <x v="0"/>
  </r>
  <r>
    <n v="295"/>
    <x v="11"/>
    <n v="10115270954200"/>
    <x v="78"/>
    <d v="2021-07-14T12:30:00"/>
    <d v="1899-12-30T05:30:00"/>
    <n v="54.545454544300007"/>
    <s v="UNPLANNED"/>
    <x v="0"/>
    <d v="1899-12-30T07:00:00"/>
    <x v="0"/>
  </r>
  <r>
    <n v="296"/>
    <x v="1"/>
    <n v="6115271740817"/>
    <x v="78"/>
    <d v="2021-07-14T12:30:00"/>
    <d v="1899-12-30T05:30:00"/>
    <n v="54.545454544300007"/>
    <s v="UNPLANNED"/>
    <x v="0"/>
    <d v="1899-12-30T07:00:00"/>
    <x v="0"/>
  </r>
  <r>
    <n v="297"/>
    <x v="0"/>
    <n v="5115271285402"/>
    <x v="78"/>
    <d v="2021-07-14T12:30:00"/>
    <d v="1899-12-30T05:30:00"/>
    <n v="54.545454544300007"/>
    <s v="UNPLANNED"/>
    <x v="0"/>
    <d v="1899-12-30T07:00:00"/>
    <x v="0"/>
  </r>
  <r>
    <n v="298"/>
    <x v="8"/>
    <n v="4115270868700"/>
    <x v="78"/>
    <d v="2021-07-14T12:30:00"/>
    <d v="1899-12-30T05:30:00"/>
    <n v="54.545454544300007"/>
    <s v="UNPLANNED"/>
    <x v="0"/>
    <d v="1899-12-30T07:00:00"/>
    <x v="0"/>
  </r>
  <r>
    <n v="299"/>
    <x v="1"/>
    <n v="6115271720814"/>
    <x v="79"/>
    <d v="2021-07-14T14:10:00"/>
    <d v="1899-12-30T01:10:00"/>
    <n v="257.14285711292177"/>
    <s v="UNPLANNED"/>
    <x v="0"/>
    <d v="1899-12-30T13:00:00"/>
    <x v="0"/>
  </r>
  <r>
    <n v="300"/>
    <x v="8"/>
    <n v="4115270875801"/>
    <x v="79"/>
    <d v="2021-07-14T14:10:00"/>
    <d v="1899-12-30T01:10:00"/>
    <n v="257.14285711292177"/>
    <s v="UNPLANNED"/>
    <x v="0"/>
    <d v="1899-12-30T13:00:00"/>
    <x v="0"/>
  </r>
  <r>
    <n v="301"/>
    <x v="4"/>
    <n v="15115271795016"/>
    <x v="80"/>
    <d v="2021-07-14T18:30:00"/>
    <d v="1899-12-30T03:30:00"/>
    <n v="85.714285712860217"/>
    <s v="UNPLANNED"/>
    <x v="1"/>
    <d v="1899-12-30T15:00:00"/>
    <x v="1"/>
  </r>
  <r>
    <n v="302"/>
    <x v="12"/>
    <n v="14115271704100"/>
    <x v="80"/>
    <d v="2021-07-14T18:30:00"/>
    <d v="1899-12-30T03:30:00"/>
    <n v="85.714285712860217"/>
    <s v="UNPLANNED"/>
    <x v="0"/>
    <d v="1899-12-30T15:00:00"/>
    <x v="1"/>
  </r>
  <r>
    <n v="303"/>
    <x v="12"/>
    <n v="14115271703000"/>
    <x v="80"/>
    <d v="2021-07-14T18:30:00"/>
    <d v="1899-12-30T03:30:00"/>
    <n v="85.714285712860217"/>
    <s v="UNPLANNED"/>
    <x v="2"/>
    <d v="1899-12-30T15:00:00"/>
    <x v="1"/>
  </r>
  <r>
    <n v="304"/>
    <x v="6"/>
    <n v="9115270641800"/>
    <x v="80"/>
    <d v="2021-07-14T18:30:00"/>
    <d v="1899-12-30T03:30:00"/>
    <n v="85.714285712860217"/>
    <s v="UNPLANNED"/>
    <x v="0"/>
    <d v="1899-12-30T15:00:00"/>
    <x v="1"/>
  </r>
  <r>
    <n v="305"/>
    <x v="2"/>
    <n v="12115271566215"/>
    <x v="81"/>
    <d v="2021-07-14T21:50:00"/>
    <d v="1899-12-30T04:50:00"/>
    <n v="62.068965518985529"/>
    <s v="UNPLANNED"/>
    <x v="0"/>
    <d v="1899-12-30T17:00:00"/>
    <x v="1"/>
  </r>
  <r>
    <n v="306"/>
    <x v="10"/>
    <n v="11115271500800"/>
    <x v="81"/>
    <d v="2021-07-14T21:50:00"/>
    <d v="1899-12-30T04:50:00"/>
    <n v="62.068965518985529"/>
    <s v="UNPLANNED"/>
    <x v="0"/>
    <d v="1899-12-30T17:00:00"/>
    <x v="1"/>
  </r>
  <r>
    <n v="307"/>
    <x v="11"/>
    <n v="10115270971901"/>
    <x v="81"/>
    <d v="2021-07-14T21:50:00"/>
    <d v="1899-12-30T04:50:00"/>
    <n v="62.068965518985529"/>
    <s v="UNPLANNED"/>
    <x v="0"/>
    <d v="1899-12-30T17:00:00"/>
    <x v="1"/>
  </r>
  <r>
    <n v="308"/>
    <x v="1"/>
    <n v="6115271719608"/>
    <x v="82"/>
    <d v="2021-07-14T23:30:00"/>
    <d v="1899-12-30T01:00:00"/>
    <n v="300.0000000174623"/>
    <s v="UNPLANNED"/>
    <x v="1"/>
    <d v="1899-12-30T22:30:00"/>
    <x v="2"/>
  </r>
  <r>
    <n v="309"/>
    <x v="3"/>
    <n v="8115271830601"/>
    <x v="82"/>
    <d v="2021-07-14T23:50:00"/>
    <d v="1899-12-30T01:20:00"/>
    <n v="225.00000000327418"/>
    <s v="UNPLANNED"/>
    <x v="0"/>
    <d v="1899-12-30T22:30:00"/>
    <x v="2"/>
  </r>
  <r>
    <n v="310"/>
    <x v="13"/>
    <n v="3115270373500"/>
    <x v="83"/>
    <d v="2021-07-15T02:45:00"/>
    <d v="1899-12-30T02:30:00"/>
    <n v="119.99999999441206"/>
    <s v="UNPLANNED"/>
    <x v="1"/>
    <d v="1899-12-30T00:15:00"/>
    <x v="2"/>
  </r>
  <r>
    <n v="311"/>
    <x v="14"/>
    <n v="1115270054700"/>
    <x v="83"/>
    <d v="2021-07-15T02:45:00"/>
    <d v="1899-12-30T02:30:00"/>
    <n v="119.99999999441206"/>
    <s v="UNPLANNED"/>
    <x v="0"/>
    <d v="1899-12-30T00:15:00"/>
    <x v="2"/>
  </r>
  <r>
    <n v="312"/>
    <x v="4"/>
    <n v="15115271755600"/>
    <x v="84"/>
    <d v="2021-07-15T12:30:00"/>
    <d v="1899-12-30T04:00:00"/>
    <n v="74.999999997817213"/>
    <s v="UNPLANNED"/>
    <x v="0"/>
    <d v="1899-12-30T08:30:00"/>
    <x v="0"/>
  </r>
  <r>
    <n v="313"/>
    <x v="5"/>
    <n v="13115271591400"/>
    <x v="84"/>
    <d v="2021-07-15T12:30:00"/>
    <d v="1899-12-30T04:00:00"/>
    <n v="74.999999997817213"/>
    <s v="UNPLANNED"/>
    <x v="0"/>
    <d v="1899-12-30T08:30:00"/>
    <x v="0"/>
  </r>
  <r>
    <n v="314"/>
    <x v="11"/>
    <n v="10115271443800"/>
    <x v="84"/>
    <d v="2021-07-15T12:30:00"/>
    <d v="1899-12-30T04:00:00"/>
    <n v="74.999999997817213"/>
    <s v="UNPLANNED"/>
    <x v="2"/>
    <d v="1899-12-30T08:30:00"/>
    <x v="0"/>
  </r>
  <r>
    <n v="315"/>
    <x v="6"/>
    <n v="9115271908012"/>
    <x v="84"/>
    <d v="2021-07-15T12:30:00"/>
    <d v="1899-12-30T04:00:00"/>
    <n v="74.999999997817213"/>
    <s v="UNPLANNED"/>
    <x v="0"/>
    <d v="1899-12-30T08:30:00"/>
    <x v="0"/>
  </r>
  <r>
    <n v="316"/>
    <x v="1"/>
    <n v="6115271740300"/>
    <x v="85"/>
    <d v="2021-07-15T13:50:00"/>
    <d v="1899-12-30T00:35:00"/>
    <n v="514.28571430282022"/>
    <s v="UNPLANNED"/>
    <x v="2"/>
    <d v="1899-12-30T13:15:00"/>
    <x v="0"/>
  </r>
  <r>
    <n v="317"/>
    <x v="12"/>
    <n v="14115271690218"/>
    <x v="86"/>
    <d v="2021-07-15T18:30:00"/>
    <d v="1899-12-30T04:10:00"/>
    <n v="71.999999997653063"/>
    <s v="UNPLANNED"/>
    <x v="0"/>
    <d v="1899-12-30T14:20:00"/>
    <x v="1"/>
  </r>
  <r>
    <n v="318"/>
    <x v="10"/>
    <n v="11115271552105"/>
    <x v="86"/>
    <d v="2021-07-15T18:30:00"/>
    <d v="1899-12-30T04:10:00"/>
    <n v="71.999999997653063"/>
    <s v="UNPLANNED"/>
    <x v="0"/>
    <d v="1899-12-30T14:20:00"/>
    <x v="1"/>
  </r>
  <r>
    <n v="319"/>
    <x v="7"/>
    <n v="7115271774717"/>
    <x v="86"/>
    <d v="2021-07-15T18:30:00"/>
    <d v="1899-12-30T04:10:00"/>
    <n v="71.999999997653063"/>
    <s v="UNPLANNED"/>
    <x v="0"/>
    <d v="1899-12-30T14:20:00"/>
    <x v="1"/>
  </r>
  <r>
    <n v="320"/>
    <x v="0"/>
    <n v="5115271294402"/>
    <x v="86"/>
    <d v="2021-07-15T18:30:00"/>
    <d v="1899-12-30T04:10:00"/>
    <n v="71.999999997653063"/>
    <s v="UNPLANNED"/>
    <x v="0"/>
    <d v="1899-12-30T14:20:00"/>
    <x v="1"/>
  </r>
  <r>
    <n v="321"/>
    <x v="9"/>
    <n v="2115270275200"/>
    <x v="86"/>
    <d v="2021-07-15T18:30:00"/>
    <d v="1899-12-30T04:10:00"/>
    <n v="71.999999997653063"/>
    <s v="UNPLANNED"/>
    <x v="3"/>
    <d v="1899-12-30T14:20:00"/>
    <x v="1"/>
  </r>
  <r>
    <n v="322"/>
    <x v="4"/>
    <n v="15115271781406"/>
    <x v="87"/>
    <d v="2021-07-15T22:00:00"/>
    <d v="1899-12-30T03:00:00"/>
    <n v="100"/>
    <s v="UNPLANNED"/>
    <x v="0"/>
    <d v="1899-12-30T19:00:00"/>
    <x v="1"/>
  </r>
  <r>
    <n v="323"/>
    <x v="2"/>
    <n v="12115271566200"/>
    <x v="87"/>
    <d v="2021-07-15T22:00:00"/>
    <d v="1899-12-30T03:00:00"/>
    <n v="100"/>
    <s v="UNPLANNED"/>
    <x v="1"/>
    <d v="1899-12-30T19:00:00"/>
    <x v="1"/>
  </r>
  <r>
    <n v="324"/>
    <x v="11"/>
    <n v="10115271959502"/>
    <x v="87"/>
    <d v="2021-07-15T22:00:00"/>
    <d v="1899-12-30T03:00:00"/>
    <n v="100"/>
    <s v="UNPLANNED"/>
    <x v="0"/>
    <d v="1899-12-30T19:00:00"/>
    <x v="1"/>
  </r>
  <r>
    <n v="325"/>
    <x v="5"/>
    <n v="13115271635000"/>
    <x v="88"/>
    <d v="2021-07-16T03:45:00"/>
    <d v="1899-12-30T03:55:00"/>
    <n v="76.595744680471626"/>
    <s v="UNPLANNED"/>
    <x v="1"/>
    <d v="1899-12-30T23:50:00"/>
    <x v="2"/>
  </r>
  <r>
    <n v="326"/>
    <x v="13"/>
    <n v="3115270448600"/>
    <x v="88"/>
    <d v="2021-07-16T03:45:00"/>
    <d v="1899-12-30T03:55:00"/>
    <n v="76.595744680471626"/>
    <s v="UNPLANNED"/>
    <x v="1"/>
    <d v="1899-12-30T23:50:00"/>
    <x v="2"/>
  </r>
  <r>
    <n v="327"/>
    <x v="9"/>
    <n v="2115270190011"/>
    <x v="88"/>
    <d v="2021-07-16T03:45:00"/>
    <d v="1899-12-30T03:55:00"/>
    <n v="76.595744680471626"/>
    <s v="UNPLANNED"/>
    <x v="0"/>
    <d v="1899-12-30T23:50:00"/>
    <x v="2"/>
  </r>
  <r>
    <n v="328"/>
    <x v="5"/>
    <n v="13115271672251"/>
    <x v="89"/>
    <d v="2021-07-16T12:35:00"/>
    <d v="1899-12-30T03:35:00"/>
    <n v="83.720930233011458"/>
    <s v="UNPLANNED"/>
    <x v="2"/>
    <d v="1899-12-30T09:00:00"/>
    <x v="0"/>
  </r>
  <r>
    <n v="329"/>
    <x v="2"/>
    <n v="12115271560226"/>
    <x v="89"/>
    <d v="2021-07-16T12:35:00"/>
    <d v="1899-12-30T03:35:00"/>
    <n v="83.720930233011458"/>
    <s v="UNPLANNED"/>
    <x v="0"/>
    <d v="1899-12-30T09:00:00"/>
    <x v="0"/>
  </r>
  <r>
    <n v="330"/>
    <x v="6"/>
    <n v="9115271913100"/>
    <x v="89"/>
    <d v="2021-07-16T12:35:00"/>
    <d v="1899-12-30T03:35:00"/>
    <n v="83.720930233011458"/>
    <s v="UNPLANNED"/>
    <x v="0"/>
    <d v="1899-12-30T09:00:00"/>
    <x v="0"/>
  </r>
  <r>
    <n v="331"/>
    <x v="3"/>
    <n v="8115270615800"/>
    <x v="89"/>
    <d v="2021-07-16T12:35:00"/>
    <d v="1899-12-30T03:35:00"/>
    <n v="83.720930233011458"/>
    <s v="UNPLANNED"/>
    <x v="0"/>
    <d v="1899-12-30T09:00:00"/>
    <x v="0"/>
  </r>
  <r>
    <n v="332"/>
    <x v="1"/>
    <n v="6115271721305"/>
    <x v="89"/>
    <d v="2021-07-16T12:35:00"/>
    <d v="1899-12-30T03:35:00"/>
    <n v="83.720930233011458"/>
    <s v="UNPLANNED"/>
    <x v="0"/>
    <d v="1899-12-30T09:00:00"/>
    <x v="0"/>
  </r>
  <r>
    <n v="333"/>
    <x v="8"/>
    <n v="4115270868801"/>
    <x v="89"/>
    <d v="2021-07-16T12:35:00"/>
    <d v="1899-12-30T03:35:00"/>
    <n v="83.720930233011458"/>
    <s v="UNPLANNED"/>
    <x v="0"/>
    <d v="1899-12-30T09:00:00"/>
    <x v="0"/>
  </r>
  <r>
    <n v="334"/>
    <x v="4"/>
    <n v="15115271778900"/>
    <x v="90"/>
    <d v="2021-07-16T14:00:00"/>
    <d v="1899-12-30T01:00:00"/>
    <n v="299.9999999650754"/>
    <s v="UNPLANNED"/>
    <x v="0"/>
    <d v="1899-12-30T13:00:00"/>
    <x v="0"/>
  </r>
  <r>
    <n v="335"/>
    <x v="12"/>
    <n v="14115271706400"/>
    <x v="90"/>
    <d v="2021-07-16T14:00:00"/>
    <d v="1899-12-30T01:00:00"/>
    <n v="299.9999999650754"/>
    <s v="UNPLANNED"/>
    <x v="0"/>
    <d v="1899-12-30T13:00:00"/>
    <x v="0"/>
  </r>
  <r>
    <n v="336"/>
    <x v="5"/>
    <n v="13115271634000"/>
    <x v="91"/>
    <d v="2021-07-16T20:00:00"/>
    <d v="1899-12-30T05:45:00"/>
    <n v="52.173913042950105"/>
    <s v="UNPLANNED"/>
    <x v="0"/>
    <d v="1899-12-30T14:15:00"/>
    <x v="1"/>
  </r>
  <r>
    <n v="337"/>
    <x v="5"/>
    <n v="13115271591200"/>
    <x v="91"/>
    <d v="2021-07-16T20:00:00"/>
    <d v="1899-12-30T05:45:00"/>
    <n v="52.173913042950105"/>
    <s v="UNPLANNED"/>
    <x v="0"/>
    <d v="1899-12-30T14:15:00"/>
    <x v="1"/>
  </r>
  <r>
    <n v="338"/>
    <x v="2"/>
    <n v="12115271566210"/>
    <x v="91"/>
    <d v="2021-07-16T20:00:00"/>
    <d v="1899-12-30T05:45:00"/>
    <n v="52.173913042950105"/>
    <s v="UNPLANNED"/>
    <x v="0"/>
    <d v="1899-12-30T14:15:00"/>
    <x v="1"/>
  </r>
  <r>
    <n v="339"/>
    <x v="11"/>
    <n v="10115271422401"/>
    <x v="91"/>
    <d v="2021-07-16T20:00:00"/>
    <d v="1899-12-30T05:45:00"/>
    <n v="52.173913042950105"/>
    <s v="UNPLANNED"/>
    <x v="0"/>
    <d v="1899-12-30T14:15:00"/>
    <x v="1"/>
  </r>
  <r>
    <n v="340"/>
    <x v="11"/>
    <n v="10115270965500"/>
    <x v="91"/>
    <d v="2021-07-16T20:00:00"/>
    <d v="1899-12-30T05:45:00"/>
    <n v="52.173913042950105"/>
    <s v="UNPLANNED"/>
    <x v="0"/>
    <d v="1899-12-30T14:15:00"/>
    <x v="1"/>
  </r>
  <r>
    <n v="341"/>
    <x v="3"/>
    <n v="8115271815401"/>
    <x v="91"/>
    <d v="2021-07-16T20:00:00"/>
    <d v="1899-12-30T05:45:00"/>
    <n v="52.173913042950105"/>
    <s v="UNPLANNED"/>
    <x v="0"/>
    <d v="1899-12-30T14:15:00"/>
    <x v="1"/>
  </r>
  <r>
    <n v="342"/>
    <x v="3"/>
    <n v="8115271809900"/>
    <x v="91"/>
    <d v="2021-07-16T20:00:00"/>
    <d v="1899-12-30T05:45:00"/>
    <n v="52.173913042950105"/>
    <s v="UNPLANNED"/>
    <x v="0"/>
    <d v="1899-12-30T14:15:00"/>
    <x v="1"/>
  </r>
  <r>
    <n v="343"/>
    <x v="1"/>
    <n v="6115271690507"/>
    <x v="91"/>
    <d v="2021-07-16T20:00:00"/>
    <d v="1899-12-30T05:45:00"/>
    <n v="52.173913042950105"/>
    <s v="UNPLANNED"/>
    <x v="2"/>
    <d v="1899-12-30T14:15:00"/>
    <x v="1"/>
  </r>
  <r>
    <n v="344"/>
    <x v="0"/>
    <n v="5115271296608"/>
    <x v="91"/>
    <d v="2021-07-16T20:00:00"/>
    <d v="1899-12-30T05:45:00"/>
    <n v="52.173913042950105"/>
    <s v="UNPLANNED"/>
    <x v="0"/>
    <d v="1899-12-30T14:15:00"/>
    <x v="1"/>
  </r>
  <r>
    <n v="345"/>
    <x v="13"/>
    <n v="3115270306900"/>
    <x v="91"/>
    <d v="2021-07-16T20:00:00"/>
    <d v="1899-12-30T05:45:00"/>
    <n v="52.173913042950105"/>
    <s v="UNPLANNED"/>
    <x v="0"/>
    <d v="1899-12-30T14:15:00"/>
    <x v="1"/>
  </r>
  <r>
    <n v="346"/>
    <x v="4"/>
    <n v="15115271753100"/>
    <x v="92"/>
    <d v="2021-07-16T21:50:00"/>
    <d v="1899-12-30T01:20:00"/>
    <n v="225.00000000327418"/>
    <s v="UNPLANNED"/>
    <x v="0"/>
    <d v="1899-12-30T20:30:00"/>
    <x v="1"/>
  </r>
  <r>
    <n v="347"/>
    <x v="12"/>
    <n v="14115271672600"/>
    <x v="92"/>
    <d v="2021-07-16T21:50:00"/>
    <d v="1899-12-30T01:20:00"/>
    <n v="225.00000000327418"/>
    <s v="UNPLANNED"/>
    <x v="0"/>
    <d v="1899-12-30T20:30:00"/>
    <x v="1"/>
  </r>
  <r>
    <n v="348"/>
    <x v="5"/>
    <n v="13115271634200"/>
    <x v="92"/>
    <d v="2021-07-16T21:50:00"/>
    <d v="1899-12-30T01:20:00"/>
    <n v="225.00000000327418"/>
    <s v="UNPLANNED"/>
    <x v="0"/>
    <d v="1899-12-30T20:30:00"/>
    <x v="1"/>
  </r>
  <r>
    <n v="349"/>
    <x v="3"/>
    <n v="8115271838900"/>
    <x v="93"/>
    <d v="2021-07-17T01:30:00"/>
    <d v="1899-12-30T03:00:00"/>
    <n v="100"/>
    <s v="UNPLANNED"/>
    <x v="0"/>
    <d v="1899-12-30T22:30:00"/>
    <x v="2"/>
  </r>
  <r>
    <n v="350"/>
    <x v="1"/>
    <n v="6115271736400"/>
    <x v="93"/>
    <d v="2021-07-17T01:30:00"/>
    <d v="1899-12-30T03:00:00"/>
    <n v="100"/>
    <s v="UNPLANNED"/>
    <x v="0"/>
    <d v="1899-12-30T22:30:00"/>
    <x v="2"/>
  </r>
  <r>
    <n v="351"/>
    <x v="0"/>
    <n v="5115270974200"/>
    <x v="93"/>
    <d v="2021-07-17T01:30:00"/>
    <d v="1899-12-30T03:00:00"/>
    <n v="100"/>
    <s v="UNPLANNED"/>
    <x v="1"/>
    <d v="1899-12-30T22:30:00"/>
    <x v="2"/>
  </r>
  <r>
    <n v="352"/>
    <x v="13"/>
    <n v="3115270401200"/>
    <x v="93"/>
    <d v="2021-07-17T01:30:00"/>
    <d v="1899-12-30T03:00:00"/>
    <n v="100"/>
    <s v="UNPLANNED"/>
    <x v="0"/>
    <d v="1899-12-30T22:30:00"/>
    <x v="2"/>
  </r>
  <r>
    <n v="353"/>
    <x v="14"/>
    <n v="1115270043600"/>
    <x v="93"/>
    <d v="2021-07-17T01:30:00"/>
    <d v="1899-12-30T03:00:00"/>
    <n v="100"/>
    <s v="UNPLANNED"/>
    <x v="3"/>
    <d v="1899-12-30T22:30:00"/>
    <x v="2"/>
  </r>
  <r>
    <n v="354"/>
    <x v="1"/>
    <n v="6115271725413"/>
    <x v="94"/>
    <d v="2021-07-17T05:00:00"/>
    <d v="1899-12-30T01:00:00"/>
    <n v="299.9999999650754"/>
    <s v="UNPLANNED"/>
    <x v="0"/>
    <d v="1899-12-30T04:00:00"/>
    <x v="2"/>
  </r>
  <r>
    <n v="355"/>
    <x v="4"/>
    <n v="15115271790900"/>
    <x v="95"/>
    <d v="2021-07-17T12:35:00"/>
    <d v="1899-12-30T04:35:00"/>
    <n v="65.4545454556538"/>
    <s v="UNPLANNED"/>
    <x v="0"/>
    <d v="1899-12-30T08:00:00"/>
    <x v="0"/>
  </r>
  <r>
    <n v="356"/>
    <x v="12"/>
    <n v="14115271734400"/>
    <x v="95"/>
    <d v="2021-07-17T12:35:00"/>
    <d v="1899-12-30T04:35:00"/>
    <n v="65.4545454556538"/>
    <s v="UNPLANNED"/>
    <x v="0"/>
    <d v="1899-12-30T08:00:00"/>
    <x v="0"/>
  </r>
  <r>
    <n v="357"/>
    <x v="5"/>
    <n v="13115271621702"/>
    <x v="95"/>
    <d v="2021-07-17T12:35:00"/>
    <d v="1899-12-30T04:35:00"/>
    <n v="65.4545454556538"/>
    <s v="UNPLANNED"/>
    <x v="1"/>
    <d v="1899-12-30T08:00:00"/>
    <x v="0"/>
  </r>
  <r>
    <n v="358"/>
    <x v="5"/>
    <n v="13115271591200"/>
    <x v="95"/>
    <d v="2021-07-17T12:35:00"/>
    <d v="1899-12-30T04:35:00"/>
    <n v="65.4545454556538"/>
    <s v="UNPLANNED"/>
    <x v="2"/>
    <d v="1899-12-30T08:00:00"/>
    <x v="0"/>
  </r>
  <r>
    <n v="359"/>
    <x v="10"/>
    <n v="11115271560103"/>
    <x v="95"/>
    <d v="2021-07-17T12:35:00"/>
    <d v="1899-12-30T04:35:00"/>
    <n v="65.4545454556538"/>
    <s v="UNPLANNED"/>
    <x v="0"/>
    <d v="1899-12-30T08:00:00"/>
    <x v="0"/>
  </r>
  <r>
    <n v="360"/>
    <x v="11"/>
    <n v="10115271959500"/>
    <x v="95"/>
    <d v="2021-07-17T12:35:00"/>
    <d v="1899-12-30T04:35:00"/>
    <n v="65.4545454556538"/>
    <s v="UNPLANNED"/>
    <x v="0"/>
    <d v="1899-12-30T08:00:00"/>
    <x v="0"/>
  </r>
  <r>
    <n v="361"/>
    <x v="6"/>
    <n v="9115271909300"/>
    <x v="95"/>
    <d v="2021-07-17T12:35:00"/>
    <d v="1899-12-30T04:35:00"/>
    <n v="65.4545454556538"/>
    <s v="UNPLANNED"/>
    <x v="0"/>
    <d v="1899-12-30T08:00:00"/>
    <x v="0"/>
  </r>
  <r>
    <n v="362"/>
    <x v="4"/>
    <n v="15115271779410"/>
    <x v="96"/>
    <d v="2021-07-17T13:50:00"/>
    <d v="1899-12-30T01:05:00"/>
    <n v="276.9230769131575"/>
    <s v="UNPLANNED"/>
    <x v="0"/>
    <d v="1899-12-30T12:45:00"/>
    <x v="0"/>
  </r>
  <r>
    <n v="363"/>
    <x v="2"/>
    <n v="12115271560818"/>
    <x v="96"/>
    <d v="2021-07-17T13:50:00"/>
    <d v="1899-12-30T01:05:00"/>
    <n v="276.9230769131575"/>
    <s v="UNPLANNED"/>
    <x v="0"/>
    <d v="1899-12-30T12:45:00"/>
    <x v="0"/>
  </r>
  <r>
    <n v="364"/>
    <x v="3"/>
    <n v="8115271839600"/>
    <x v="97"/>
    <d v="2021-07-17T17:00:00"/>
    <d v="1899-12-30T02:30:00"/>
    <n v="119.99999999441206"/>
    <s v="UNPLANNED"/>
    <x v="0"/>
    <d v="1899-12-30T14:30:00"/>
    <x v="1"/>
  </r>
  <r>
    <n v="365"/>
    <x v="0"/>
    <n v="5115271081507"/>
    <x v="97"/>
    <d v="2021-07-17T17:00:00"/>
    <d v="1899-12-30T02:30:00"/>
    <n v="119.99999999441206"/>
    <s v="UNPLANNED"/>
    <x v="1"/>
    <d v="1899-12-30T14:30:00"/>
    <x v="1"/>
  </r>
  <r>
    <n v="366"/>
    <x v="9"/>
    <n v="2115270168700"/>
    <x v="97"/>
    <d v="2021-07-17T17:00:00"/>
    <d v="1899-12-30T02:30:00"/>
    <n v="119.99999999441206"/>
    <s v="UNPLANNED"/>
    <x v="0"/>
    <d v="1899-12-30T14:30:00"/>
    <x v="1"/>
  </r>
  <r>
    <n v="367"/>
    <x v="9"/>
    <n v="2115270155100"/>
    <x v="97"/>
    <d v="2021-07-17T17:00:00"/>
    <d v="1899-12-30T02:30:00"/>
    <n v="119.99999999441206"/>
    <s v="UNPLANNED"/>
    <x v="0"/>
    <d v="1899-12-30T14:30:00"/>
    <x v="1"/>
  </r>
  <r>
    <n v="368"/>
    <x v="2"/>
    <n v="12115271567800"/>
    <x v="98"/>
    <d v="2021-07-17T21:30:00"/>
    <d v="1899-12-30T04:00:00"/>
    <n v="74.999999997817213"/>
    <s v="UNPLANNED"/>
    <x v="0"/>
    <d v="1899-12-30T17:30:00"/>
    <x v="1"/>
  </r>
  <r>
    <n v="369"/>
    <x v="11"/>
    <n v="10115271957500"/>
    <x v="98"/>
    <d v="2021-07-17T21:30:00"/>
    <d v="1899-12-30T04:00:00"/>
    <n v="74.999999997817213"/>
    <s v="UNPLANNED"/>
    <x v="0"/>
    <d v="1899-12-30T17:30:00"/>
    <x v="1"/>
  </r>
  <r>
    <n v="370"/>
    <x v="6"/>
    <n v="9115271909200"/>
    <x v="98"/>
    <d v="2021-07-17T21:30:00"/>
    <d v="1899-12-30T04:00:00"/>
    <n v="74.999999997817213"/>
    <s v="UNPLANNED"/>
    <x v="0"/>
    <d v="1899-12-30T17:30:00"/>
    <x v="1"/>
  </r>
  <r>
    <n v="371"/>
    <x v="6"/>
    <n v="9115271909106"/>
    <x v="98"/>
    <d v="2021-07-17T21:30:00"/>
    <d v="1899-12-30T04:00:00"/>
    <n v="74.999999997817213"/>
    <s v="UNPLANNED"/>
    <x v="0"/>
    <d v="1899-12-30T17:30:00"/>
    <x v="1"/>
  </r>
  <r>
    <n v="372"/>
    <x v="1"/>
    <n v="6115271720800"/>
    <x v="98"/>
    <d v="2021-07-17T21:30:00"/>
    <d v="1899-12-30T04:00:00"/>
    <n v="74.999999997817213"/>
    <s v="UNPLANNED"/>
    <x v="0"/>
    <d v="1899-12-30T17:30:00"/>
    <x v="1"/>
  </r>
  <r>
    <n v="373"/>
    <x v="4"/>
    <n v="15115271749000"/>
    <x v="99"/>
    <d v="2021-07-18T03:30:00"/>
    <d v="1899-12-30T04:00:00"/>
    <n v="74.999999997817213"/>
    <s v="UNPLANNED"/>
    <x v="0"/>
    <d v="1899-12-30T23:30:00"/>
    <x v="2"/>
  </r>
  <r>
    <n v="374"/>
    <x v="5"/>
    <n v="13115271661600"/>
    <x v="99"/>
    <d v="2021-07-18T03:30:00"/>
    <d v="1899-12-30T04:00:00"/>
    <n v="74.999999997817213"/>
    <s v="UNPLANNED"/>
    <x v="0"/>
    <d v="1899-12-30T23:30:00"/>
    <x v="2"/>
  </r>
  <r>
    <n v="375"/>
    <x v="2"/>
    <n v="12115271567399"/>
    <x v="99"/>
    <d v="2021-07-18T03:30:00"/>
    <d v="1899-12-30T04:00:00"/>
    <n v="74.999999997817213"/>
    <s v="UNPLANNED"/>
    <x v="0"/>
    <d v="1899-12-30T23:30:00"/>
    <x v="2"/>
  </r>
  <r>
    <n v="376"/>
    <x v="6"/>
    <n v="9115271909404"/>
    <x v="99"/>
    <d v="2021-07-18T03:30:00"/>
    <d v="1899-12-30T04:00:00"/>
    <n v="74.999999997817213"/>
    <s v="UNPLANNED"/>
    <x v="0"/>
    <d v="1899-12-30T23:30:00"/>
    <x v="2"/>
  </r>
  <r>
    <n v="377"/>
    <x v="4"/>
    <n v="15115271789400"/>
    <x v="100"/>
    <d v="2021-07-18T13:50:00"/>
    <d v="1899-12-30T05:05:00"/>
    <n v="59.016393442848212"/>
    <s v="UNPLANNED"/>
    <x v="0"/>
    <d v="1899-12-30T08:45:00"/>
    <x v="0"/>
  </r>
  <r>
    <n v="378"/>
    <x v="12"/>
    <n v="14115271673114"/>
    <x v="100"/>
    <d v="2021-07-18T13:50:00"/>
    <d v="1899-12-30T05:05:00"/>
    <n v="59.016393442848212"/>
    <s v="UNPLANNED"/>
    <x v="1"/>
    <d v="1899-12-30T08:45:00"/>
    <x v="0"/>
  </r>
  <r>
    <n v="379"/>
    <x v="12"/>
    <n v="14115271673113"/>
    <x v="100"/>
    <d v="2021-07-18T13:50:00"/>
    <d v="1899-12-30T05:05:00"/>
    <n v="59.016393442848212"/>
    <s v="UNPLANNED"/>
    <x v="2"/>
    <d v="1899-12-30T08:45:00"/>
    <x v="0"/>
  </r>
  <r>
    <n v="380"/>
    <x v="5"/>
    <n v="13115271591709"/>
    <x v="100"/>
    <d v="2021-07-18T13:50:00"/>
    <d v="1899-12-30T05:05:00"/>
    <n v="59.016393442848212"/>
    <s v="UNPLANNED"/>
    <x v="0"/>
    <d v="1899-12-30T08:45:00"/>
    <x v="0"/>
  </r>
  <r>
    <n v="381"/>
    <x v="5"/>
    <n v="13115271591400"/>
    <x v="100"/>
    <d v="2021-07-18T13:50:00"/>
    <d v="1899-12-30T05:05:00"/>
    <n v="59.016393442848212"/>
    <s v="UNPLANNED"/>
    <x v="0"/>
    <d v="1899-12-30T08:45:00"/>
    <x v="0"/>
  </r>
  <r>
    <n v="382"/>
    <x v="2"/>
    <n v="12115271574614"/>
    <x v="100"/>
    <d v="2021-07-18T13:50:00"/>
    <d v="1899-12-30T05:05:00"/>
    <n v="59.016393442848212"/>
    <s v="UNPLANNED"/>
    <x v="0"/>
    <d v="1899-12-30T08:45:00"/>
    <x v="0"/>
  </r>
  <r>
    <n v="383"/>
    <x v="2"/>
    <n v="12115271574613"/>
    <x v="100"/>
    <d v="2021-07-18T13:50:00"/>
    <d v="1899-12-30T05:05:00"/>
    <n v="59.016393442848212"/>
    <s v="UNPLANNED"/>
    <x v="0"/>
    <d v="1899-12-30T08:45:00"/>
    <x v="0"/>
  </r>
  <r>
    <n v="384"/>
    <x v="10"/>
    <n v="11115271515601"/>
    <x v="100"/>
    <d v="2021-07-18T13:50:00"/>
    <d v="1899-12-30T05:05:00"/>
    <n v="59.016393442848212"/>
    <s v="UNPLANNED"/>
    <x v="0"/>
    <d v="1899-12-30T08:45:00"/>
    <x v="0"/>
  </r>
  <r>
    <n v="385"/>
    <x v="10"/>
    <n v="11115271515600"/>
    <x v="100"/>
    <d v="2021-07-18T13:50:00"/>
    <d v="1899-12-30T05:05:00"/>
    <n v="59.016393442848212"/>
    <s v="UNPLANNED"/>
    <x v="1"/>
    <d v="1899-12-30T08:45:00"/>
    <x v="0"/>
  </r>
  <r>
    <n v="386"/>
    <x v="11"/>
    <n v="10115271451101"/>
    <x v="100"/>
    <d v="2021-07-18T13:50:00"/>
    <d v="1899-12-30T05:05:00"/>
    <n v="59.016393442848212"/>
    <s v="UNPLANNED"/>
    <x v="0"/>
    <d v="1899-12-30T08:45:00"/>
    <x v="0"/>
  </r>
  <r>
    <n v="387"/>
    <x v="11"/>
    <n v="10115271451100"/>
    <x v="100"/>
    <d v="2021-07-18T13:50:00"/>
    <d v="1899-12-30T05:05:00"/>
    <n v="59.016393442848212"/>
    <s v="UNPLANNED"/>
    <x v="0"/>
    <d v="1899-12-30T08:45:00"/>
    <x v="0"/>
  </r>
  <r>
    <n v="388"/>
    <x v="3"/>
    <n v="8115270614201"/>
    <x v="100"/>
    <d v="2021-07-18T13:50:00"/>
    <d v="1899-12-30T05:05:00"/>
    <n v="59.016393442848212"/>
    <s v="UNPLANNED"/>
    <x v="0"/>
    <d v="1899-12-30T08:45:00"/>
    <x v="0"/>
  </r>
  <r>
    <n v="389"/>
    <x v="3"/>
    <n v="8115270614200"/>
    <x v="100"/>
    <d v="2021-07-18T13:50:00"/>
    <d v="1899-12-30T05:05:00"/>
    <n v="59.016393442848212"/>
    <s v="UNPLANNED"/>
    <x v="0"/>
    <d v="1899-12-30T08:45:00"/>
    <x v="0"/>
  </r>
  <r>
    <n v="390"/>
    <x v="7"/>
    <n v="7115271790503"/>
    <x v="100"/>
    <d v="2021-07-18T13:50:00"/>
    <d v="1899-12-30T05:05:00"/>
    <n v="59.016393442848212"/>
    <s v="UNPLANNED"/>
    <x v="0"/>
    <d v="1899-12-30T08:45:00"/>
    <x v="0"/>
  </r>
  <r>
    <n v="391"/>
    <x v="7"/>
    <n v="7115271790502"/>
    <x v="100"/>
    <d v="2021-07-18T13:50:00"/>
    <d v="1899-12-30T05:05:00"/>
    <n v="59.016393442848212"/>
    <s v="UNPLANNED"/>
    <x v="0"/>
    <d v="1899-12-30T08:45:00"/>
    <x v="0"/>
  </r>
  <r>
    <n v="392"/>
    <x v="7"/>
    <n v="7115271790301"/>
    <x v="100"/>
    <d v="2021-07-18T13:50:00"/>
    <d v="1899-12-30T05:05:00"/>
    <n v="59.016393442848212"/>
    <s v="UNPLANNED"/>
    <x v="1"/>
    <d v="1899-12-30T08:45:00"/>
    <x v="0"/>
  </r>
  <r>
    <n v="393"/>
    <x v="7"/>
    <n v="7115271790300"/>
    <x v="100"/>
    <d v="2021-07-18T13:50:00"/>
    <d v="1899-12-30T05:05:00"/>
    <n v="59.016393442848212"/>
    <s v="UNPLANNED"/>
    <x v="4"/>
    <d v="1899-12-30T08:45:00"/>
    <x v="0"/>
  </r>
  <r>
    <n v="394"/>
    <x v="0"/>
    <n v="5115271685023"/>
    <x v="100"/>
    <d v="2021-07-18T13:50:00"/>
    <d v="1899-12-30T05:05:00"/>
    <n v="59.016393442848212"/>
    <s v="UNPLANNED"/>
    <x v="0"/>
    <d v="1899-12-30T08:45:00"/>
    <x v="0"/>
  </r>
  <r>
    <n v="395"/>
    <x v="0"/>
    <n v="5115271685022"/>
    <x v="100"/>
    <d v="2021-07-18T13:50:00"/>
    <d v="1899-12-30T05:05:00"/>
    <n v="59.016393442848212"/>
    <s v="UNPLANNED"/>
    <x v="0"/>
    <d v="1899-12-30T08:45:00"/>
    <x v="0"/>
  </r>
  <r>
    <n v="396"/>
    <x v="13"/>
    <n v="3115270346701"/>
    <x v="100"/>
    <d v="2021-07-18T13:50:00"/>
    <d v="1899-12-30T05:05:00"/>
    <n v="59.016393442848212"/>
    <s v="UNPLANNED"/>
    <x v="1"/>
    <d v="1899-12-30T08:45:00"/>
    <x v="0"/>
  </r>
  <r>
    <n v="397"/>
    <x v="13"/>
    <n v="3115270346700"/>
    <x v="100"/>
    <d v="2021-07-18T13:50:00"/>
    <d v="1899-12-30T05:05:00"/>
    <n v="59.016393442848212"/>
    <s v="UNPLANNED"/>
    <x v="0"/>
    <d v="1899-12-30T08:45:00"/>
    <x v="0"/>
  </r>
  <r>
    <n v="398"/>
    <x v="9"/>
    <n v="2115270230110"/>
    <x v="100"/>
    <d v="2021-07-18T13:50:00"/>
    <d v="1899-12-30T05:05:00"/>
    <n v="59.016393442848212"/>
    <s v="UNPLANNED"/>
    <x v="0"/>
    <d v="1899-12-30T08:45:00"/>
    <x v="0"/>
  </r>
  <r>
    <n v="399"/>
    <x v="9"/>
    <n v="2115270230100"/>
    <x v="100"/>
    <d v="2021-07-18T13:50:00"/>
    <d v="1899-12-30T05:05:00"/>
    <n v="59.016393442848212"/>
    <s v="UNPLANNED"/>
    <x v="1"/>
    <d v="1899-12-30T08:45:00"/>
    <x v="0"/>
  </r>
  <r>
    <n v="400"/>
    <x v="14"/>
    <n v="1115270074802"/>
    <x v="100"/>
    <d v="2021-07-18T13:50:00"/>
    <d v="1899-12-30T05:05:00"/>
    <n v="59.016393442848212"/>
    <s v="UNPLANNED"/>
    <x v="0"/>
    <d v="1899-12-30T08:45:00"/>
    <x v="0"/>
  </r>
  <r>
    <n v="401"/>
    <x v="14"/>
    <n v="1115270074801"/>
    <x v="100"/>
    <d v="2021-07-18T13:50:00"/>
    <d v="1899-12-30T05:05:00"/>
    <n v="59.016393442848212"/>
    <s v="UNPLANNED"/>
    <x v="0"/>
    <d v="1899-12-30T08:45:00"/>
    <x v="0"/>
  </r>
  <r>
    <n v="402"/>
    <x v="10"/>
    <n v="11115271463804"/>
    <x v="101"/>
    <d v="2021-07-18T18:00:00"/>
    <d v="1899-12-30T03:30:00"/>
    <n v="85.714285712860217"/>
    <s v="UNPLANNED"/>
    <x v="2"/>
    <d v="1899-12-30T14:30:00"/>
    <x v="1"/>
  </r>
  <r>
    <n v="403"/>
    <x v="11"/>
    <n v="10115271959001"/>
    <x v="101"/>
    <d v="2021-07-18T18:00:00"/>
    <d v="1899-12-30T03:30:00"/>
    <n v="85.714285712860217"/>
    <s v="UNPLANNED"/>
    <x v="0"/>
    <d v="1899-12-30T14:30:00"/>
    <x v="1"/>
  </r>
  <r>
    <n v="404"/>
    <x v="3"/>
    <n v="8115271820902"/>
    <x v="101"/>
    <d v="2021-07-18T18:00:00"/>
    <d v="1899-12-30T03:30:00"/>
    <n v="85.714285712860217"/>
    <s v="UNPLANNED"/>
    <x v="0"/>
    <d v="1899-12-30T14:30:00"/>
    <x v="1"/>
  </r>
  <r>
    <n v="405"/>
    <x v="7"/>
    <n v="7115271766600"/>
    <x v="101"/>
    <d v="2021-07-18T18:00:00"/>
    <d v="1899-12-30T03:30:00"/>
    <n v="85.714285712860217"/>
    <s v="UNPLANNED"/>
    <x v="0"/>
    <d v="1899-12-30T14:30:00"/>
    <x v="1"/>
  </r>
  <r>
    <n v="406"/>
    <x v="1"/>
    <n v="6115271741208"/>
    <x v="101"/>
    <d v="2021-07-18T18:00:00"/>
    <d v="1899-12-30T03:30:00"/>
    <n v="85.714285712860217"/>
    <s v="UNPLANNED"/>
    <x v="0"/>
    <d v="1899-12-30T14:30:00"/>
    <x v="1"/>
  </r>
  <r>
    <n v="407"/>
    <x v="0"/>
    <n v="5115271080500"/>
    <x v="101"/>
    <d v="2021-07-18T18:00:00"/>
    <d v="1899-12-30T03:30:00"/>
    <n v="85.714285712860217"/>
    <s v="UNPLANNED"/>
    <x v="1"/>
    <d v="1899-12-30T14:30:00"/>
    <x v="1"/>
  </r>
  <r>
    <n v="408"/>
    <x v="9"/>
    <n v="2115270229100"/>
    <x v="101"/>
    <d v="2021-07-18T18:00:00"/>
    <d v="1899-12-30T03:30:00"/>
    <n v="85.714285712860217"/>
    <s v="UNPLANNED"/>
    <x v="0"/>
    <d v="1899-12-30T14:30:00"/>
    <x v="1"/>
  </r>
  <r>
    <n v="409"/>
    <x v="12"/>
    <n v="14115271676200"/>
    <x v="102"/>
    <d v="2021-07-18T21:50:00"/>
    <d v="1899-12-30T03:20:00"/>
    <n v="90.000000003667083"/>
    <s v="UNPLANNED"/>
    <x v="0"/>
    <d v="1899-12-30T18:30:00"/>
    <x v="1"/>
  </r>
  <r>
    <n v="410"/>
    <x v="5"/>
    <n v="13115271600400"/>
    <x v="102"/>
    <d v="2021-07-18T21:50:00"/>
    <d v="1899-12-30T03:20:00"/>
    <n v="90.000000003667083"/>
    <s v="UNPLANNED"/>
    <x v="0"/>
    <d v="1899-12-30T18:30:00"/>
    <x v="1"/>
  </r>
  <r>
    <n v="411"/>
    <x v="5"/>
    <n v="13115271592415"/>
    <x v="102"/>
    <d v="2021-07-18T21:50:00"/>
    <d v="1899-12-30T03:20:00"/>
    <n v="90.000000003667083"/>
    <s v="UNPLANNED"/>
    <x v="0"/>
    <d v="1899-12-30T18:30:00"/>
    <x v="1"/>
  </r>
  <r>
    <n v="412"/>
    <x v="10"/>
    <n v="11115271552301"/>
    <x v="102"/>
    <d v="2021-07-18T21:50:00"/>
    <d v="1899-12-30T03:20:00"/>
    <n v="90.000000003667083"/>
    <s v="UNPLANNED"/>
    <x v="1"/>
    <d v="1899-12-30T18:30:00"/>
    <x v="1"/>
  </r>
  <r>
    <n v="413"/>
    <x v="11"/>
    <n v="10115270968900"/>
    <x v="102"/>
    <d v="2021-07-18T21:50:00"/>
    <d v="1899-12-30T03:20:00"/>
    <n v="90.000000003667083"/>
    <s v="UNPLANNED"/>
    <x v="0"/>
    <d v="1899-12-30T18:30:00"/>
    <x v="1"/>
  </r>
  <r>
    <n v="414"/>
    <x v="6"/>
    <n v="9115271909300"/>
    <x v="102"/>
    <d v="2021-07-18T21:50:00"/>
    <d v="1899-12-30T03:20:00"/>
    <n v="90.000000003667083"/>
    <s v="UNPLANNED"/>
    <x v="0"/>
    <d v="1899-12-30T18:30:00"/>
    <x v="1"/>
  </r>
  <r>
    <n v="415"/>
    <x v="1"/>
    <n v="6115271750300"/>
    <x v="103"/>
    <d v="2021-07-18T23:50:00"/>
    <d v="1899-12-30T01:20:00"/>
    <n v="225.00000000327418"/>
    <s v="UNPLANNED"/>
    <x v="0"/>
    <d v="1899-12-30T22:30:00"/>
    <x v="2"/>
  </r>
  <r>
    <n v="416"/>
    <x v="0"/>
    <n v="5115271241708"/>
    <x v="103"/>
    <d v="2021-07-18T23:50:00"/>
    <d v="1899-12-30T01:20:00"/>
    <n v="225.00000000327418"/>
    <s v="UNPLANNED"/>
    <x v="0"/>
    <d v="1899-12-30T22:30:00"/>
    <x v="2"/>
  </r>
  <r>
    <n v="417"/>
    <x v="5"/>
    <n v="13115271602200"/>
    <x v="104"/>
    <d v="2021-07-19T04:00:00"/>
    <d v="1899-12-30T03:30:00"/>
    <n v="85.714285717136704"/>
    <s v="UNPLANNED"/>
    <x v="0"/>
    <d v="1899-12-30T00:30:00"/>
    <x v="2"/>
  </r>
  <r>
    <n v="418"/>
    <x v="5"/>
    <n v="13115271591906"/>
    <x v="104"/>
    <d v="2021-07-19T04:00:00"/>
    <d v="1899-12-30T03:30:00"/>
    <n v="85.714285717136704"/>
    <s v="UNPLANNED"/>
    <x v="0"/>
    <d v="1899-12-30T00:30:00"/>
    <x v="2"/>
  </r>
  <r>
    <n v="419"/>
    <x v="10"/>
    <n v="11115271552802"/>
    <x v="104"/>
    <d v="2021-07-19T04:00:00"/>
    <d v="1899-12-30T03:30:00"/>
    <n v="85.714285717136704"/>
    <s v="UNPLANNED"/>
    <x v="0"/>
    <d v="1899-12-30T00:30:00"/>
    <x v="2"/>
  </r>
  <r>
    <n v="420"/>
    <x v="6"/>
    <n v="9115271909406"/>
    <x v="104"/>
    <d v="2021-07-19T04:00:00"/>
    <d v="1899-12-30T03:30:00"/>
    <n v="85.714285717136704"/>
    <s v="UNPLANNED"/>
    <x v="0"/>
    <d v="1899-12-30T00:30:00"/>
    <x v="2"/>
  </r>
  <r>
    <n v="421"/>
    <x v="12"/>
    <n v="14115271672600"/>
    <x v="105"/>
    <d v="2021-07-19T12:00:00"/>
    <d v="1899-12-30T05:00:00"/>
    <n v="59.999999999301515"/>
    <s v="UNPLANNED"/>
    <x v="0"/>
    <d v="1899-12-30T07:00:00"/>
    <x v="0"/>
  </r>
  <r>
    <n v="422"/>
    <x v="7"/>
    <n v="7115271783301"/>
    <x v="105"/>
    <d v="2021-07-19T12:00:00"/>
    <d v="1899-12-30T05:00:00"/>
    <n v="59.999999999301515"/>
    <s v="UNPLANNED"/>
    <x v="0"/>
    <d v="1899-12-30T07:00:00"/>
    <x v="0"/>
  </r>
  <r>
    <n v="423"/>
    <x v="1"/>
    <n v="6115271720814"/>
    <x v="105"/>
    <d v="2021-07-19T12:00:00"/>
    <d v="1899-12-30T05:00:00"/>
    <n v="59.999999999301515"/>
    <s v="UNPLANNED"/>
    <x v="0"/>
    <d v="1899-12-30T07:00:00"/>
    <x v="0"/>
  </r>
  <r>
    <n v="424"/>
    <x v="1"/>
    <n v="6115271690503"/>
    <x v="105"/>
    <d v="2021-07-19T12:00:00"/>
    <d v="1899-12-30T05:00:00"/>
    <n v="59.999999999301515"/>
    <s v="UNPLANNED"/>
    <x v="0"/>
    <d v="1899-12-30T07:00:00"/>
    <x v="0"/>
  </r>
  <r>
    <n v="425"/>
    <x v="0"/>
    <n v="5115271685022"/>
    <x v="105"/>
    <d v="2021-07-19T12:00:00"/>
    <d v="1899-12-30T05:00:00"/>
    <n v="59.999999999301515"/>
    <s v="UNPLANNED"/>
    <x v="0"/>
    <d v="1899-12-30T07:00:00"/>
    <x v="0"/>
  </r>
  <r>
    <n v="426"/>
    <x v="8"/>
    <n v="4115271058403"/>
    <x v="105"/>
    <d v="2021-07-19T12:00:00"/>
    <d v="1899-12-30T05:00:00"/>
    <n v="59.999999999301515"/>
    <s v="UNPLANNED"/>
    <x v="0"/>
    <d v="1899-12-30T07:00:00"/>
    <x v="0"/>
  </r>
  <r>
    <n v="427"/>
    <x v="13"/>
    <n v="3115270347400"/>
    <x v="105"/>
    <d v="2021-07-19T12:00:00"/>
    <d v="1899-12-30T05:00:00"/>
    <n v="59.999999999301515"/>
    <s v="UNPLANNED"/>
    <x v="0"/>
    <d v="1899-12-30T07:00:00"/>
    <x v="0"/>
  </r>
  <r>
    <n v="428"/>
    <x v="13"/>
    <n v="3115270306900"/>
    <x v="105"/>
    <d v="2021-07-19T12:00:00"/>
    <d v="1899-12-30T05:00:00"/>
    <n v="59.999999999301515"/>
    <s v="UNPLANNED"/>
    <x v="0"/>
    <d v="1899-12-30T07:00:00"/>
    <x v="0"/>
  </r>
  <r>
    <n v="429"/>
    <x v="7"/>
    <n v="7115271799401"/>
    <x v="106"/>
    <d v="2021-07-19T13:50:00"/>
    <d v="1899-12-30T01:20:00"/>
    <n v="225.00000000327418"/>
    <s v="UNPLANNED"/>
    <x v="0"/>
    <d v="1899-12-30T12:30:00"/>
    <x v="0"/>
  </r>
  <r>
    <n v="430"/>
    <x v="1"/>
    <n v="6115271750000"/>
    <x v="106"/>
    <d v="2021-07-19T13:50:00"/>
    <d v="1899-12-30T01:20:00"/>
    <n v="225.00000000327418"/>
    <s v="UNPLANNED"/>
    <x v="2"/>
    <d v="1899-12-30T12:30:00"/>
    <x v="0"/>
  </r>
  <r>
    <n v="431"/>
    <x v="12"/>
    <n v="14115271704100"/>
    <x v="107"/>
    <d v="2021-07-19T18:00:00"/>
    <d v="1899-12-30T03:15:00"/>
    <n v="92.307692309345541"/>
    <s v="UNPLANNED"/>
    <x v="1"/>
    <d v="1899-12-30T14:45:00"/>
    <x v="1"/>
  </r>
  <r>
    <n v="432"/>
    <x v="12"/>
    <n v="14115271672601"/>
    <x v="107"/>
    <d v="2021-07-19T18:00:00"/>
    <d v="1899-12-30T03:15:00"/>
    <n v="92.307692309345541"/>
    <s v="UNPLANNED"/>
    <x v="0"/>
    <d v="1899-12-30T14:45:00"/>
    <x v="1"/>
  </r>
  <r>
    <n v="433"/>
    <x v="5"/>
    <n v="13115271591700"/>
    <x v="107"/>
    <d v="2021-07-19T18:00:00"/>
    <d v="1899-12-30T03:15:00"/>
    <n v="92.307692309345541"/>
    <s v="UNPLANNED"/>
    <x v="0"/>
    <d v="1899-12-30T14:45:00"/>
    <x v="1"/>
  </r>
  <r>
    <n v="434"/>
    <x v="2"/>
    <n v="12115271560187"/>
    <x v="107"/>
    <d v="2021-07-19T18:00:00"/>
    <d v="1899-12-30T03:15:00"/>
    <n v="92.307692309345541"/>
    <s v="UNPLANNED"/>
    <x v="2"/>
    <d v="1899-12-30T14:45:00"/>
    <x v="1"/>
  </r>
  <r>
    <n v="435"/>
    <x v="10"/>
    <n v="11115271512104"/>
    <x v="107"/>
    <d v="2021-07-19T18:00:00"/>
    <d v="1899-12-30T03:15:00"/>
    <n v="92.307692309345541"/>
    <s v="UNPLANNED"/>
    <x v="0"/>
    <d v="1899-12-30T14:45:00"/>
    <x v="1"/>
  </r>
  <r>
    <n v="436"/>
    <x v="6"/>
    <n v="9115271970809"/>
    <x v="107"/>
    <d v="2021-07-19T18:00:00"/>
    <d v="1899-12-30T03:15:00"/>
    <n v="92.307692309345541"/>
    <s v="UNPLANNED"/>
    <x v="0"/>
    <d v="1899-12-30T14:45:00"/>
    <x v="1"/>
  </r>
  <r>
    <n v="437"/>
    <x v="4"/>
    <n v="15115271781415"/>
    <x v="108"/>
    <d v="2021-07-19T21:55:00"/>
    <d v="1899-12-30T04:55:00"/>
    <n v="61.016949153023958"/>
    <s v="UNPLANNED"/>
    <x v="0"/>
    <d v="1899-12-30T17:00:00"/>
    <x v="1"/>
  </r>
  <r>
    <n v="438"/>
    <x v="6"/>
    <n v="9115270624200"/>
    <x v="108"/>
    <d v="2021-07-19T21:55:00"/>
    <d v="1899-12-30T04:55:00"/>
    <n v="61.016949153023958"/>
    <s v="UNPLANNED"/>
    <x v="0"/>
    <d v="1899-12-30T17:00:00"/>
    <x v="1"/>
  </r>
  <r>
    <n v="439"/>
    <x v="3"/>
    <n v="8115271841800"/>
    <x v="109"/>
    <d v="2021-07-19T23:50:00"/>
    <d v="1899-12-30T01:20:00"/>
    <n v="225.00000000327418"/>
    <s v="UNPLANNED"/>
    <x v="0"/>
    <d v="1899-12-30T22:30:00"/>
    <x v="2"/>
  </r>
  <r>
    <n v="440"/>
    <x v="1"/>
    <n v="6115271750936"/>
    <x v="109"/>
    <d v="2021-07-19T23:50:00"/>
    <d v="1899-12-30T01:20:00"/>
    <n v="225.00000000327418"/>
    <s v="UNPLANNED"/>
    <x v="1"/>
    <d v="1899-12-30T22:30:00"/>
    <x v="2"/>
  </r>
  <r>
    <n v="441"/>
    <x v="0"/>
    <n v="5115271240702"/>
    <x v="109"/>
    <d v="2021-07-19T23:50:00"/>
    <d v="1899-12-30T01:20:00"/>
    <n v="225.00000000327418"/>
    <s v="UNPLANNED"/>
    <x v="0"/>
    <d v="1899-12-30T22:30:00"/>
    <x v="2"/>
  </r>
  <r>
    <n v="442"/>
    <x v="12"/>
    <n v="14115271704100"/>
    <x v="110"/>
    <d v="2021-07-21T03:00:00"/>
    <d v="1899-12-30T04:30:00"/>
    <n v="66.666666666666657"/>
    <s v="UNPLANNED"/>
    <x v="0"/>
    <d v="1899-12-30T22:30:00"/>
    <x v="2"/>
  </r>
  <r>
    <n v="443"/>
    <x v="12"/>
    <n v="14115271672410"/>
    <x v="110"/>
    <d v="2021-07-21T03:00:00"/>
    <d v="1899-12-30T04:30:00"/>
    <n v="66.666666666666657"/>
    <s v="UNPLANNED"/>
    <x v="0"/>
    <d v="1899-12-30T22:30:00"/>
    <x v="2"/>
  </r>
  <r>
    <n v="444"/>
    <x v="7"/>
    <n v="7115271803800"/>
    <x v="111"/>
    <d v="2021-07-20T03:30:00"/>
    <d v="1899-12-30T03:00:00"/>
    <n v="100"/>
    <s v="UNPLANNED"/>
    <x v="0"/>
    <d v="1899-12-30T00:30:00"/>
    <x v="2"/>
  </r>
  <r>
    <n v="445"/>
    <x v="1"/>
    <n v="6115271713200"/>
    <x v="111"/>
    <d v="2021-07-20T03:30:00"/>
    <d v="1899-12-30T03:00:00"/>
    <n v="100"/>
    <s v="UNPLANNED"/>
    <x v="0"/>
    <d v="1899-12-30T00:30:00"/>
    <x v="2"/>
  </r>
  <r>
    <n v="446"/>
    <x v="13"/>
    <n v="3115270346600"/>
    <x v="111"/>
    <d v="2021-07-20T03:30:00"/>
    <d v="1899-12-30T03:00:00"/>
    <n v="100"/>
    <s v="UNPLANNED"/>
    <x v="0"/>
    <d v="1899-12-30T00:30:00"/>
    <x v="2"/>
  </r>
  <r>
    <n v="447"/>
    <x v="14"/>
    <n v="1115270070900"/>
    <x v="111"/>
    <d v="2021-07-20T03:30:00"/>
    <d v="1899-12-30T03:00:00"/>
    <n v="100"/>
    <s v="UNPLANNED"/>
    <x v="0"/>
    <d v="1899-12-30T00:30:00"/>
    <x v="2"/>
  </r>
  <r>
    <n v="448"/>
    <x v="4"/>
    <n v="15115271748465"/>
    <x v="112"/>
    <d v="2021-07-20T13:50:00"/>
    <d v="1899-12-30T05:50:00"/>
    <n v="51.428571428742487"/>
    <s v="UNPLANNED"/>
    <x v="0"/>
    <d v="1899-12-30T08:00:00"/>
    <x v="0"/>
  </r>
  <r>
    <n v="449"/>
    <x v="12"/>
    <n v="14115271672600"/>
    <x v="112"/>
    <d v="2021-07-20T13:50:00"/>
    <d v="1899-12-30T05:50:00"/>
    <n v="51.428571428742487"/>
    <s v="UNPLANNED"/>
    <x v="0"/>
    <d v="1899-12-30T08:00:00"/>
    <x v="0"/>
  </r>
  <r>
    <n v="450"/>
    <x v="5"/>
    <n v="13115271591500"/>
    <x v="112"/>
    <d v="2021-07-20T13:50:00"/>
    <d v="1899-12-30T05:50:00"/>
    <n v="51.428571428742487"/>
    <s v="UNPLANNED"/>
    <x v="0"/>
    <d v="1899-12-30T08:00:00"/>
    <x v="0"/>
  </r>
  <r>
    <n v="451"/>
    <x v="2"/>
    <n v="12115271560188"/>
    <x v="112"/>
    <d v="2021-07-20T13:50:00"/>
    <d v="1899-12-30T05:50:00"/>
    <n v="51.428571428742487"/>
    <s v="UNPLANNED"/>
    <x v="0"/>
    <d v="1899-12-30T08:00:00"/>
    <x v="0"/>
  </r>
  <r>
    <n v="452"/>
    <x v="10"/>
    <n v="11115271529000"/>
    <x v="112"/>
    <d v="2021-07-20T13:50:00"/>
    <d v="1899-12-30T05:50:00"/>
    <n v="51.428571428742487"/>
    <s v="UNPLANNED"/>
    <x v="0"/>
    <d v="1899-12-30T08:00:00"/>
    <x v="0"/>
  </r>
  <r>
    <n v="453"/>
    <x v="10"/>
    <n v="11115271480705"/>
    <x v="112"/>
    <d v="2021-07-20T13:50:00"/>
    <d v="1899-12-30T05:50:00"/>
    <n v="51.428571428742487"/>
    <s v="UNPLANNED"/>
    <x v="0"/>
    <d v="1899-12-30T08:00:00"/>
    <x v="0"/>
  </r>
  <r>
    <n v="454"/>
    <x v="6"/>
    <n v="9115271962100"/>
    <x v="112"/>
    <d v="2021-07-20T13:50:00"/>
    <d v="1899-12-30T05:50:00"/>
    <n v="51.428571428742487"/>
    <s v="UNPLANNED"/>
    <x v="1"/>
    <d v="1899-12-30T08:00:00"/>
    <x v="0"/>
  </r>
  <r>
    <n v="455"/>
    <x v="6"/>
    <n v="9115271925000"/>
    <x v="112"/>
    <d v="2021-07-20T13:50:00"/>
    <d v="1899-12-30T05:50:00"/>
    <n v="51.428571428742487"/>
    <s v="UNPLANNED"/>
    <x v="0"/>
    <d v="1899-12-30T08:00:00"/>
    <x v="0"/>
  </r>
  <r>
    <n v="456"/>
    <x v="7"/>
    <n v="7115271798005"/>
    <x v="112"/>
    <d v="2021-07-20T13:50:00"/>
    <d v="1899-12-30T05:50:00"/>
    <n v="51.428571428742487"/>
    <s v="UNPLANNED"/>
    <x v="0"/>
    <d v="1899-12-30T08:00:00"/>
    <x v="0"/>
  </r>
  <r>
    <n v="457"/>
    <x v="7"/>
    <n v="7115271776800"/>
    <x v="112"/>
    <d v="2021-07-20T13:50:00"/>
    <d v="1899-12-30T05:50:00"/>
    <n v="51.428571428742487"/>
    <s v="UNPLANNED"/>
    <x v="0"/>
    <d v="1899-12-30T08:00:00"/>
    <x v="0"/>
  </r>
  <r>
    <n v="458"/>
    <x v="0"/>
    <n v="5115271678202"/>
    <x v="112"/>
    <d v="2021-07-20T13:50:00"/>
    <d v="1899-12-30T05:50:00"/>
    <n v="51.428571428742487"/>
    <s v="UNPLANNED"/>
    <x v="0"/>
    <d v="1899-12-30T08:00:00"/>
    <x v="0"/>
  </r>
  <r>
    <n v="459"/>
    <x v="13"/>
    <n v="3115270441800"/>
    <x v="112"/>
    <d v="2021-07-20T13:50:00"/>
    <d v="1899-12-30T05:50:00"/>
    <n v="51.428571428742487"/>
    <s v="UNPLANNED"/>
    <x v="0"/>
    <d v="1899-12-30T08:00:00"/>
    <x v="0"/>
  </r>
  <r>
    <n v="460"/>
    <x v="9"/>
    <n v="2115270291700"/>
    <x v="112"/>
    <d v="2021-07-20T13:50:00"/>
    <d v="1899-12-30T05:50:00"/>
    <n v="51.428571428742487"/>
    <s v="UNPLANNED"/>
    <x v="0"/>
    <d v="1899-12-30T08:00:00"/>
    <x v="0"/>
  </r>
  <r>
    <n v="461"/>
    <x v="9"/>
    <n v="2115270279600"/>
    <x v="112"/>
    <d v="2021-07-20T13:50:00"/>
    <d v="1899-12-30T05:50:00"/>
    <n v="51.428571428742487"/>
    <s v="UNPLANNED"/>
    <x v="1"/>
    <d v="1899-12-30T08:00:00"/>
    <x v="0"/>
  </r>
  <r>
    <n v="462"/>
    <x v="14"/>
    <n v="1115270139400"/>
    <x v="112"/>
    <d v="2021-07-20T13:50:00"/>
    <d v="1899-12-30T05:50:00"/>
    <n v="51.428571428742487"/>
    <s v="UNPLANNED"/>
    <x v="0"/>
    <d v="1899-12-30T08:00:00"/>
    <x v="0"/>
  </r>
  <r>
    <n v="463"/>
    <x v="10"/>
    <n v="11115271552802"/>
    <x v="113"/>
    <d v="2021-07-20T21:30:00"/>
    <d v="1899-12-30T06:30:00"/>
    <n v="46.153846153432845"/>
    <s v="UNPLANNED"/>
    <x v="0"/>
    <d v="1899-12-30T15:00:00"/>
    <x v="1"/>
  </r>
  <r>
    <n v="464"/>
    <x v="11"/>
    <n v="10115271439500"/>
    <x v="113"/>
    <d v="2021-07-20T21:30:00"/>
    <d v="1899-12-30T06:30:00"/>
    <n v="46.153846153432845"/>
    <s v="UNPLANNED"/>
    <x v="0"/>
    <d v="1899-12-30T15:00:00"/>
    <x v="1"/>
  </r>
  <r>
    <n v="465"/>
    <x v="6"/>
    <n v="9115271924500"/>
    <x v="113"/>
    <d v="2021-07-20T21:30:00"/>
    <d v="1899-12-30T06:30:00"/>
    <n v="46.153846153432845"/>
    <s v="UNPLANNED"/>
    <x v="0"/>
    <d v="1899-12-30T15:00:00"/>
    <x v="1"/>
  </r>
  <r>
    <n v="466"/>
    <x v="6"/>
    <n v="9115271908800"/>
    <x v="113"/>
    <d v="2021-07-20T21:30:00"/>
    <d v="1899-12-30T06:30:00"/>
    <n v="46.153846153432845"/>
    <s v="UNPLANNED"/>
    <x v="0"/>
    <d v="1899-12-30T15:00:00"/>
    <x v="1"/>
  </r>
  <r>
    <n v="467"/>
    <x v="7"/>
    <n v="7115271801700"/>
    <x v="113"/>
    <d v="2021-07-20T21:30:00"/>
    <d v="1899-12-30T06:30:00"/>
    <n v="46.153846153432845"/>
    <s v="UNPLANNED"/>
    <x v="0"/>
    <d v="1899-12-30T15:00:00"/>
    <x v="1"/>
  </r>
  <r>
    <n v="468"/>
    <x v="7"/>
    <n v="7115271760300"/>
    <x v="113"/>
    <d v="2021-07-20T21:30:00"/>
    <d v="1899-12-30T06:30:00"/>
    <n v="46.153846153432845"/>
    <s v="UNPLANNED"/>
    <x v="0"/>
    <d v="1899-12-30T15:00:00"/>
    <x v="1"/>
  </r>
  <r>
    <n v="469"/>
    <x v="1"/>
    <n v="6115271749000"/>
    <x v="113"/>
    <d v="2021-07-20T21:30:00"/>
    <d v="1899-12-30T06:30:00"/>
    <n v="46.153846153432845"/>
    <s v="UNPLANNED"/>
    <x v="0"/>
    <d v="1899-12-30T15:00:00"/>
    <x v="1"/>
  </r>
  <r>
    <n v="470"/>
    <x v="1"/>
    <n v="6115271720800"/>
    <x v="113"/>
    <d v="2021-07-20T21:30:00"/>
    <d v="1899-12-30T06:30:00"/>
    <n v="46.153846153432845"/>
    <s v="UNPLANNED"/>
    <x v="1"/>
    <d v="1899-12-30T15:00:00"/>
    <x v="1"/>
  </r>
  <r>
    <n v="471"/>
    <x v="1"/>
    <n v="6115271717404"/>
    <x v="113"/>
    <d v="2021-07-20T21:30:00"/>
    <d v="1899-12-30T06:30:00"/>
    <n v="46.153846153432845"/>
    <s v="UNPLANNED"/>
    <x v="2"/>
    <d v="1899-12-30T15:00:00"/>
    <x v="1"/>
  </r>
  <r>
    <n v="472"/>
    <x v="0"/>
    <n v="5115271238100"/>
    <x v="113"/>
    <d v="2021-07-20T21:30:00"/>
    <d v="1899-12-30T06:30:00"/>
    <n v="46.153846153432845"/>
    <s v="UNPLANNED"/>
    <x v="1"/>
    <d v="1899-12-30T15:00:00"/>
    <x v="1"/>
  </r>
  <r>
    <n v="473"/>
    <x v="8"/>
    <n v="4115270831900"/>
    <x v="113"/>
    <d v="2021-07-20T21:30:00"/>
    <d v="1899-12-30T06:30:00"/>
    <n v="46.153846153432845"/>
    <s v="UNPLANNED"/>
    <x v="1"/>
    <d v="1899-12-30T15:00:00"/>
    <x v="1"/>
  </r>
  <r>
    <n v="474"/>
    <x v="4"/>
    <n v="15115271791100"/>
    <x v="110"/>
    <d v="2021-07-21T03:00:00"/>
    <d v="1899-12-30T04:30:00"/>
    <n v="66.666666666666657"/>
    <s v="UNPLANNED"/>
    <x v="0"/>
    <d v="1899-12-30T22:30:00"/>
    <x v="2"/>
  </r>
  <r>
    <n v="475"/>
    <x v="5"/>
    <n v="13115271591905"/>
    <x v="110"/>
    <d v="2021-07-21T03:00:00"/>
    <d v="1899-12-30T04:30:00"/>
    <n v="66.666666666666657"/>
    <s v="UNPLANNED"/>
    <x v="0"/>
    <d v="1899-12-30T22:30:00"/>
    <x v="2"/>
  </r>
  <r>
    <n v="476"/>
    <x v="2"/>
    <n v="12115271566225"/>
    <x v="110"/>
    <d v="2021-07-21T03:00:00"/>
    <d v="1899-12-30T04:30:00"/>
    <n v="66.666666666666657"/>
    <s v="UNPLANNED"/>
    <x v="1"/>
    <d v="1899-12-30T22:30:00"/>
    <x v="2"/>
  </r>
  <r>
    <n v="477"/>
    <x v="3"/>
    <n v="8115271880902"/>
    <x v="114"/>
    <d v="2021-07-21T11:45:00"/>
    <d v="1899-12-30T03:45:00"/>
    <n v="80"/>
    <s v="UNPLANNED"/>
    <x v="2"/>
    <d v="1899-12-30T08:00:00"/>
    <x v="0"/>
  </r>
  <r>
    <n v="478"/>
    <x v="0"/>
    <n v="5115271685050"/>
    <x v="114"/>
    <d v="2021-07-21T11:45:00"/>
    <d v="1899-12-30T03:45:00"/>
    <n v="80"/>
    <s v="UNPLANNED"/>
    <x v="1"/>
    <d v="1899-12-30T08:00:00"/>
    <x v="0"/>
  </r>
  <r>
    <n v="479"/>
    <x v="13"/>
    <n v="3115270343200"/>
    <x v="114"/>
    <d v="2021-07-21T11:45:00"/>
    <d v="1899-12-30T03:45:00"/>
    <n v="80"/>
    <s v="UNPLANNED"/>
    <x v="1"/>
    <d v="1899-12-30T08:00:00"/>
    <x v="0"/>
  </r>
  <r>
    <n v="480"/>
    <x v="13"/>
    <n v="3115270321900"/>
    <x v="114"/>
    <d v="2021-07-21T11:45:00"/>
    <d v="1899-12-30T03:45:00"/>
    <n v="80"/>
    <s v="UNPLANNED"/>
    <x v="0"/>
    <d v="1899-12-30T08:00:00"/>
    <x v="0"/>
  </r>
  <r>
    <n v="481"/>
    <x v="14"/>
    <n v="1115270075501"/>
    <x v="114"/>
    <d v="2021-07-21T11:45:00"/>
    <d v="1899-12-30T03:45:00"/>
    <n v="80"/>
    <s v="UNPLANNED"/>
    <x v="0"/>
    <d v="1899-12-30T08:00:00"/>
    <x v="0"/>
  </r>
  <r>
    <n v="482"/>
    <x v="3"/>
    <n v="8115271810106"/>
    <x v="115"/>
    <d v="2021-07-21T13:50:00"/>
    <d v="1899-12-30T01:50:00"/>
    <n v="163.63636363290004"/>
    <s v="UNPLANNED"/>
    <x v="0"/>
    <d v="1899-12-30T12:00:00"/>
    <x v="0"/>
  </r>
  <r>
    <n v="483"/>
    <x v="7"/>
    <n v="7115271784000"/>
    <x v="115"/>
    <d v="2021-07-21T13:50:00"/>
    <d v="1899-12-30T01:50:00"/>
    <n v="163.63636363290004"/>
    <s v="UNPLANNED"/>
    <x v="0"/>
    <d v="1899-12-30T12:00:00"/>
    <x v="0"/>
  </r>
  <r>
    <n v="484"/>
    <x v="1"/>
    <n v="6115271720814"/>
    <x v="115"/>
    <d v="2021-07-21T13:50:00"/>
    <d v="1899-12-30T01:50:00"/>
    <n v="163.63636363290004"/>
    <s v="UNPLANNED"/>
    <x v="1"/>
    <d v="1899-12-30T12:00:00"/>
    <x v="0"/>
  </r>
  <r>
    <n v="485"/>
    <x v="5"/>
    <n v="13115271591200"/>
    <x v="116"/>
    <d v="2021-07-21T18:00:00"/>
    <d v="1899-12-30T03:45:00"/>
    <n v="80"/>
    <s v="UNPLANNED"/>
    <x v="0"/>
    <d v="1899-12-30T14:15:00"/>
    <x v="1"/>
  </r>
  <r>
    <n v="486"/>
    <x v="10"/>
    <n v="11115271552300"/>
    <x v="116"/>
    <d v="2021-07-21T18:00:00"/>
    <d v="1899-12-30T03:45:00"/>
    <n v="80"/>
    <s v="UNPLANNED"/>
    <x v="0"/>
    <d v="1899-12-30T14:15:00"/>
    <x v="1"/>
  </r>
  <r>
    <n v="487"/>
    <x v="10"/>
    <n v="11115271530102"/>
    <x v="116"/>
    <d v="2021-07-21T18:00:00"/>
    <d v="1899-12-30T03:45:00"/>
    <n v="80"/>
    <s v="UNPLANNED"/>
    <x v="0"/>
    <d v="1899-12-30T14:15:00"/>
    <x v="1"/>
  </r>
  <r>
    <n v="488"/>
    <x v="11"/>
    <n v="10115270963403"/>
    <x v="116"/>
    <d v="2021-07-21T18:00:00"/>
    <d v="1899-12-30T03:45:00"/>
    <n v="80"/>
    <s v="UNPLANNED"/>
    <x v="0"/>
    <d v="1899-12-30T14:15:00"/>
    <x v="1"/>
  </r>
  <r>
    <n v="489"/>
    <x v="11"/>
    <n v="10115270953000"/>
    <x v="116"/>
    <d v="2021-07-21T18:00:00"/>
    <d v="1899-12-30T03:45:00"/>
    <n v="80"/>
    <s v="UNPLANNED"/>
    <x v="0"/>
    <d v="1899-12-30T14:15:00"/>
    <x v="1"/>
  </r>
  <r>
    <n v="490"/>
    <x v="6"/>
    <n v="9115271909208"/>
    <x v="116"/>
    <d v="2021-07-21T18:00:00"/>
    <d v="1899-12-30T03:45:00"/>
    <n v="80"/>
    <s v="UNPLANNED"/>
    <x v="5"/>
    <d v="1899-12-30T14:15:00"/>
    <x v="1"/>
  </r>
  <r>
    <n v="491"/>
    <x v="8"/>
    <n v="4115270851201"/>
    <x v="117"/>
    <d v="2021-07-21T22:00:00"/>
    <d v="1899-12-30T03:30:00"/>
    <n v="85.714285717136704"/>
    <s v="UNPLANNED"/>
    <x v="0"/>
    <d v="1899-12-30T18:30:00"/>
    <x v="1"/>
  </r>
  <r>
    <n v="492"/>
    <x v="13"/>
    <n v="3115270392100"/>
    <x v="117"/>
    <d v="2021-07-21T22:00:00"/>
    <d v="1899-12-30T03:30:00"/>
    <n v="85.714285717136704"/>
    <s v="UNPLANNED"/>
    <x v="0"/>
    <d v="1899-12-30T18:30:00"/>
    <x v="1"/>
  </r>
  <r>
    <n v="493"/>
    <x v="9"/>
    <n v="2115270238800"/>
    <x v="117"/>
    <d v="2021-07-21T22:00:00"/>
    <d v="1899-12-30T03:30:00"/>
    <n v="85.714285717136704"/>
    <s v="UNPLANNED"/>
    <x v="0"/>
    <d v="1899-12-30T18:30:00"/>
    <x v="1"/>
  </r>
  <r>
    <n v="494"/>
    <x v="14"/>
    <n v="1115270052500"/>
    <x v="117"/>
    <d v="2021-07-21T22:00:00"/>
    <d v="1899-12-30T03:30:00"/>
    <n v="85.714285717136704"/>
    <s v="UNPLANNED"/>
    <x v="0"/>
    <d v="1899-12-30T18:30:00"/>
    <x v="1"/>
  </r>
  <r>
    <n v="495"/>
    <x v="0"/>
    <n v="5115271678309"/>
    <x v="118"/>
    <d v="2021-07-21T23:50:00"/>
    <d v="1899-12-30T01:20:00"/>
    <n v="225.00000000327418"/>
    <s v="UNPLANNED"/>
    <x v="1"/>
    <d v="1899-12-30T22:30:00"/>
    <x v="2"/>
  </r>
  <r>
    <n v="496"/>
    <x v="13"/>
    <n v="3115270393500"/>
    <x v="118"/>
    <d v="2021-07-21T23:50:00"/>
    <d v="1899-12-30T01:20:00"/>
    <n v="225.00000000327418"/>
    <s v="UNPLANNED"/>
    <x v="1"/>
    <d v="1899-12-30T22:30:00"/>
    <x v="2"/>
  </r>
  <r>
    <n v="497"/>
    <x v="2"/>
    <n v="12115271560801"/>
    <x v="119"/>
    <d v="2021-07-22T03:00:00"/>
    <d v="1899-12-30T02:30:00"/>
    <n v="120.00000000279397"/>
    <s v="UNPLANNED"/>
    <x v="1"/>
    <d v="1899-12-30T00:30:00"/>
    <x v="2"/>
  </r>
  <r>
    <n v="498"/>
    <x v="10"/>
    <n v="11115271552200"/>
    <x v="119"/>
    <d v="2021-07-22T03:00:00"/>
    <d v="1899-12-30T02:30:00"/>
    <n v="120.00000000279397"/>
    <s v="UNPLANNED"/>
    <x v="0"/>
    <d v="1899-12-30T00:30:00"/>
    <x v="2"/>
  </r>
  <r>
    <n v="499"/>
    <x v="11"/>
    <n v="10115271440500"/>
    <x v="119"/>
    <d v="2021-07-22T03:00:00"/>
    <d v="1899-12-30T02:30:00"/>
    <n v="120.00000000279397"/>
    <s v="UNPLANNED"/>
    <x v="0"/>
    <d v="1899-12-30T00:30:00"/>
    <x v="2"/>
  </r>
  <r>
    <n v="500"/>
    <x v="5"/>
    <n v="13115271672305"/>
    <x v="120"/>
    <d v="2021-07-22T12:00:00"/>
    <d v="1899-12-30T04:00:00"/>
    <n v="75.000000001091394"/>
    <s v="UNPLANNED"/>
    <x v="0"/>
    <d v="1899-12-30T08:00:00"/>
    <x v="0"/>
  </r>
  <r>
    <n v="501"/>
    <x v="10"/>
    <n v="11115271560114"/>
    <x v="120"/>
    <d v="2021-07-22T12:00:00"/>
    <d v="1899-12-30T04:00:00"/>
    <n v="75.000000001091394"/>
    <s v="UNPLANNED"/>
    <x v="0"/>
    <d v="1899-12-30T08:00:00"/>
    <x v="0"/>
  </r>
  <r>
    <n v="502"/>
    <x v="11"/>
    <n v="10115271958400"/>
    <x v="120"/>
    <d v="2021-07-22T12:00:00"/>
    <d v="1899-12-30T04:00:00"/>
    <n v="75.000000001091394"/>
    <s v="UNPLANNED"/>
    <x v="1"/>
    <d v="1899-12-30T08:00:00"/>
    <x v="0"/>
  </r>
  <r>
    <n v="503"/>
    <x v="11"/>
    <n v="10115270952801"/>
    <x v="120"/>
    <d v="2021-07-22T12:00:00"/>
    <d v="1899-12-30T04:00:00"/>
    <n v="75.000000001091394"/>
    <s v="UNPLANNED"/>
    <x v="0"/>
    <d v="1899-12-30T08:00:00"/>
    <x v="0"/>
  </r>
  <r>
    <n v="504"/>
    <x v="0"/>
    <n v="5115271677600"/>
    <x v="120"/>
    <d v="2021-07-22T12:00:00"/>
    <d v="1899-12-30T04:00:00"/>
    <n v="75.000000001091394"/>
    <s v="UNPLANNED"/>
    <x v="0"/>
    <d v="1899-12-30T08:00:00"/>
    <x v="0"/>
  </r>
  <r>
    <n v="505"/>
    <x v="13"/>
    <n v="3115270429100"/>
    <x v="120"/>
    <d v="2021-07-22T12:00:00"/>
    <d v="1899-12-30T04:00:00"/>
    <n v="75.000000001091394"/>
    <s v="UNPLANNED"/>
    <x v="0"/>
    <d v="1899-12-30T08:00:00"/>
    <x v="0"/>
  </r>
  <r>
    <n v="506"/>
    <x v="8"/>
    <n v="4115271058310"/>
    <x v="121"/>
    <d v="2021-07-22T14:10:00"/>
    <d v="1899-12-30T01:35:00"/>
    <n v="189.47368419891703"/>
    <s v="UNPLANNED"/>
    <x v="0"/>
    <d v="1899-12-30T12:35:00"/>
    <x v="0"/>
  </r>
  <r>
    <n v="507"/>
    <x v="13"/>
    <n v="3115270397900"/>
    <x v="121"/>
    <d v="2021-07-22T14:10:00"/>
    <d v="1899-12-30T01:35:00"/>
    <n v="189.47368419891703"/>
    <s v="UNPLANNED"/>
    <x v="0"/>
    <d v="1899-12-30T12:35:00"/>
    <x v="0"/>
  </r>
  <r>
    <n v="508"/>
    <x v="7"/>
    <n v="7115271783301"/>
    <x v="121"/>
    <d v="2021-07-22T14:15:00"/>
    <d v="1899-12-30T01:40:00"/>
    <n v="179.99999999790452"/>
    <s v="UNPLANNED"/>
    <x v="1"/>
    <d v="1899-12-30T12:35:00"/>
    <x v="0"/>
  </r>
  <r>
    <n v="509"/>
    <x v="4"/>
    <n v="15115271748465"/>
    <x v="122"/>
    <d v="2021-07-22T21:30:00"/>
    <d v="1899-12-30T06:30:00"/>
    <n v="46.153846153432845"/>
    <s v="UNPLANNED"/>
    <x v="0"/>
    <d v="1899-12-30T15:00:00"/>
    <x v="1"/>
  </r>
  <r>
    <n v="510"/>
    <x v="12"/>
    <n v="14115271672601"/>
    <x v="122"/>
    <d v="2021-07-22T21:30:00"/>
    <d v="1899-12-30T06:30:00"/>
    <n v="46.153846153432845"/>
    <s v="UNPLANNED"/>
    <x v="0"/>
    <d v="1899-12-30T15:00:00"/>
    <x v="1"/>
  </r>
  <r>
    <n v="511"/>
    <x v="2"/>
    <n v="12115271585600"/>
    <x v="122"/>
    <d v="2021-07-22T21:30:00"/>
    <d v="1899-12-30T06:30:00"/>
    <n v="46.153846153432845"/>
    <s v="UNPLANNED"/>
    <x v="0"/>
    <d v="1899-12-30T15:00:00"/>
    <x v="1"/>
  </r>
  <r>
    <n v="512"/>
    <x v="2"/>
    <n v="12115271560127"/>
    <x v="122"/>
    <d v="2021-07-22T21:30:00"/>
    <d v="1899-12-30T06:30:00"/>
    <n v="46.153846153432845"/>
    <s v="UNPLANNED"/>
    <x v="6"/>
    <d v="1899-12-30T15:00:00"/>
    <x v="1"/>
  </r>
  <r>
    <n v="513"/>
    <x v="10"/>
    <n v="11115271552802"/>
    <x v="122"/>
    <d v="2021-07-22T21:30:00"/>
    <d v="1899-12-30T06:30:00"/>
    <n v="46.153846153432845"/>
    <s v="UNPLANNED"/>
    <x v="0"/>
    <d v="1899-12-30T15:00:00"/>
    <x v="1"/>
  </r>
  <r>
    <n v="514"/>
    <x v="7"/>
    <n v="7115271766600"/>
    <x v="122"/>
    <d v="2021-07-22T21:30:00"/>
    <d v="1899-12-30T06:30:00"/>
    <n v="46.153846153432845"/>
    <s v="UNPLANNED"/>
    <x v="0"/>
    <d v="1899-12-30T15:00:00"/>
    <x v="1"/>
  </r>
  <r>
    <n v="515"/>
    <x v="13"/>
    <n v="3115270821600"/>
    <x v="122"/>
    <d v="2021-07-22T21:30:00"/>
    <d v="1899-12-30T06:30:00"/>
    <n v="46.153846153432845"/>
    <s v="UNPLANNED"/>
    <x v="0"/>
    <d v="1899-12-30T15:00:00"/>
    <x v="1"/>
  </r>
  <r>
    <n v="516"/>
    <x v="9"/>
    <n v="2115270292600"/>
    <x v="122"/>
    <d v="2021-07-22T21:30:00"/>
    <d v="1899-12-30T06:30:00"/>
    <n v="46.153846153432845"/>
    <s v="UNPLANNED"/>
    <x v="0"/>
    <d v="1899-12-30T15:00:00"/>
    <x v="1"/>
  </r>
  <r>
    <n v="517"/>
    <x v="14"/>
    <n v="1115270070000"/>
    <x v="122"/>
    <d v="2021-07-22T21:30:00"/>
    <d v="1899-12-30T06:30:00"/>
    <n v="46.153846153432845"/>
    <s v="UNPLANNED"/>
    <x v="0"/>
    <d v="1899-12-30T15:00:00"/>
    <x v="1"/>
  </r>
  <r>
    <n v="518"/>
    <x v="10"/>
    <n v="11115271483500"/>
    <x v="123"/>
    <d v="2021-07-23T02:30:00"/>
    <d v="1899-12-30T04:00:00"/>
    <n v="75.000000001091394"/>
    <s v="UNPLANNED"/>
    <x v="0"/>
    <d v="1899-12-30T22:30:00"/>
    <x v="2"/>
  </r>
  <r>
    <n v="519"/>
    <x v="7"/>
    <n v="7115271802201"/>
    <x v="123"/>
    <d v="2021-07-23T02:30:00"/>
    <d v="1899-12-30T04:00:00"/>
    <n v="75.000000001091394"/>
    <s v="UNPLANNED"/>
    <x v="0"/>
    <d v="1899-12-30T22:30:00"/>
    <x v="2"/>
  </r>
  <r>
    <n v="520"/>
    <x v="0"/>
    <n v="5115271684801"/>
    <x v="123"/>
    <d v="2021-07-23T02:30:00"/>
    <d v="1899-12-30T04:00:00"/>
    <n v="75.000000001091394"/>
    <s v="UNPLANNED"/>
    <x v="0"/>
    <d v="1899-12-30T22:30:00"/>
    <x v="2"/>
  </r>
  <r>
    <n v="521"/>
    <x v="0"/>
    <n v="5115271678309"/>
    <x v="123"/>
    <d v="2021-07-23T02:30:00"/>
    <d v="1899-12-30T04:00:00"/>
    <n v="75.000000001091394"/>
    <s v="UNPLANNED"/>
    <x v="0"/>
    <d v="1899-12-30T22:30:00"/>
    <x v="2"/>
  </r>
  <r>
    <n v="522"/>
    <x v="12"/>
    <n v="14115271672602"/>
    <x v="124"/>
    <d v="2021-07-23T12:00:00"/>
    <d v="1899-12-30T04:00:00"/>
    <n v="75.000000001091394"/>
    <s v="UNPLANNED"/>
    <x v="0"/>
    <d v="1899-12-30T08:00:00"/>
    <x v="0"/>
  </r>
  <r>
    <n v="523"/>
    <x v="5"/>
    <n v="13115271650700"/>
    <x v="124"/>
    <d v="2021-07-23T12:00:00"/>
    <d v="1899-12-30T04:00:00"/>
    <n v="75.000000001091394"/>
    <s v="UNPLANNED"/>
    <x v="1"/>
    <d v="1899-12-30T08:00:00"/>
    <x v="0"/>
  </r>
  <r>
    <n v="524"/>
    <x v="5"/>
    <n v="13115271591107"/>
    <x v="124"/>
    <d v="2021-07-23T12:00:00"/>
    <d v="1899-12-30T04:00:00"/>
    <n v="75.000000001091394"/>
    <s v="UNPLANNED"/>
    <x v="0"/>
    <d v="1899-12-30T08:00:00"/>
    <x v="0"/>
  </r>
  <r>
    <n v="525"/>
    <x v="2"/>
    <n v="12115271575005"/>
    <x v="124"/>
    <d v="2021-07-23T12:00:00"/>
    <d v="1899-12-30T04:00:00"/>
    <n v="75.000000001091394"/>
    <s v="UNPLANNED"/>
    <x v="0"/>
    <d v="1899-12-30T08:00:00"/>
    <x v="0"/>
  </r>
  <r>
    <n v="526"/>
    <x v="4"/>
    <n v="15115271780900"/>
    <x v="125"/>
    <d v="2021-07-23T14:00:00"/>
    <d v="1899-12-30T01:30:00"/>
    <n v="200"/>
    <s v="UNPLANNED"/>
    <x v="0"/>
    <d v="1899-12-30T12:30:00"/>
    <x v="0"/>
  </r>
  <r>
    <n v="527"/>
    <x v="4"/>
    <n v="15115271743805"/>
    <x v="125"/>
    <d v="2021-07-23T14:00:00"/>
    <d v="1899-12-30T01:30:00"/>
    <n v="200"/>
    <s v="UNPLANNED"/>
    <x v="0"/>
    <d v="1899-12-30T12:30:00"/>
    <x v="0"/>
  </r>
  <r>
    <n v="528"/>
    <x v="2"/>
    <n v="12115271588610"/>
    <x v="125"/>
    <d v="2021-07-23T14:00:00"/>
    <d v="1899-12-30T01:30:00"/>
    <n v="200"/>
    <s v="UNPLANNED"/>
    <x v="0"/>
    <d v="1899-12-30T12:30:00"/>
    <x v="0"/>
  </r>
  <r>
    <n v="529"/>
    <x v="3"/>
    <n v="8115271860600"/>
    <x v="126"/>
    <d v="2021-07-23T18:00:00"/>
    <d v="1899-12-30T03:00:00"/>
    <n v="100"/>
    <s v="UNPLANNED"/>
    <x v="0"/>
    <d v="1899-12-30T15:00:00"/>
    <x v="1"/>
  </r>
  <r>
    <n v="530"/>
    <x v="7"/>
    <n v="7115271764701"/>
    <x v="126"/>
    <d v="2021-07-23T18:00:00"/>
    <d v="1899-12-30T03:00:00"/>
    <n v="100"/>
    <s v="UNPLANNED"/>
    <x v="0"/>
    <d v="1899-12-30T15:00:00"/>
    <x v="1"/>
  </r>
  <r>
    <n v="531"/>
    <x v="0"/>
    <n v="5115271282200"/>
    <x v="126"/>
    <d v="2021-07-23T18:00:00"/>
    <d v="1899-12-30T03:00:00"/>
    <n v="100"/>
    <s v="UNPLANNED"/>
    <x v="0"/>
    <d v="1899-12-30T15:00:00"/>
    <x v="1"/>
  </r>
  <r>
    <n v="532"/>
    <x v="13"/>
    <n v="3115270395900"/>
    <x v="126"/>
    <d v="2021-07-23T18:00:00"/>
    <d v="1899-12-30T03:00:00"/>
    <n v="100"/>
    <s v="UNPLANNED"/>
    <x v="0"/>
    <d v="1899-12-30T15:00:00"/>
    <x v="1"/>
  </r>
  <r>
    <n v="533"/>
    <x v="1"/>
    <n v="6115271748906"/>
    <x v="127"/>
    <d v="2021-07-23T21:40:00"/>
    <d v="1899-12-30T02:40:00"/>
    <n v="112.49999999427018"/>
    <s v="UNPLANNED"/>
    <x v="0"/>
    <d v="1899-12-30T19:00:00"/>
    <x v="1"/>
  </r>
  <r>
    <n v="534"/>
    <x v="0"/>
    <n v="5115271677900"/>
    <x v="127"/>
    <d v="2021-07-23T21:40:00"/>
    <d v="1899-12-30T02:40:00"/>
    <n v="112.49999999427018"/>
    <s v="UNPLANNED"/>
    <x v="0"/>
    <d v="1899-12-30T19:00:00"/>
    <x v="1"/>
  </r>
  <r>
    <n v="535"/>
    <x v="8"/>
    <n v="4115270852401"/>
    <x v="127"/>
    <d v="2021-07-23T21:40:00"/>
    <d v="1899-12-30T02:40:00"/>
    <n v="112.49999999427018"/>
    <s v="UNPLANNED"/>
    <x v="0"/>
    <d v="1899-12-30T19:00:00"/>
    <x v="1"/>
  </r>
  <r>
    <n v="536"/>
    <x v="14"/>
    <n v="1115270104700"/>
    <x v="127"/>
    <d v="2021-07-23T21:40:00"/>
    <d v="1899-12-30T02:40:00"/>
    <n v="112.49999999427018"/>
    <s v="UNPLANNED"/>
    <x v="0"/>
    <d v="1899-12-30T19:00:00"/>
    <x v="1"/>
  </r>
  <r>
    <n v="537"/>
    <x v="2"/>
    <n v="12115271569827"/>
    <x v="128"/>
    <d v="2021-07-24T02:00:00"/>
    <d v="1899-12-30T03:30:00"/>
    <n v="85.714285712860217"/>
    <s v="UNPLANNED"/>
    <x v="0"/>
    <d v="1899-12-30T22:30:00"/>
    <x v="2"/>
  </r>
  <r>
    <n v="538"/>
    <x v="2"/>
    <n v="12115271559930"/>
    <x v="128"/>
    <d v="2021-07-24T02:00:00"/>
    <d v="1899-12-30T03:30:00"/>
    <n v="85.714285712860217"/>
    <s v="UNPLANNED"/>
    <x v="1"/>
    <d v="1899-12-30T22:30:00"/>
    <x v="2"/>
  </r>
  <r>
    <n v="539"/>
    <x v="11"/>
    <n v="10115271434100"/>
    <x v="128"/>
    <d v="2021-07-24T02:00:00"/>
    <d v="1899-12-30T03:30:00"/>
    <n v="85.714285712860217"/>
    <s v="UNPLANNED"/>
    <x v="0"/>
    <d v="1899-12-30T22:30:00"/>
    <x v="2"/>
  </r>
  <r>
    <n v="540"/>
    <x v="6"/>
    <n v="9115271908700"/>
    <x v="128"/>
    <d v="2021-07-24T02:00:00"/>
    <d v="1899-12-30T03:30:00"/>
    <n v="85.714285712860217"/>
    <s v="UNPLANNED"/>
    <x v="0"/>
    <d v="1899-12-30T22:30:00"/>
    <x v="2"/>
  </r>
  <r>
    <n v="541"/>
    <x v="7"/>
    <n v="7115271783703"/>
    <x v="129"/>
    <d v="2021-07-24T02:00:00"/>
    <d v="1899-12-31T01:30:00"/>
    <n v="11.76470588235294"/>
    <s v="UNPLANNED"/>
    <x v="0"/>
    <d v="1899-12-30T00:30:00"/>
    <x v="2"/>
  </r>
  <r>
    <n v="542"/>
    <x v="12"/>
    <n v="14115271713900"/>
    <x v="130"/>
    <d v="2021-07-24T13:50:00"/>
    <d v="1899-12-30T05:50:00"/>
    <n v="51.428571428742487"/>
    <s v="UNPLANNED"/>
    <x v="0"/>
    <d v="1899-12-30T08:00:00"/>
    <x v="0"/>
  </r>
  <r>
    <n v="543"/>
    <x v="12"/>
    <n v="14115271713102"/>
    <x v="130"/>
    <d v="2021-07-24T13:50:00"/>
    <d v="1899-12-30T05:50:00"/>
    <n v="51.428571428742487"/>
    <s v="UNPLANNED"/>
    <x v="6"/>
    <d v="1899-12-30T08:00:00"/>
    <x v="0"/>
  </r>
  <r>
    <n v="544"/>
    <x v="5"/>
    <n v="13115271639303"/>
    <x v="130"/>
    <d v="2021-07-24T13:50:00"/>
    <d v="1899-12-30T05:50:00"/>
    <n v="51.428571428742487"/>
    <s v="UNPLANNED"/>
    <x v="1"/>
    <d v="1899-12-30T08:00:00"/>
    <x v="0"/>
  </r>
  <r>
    <n v="545"/>
    <x v="2"/>
    <n v="12115271567400"/>
    <x v="130"/>
    <d v="2021-07-24T13:50:00"/>
    <d v="1899-12-30T05:50:00"/>
    <n v="51.428571428742487"/>
    <s v="UNPLANNED"/>
    <x v="1"/>
    <d v="1899-12-30T08:00:00"/>
    <x v="0"/>
  </r>
  <r>
    <n v="546"/>
    <x v="10"/>
    <n v="11115271542600"/>
    <x v="130"/>
    <d v="2021-07-24T13:50:00"/>
    <d v="1899-12-30T05:50:00"/>
    <n v="51.428571428742487"/>
    <s v="UNPLANNED"/>
    <x v="2"/>
    <d v="1899-12-30T08:00:00"/>
    <x v="0"/>
  </r>
  <r>
    <n v="547"/>
    <x v="11"/>
    <n v="10115271450400"/>
    <x v="130"/>
    <d v="2021-07-24T13:50:00"/>
    <d v="1899-12-30T05:50:00"/>
    <n v="51.428571428742487"/>
    <s v="UNPLANNED"/>
    <x v="1"/>
    <d v="1899-12-30T08:00:00"/>
    <x v="0"/>
  </r>
  <r>
    <n v="548"/>
    <x v="3"/>
    <n v="8115271842401"/>
    <x v="130"/>
    <d v="2021-07-24T13:50:00"/>
    <d v="1899-12-30T05:50:00"/>
    <n v="51.428571428742487"/>
    <s v="UNPLANNED"/>
    <x v="0"/>
    <d v="1899-12-30T08:00:00"/>
    <x v="0"/>
  </r>
  <r>
    <n v="549"/>
    <x v="8"/>
    <n v="4115270877504"/>
    <x v="131"/>
    <d v="2021-07-24T16:00:00"/>
    <d v="1899-12-30T01:30:00"/>
    <n v="200"/>
    <s v="UNPLANNED"/>
    <x v="0"/>
    <d v="1899-12-30T14:30:00"/>
    <x v="1"/>
  </r>
  <r>
    <n v="550"/>
    <x v="13"/>
    <n v="3115270311200"/>
    <x v="131"/>
    <d v="2021-07-24T16:00:00"/>
    <d v="1899-12-30T01:30:00"/>
    <n v="200"/>
    <s v="UNPLANNED"/>
    <x v="1"/>
    <d v="1899-12-30T14:30:00"/>
    <x v="1"/>
  </r>
  <r>
    <n v="551"/>
    <x v="7"/>
    <n v="7115271781007"/>
    <x v="132"/>
    <d v="2021-07-24T21:50:00"/>
    <d v="1899-12-30T04:50:00"/>
    <n v="62.068965518985529"/>
    <s v="UNPLANNED"/>
    <x v="1"/>
    <d v="1899-12-30T17:00:00"/>
    <x v="1"/>
  </r>
  <r>
    <n v="552"/>
    <x v="0"/>
    <n v="5115271678309"/>
    <x v="132"/>
    <d v="2021-07-24T21:50:00"/>
    <d v="1899-12-30T04:50:00"/>
    <n v="62.068965518985529"/>
    <s v="UNPLANNED"/>
    <x v="1"/>
    <d v="1899-12-30T17:00:00"/>
    <x v="1"/>
  </r>
  <r>
    <n v="553"/>
    <x v="0"/>
    <n v="5115271270400"/>
    <x v="132"/>
    <d v="2021-07-24T21:50:00"/>
    <d v="1899-12-30T04:50:00"/>
    <n v="62.068965518985529"/>
    <s v="UNPLANNED"/>
    <x v="0"/>
    <d v="1899-12-30T17:00:00"/>
    <x v="1"/>
  </r>
  <r>
    <n v="554"/>
    <x v="8"/>
    <n v="4115270847400"/>
    <x v="132"/>
    <d v="2021-07-24T21:50:00"/>
    <d v="1899-12-30T04:50:00"/>
    <n v="62.068965518985529"/>
    <s v="UNPLANNED"/>
    <x v="0"/>
    <d v="1899-12-30T17:00:00"/>
    <x v="1"/>
  </r>
  <r>
    <n v="555"/>
    <x v="13"/>
    <n v="3115270306400"/>
    <x v="132"/>
    <d v="2021-07-24T21:50:00"/>
    <d v="1899-12-30T04:50:00"/>
    <n v="62.068965518985529"/>
    <s v="UNPLANNED"/>
    <x v="0"/>
    <d v="1899-12-30T17:00:00"/>
    <x v="1"/>
  </r>
  <r>
    <n v="556"/>
    <x v="5"/>
    <n v="13115271591800"/>
    <x v="133"/>
    <d v="2021-07-25T02:00:00"/>
    <d v="1899-12-30T03:00:00"/>
    <n v="100"/>
    <s v="UNPLANNED"/>
    <x v="0"/>
    <d v="1899-12-30T23:00:00"/>
    <x v="2"/>
  </r>
  <r>
    <n v="557"/>
    <x v="6"/>
    <n v="9115271909202"/>
    <x v="133"/>
    <d v="2021-07-25T02:00:00"/>
    <d v="1899-12-30T03:00:00"/>
    <n v="100"/>
    <s v="UNPLANNED"/>
    <x v="0"/>
    <d v="1899-12-30T23:00:00"/>
    <x v="2"/>
  </r>
  <r>
    <n v="558"/>
    <x v="6"/>
    <n v="9115270624000"/>
    <x v="133"/>
    <d v="2021-07-25T02:00:00"/>
    <d v="1899-12-30T03:00:00"/>
    <n v="100"/>
    <s v="UNPLANNED"/>
    <x v="1"/>
    <d v="1899-12-30T23:00:00"/>
    <x v="2"/>
  </r>
  <r>
    <n v="559"/>
    <x v="12"/>
    <n v="14115271690200"/>
    <x v="134"/>
    <d v="2021-07-25T11:30:00"/>
    <d v="1899-12-30T03:30:00"/>
    <n v="85.714285717136704"/>
    <s v="UNPLANNED"/>
    <x v="2"/>
    <d v="1899-12-30T08:00:00"/>
    <x v="0"/>
  </r>
  <r>
    <n v="560"/>
    <x v="5"/>
    <n v="13115271590300"/>
    <x v="134"/>
    <d v="2021-07-25T11:30:00"/>
    <d v="1899-12-30T03:30:00"/>
    <n v="85.714285717136704"/>
    <s v="UNPLANNED"/>
    <x v="0"/>
    <d v="1899-12-30T08:00:00"/>
    <x v="0"/>
  </r>
  <r>
    <n v="561"/>
    <x v="11"/>
    <n v="10115270953302"/>
    <x v="134"/>
    <d v="2021-07-25T11:30:00"/>
    <d v="1899-12-30T03:30:00"/>
    <n v="85.714285717136704"/>
    <s v="UNPLANNED"/>
    <x v="0"/>
    <d v="1899-12-30T08:00:00"/>
    <x v="0"/>
  </r>
  <r>
    <n v="562"/>
    <x v="6"/>
    <n v="9115270622800"/>
    <x v="134"/>
    <d v="2021-07-25T11:30:00"/>
    <d v="1899-12-30T03:30:00"/>
    <n v="85.714285717136704"/>
    <s v="UNPLANNED"/>
    <x v="1"/>
    <d v="1899-12-30T08:00:00"/>
    <x v="0"/>
  </r>
  <r>
    <n v="563"/>
    <x v="7"/>
    <n v="7115271797701"/>
    <x v="134"/>
    <d v="2021-07-25T11:30:00"/>
    <d v="1899-12-30T03:30:00"/>
    <n v="85.714285717136704"/>
    <s v="UNPLANNED"/>
    <x v="0"/>
    <d v="1899-12-30T08:00:00"/>
    <x v="0"/>
  </r>
  <r>
    <n v="564"/>
    <x v="4"/>
    <n v="15115271748900"/>
    <x v="135"/>
    <d v="2021-07-25T13:55:00"/>
    <d v="1899-12-30T01:20:00"/>
    <n v="225.00000000327418"/>
    <s v="UNPLANNED"/>
    <x v="0"/>
    <d v="1899-12-30T12:35:00"/>
    <x v="0"/>
  </r>
  <r>
    <n v="565"/>
    <x v="3"/>
    <n v="8115271862900"/>
    <x v="135"/>
    <d v="2021-07-25T13:55:00"/>
    <d v="1899-12-30T01:20:00"/>
    <n v="225.00000000327418"/>
    <s v="UNPLANNED"/>
    <x v="0"/>
    <d v="1899-12-30T12:35:00"/>
    <x v="0"/>
  </r>
  <r>
    <n v="566"/>
    <x v="7"/>
    <n v="7115271766503"/>
    <x v="135"/>
    <d v="2021-07-25T13:55:00"/>
    <d v="1899-12-30T01:20:00"/>
    <n v="225.00000000327418"/>
    <s v="UNPLANNED"/>
    <x v="0"/>
    <d v="1899-12-30T12:35:00"/>
    <x v="0"/>
  </r>
  <r>
    <n v="567"/>
    <x v="7"/>
    <n v="7115271766319"/>
    <x v="136"/>
    <d v="2021-07-25T18:40:00"/>
    <d v="1899-12-30T04:20:00"/>
    <n v="69.230769228289375"/>
    <s v="UNPLANNED"/>
    <x v="1"/>
    <d v="1899-12-30T14:20:00"/>
    <x v="1"/>
  </r>
  <r>
    <n v="568"/>
    <x v="1"/>
    <n v="6115271733900"/>
    <x v="136"/>
    <d v="2021-07-25T18:40:00"/>
    <d v="1899-12-30T04:20:00"/>
    <n v="69.230769228289375"/>
    <s v="UNPLANNED"/>
    <x v="0"/>
    <d v="1899-12-30T14:20:00"/>
    <x v="1"/>
  </r>
  <r>
    <n v="569"/>
    <x v="0"/>
    <n v="5115271260700"/>
    <x v="136"/>
    <d v="2021-07-25T18:40:00"/>
    <d v="1899-12-30T04:20:00"/>
    <n v="69.230769228289375"/>
    <s v="UNPLANNED"/>
    <x v="0"/>
    <d v="1899-12-30T14:20:00"/>
    <x v="1"/>
  </r>
  <r>
    <n v="570"/>
    <x v="8"/>
    <n v="4115270826300"/>
    <x v="136"/>
    <d v="2021-07-25T18:40:00"/>
    <d v="1899-12-30T04:20:00"/>
    <n v="69.230769228289375"/>
    <s v="UNPLANNED"/>
    <x v="0"/>
    <d v="1899-12-30T14:20:00"/>
    <x v="1"/>
  </r>
  <r>
    <n v="571"/>
    <x v="3"/>
    <n v="8115271878004"/>
    <x v="137"/>
    <d v="2021-07-25T22:00:00"/>
    <d v="1899-12-30T03:00:00"/>
    <n v="100"/>
    <s v="UNPLANNED"/>
    <x v="1"/>
    <d v="1899-12-30T19:00:00"/>
    <x v="1"/>
  </r>
  <r>
    <n v="572"/>
    <x v="1"/>
    <n v="6115271736202"/>
    <x v="137"/>
    <d v="2021-07-25T22:00:00"/>
    <d v="1899-12-30T03:00:00"/>
    <n v="100"/>
    <s v="UNPLANNED"/>
    <x v="0"/>
    <d v="1899-12-30T19:00:00"/>
    <x v="1"/>
  </r>
  <r>
    <n v="573"/>
    <x v="14"/>
    <n v="1115270027600"/>
    <x v="137"/>
    <d v="2021-07-25T22:00:00"/>
    <d v="1899-12-30T03:00:00"/>
    <n v="100"/>
    <s v="UNPLANNED"/>
    <x v="0"/>
    <d v="1899-12-30T19:00:00"/>
    <x v="1"/>
  </r>
  <r>
    <n v="574"/>
    <x v="9"/>
    <n v="2115270154500"/>
    <x v="138"/>
    <d v="2021-07-27T02:00:00"/>
    <d v="1899-12-30T03:30:00"/>
    <n v="85.714285712860217"/>
    <s v="UNPLANNED"/>
    <x v="1"/>
    <d v="1899-12-30T22:30:00"/>
    <x v="2"/>
  </r>
  <r>
    <n v="575"/>
    <x v="12"/>
    <n v="14115271713705"/>
    <x v="139"/>
    <d v="2021-07-26T03:30:00"/>
    <d v="1899-12-30T04:30:00"/>
    <n v="66.666666666666657"/>
    <s v="UNPLANNED"/>
    <x v="0"/>
    <d v="1899-12-30T23:00:00"/>
    <x v="2"/>
  </r>
  <r>
    <n v="576"/>
    <x v="6"/>
    <n v="9115271909101"/>
    <x v="139"/>
    <d v="2021-07-26T03:30:00"/>
    <d v="1899-12-30T04:30:00"/>
    <n v="66.666666666666657"/>
    <s v="UNPLANNED"/>
    <x v="0"/>
    <d v="1899-12-30T23:00:00"/>
    <x v="2"/>
  </r>
  <r>
    <n v="577"/>
    <x v="3"/>
    <n v="8115271839300"/>
    <x v="139"/>
    <d v="2021-07-26T03:30:00"/>
    <d v="1899-12-30T04:30:00"/>
    <n v="66.666666666666657"/>
    <s v="UNPLANNED"/>
    <x v="0"/>
    <d v="1899-12-30T23:00:00"/>
    <x v="2"/>
  </r>
  <r>
    <n v="578"/>
    <x v="8"/>
    <n v="4115271213400"/>
    <x v="139"/>
    <d v="2021-07-26T03:30:00"/>
    <d v="1899-12-30T04:30:00"/>
    <n v="66.666666666666657"/>
    <s v="UNPLANNED"/>
    <x v="0"/>
    <d v="1899-12-30T23:00:00"/>
    <x v="2"/>
  </r>
  <r>
    <n v="579"/>
    <x v="7"/>
    <n v="7115271767201"/>
    <x v="140"/>
    <d v="2021-07-26T12:00:00"/>
    <d v="1899-12-30T04:00:00"/>
    <n v="75.000000001091394"/>
    <s v="UNPLANNED"/>
    <x v="0"/>
    <d v="1899-12-30T08:00:00"/>
    <x v="0"/>
  </r>
  <r>
    <n v="580"/>
    <x v="0"/>
    <n v="5115271678309"/>
    <x v="140"/>
    <d v="2021-07-26T12:00:00"/>
    <d v="1899-12-30T04:00:00"/>
    <n v="75.000000001091394"/>
    <s v="UNPLANNED"/>
    <x v="0"/>
    <d v="1899-12-30T08:00:00"/>
    <x v="0"/>
  </r>
  <r>
    <n v="581"/>
    <x v="8"/>
    <n v="4115270869003"/>
    <x v="140"/>
    <d v="2021-07-26T12:00:00"/>
    <d v="1899-12-30T04:00:00"/>
    <n v="75.000000001091394"/>
    <s v="UNPLANNED"/>
    <x v="0"/>
    <d v="1899-12-30T08:00:00"/>
    <x v="0"/>
  </r>
  <r>
    <n v="582"/>
    <x v="9"/>
    <n v="2115270202300"/>
    <x v="140"/>
    <d v="2021-07-26T12:00:00"/>
    <d v="1899-12-30T04:00:00"/>
    <n v="75.000000001091394"/>
    <s v="UNPLANNED"/>
    <x v="0"/>
    <d v="1899-12-30T08:00:00"/>
    <x v="0"/>
  </r>
  <r>
    <n v="583"/>
    <x v="9"/>
    <n v="2115270154400"/>
    <x v="140"/>
    <d v="2021-07-26T12:00:00"/>
    <d v="1899-12-30T04:00:00"/>
    <n v="75.000000001091394"/>
    <s v="UNPLANNED"/>
    <x v="0"/>
    <d v="1899-12-30T08:00:00"/>
    <x v="0"/>
  </r>
  <r>
    <n v="584"/>
    <x v="6"/>
    <n v="9115271909107"/>
    <x v="141"/>
    <d v="2021-07-26T13:50:00"/>
    <d v="1899-12-30T01:05:00"/>
    <n v="276.9230769131575"/>
    <s v="UNPLANNED"/>
    <x v="1"/>
    <d v="1899-12-30T12:45:00"/>
    <x v="0"/>
  </r>
  <r>
    <n v="585"/>
    <x v="3"/>
    <n v="8115271816501"/>
    <x v="141"/>
    <d v="2021-07-26T13:50:00"/>
    <d v="1899-12-30T01:05:00"/>
    <n v="276.9230769131575"/>
    <s v="UNPLANNED"/>
    <x v="0"/>
    <d v="1899-12-30T12:45:00"/>
    <x v="0"/>
  </r>
  <r>
    <n v="586"/>
    <x v="4"/>
    <n v="15115271792402"/>
    <x v="142"/>
    <d v="2021-07-26T17:00:00"/>
    <d v="1899-12-30T02:30:00"/>
    <n v="119.99999999441206"/>
    <s v="UNPLANNED"/>
    <x v="0"/>
    <d v="1899-12-30T14:30:00"/>
    <x v="1"/>
  </r>
  <r>
    <n v="587"/>
    <x v="5"/>
    <n v="13115271591200"/>
    <x v="142"/>
    <d v="2021-07-26T17:00:00"/>
    <d v="1899-12-30T02:30:00"/>
    <n v="119.99999999441206"/>
    <s v="UNPLANNED"/>
    <x v="0"/>
    <d v="1899-12-30T14:30:00"/>
    <x v="1"/>
  </r>
  <r>
    <n v="588"/>
    <x v="11"/>
    <n v="10115271408900"/>
    <x v="142"/>
    <d v="2021-07-26T17:00:00"/>
    <d v="1899-12-30T02:30:00"/>
    <n v="119.99999999441206"/>
    <s v="UNPLANNED"/>
    <x v="0"/>
    <d v="1899-12-30T14:30:00"/>
    <x v="1"/>
  </r>
  <r>
    <n v="589"/>
    <x v="11"/>
    <n v="10115271425900"/>
    <x v="143"/>
    <d v="2021-07-26T21:30:00"/>
    <d v="1899-12-30T03:00:00"/>
    <n v="100"/>
    <s v="UNPLANNED"/>
    <x v="0"/>
    <d v="1899-12-30T18:30:00"/>
    <x v="1"/>
  </r>
  <r>
    <n v="590"/>
    <x v="6"/>
    <n v="9115270623100"/>
    <x v="143"/>
    <d v="2021-07-26T21:30:00"/>
    <d v="1899-12-30T03:00:00"/>
    <n v="100"/>
    <s v="UNPLANNED"/>
    <x v="0"/>
    <d v="1899-12-30T18:30:00"/>
    <x v="1"/>
  </r>
  <r>
    <n v="591"/>
    <x v="0"/>
    <n v="5115271685042"/>
    <x v="143"/>
    <d v="2021-07-26T21:30:00"/>
    <d v="1899-12-30T03:00:00"/>
    <n v="100"/>
    <s v="UNPLANNED"/>
    <x v="0"/>
    <d v="1899-12-30T18:30:00"/>
    <x v="1"/>
  </r>
  <r>
    <n v="592"/>
    <x v="8"/>
    <n v="4115270826901"/>
    <x v="143"/>
    <d v="2021-07-26T21:30:00"/>
    <d v="1899-12-30T03:00:00"/>
    <n v="100"/>
    <s v="UNPLANNED"/>
    <x v="0"/>
    <d v="1899-12-30T18:30:00"/>
    <x v="1"/>
  </r>
  <r>
    <n v="593"/>
    <x v="7"/>
    <n v="7115271802907"/>
    <x v="138"/>
    <d v="2021-07-27T02:00:00"/>
    <d v="1899-12-30T03:30:00"/>
    <n v="85.714285712860217"/>
    <s v="UNPLANNED"/>
    <x v="0"/>
    <d v="1899-12-30T22:30:00"/>
    <x v="2"/>
  </r>
  <r>
    <n v="594"/>
    <x v="0"/>
    <n v="5115271257500"/>
    <x v="138"/>
    <d v="2021-07-27T02:00:00"/>
    <d v="1899-12-30T03:30:00"/>
    <n v="85.714285712860217"/>
    <s v="UNPLANNED"/>
    <x v="0"/>
    <d v="1899-12-30T22:30:00"/>
    <x v="2"/>
  </r>
  <r>
    <n v="595"/>
    <x v="8"/>
    <n v="4115270881401"/>
    <x v="138"/>
    <d v="2021-07-27T02:00:00"/>
    <d v="1899-12-30T03:30:00"/>
    <n v="85.714285712860217"/>
    <s v="UNPLANNED"/>
    <x v="0"/>
    <d v="1899-12-30T22:30:00"/>
    <x v="2"/>
  </r>
  <r>
    <n v="596"/>
    <x v="3"/>
    <n v="8115271809807"/>
    <x v="144"/>
    <d v="2021-07-27T13:50:00"/>
    <d v="1899-12-30T05:20:00"/>
    <n v="56.249999998976818"/>
    <s v="UNPLANNED"/>
    <x v="0"/>
    <d v="1899-12-30T08:30:00"/>
    <x v="0"/>
  </r>
  <r>
    <n v="597"/>
    <x v="3"/>
    <n v="8115271809802"/>
    <x v="144"/>
    <d v="2021-07-27T13:50:00"/>
    <d v="1899-12-30T05:20:00"/>
    <n v="56.249999998976818"/>
    <s v="UNPLANNED"/>
    <x v="0"/>
    <d v="1899-12-30T08:30:00"/>
    <x v="0"/>
  </r>
  <r>
    <n v="598"/>
    <x v="3"/>
    <n v="8115271809801"/>
    <x v="144"/>
    <d v="2021-07-27T13:50:00"/>
    <d v="1899-12-30T05:20:00"/>
    <n v="56.249999998976818"/>
    <s v="UNPLANNED"/>
    <x v="0"/>
    <d v="1899-12-30T08:30:00"/>
    <x v="0"/>
  </r>
  <r>
    <n v="599"/>
    <x v="7"/>
    <n v="7115271756409"/>
    <x v="144"/>
    <d v="2021-07-27T13:50:00"/>
    <d v="1899-12-30T05:20:00"/>
    <n v="56.249999998976818"/>
    <s v="UNPLANNED"/>
    <x v="0"/>
    <d v="1899-12-30T08:30:00"/>
    <x v="0"/>
  </r>
  <r>
    <n v="600"/>
    <x v="7"/>
    <n v="7115271756408"/>
    <x v="144"/>
    <d v="2021-07-27T13:50:00"/>
    <d v="1899-12-30T05:20:00"/>
    <n v="56.249999998976818"/>
    <s v="UNPLANNED"/>
    <x v="2"/>
    <d v="1899-12-30T08:30:00"/>
    <x v="0"/>
  </r>
  <r>
    <n v="601"/>
    <x v="7"/>
    <n v="7115271756401"/>
    <x v="144"/>
    <d v="2021-07-27T13:50:00"/>
    <d v="1899-12-30T05:20:00"/>
    <n v="56.249999998976818"/>
    <s v="UNPLANNED"/>
    <x v="0"/>
    <d v="1899-12-30T08:30:00"/>
    <x v="0"/>
  </r>
  <r>
    <n v="602"/>
    <x v="1"/>
    <n v="6115271751301"/>
    <x v="144"/>
    <d v="2021-07-27T13:50:00"/>
    <d v="1899-12-30T05:20:00"/>
    <n v="56.249999998976818"/>
    <s v="UNPLANNED"/>
    <x v="0"/>
    <d v="1899-12-30T08:30:00"/>
    <x v="0"/>
  </r>
  <r>
    <n v="603"/>
    <x v="1"/>
    <n v="6115271751300"/>
    <x v="144"/>
    <d v="2021-07-27T13:50:00"/>
    <d v="1899-12-30T05:20:00"/>
    <n v="56.249999998976818"/>
    <s v="UNPLANNED"/>
    <x v="0"/>
    <d v="1899-12-30T08:30:00"/>
    <x v="0"/>
  </r>
  <r>
    <n v="604"/>
    <x v="0"/>
    <n v="5115271260819"/>
    <x v="144"/>
    <d v="2021-07-27T13:50:00"/>
    <d v="1899-12-30T05:20:00"/>
    <n v="56.249999998976818"/>
    <s v="UNPLANNED"/>
    <x v="0"/>
    <d v="1899-12-30T08:30:00"/>
    <x v="0"/>
  </r>
  <r>
    <n v="605"/>
    <x v="0"/>
    <n v="5115271260818"/>
    <x v="144"/>
    <d v="2021-07-27T13:50:00"/>
    <d v="1899-12-30T05:20:00"/>
    <n v="56.249999998976818"/>
    <s v="UNPLANNED"/>
    <x v="3"/>
    <d v="1899-12-30T08:30:00"/>
    <x v="0"/>
  </r>
  <r>
    <n v="606"/>
    <x v="9"/>
    <n v="2115270156001"/>
    <x v="144"/>
    <d v="2021-07-27T13:50:00"/>
    <d v="1899-12-30T05:20:00"/>
    <n v="56.249999998976818"/>
    <s v="UNPLANNED"/>
    <x v="0"/>
    <d v="1899-12-30T08:30:00"/>
    <x v="0"/>
  </r>
  <r>
    <n v="607"/>
    <x v="9"/>
    <n v="2115270156000"/>
    <x v="144"/>
    <d v="2021-07-27T13:50:00"/>
    <d v="1899-12-30T05:20:00"/>
    <n v="56.249999998976818"/>
    <s v="UNPLANNED"/>
    <x v="0"/>
    <d v="1899-12-30T08:30:00"/>
    <x v="0"/>
  </r>
  <r>
    <n v="608"/>
    <x v="12"/>
    <n v="14115271713301"/>
    <x v="145"/>
    <d v="2021-07-27T19:00:00"/>
    <d v="1899-12-30T04:30:00"/>
    <n v="66.666666666666657"/>
    <s v="UNPLANNED"/>
    <x v="0"/>
    <d v="1899-12-30T14:30:00"/>
    <x v="1"/>
  </r>
  <r>
    <n v="609"/>
    <x v="12"/>
    <n v="14115271713300"/>
    <x v="145"/>
    <d v="2021-07-27T19:00:00"/>
    <d v="1899-12-30T04:30:00"/>
    <n v="66.666666666666657"/>
    <s v="UNPLANNED"/>
    <x v="0"/>
    <d v="1899-12-30T14:30:00"/>
    <x v="1"/>
  </r>
  <r>
    <n v="610"/>
    <x v="2"/>
    <n v="12115271562906"/>
    <x v="145"/>
    <d v="2021-07-27T19:00:00"/>
    <d v="1899-12-30T04:30:00"/>
    <n v="66.666666666666657"/>
    <s v="UNPLANNED"/>
    <x v="0"/>
    <d v="1899-12-30T14:30:00"/>
    <x v="1"/>
  </r>
  <r>
    <n v="611"/>
    <x v="2"/>
    <n v="12115271562905"/>
    <x v="145"/>
    <d v="2021-07-27T19:00:00"/>
    <d v="1899-12-30T04:30:00"/>
    <n v="66.666666666666657"/>
    <s v="UNPLANNED"/>
    <x v="0"/>
    <d v="1899-12-30T14:30:00"/>
    <x v="1"/>
  </r>
  <r>
    <n v="612"/>
    <x v="11"/>
    <n v="10115271959701"/>
    <x v="145"/>
    <d v="2021-07-27T19:00:00"/>
    <d v="1899-12-30T04:30:00"/>
    <n v="66.666666666666657"/>
    <s v="UNPLANNED"/>
    <x v="0"/>
    <d v="1899-12-30T14:30:00"/>
    <x v="1"/>
  </r>
  <r>
    <n v="613"/>
    <x v="11"/>
    <n v="10115271959700"/>
    <x v="145"/>
    <d v="2021-07-27T19:00:00"/>
    <d v="1899-12-30T04:30:00"/>
    <n v="66.666666666666657"/>
    <s v="UNPLANNED"/>
    <x v="1"/>
    <d v="1899-12-30T14:30:00"/>
    <x v="1"/>
  </r>
  <r>
    <n v="614"/>
    <x v="6"/>
    <n v="9115270626101"/>
    <x v="145"/>
    <d v="2021-07-27T19:00:00"/>
    <d v="1899-12-30T04:30:00"/>
    <n v="66.666666666666657"/>
    <s v="UNPLANNED"/>
    <x v="1"/>
    <d v="1899-12-30T14:30:00"/>
    <x v="1"/>
  </r>
  <r>
    <n v="615"/>
    <x v="6"/>
    <n v="9115270626100"/>
    <x v="145"/>
    <d v="2021-07-27T19:00:00"/>
    <d v="1899-12-30T04:30:00"/>
    <n v="66.666666666666657"/>
    <s v="UNPLANNED"/>
    <x v="0"/>
    <d v="1899-12-30T14:30:00"/>
    <x v="1"/>
  </r>
  <r>
    <n v="616"/>
    <x v="5"/>
    <n v="13115271590400"/>
    <x v="146"/>
    <d v="2021-07-27T21:40:00"/>
    <d v="1899-12-30T01:10:00"/>
    <n v="257.14285711292177"/>
    <s v="UNPLANNED"/>
    <x v="0"/>
    <d v="1899-12-30T20:30:00"/>
    <x v="1"/>
  </r>
  <r>
    <n v="617"/>
    <x v="3"/>
    <n v="8115271859701"/>
    <x v="146"/>
    <d v="2021-07-27T21:40:00"/>
    <d v="1899-12-30T01:10:00"/>
    <n v="257.14285711292177"/>
    <s v="UNPLANNED"/>
    <x v="1"/>
    <d v="1899-12-30T20:30:00"/>
    <x v="1"/>
  </r>
  <r>
    <n v="618"/>
    <x v="3"/>
    <n v="8115271859700"/>
    <x v="146"/>
    <d v="2021-07-27T21:40:00"/>
    <d v="1899-12-30T01:10:00"/>
    <n v="257.14285711292177"/>
    <s v="UNPLANNED"/>
    <x v="0"/>
    <d v="1899-12-30T20:30:00"/>
    <x v="1"/>
  </r>
  <r>
    <n v="619"/>
    <x v="5"/>
    <n v="13115271650751"/>
    <x v="147"/>
    <d v="2021-07-27T23:55:00"/>
    <d v="1899-12-30T01:25:00"/>
    <n v="211.7647058707517"/>
    <s v="UNPLANNED"/>
    <x v="1"/>
    <d v="1899-12-30T22:30:00"/>
    <x v="2"/>
  </r>
  <r>
    <n v="620"/>
    <x v="11"/>
    <n v="10115271439700"/>
    <x v="147"/>
    <d v="2021-07-27T23:55:00"/>
    <d v="1899-12-30T01:25:00"/>
    <n v="211.7647058707517"/>
    <s v="UNPLANNED"/>
    <x v="0"/>
    <d v="1899-12-30T22:30:00"/>
    <x v="2"/>
  </r>
  <r>
    <n v="621"/>
    <x v="11"/>
    <n v="10115271470201"/>
    <x v="148"/>
    <d v="2021-07-29T01:30:00"/>
    <d v="1899-12-30T02:45:00"/>
    <n v="109.09090908860001"/>
    <s v="UNPLANNED"/>
    <x v="0"/>
    <d v="1899-12-30T22:45:00"/>
    <x v="2"/>
  </r>
  <r>
    <n v="622"/>
    <x v="2"/>
    <n v="12115271560225"/>
    <x v="149"/>
    <d v="2021-07-28T03:30:00"/>
    <d v="1899-12-30T02:30:00"/>
    <n v="119.99999999441206"/>
    <s v="UNPLANNED"/>
    <x v="0"/>
    <d v="1899-12-30T01:00:00"/>
    <x v="2"/>
  </r>
  <r>
    <n v="623"/>
    <x v="10"/>
    <n v="11115271480705"/>
    <x v="149"/>
    <d v="2021-07-28T03:30:00"/>
    <d v="1899-12-30T02:30:00"/>
    <n v="119.99999999441206"/>
    <s v="UNPLANNED"/>
    <x v="0"/>
    <d v="1899-12-30T01:00:00"/>
    <x v="2"/>
  </r>
  <r>
    <n v="624"/>
    <x v="6"/>
    <n v="9115271909300"/>
    <x v="149"/>
    <d v="2021-07-28T03:30:00"/>
    <d v="1899-12-30T02:30:00"/>
    <n v="119.99999999441206"/>
    <s v="UNPLANNED"/>
    <x v="0"/>
    <d v="1899-12-30T01:00:00"/>
    <x v="2"/>
  </r>
  <r>
    <n v="625"/>
    <x v="4"/>
    <n v="15115271751302"/>
    <x v="150"/>
    <d v="2021-07-28T13:50:00"/>
    <d v="1899-12-30T04:50:00"/>
    <n v="62.068965516743049"/>
    <s v="UNPLANNED"/>
    <x v="0"/>
    <d v="1899-12-30T09:00:00"/>
    <x v="0"/>
  </r>
  <r>
    <n v="626"/>
    <x v="12"/>
    <n v="14115271672501"/>
    <x v="150"/>
    <d v="2021-07-28T13:50:00"/>
    <d v="1899-12-30T04:50:00"/>
    <n v="62.068965516743049"/>
    <s v="UNPLANNED"/>
    <x v="0"/>
    <d v="1899-12-30T09:00:00"/>
    <x v="0"/>
  </r>
  <r>
    <n v="627"/>
    <x v="2"/>
    <n v="12115271560817"/>
    <x v="150"/>
    <d v="2021-07-28T13:50:00"/>
    <d v="1899-12-30T04:50:00"/>
    <n v="62.068965516743049"/>
    <s v="UNPLANNED"/>
    <x v="1"/>
    <d v="1899-12-30T09:00:00"/>
    <x v="0"/>
  </r>
  <r>
    <n v="628"/>
    <x v="2"/>
    <n v="12115271560172"/>
    <x v="150"/>
    <d v="2021-07-28T13:50:00"/>
    <d v="1899-12-30T04:50:00"/>
    <n v="62.068965516743049"/>
    <s v="UNPLANNED"/>
    <x v="1"/>
    <d v="1899-12-30T09:00:00"/>
    <x v="0"/>
  </r>
  <r>
    <n v="629"/>
    <x v="7"/>
    <n v="7115271776100"/>
    <x v="150"/>
    <d v="2021-07-28T13:50:00"/>
    <d v="1899-12-30T04:50:00"/>
    <n v="62.068965516743049"/>
    <s v="UNPLANNED"/>
    <x v="0"/>
    <d v="1899-12-30T09:00:00"/>
    <x v="0"/>
  </r>
  <r>
    <n v="630"/>
    <x v="13"/>
    <n v="3115270310507"/>
    <x v="150"/>
    <d v="2021-07-28T13:50:00"/>
    <d v="1899-12-30T04:50:00"/>
    <n v="62.068965516743049"/>
    <s v="UNPLANNED"/>
    <x v="0"/>
    <d v="1899-12-30T09:00:00"/>
    <x v="0"/>
  </r>
  <r>
    <n v="631"/>
    <x v="7"/>
    <n v="7115271775503"/>
    <x v="151"/>
    <d v="2021-07-28T21:30:00"/>
    <d v="1899-12-30T06:30:00"/>
    <n v="46.153846153432845"/>
    <s v="UNPLANNED"/>
    <x v="0"/>
    <d v="1899-12-30T15:00:00"/>
    <x v="1"/>
  </r>
  <r>
    <n v="632"/>
    <x v="1"/>
    <n v="6115271720801"/>
    <x v="151"/>
    <d v="2021-07-28T21:30:00"/>
    <d v="1899-12-30T06:30:00"/>
    <n v="46.153846153432845"/>
    <s v="UNPLANNED"/>
    <x v="2"/>
    <d v="1899-12-30T15:00:00"/>
    <x v="1"/>
  </r>
  <r>
    <n v="633"/>
    <x v="0"/>
    <n v="5115271678201"/>
    <x v="151"/>
    <d v="2021-07-28T21:30:00"/>
    <d v="1899-12-30T06:30:00"/>
    <n v="46.153846153432845"/>
    <s v="UNPLANNED"/>
    <x v="0"/>
    <d v="1899-12-30T15:00:00"/>
    <x v="1"/>
  </r>
  <r>
    <n v="634"/>
    <x v="8"/>
    <n v="4115271058300"/>
    <x v="151"/>
    <d v="2021-07-28T21:30:00"/>
    <d v="1899-12-30T06:30:00"/>
    <n v="46.153846153432845"/>
    <s v="UNPLANNED"/>
    <x v="0"/>
    <d v="1899-12-30T15:00:00"/>
    <x v="1"/>
  </r>
  <r>
    <n v="635"/>
    <x v="13"/>
    <n v="3115270406500"/>
    <x v="151"/>
    <d v="2021-07-28T21:30:00"/>
    <d v="1899-12-30T06:30:00"/>
    <n v="46.153846153432845"/>
    <s v="UNPLANNED"/>
    <x v="0"/>
    <d v="1899-12-30T15:00:00"/>
    <x v="1"/>
  </r>
  <r>
    <n v="636"/>
    <x v="12"/>
    <n v="14115271675184"/>
    <x v="148"/>
    <d v="2021-07-29T01:30:00"/>
    <d v="1899-12-30T02:45:00"/>
    <n v="109.09090908860001"/>
    <s v="UNPLANNED"/>
    <x v="0"/>
    <d v="1899-12-30T22:45:00"/>
    <x v="2"/>
  </r>
  <r>
    <n v="637"/>
    <x v="5"/>
    <n v="13115271591204"/>
    <x v="148"/>
    <d v="2021-07-29T01:30:00"/>
    <d v="1899-12-30T02:45:00"/>
    <n v="109.09090908860001"/>
    <s v="UNPLANNED"/>
    <x v="1"/>
    <d v="1899-12-30T22:45:00"/>
    <x v="2"/>
  </r>
  <r>
    <n v="638"/>
    <x v="11"/>
    <n v="10115270979905"/>
    <x v="148"/>
    <d v="2021-07-29T01:30:00"/>
    <d v="1899-12-30T02:45:00"/>
    <n v="109.09090908860001"/>
    <s v="UNPLANNED"/>
    <x v="0"/>
    <d v="1899-12-30T22:45:00"/>
    <x v="2"/>
  </r>
  <r>
    <n v="639"/>
    <x v="1"/>
    <n v="6115271748907"/>
    <x v="152"/>
    <d v="2021-07-29T12:30:00"/>
    <d v="1899-12-30T04:00:00"/>
    <n v="74.999999997817213"/>
    <s v="UNPLANNED"/>
    <x v="2"/>
    <d v="1899-12-30T08:30:00"/>
    <x v="0"/>
  </r>
  <r>
    <n v="640"/>
    <x v="1"/>
    <n v="6115271748906"/>
    <x v="152"/>
    <d v="2021-07-29T12:30:00"/>
    <d v="1899-12-30T04:00:00"/>
    <n v="74.999999997817213"/>
    <s v="UNPLANNED"/>
    <x v="0"/>
    <d v="1899-12-30T08:30:00"/>
    <x v="0"/>
  </r>
  <r>
    <n v="641"/>
    <x v="1"/>
    <n v="6115271748906"/>
    <x v="152"/>
    <d v="2021-07-29T12:30:00"/>
    <d v="1899-12-30T04:00:00"/>
    <n v="74.999999997817213"/>
    <s v="UNPLANNED"/>
    <x v="1"/>
    <d v="1899-12-30T08:30:00"/>
    <x v="0"/>
  </r>
  <r>
    <n v="642"/>
    <x v="8"/>
    <n v="4115270825708"/>
    <x v="152"/>
    <d v="2021-07-29T12:30:00"/>
    <d v="1899-12-30T04:00:00"/>
    <n v="74.999999997817213"/>
    <s v="UNPLANNED"/>
    <x v="1"/>
    <d v="1899-12-30T08:30:00"/>
    <x v="0"/>
  </r>
  <r>
    <n v="643"/>
    <x v="8"/>
    <n v="4115270825703"/>
    <x v="152"/>
    <d v="2021-07-29T12:30:00"/>
    <d v="1899-12-30T04:00:00"/>
    <n v="74.999999997817213"/>
    <s v="UNPLANNED"/>
    <x v="0"/>
    <d v="1899-12-30T08:30:00"/>
    <x v="0"/>
  </r>
  <r>
    <n v="644"/>
    <x v="8"/>
    <n v="4115270825702"/>
    <x v="152"/>
    <d v="2021-07-29T12:30:00"/>
    <d v="1899-12-30T04:00:00"/>
    <n v="74.999999997817213"/>
    <s v="UNPLANNED"/>
    <x v="0"/>
    <d v="1899-12-30T08:30:00"/>
    <x v="0"/>
  </r>
  <r>
    <n v="645"/>
    <x v="14"/>
    <n v="1115270097409"/>
    <x v="152"/>
    <d v="2021-07-29T12:30:00"/>
    <d v="1899-12-30T04:00:00"/>
    <n v="74.999999997817213"/>
    <s v="UNPLANNED"/>
    <x v="2"/>
    <d v="1899-12-30T08:30:00"/>
    <x v="0"/>
  </r>
  <r>
    <n v="646"/>
    <x v="14"/>
    <n v="1115270097401"/>
    <x v="152"/>
    <d v="2021-07-29T12:30:00"/>
    <d v="1899-12-30T04:00:00"/>
    <n v="74.999999997817213"/>
    <s v="UNPLANNED"/>
    <x v="0"/>
    <d v="1899-12-30T08:30:00"/>
    <x v="0"/>
  </r>
  <r>
    <n v="647"/>
    <x v="14"/>
    <n v="1115270097400"/>
    <x v="152"/>
    <d v="2021-07-29T12:30:00"/>
    <d v="1899-12-30T04:00:00"/>
    <n v="74.999999997817213"/>
    <s v="UNPLANNED"/>
    <x v="0"/>
    <d v="1899-12-30T08:30:00"/>
    <x v="0"/>
  </r>
  <r>
    <n v="648"/>
    <x v="7"/>
    <n v="7115271767501"/>
    <x v="153"/>
    <d v="2021-07-29T20:00:00"/>
    <d v="1899-12-30T04:00:00"/>
    <n v="74.999999997817213"/>
    <s v="UNPLANNED"/>
    <x v="0"/>
    <d v="1899-12-30T16:00:00"/>
    <x v="1"/>
  </r>
  <r>
    <n v="649"/>
    <x v="7"/>
    <n v="7115271767500"/>
    <x v="153"/>
    <d v="2021-07-29T20:00:00"/>
    <d v="1899-12-30T04:00:00"/>
    <n v="74.999999997817213"/>
    <s v="UNPLANNED"/>
    <x v="0"/>
    <d v="1899-12-30T16:00:00"/>
    <x v="1"/>
  </r>
  <r>
    <n v="650"/>
    <x v="1"/>
    <n v="6115271690509"/>
    <x v="153"/>
    <d v="2021-07-29T20:00:00"/>
    <d v="1899-12-30T04:00:00"/>
    <n v="74.999999997817213"/>
    <s v="UNPLANNED"/>
    <x v="0"/>
    <d v="1899-12-30T16:00:00"/>
    <x v="1"/>
  </r>
  <r>
    <n v="651"/>
    <x v="1"/>
    <n v="6115271690505"/>
    <x v="153"/>
    <d v="2021-07-29T20:00:00"/>
    <d v="1899-12-30T04:00:00"/>
    <n v="74.999999997817213"/>
    <s v="UNPLANNED"/>
    <x v="0"/>
    <d v="1899-12-30T16:00:00"/>
    <x v="1"/>
  </r>
  <r>
    <n v="652"/>
    <x v="1"/>
    <n v="6115271690504"/>
    <x v="153"/>
    <d v="2021-07-29T20:00:00"/>
    <d v="1899-12-30T04:00:00"/>
    <n v="74.999999997817213"/>
    <s v="UNPLANNED"/>
    <x v="0"/>
    <d v="1899-12-30T16:00:00"/>
    <x v="1"/>
  </r>
  <r>
    <n v="653"/>
    <x v="13"/>
    <n v="3115270310905"/>
    <x v="153"/>
    <d v="2021-07-29T20:00:00"/>
    <d v="1899-12-30T04:00:00"/>
    <n v="74.999999997817213"/>
    <s v="UNPLANNED"/>
    <x v="0"/>
    <d v="1899-12-30T16:00:00"/>
    <x v="1"/>
  </r>
  <r>
    <n v="654"/>
    <x v="13"/>
    <n v="3115270310901"/>
    <x v="153"/>
    <d v="2021-07-29T20:00:00"/>
    <d v="1899-12-30T04:00:00"/>
    <n v="74.999999997817213"/>
    <s v="UNPLANNED"/>
    <x v="0"/>
    <d v="1899-12-30T16:00:00"/>
    <x v="1"/>
  </r>
  <r>
    <n v="655"/>
    <x v="13"/>
    <n v="3115270310900"/>
    <x v="153"/>
    <d v="2021-07-29T20:00:00"/>
    <d v="1899-12-30T04:00:00"/>
    <n v="74.999999997817213"/>
    <s v="UNPLANNED"/>
    <x v="0"/>
    <d v="1899-12-30T16:00:00"/>
    <x v="1"/>
  </r>
  <r>
    <n v="656"/>
    <x v="12"/>
    <n v="14115271672412"/>
    <x v="154"/>
    <d v="2021-07-30T13:00:00"/>
    <d v="1899-12-30T02:30:00"/>
    <n v="120.00000000279397"/>
    <s v="UNPLANNED"/>
    <x v="0"/>
    <d v="1899-12-30T10:30:00"/>
    <x v="0"/>
  </r>
  <r>
    <n v="657"/>
    <x v="12"/>
    <n v="14115271672411"/>
    <x v="154"/>
    <d v="2021-07-30T13:00:00"/>
    <d v="1899-12-30T02:30:00"/>
    <n v="120.00000000279397"/>
    <s v="UNPLANNED"/>
    <x v="1"/>
    <d v="1899-12-30T10:30:00"/>
    <x v="0"/>
  </r>
  <r>
    <n v="658"/>
    <x v="5"/>
    <n v="13115271591108"/>
    <x v="154"/>
    <d v="2021-07-30T13:00:00"/>
    <d v="1899-12-30T02:30:00"/>
    <n v="120.00000000279397"/>
    <s v="UNPLANNED"/>
    <x v="0"/>
    <d v="1899-12-30T10:30:00"/>
    <x v="0"/>
  </r>
  <r>
    <n v="659"/>
    <x v="5"/>
    <n v="13115271591107"/>
    <x v="154"/>
    <d v="2021-07-30T13:00:00"/>
    <d v="1899-12-30T02:30:00"/>
    <n v="120.00000000279397"/>
    <s v="UNPLANNED"/>
    <x v="0"/>
    <d v="1899-12-30T10:30:00"/>
    <x v="0"/>
  </r>
  <r>
    <n v="660"/>
    <x v="2"/>
    <n v="12115271566004"/>
    <x v="154"/>
    <d v="2021-07-30T13:00:00"/>
    <d v="1899-12-30T02:30:00"/>
    <n v="120.00000000279397"/>
    <s v="UNPLANNED"/>
    <x v="1"/>
    <d v="1899-12-30T10:30:00"/>
    <x v="0"/>
  </r>
  <r>
    <n v="661"/>
    <x v="2"/>
    <n v="12115271566003"/>
    <x v="154"/>
    <d v="2021-07-30T13:00:00"/>
    <d v="1899-12-30T02:30:00"/>
    <n v="120.00000000279397"/>
    <s v="UNPLANNED"/>
    <x v="0"/>
    <d v="1899-12-30T10:30:00"/>
    <x v="0"/>
  </r>
  <r>
    <n v="662"/>
    <x v="2"/>
    <n v="12115271563003"/>
    <x v="154"/>
    <d v="2021-07-30T13:00:00"/>
    <d v="1899-12-30T02:30:00"/>
    <n v="120.00000000279397"/>
    <s v="UNPLANNED"/>
    <x v="0"/>
    <d v="1899-12-30T10:30:00"/>
    <x v="0"/>
  </r>
  <r>
    <n v="663"/>
    <x v="2"/>
    <n v="12115271563002"/>
    <x v="154"/>
    <d v="2021-07-30T13:00:00"/>
    <d v="1899-12-30T02:30:00"/>
    <n v="120.00000000279397"/>
    <s v="UNPLANNED"/>
    <x v="0"/>
    <d v="1899-12-30T10:30:00"/>
    <x v="0"/>
  </r>
  <r>
    <n v="664"/>
    <x v="1"/>
    <n v="6115271750905"/>
    <x v="155"/>
    <d v="2021-07-30T21:30:00"/>
    <d v="1899-12-30T04:30:00"/>
    <n v="66.666666666666657"/>
    <s v="UNPLANNED"/>
    <x v="0"/>
    <d v="1899-12-30T17:00:00"/>
    <x v="1"/>
  </r>
  <r>
    <n v="665"/>
    <x v="1"/>
    <n v="6115271750904"/>
    <x v="155"/>
    <d v="2021-07-30T21:30:00"/>
    <d v="1899-12-30T04:30:00"/>
    <n v="66.666666666666657"/>
    <s v="UNPLANNED"/>
    <x v="0"/>
    <d v="1899-12-30T17:00:00"/>
    <x v="1"/>
  </r>
  <r>
    <n v="666"/>
    <x v="1"/>
    <n v="6115271736209"/>
    <x v="155"/>
    <d v="2021-07-30T21:30:00"/>
    <d v="1899-12-30T04:30:00"/>
    <n v="66.666666666666657"/>
    <s v="UNPLANNED"/>
    <x v="1"/>
    <d v="1899-12-30T17:00:00"/>
    <x v="1"/>
  </r>
  <r>
    <n v="667"/>
    <x v="1"/>
    <n v="6115271736208"/>
    <x v="155"/>
    <d v="2021-07-30T21:30:00"/>
    <d v="1899-12-30T04:30:00"/>
    <n v="66.666666666666657"/>
    <s v="UNPLANNED"/>
    <x v="0"/>
    <d v="1899-12-30T17:00:00"/>
    <x v="1"/>
  </r>
  <r>
    <n v="668"/>
    <x v="0"/>
    <n v="5115271284801"/>
    <x v="155"/>
    <d v="2021-07-30T21:30:00"/>
    <d v="1899-12-30T04:30:00"/>
    <n v="66.666666666666657"/>
    <s v="UNPLANNED"/>
    <x v="0"/>
    <d v="1899-12-30T17:00:00"/>
    <x v="1"/>
  </r>
  <r>
    <n v="669"/>
    <x v="0"/>
    <n v="5115271284800"/>
    <x v="155"/>
    <d v="2021-07-30T21:30:00"/>
    <d v="1899-12-30T04:30:00"/>
    <n v="66.666666666666657"/>
    <s v="UNPLANNED"/>
    <x v="0"/>
    <d v="1899-12-30T17:00:00"/>
    <x v="1"/>
  </r>
  <r>
    <n v="670"/>
    <x v="13"/>
    <n v="3115270306606"/>
    <x v="155"/>
    <d v="2021-07-30T21:30:00"/>
    <d v="1899-12-30T04:30:00"/>
    <n v="66.666666666666657"/>
    <s v="UNPLANNED"/>
    <x v="0"/>
    <d v="1899-12-30T17:00:00"/>
    <x v="1"/>
  </r>
  <r>
    <n v="671"/>
    <x v="13"/>
    <n v="3115270306605"/>
    <x v="155"/>
    <d v="2021-07-30T21:30:00"/>
    <d v="1899-12-30T04:30:00"/>
    <n v="66.666666666666657"/>
    <s v="UNPLANNED"/>
    <x v="0"/>
    <d v="1899-12-30T17:00:00"/>
    <x v="1"/>
  </r>
  <r>
    <n v="672"/>
    <x v="3"/>
    <n v="8115271809918"/>
    <x v="156"/>
    <d v="2021-07-31T01:00:00"/>
    <d v="1899-12-30T02:00:00"/>
    <n v="150.00000000873115"/>
    <s v="UNPLANNED"/>
    <x v="1"/>
    <d v="1899-12-30T23:00:00"/>
    <x v="2"/>
  </r>
  <r>
    <n v="673"/>
    <x v="3"/>
    <n v="8115271809911"/>
    <x v="156"/>
    <d v="2021-07-31T01:00:00"/>
    <d v="1899-12-30T02:00:00"/>
    <n v="150.00000000873115"/>
    <s v="UNPLANNED"/>
    <x v="1"/>
    <d v="1899-12-30T23:00:00"/>
    <x v="2"/>
  </r>
  <r>
    <n v="674"/>
    <x v="3"/>
    <n v="8115271809910"/>
    <x v="156"/>
    <d v="2021-07-31T01:00:00"/>
    <d v="1899-12-30T02:00:00"/>
    <n v="150.00000000873115"/>
    <s v="UNPLANNED"/>
    <x v="0"/>
    <d v="1899-12-30T23:00:00"/>
    <x v="2"/>
  </r>
  <r>
    <n v="675"/>
    <x v="1"/>
    <n v="6115271741609"/>
    <x v="156"/>
    <d v="2021-07-31T01:00:00"/>
    <d v="1899-12-30T02:00:00"/>
    <n v="150.00000000873115"/>
    <s v="UNPLANNED"/>
    <x v="0"/>
    <d v="1899-12-30T23:00:00"/>
    <x v="2"/>
  </r>
  <r>
    <n v="676"/>
    <x v="1"/>
    <n v="6115271741609"/>
    <x v="157"/>
    <d v="2021-08-01T01:00:00"/>
    <d v="1899-12-30T02:00:00"/>
    <n v="150.00000000873115"/>
    <s v="UNPLANNED"/>
    <x v="0"/>
    <d v="1899-12-30T23:00:00"/>
    <x v="2"/>
  </r>
  <r>
    <n v="677"/>
    <x v="1"/>
    <n v="6115271741608"/>
    <x v="157"/>
    <d v="2021-08-01T01:00:00"/>
    <d v="1899-12-30T02:00:00"/>
    <n v="150.00000000873115"/>
    <s v="UNPLANNED"/>
    <x v="0"/>
    <d v="1899-12-30T23:00:00"/>
    <x v="2"/>
  </r>
  <r>
    <n v="678"/>
    <x v="1"/>
    <n v="6115271741607"/>
    <x v="157"/>
    <d v="2021-08-01T01:00:00"/>
    <d v="1899-12-30T02:00:00"/>
    <n v="150.00000000873115"/>
    <s v="UNPLANNED"/>
    <x v="0"/>
    <d v="1899-12-30T23:00:00"/>
    <x v="2"/>
  </r>
  <r>
    <n v="679"/>
    <x v="1"/>
    <n v="6115271741601"/>
    <x v="156"/>
    <d v="2021-07-31T01:00:00"/>
    <d v="1899-12-30T02:00:00"/>
    <n v="150.00000000873115"/>
    <s v="UNPLANNED"/>
    <x v="0"/>
    <d v="1899-12-30T23:00:00"/>
    <x v="2"/>
  </r>
  <r>
    <n v="680"/>
    <x v="1"/>
    <n v="6115271741600"/>
    <x v="156"/>
    <d v="2021-07-31T01:00:00"/>
    <d v="1899-12-30T02:00:00"/>
    <n v="150.00000000873115"/>
    <s v="UNPLANNED"/>
    <x v="0"/>
    <d v="1899-12-30T23:00:00"/>
    <x v="2"/>
  </r>
  <r>
    <n v="681"/>
    <x v="3"/>
    <n v="8115271861508"/>
    <x v="158"/>
    <d v="2021-07-31T13:30:00"/>
    <d v="1899-12-30T04:00:00"/>
    <n v="75.000000001091394"/>
    <s v="UNPLANNED"/>
    <x v="0"/>
    <d v="1899-12-30T09:30:00"/>
    <x v="0"/>
  </r>
  <r>
    <n v="682"/>
    <x v="7"/>
    <n v="7115271803809"/>
    <x v="158"/>
    <d v="2021-07-31T13:30:00"/>
    <d v="1899-12-30T04:00:00"/>
    <n v="75.000000001091394"/>
    <s v="UNPLANNED"/>
    <x v="0"/>
    <d v="1899-12-30T09:30:00"/>
    <x v="0"/>
  </r>
  <r>
    <n v="683"/>
    <x v="1"/>
    <n v="6115271733100"/>
    <x v="158"/>
    <d v="2021-07-31T13:30:00"/>
    <d v="1899-12-30T04:00:00"/>
    <n v="75.000000001091394"/>
    <s v="UNPLANNED"/>
    <x v="0"/>
    <d v="1899-12-30T09:30:00"/>
    <x v="0"/>
  </r>
  <r>
    <n v="684"/>
    <x v="0"/>
    <n v="5115271685900"/>
    <x v="158"/>
    <d v="2021-07-31T13:30:00"/>
    <d v="1899-12-30T04:00:00"/>
    <n v="75.000000001091394"/>
    <s v="UNPLANNED"/>
    <x v="0"/>
    <d v="1899-12-30T09:30:00"/>
    <x v="0"/>
  </r>
  <r>
    <n v="685"/>
    <x v="0"/>
    <n v="5115270973802"/>
    <x v="158"/>
    <d v="2021-07-31T13:30:00"/>
    <d v="1899-12-30T04:00:00"/>
    <n v="75.000000001091394"/>
    <s v="UNPLANNED"/>
    <x v="0"/>
    <d v="1899-12-30T09:30:00"/>
    <x v="0"/>
  </r>
  <r>
    <n v="686"/>
    <x v="8"/>
    <n v="4115270844801"/>
    <x v="158"/>
    <d v="2021-07-31T13:30:00"/>
    <d v="1899-12-30T04:00:00"/>
    <n v="75.000000001091394"/>
    <s v="UNPLANNED"/>
    <x v="0"/>
    <d v="1899-12-30T09:30:00"/>
    <x v="0"/>
  </r>
  <r>
    <n v="687"/>
    <x v="9"/>
    <n v="2115270185500"/>
    <x v="158"/>
    <d v="2021-07-31T13:30:00"/>
    <d v="1899-12-30T04:00:00"/>
    <n v="75.000000001091394"/>
    <s v="UNPLANNED"/>
    <x v="0"/>
    <d v="1899-12-30T09:30:00"/>
    <x v="0"/>
  </r>
  <r>
    <n v="688"/>
    <x v="5"/>
    <n v="13115271630002"/>
    <x v="159"/>
    <d v="2021-07-31T20:30:00"/>
    <d v="1899-12-30T04:30:00"/>
    <n v="66.666666666666657"/>
    <s v="UNPLANNED"/>
    <x v="0"/>
    <d v="1899-12-30T16:00:00"/>
    <x v="1"/>
  </r>
  <r>
    <n v="689"/>
    <x v="5"/>
    <n v="13115271630001"/>
    <x v="159"/>
    <d v="2021-07-31T20:30:00"/>
    <d v="1899-12-30T04:30:00"/>
    <n v="66.666666666666657"/>
    <s v="UNPLANNED"/>
    <x v="0"/>
    <d v="1899-12-30T16:00:00"/>
    <x v="1"/>
  </r>
  <r>
    <n v="690"/>
    <x v="5"/>
    <n v="13115271590906"/>
    <x v="159"/>
    <d v="2021-07-31T20:30:00"/>
    <d v="1899-12-30T04:30:00"/>
    <n v="66.666666666666657"/>
    <s v="UNPLANNED"/>
    <x v="1"/>
    <d v="1899-12-30T16:00:00"/>
    <x v="1"/>
  </r>
  <r>
    <n v="691"/>
    <x v="5"/>
    <n v="13115271590905"/>
    <x v="159"/>
    <d v="2021-07-31T20:30:00"/>
    <d v="1899-12-30T04:30:00"/>
    <n v="66.666666666666657"/>
    <s v="UNPLANNED"/>
    <x v="0"/>
    <d v="1899-12-30T16:00:00"/>
    <x v="1"/>
  </r>
  <r>
    <n v="692"/>
    <x v="11"/>
    <n v="10115270963404"/>
    <x v="159"/>
    <d v="2021-07-31T20:30:00"/>
    <d v="1899-12-30T04:30:00"/>
    <n v="66.666666666666657"/>
    <s v="UNPLANNED"/>
    <x v="1"/>
    <d v="1899-12-30T16:00:00"/>
    <x v="1"/>
  </r>
  <r>
    <n v="693"/>
    <x v="11"/>
    <n v="10115270963403"/>
    <x v="159"/>
    <d v="2021-07-31T20:30:00"/>
    <d v="1899-12-30T04:30:00"/>
    <n v="66.666666666666657"/>
    <s v="UNPLANNED"/>
    <x v="0"/>
    <d v="1899-12-30T16:00:00"/>
    <x v="1"/>
  </r>
  <r>
    <n v="694"/>
    <x v="7"/>
    <n v="7115271777213"/>
    <x v="159"/>
    <d v="2021-07-31T20:30:00"/>
    <d v="1899-12-30T04:30:00"/>
    <n v="66.666666666666657"/>
    <s v="UNPLANNED"/>
    <x v="0"/>
    <d v="1899-12-30T16:00:00"/>
    <x v="1"/>
  </r>
  <r>
    <n v="695"/>
    <x v="7"/>
    <n v="7115271777212"/>
    <x v="159"/>
    <d v="2021-07-31T20:30:00"/>
    <d v="1899-12-30T04:30:00"/>
    <n v="66.666666666666657"/>
    <s v="UNPLANNED"/>
    <x v="0"/>
    <d v="1899-12-30T16:00:00"/>
    <x v="1"/>
  </r>
  <r>
    <n v="696"/>
    <x v="0"/>
    <n v="5115271662400"/>
    <x v="159"/>
    <d v="2021-07-31T20:30:00"/>
    <d v="1899-12-30T04:30:00"/>
    <n v="66.666666666666657"/>
    <s v="UNPLANNED"/>
    <x v="1"/>
    <d v="1899-12-30T16:00:00"/>
    <x v="1"/>
  </r>
  <r>
    <n v="697"/>
    <x v="4"/>
    <n v="15115271752502"/>
    <x v="160"/>
    <d v="2021-08-01T02:00:00"/>
    <d v="1899-12-30T02:30:00"/>
    <n v="119.99999999441206"/>
    <s v="UNPLANNED"/>
    <x v="0"/>
    <d v="1899-12-30T23:30:00"/>
    <x v="2"/>
  </r>
  <r>
    <n v="698"/>
    <x v="4"/>
    <n v="15115271752501"/>
    <x v="160"/>
    <d v="2021-08-01T02:00:00"/>
    <d v="1899-12-30T02:30:00"/>
    <n v="119.99999999441206"/>
    <s v="UNPLANNED"/>
    <x v="1"/>
    <d v="1899-12-30T23:30:00"/>
    <x v="2"/>
  </r>
  <r>
    <n v="699"/>
    <x v="10"/>
    <n v="11115271551401"/>
    <x v="160"/>
    <d v="2021-08-01T02:00:00"/>
    <d v="1899-12-30T02:30:00"/>
    <n v="119.99999999441206"/>
    <s v="UNPLANNED"/>
    <x v="1"/>
    <d v="1899-12-30T23:30:00"/>
    <x v="2"/>
  </r>
  <r>
    <n v="700"/>
    <x v="10"/>
    <n v="11115271551400"/>
    <x v="160"/>
    <d v="2021-08-01T02:00:00"/>
    <d v="1899-12-30T02:30:00"/>
    <n v="119.99999999441206"/>
    <s v="UNPLANNED"/>
    <x v="1"/>
    <d v="1899-12-30T23:30:00"/>
    <x v="2"/>
  </r>
  <r>
    <n v="701"/>
    <x v="11"/>
    <n v="10115271959701"/>
    <x v="160"/>
    <d v="2021-08-01T02:00:00"/>
    <d v="1899-12-30T02:30:00"/>
    <n v="119.99999999441206"/>
    <s v="UNPLANNED"/>
    <x v="1"/>
    <d v="1899-12-30T23:30:00"/>
    <x v="2"/>
  </r>
  <r>
    <n v="702"/>
    <x v="11"/>
    <n v="10115271959700"/>
    <x v="160"/>
    <d v="2021-08-01T02:00:00"/>
    <d v="1899-12-30T02:30:00"/>
    <n v="119.99999999441206"/>
    <s v="UNPLANNED"/>
    <x v="1"/>
    <d v="1899-12-30T23:30:00"/>
    <x v="2"/>
  </r>
  <r>
    <n v="703"/>
    <x v="2"/>
    <n v="12115271568209"/>
    <x v="161"/>
    <d v="2021-08-01T13:50:00"/>
    <d v="1899-12-30T04:50:00"/>
    <n v="62.068965516743049"/>
    <s v="UNPLANNED"/>
    <x v="1"/>
    <d v="1899-12-30T09:00:00"/>
    <x v="0"/>
  </r>
  <r>
    <n v="704"/>
    <x v="10"/>
    <n v="11115271517500"/>
    <x v="161"/>
    <d v="2021-08-01T13:50:00"/>
    <d v="1899-12-30T04:50:00"/>
    <n v="62.068965516743049"/>
    <s v="UNPLANNED"/>
    <x v="0"/>
    <d v="1899-12-30T09:00:00"/>
    <x v="0"/>
  </r>
  <r>
    <n v="705"/>
    <x v="7"/>
    <n v="7115271783101"/>
    <x v="161"/>
    <d v="2021-08-01T13:50:00"/>
    <d v="1899-12-30T04:50:00"/>
    <n v="62.068965516743049"/>
    <s v="UNPLANNED"/>
    <x v="1"/>
    <d v="1899-12-30T09:00:00"/>
    <x v="0"/>
  </r>
  <r>
    <n v="706"/>
    <x v="8"/>
    <n v="4115270826100"/>
    <x v="161"/>
    <d v="2021-08-01T13:50:00"/>
    <d v="1899-12-30T04:50:00"/>
    <n v="62.068965516743049"/>
    <s v="UNPLANNED"/>
    <x v="1"/>
    <d v="1899-12-30T09:00:00"/>
    <x v="0"/>
  </r>
  <r>
    <n v="707"/>
    <x v="13"/>
    <n v="3115270421500"/>
    <x v="161"/>
    <d v="2021-08-01T13:50:00"/>
    <d v="1899-12-30T04:50:00"/>
    <n v="62.068965516743049"/>
    <s v="UNPLANNED"/>
    <x v="0"/>
    <d v="1899-12-30T09:00:00"/>
    <x v="0"/>
  </r>
  <r>
    <n v="708"/>
    <x v="9"/>
    <n v="2115270184400"/>
    <x v="161"/>
    <d v="2021-08-01T13:50:00"/>
    <d v="1899-12-30T04:50:00"/>
    <n v="62.068965516743049"/>
    <s v="UNPLANNED"/>
    <x v="1"/>
    <d v="1899-12-30T09:00:00"/>
    <x v="0"/>
  </r>
  <r>
    <n v="709"/>
    <x v="14"/>
    <n v="1115270041000"/>
    <x v="161"/>
    <d v="2021-08-01T13:50:00"/>
    <d v="1899-12-30T04:50:00"/>
    <n v="62.068965516743049"/>
    <s v="UNPLANNED"/>
    <x v="1"/>
    <d v="1899-12-30T09:00:00"/>
    <x v="0"/>
  </r>
  <r>
    <n v="710"/>
    <x v="4"/>
    <n v="15115271744002"/>
    <x v="162"/>
    <d v="2021-08-01T21:30:00"/>
    <d v="1899-12-30T06:30:00"/>
    <n v="46.153846153432845"/>
    <s v="UNPLANNED"/>
    <x v="0"/>
    <d v="1899-12-30T15:00:00"/>
    <x v="1"/>
  </r>
  <r>
    <n v="711"/>
    <x v="5"/>
    <n v="13115271591503"/>
    <x v="162"/>
    <d v="2021-08-01T21:30:00"/>
    <d v="1899-12-30T06:30:00"/>
    <n v="46.153846153432845"/>
    <s v="UNPLANNED"/>
    <x v="0"/>
    <d v="1899-12-30T15:00:00"/>
    <x v="1"/>
  </r>
  <r>
    <n v="712"/>
    <x v="10"/>
    <n v="11115271485506"/>
    <x v="162"/>
    <d v="2021-08-01T21:30:00"/>
    <d v="1899-12-30T06:30:00"/>
    <n v="46.153846153432845"/>
    <s v="UNPLANNED"/>
    <x v="3"/>
    <d v="1899-12-30T15:00:00"/>
    <x v="1"/>
  </r>
  <r>
    <n v="713"/>
    <x v="7"/>
    <n v="7115271765616"/>
    <x v="162"/>
    <d v="2021-08-01T21:30:00"/>
    <d v="1899-12-30T06:30:00"/>
    <n v="46.153846153432845"/>
    <s v="UNPLANNED"/>
    <x v="0"/>
    <d v="1899-12-30T15:00:00"/>
    <x v="1"/>
  </r>
  <r>
    <n v="714"/>
    <x v="1"/>
    <n v="6115271692209"/>
    <x v="162"/>
    <d v="2021-08-01T21:30:00"/>
    <d v="1899-12-30T06:30:00"/>
    <n v="46.153846153432845"/>
    <s v="UNPLANNED"/>
    <x v="1"/>
    <d v="1899-12-30T15:00:00"/>
    <x v="1"/>
  </r>
  <r>
    <n v="715"/>
    <x v="8"/>
    <n v="4115270874602"/>
    <x v="162"/>
    <d v="2021-08-01T21:30:00"/>
    <d v="1899-12-30T06:30:00"/>
    <n v="46.153846153432845"/>
    <s v="UNPLANNED"/>
    <x v="1"/>
    <d v="1899-12-30T15:00:00"/>
    <x v="1"/>
  </r>
  <r>
    <n v="716"/>
    <x v="9"/>
    <n v="2115270228900"/>
    <x v="162"/>
    <d v="2021-08-01T21:30:00"/>
    <d v="1899-12-30T06:30:00"/>
    <n v="46.153846153432845"/>
    <s v="UNPLANNED"/>
    <x v="3"/>
    <d v="1899-12-30T15:00:00"/>
    <x v="1"/>
  </r>
  <r>
    <n v="717"/>
    <x v="9"/>
    <n v="2115270183300"/>
    <x v="162"/>
    <d v="2021-08-01T21:30:00"/>
    <d v="1899-12-30T06:30:00"/>
    <n v="46.153846153432845"/>
    <s v="UNPLANNED"/>
    <x v="0"/>
    <d v="1899-12-30T15:00:00"/>
    <x v="1"/>
  </r>
  <r>
    <n v="718"/>
    <x v="0"/>
    <n v="5115271260800"/>
    <x v="163"/>
    <d v="2021-08-01T23:50:00"/>
    <d v="1899-12-30T01:20:00"/>
    <n v="225.00000000327418"/>
    <s v="UNPLANNED"/>
    <x v="1"/>
    <d v="1899-12-30T22:30:00"/>
    <x v="2"/>
  </r>
  <r>
    <n v="719"/>
    <x v="9"/>
    <n v="2115270229301"/>
    <x v="163"/>
    <d v="2021-08-01T23:50:00"/>
    <d v="1899-12-30T01:20:00"/>
    <n v="225.00000000327418"/>
    <s v="UNPLANNED"/>
    <x v="0"/>
    <d v="1899-12-30T22:30:00"/>
    <x v="2"/>
  </r>
  <r>
    <n v="720"/>
    <x v="7"/>
    <n v="7115271801100"/>
    <x v="164"/>
    <d v="2021-08-02T02:00:00"/>
    <d v="1899-12-30T01:30:00"/>
    <n v="200"/>
    <s v="UNPLANNED"/>
    <x v="0"/>
    <d v="1899-12-30T00:30:00"/>
    <x v="2"/>
  </r>
  <r>
    <n v="721"/>
    <x v="1"/>
    <n v="6115271748902"/>
    <x v="164"/>
    <d v="2021-08-02T02:00:00"/>
    <d v="1899-12-30T01:30:00"/>
    <n v="200"/>
    <s v="UNPLANNED"/>
    <x v="0"/>
    <d v="1899-12-30T00:30:00"/>
    <x v="2"/>
  </r>
  <r>
    <n v="722"/>
    <x v="1"/>
    <n v="6115271720606"/>
    <x v="164"/>
    <d v="2021-08-02T02:00:00"/>
    <d v="1899-12-30T01:30:00"/>
    <n v="200"/>
    <s v="UNPLANNED"/>
    <x v="0"/>
    <d v="1899-12-30T00:30:00"/>
    <x v="2"/>
  </r>
  <r>
    <n v="723"/>
    <x v="5"/>
    <n v="13115271644900"/>
    <x v="165"/>
    <d v="2021-08-02T12:30:00"/>
    <d v="1899-12-30T04:00:00"/>
    <n v="74.999999997817213"/>
    <s v="UNPLANNED"/>
    <x v="1"/>
    <d v="1899-12-30T08:30:00"/>
    <x v="0"/>
  </r>
  <r>
    <n v="724"/>
    <x v="5"/>
    <n v="13115271590905"/>
    <x v="165"/>
    <d v="2021-08-02T12:30:00"/>
    <d v="1899-12-30T04:00:00"/>
    <n v="74.999999997817213"/>
    <s v="UNPLANNED"/>
    <x v="0"/>
    <d v="1899-12-30T08:30:00"/>
    <x v="0"/>
  </r>
  <r>
    <n v="725"/>
    <x v="11"/>
    <n v="10115271959500"/>
    <x v="165"/>
    <d v="2021-08-02T12:30:00"/>
    <d v="1899-12-30T04:00:00"/>
    <n v="74.999999997817213"/>
    <s v="UNPLANNED"/>
    <x v="2"/>
    <d v="1899-12-30T08:30:00"/>
    <x v="0"/>
  </r>
  <r>
    <n v="726"/>
    <x v="11"/>
    <n v="10115270972800"/>
    <x v="165"/>
    <d v="2021-08-02T12:30:00"/>
    <d v="1899-12-30T04:00:00"/>
    <n v="74.999999997817213"/>
    <s v="UNPLANNED"/>
    <x v="0"/>
    <d v="1899-12-30T08:30:00"/>
    <x v="0"/>
  </r>
  <r>
    <n v="727"/>
    <x v="6"/>
    <n v="9115270637700"/>
    <x v="165"/>
    <d v="2021-08-02T12:30:00"/>
    <d v="1899-12-30T04:00:00"/>
    <n v="74.999999997817213"/>
    <s v="UNPLANNED"/>
    <x v="1"/>
    <d v="1899-12-30T08:30:00"/>
    <x v="0"/>
  </r>
  <r>
    <n v="728"/>
    <x v="4"/>
    <n v="15115271774204"/>
    <x v="166"/>
    <d v="2021-08-02T13:50:00"/>
    <d v="1899-12-30T01:05:00"/>
    <n v="276.9230769131575"/>
    <s v="UNPLANNED"/>
    <x v="1"/>
    <d v="1899-12-30T12:45:00"/>
    <x v="0"/>
  </r>
  <r>
    <n v="729"/>
    <x v="5"/>
    <n v="13115271590304"/>
    <x v="166"/>
    <d v="2021-08-02T13:50:00"/>
    <d v="1899-12-30T01:05:00"/>
    <n v="276.9230769131575"/>
    <s v="UNPLANNED"/>
    <x v="0"/>
    <d v="1899-12-30T12:45:00"/>
    <x v="0"/>
  </r>
  <r>
    <n v="730"/>
    <x v="5"/>
    <n v="13115271601500"/>
    <x v="167"/>
    <d v="2021-08-02T16:00:00"/>
    <d v="1899-12-30T01:00:00"/>
    <n v="300.0000000174623"/>
    <s v="UNPLANNED"/>
    <x v="3"/>
    <d v="1899-12-30T15:00:00"/>
    <x v="1"/>
  </r>
  <r>
    <n v="731"/>
    <x v="3"/>
    <n v="8115271872303"/>
    <x v="168"/>
    <d v="2021-08-02T21:30:00"/>
    <d v="1899-12-30T04:45:00"/>
    <n v="63.157894735294192"/>
    <s v="UNPLANNED"/>
    <x v="1"/>
    <d v="1899-12-30T16:45:00"/>
    <x v="1"/>
  </r>
  <r>
    <n v="732"/>
    <x v="3"/>
    <n v="8115271818206"/>
    <x v="168"/>
    <d v="2021-08-02T21:30:00"/>
    <d v="1899-12-30T04:45:00"/>
    <n v="63.157894735294192"/>
    <s v="UNPLANNED"/>
    <x v="1"/>
    <d v="1899-12-30T16:45:00"/>
    <x v="1"/>
  </r>
  <r>
    <n v="733"/>
    <x v="7"/>
    <n v="7115271782907"/>
    <x v="168"/>
    <d v="2021-08-02T21:30:00"/>
    <d v="1899-12-30T04:45:00"/>
    <n v="63.157894735294192"/>
    <s v="UNPLANNED"/>
    <x v="0"/>
    <d v="1899-12-30T16:45:00"/>
    <x v="1"/>
  </r>
  <r>
    <n v="734"/>
    <x v="1"/>
    <n v="6115271690201"/>
    <x v="168"/>
    <d v="2021-08-02T21:30:00"/>
    <d v="1899-12-30T04:45:00"/>
    <n v="63.157894735294192"/>
    <s v="UNPLANNED"/>
    <x v="0"/>
    <d v="1899-12-30T16:45:00"/>
    <x v="1"/>
  </r>
  <r>
    <n v="735"/>
    <x v="8"/>
    <n v="4115270825800"/>
    <x v="168"/>
    <d v="2021-08-02T21:30:00"/>
    <d v="1899-12-30T04:45:00"/>
    <n v="63.157894735294192"/>
    <s v="UNPLANNED"/>
    <x v="1"/>
    <d v="1899-12-30T16:45:00"/>
    <x v="1"/>
  </r>
  <r>
    <n v="736"/>
    <x v="9"/>
    <n v="2115270437003"/>
    <x v="168"/>
    <d v="2021-08-02T21:30:00"/>
    <d v="1899-12-30T04:45:00"/>
    <n v="63.157894735294192"/>
    <s v="UNPLANNED"/>
    <x v="1"/>
    <d v="1899-12-30T16:45:00"/>
    <x v="1"/>
  </r>
  <r>
    <n v="737"/>
    <x v="4"/>
    <n v="15115271785851"/>
    <x v="169"/>
    <d v="2021-08-03T01:30:00"/>
    <d v="1899-12-30T03:00:00"/>
    <n v="100"/>
    <s v="UNPLANNED"/>
    <x v="1"/>
    <d v="1899-12-30T22:30:00"/>
    <x v="2"/>
  </r>
  <r>
    <n v="738"/>
    <x v="12"/>
    <n v="14115271690418"/>
    <x v="169"/>
    <d v="2021-08-03T01:30:00"/>
    <d v="1899-12-30T03:00:00"/>
    <n v="100"/>
    <s v="UNPLANNED"/>
    <x v="1"/>
    <d v="1899-12-30T22:30:00"/>
    <x v="2"/>
  </r>
  <r>
    <n v="739"/>
    <x v="2"/>
    <n v="12115271583700"/>
    <x v="169"/>
    <d v="2021-08-03T01:30:00"/>
    <d v="1899-12-30T03:00:00"/>
    <n v="100"/>
    <s v="UNPLANNED"/>
    <x v="1"/>
    <d v="1899-12-30T22:30:00"/>
    <x v="2"/>
  </r>
  <r>
    <n v="740"/>
    <x v="6"/>
    <n v="9115271909203"/>
    <x v="169"/>
    <d v="2021-08-03T01:30:00"/>
    <d v="1899-12-30T03:00:00"/>
    <n v="100"/>
    <s v="UNPLANNED"/>
    <x v="1"/>
    <d v="1899-12-30T22:30:00"/>
    <x v="2"/>
  </r>
  <r>
    <n v="741"/>
    <x v="8"/>
    <n v="4115270874700"/>
    <x v="169"/>
    <d v="2021-08-03T01:30:00"/>
    <d v="1899-12-30T03:00:00"/>
    <n v="100"/>
    <s v="UNPLANNED"/>
    <x v="1"/>
    <d v="1899-12-30T22:30:00"/>
    <x v="2"/>
  </r>
  <r>
    <n v="742"/>
    <x v="5"/>
    <n v="13115271669402"/>
    <x v="170"/>
    <d v="2021-08-03T12:30:00"/>
    <d v="1899-12-30T04:00:00"/>
    <n v="74.999999997817213"/>
    <s v="UNPLANNED"/>
    <x v="1"/>
    <d v="1899-12-30T08:30:00"/>
    <x v="0"/>
  </r>
  <r>
    <n v="743"/>
    <x v="5"/>
    <n v="13115271669400"/>
    <x v="170"/>
    <d v="2021-08-03T12:30:00"/>
    <d v="1899-12-30T04:00:00"/>
    <n v="74.999999997817213"/>
    <s v="UNPLANNED"/>
    <x v="0"/>
    <d v="1899-12-30T08:30:00"/>
    <x v="0"/>
  </r>
  <r>
    <n v="744"/>
    <x v="5"/>
    <n v="13115271652003"/>
    <x v="170"/>
    <d v="2021-08-03T12:30:00"/>
    <d v="1899-12-30T04:00:00"/>
    <n v="74.999999997817213"/>
    <s v="UNPLANNED"/>
    <x v="0"/>
    <d v="1899-12-30T08:30:00"/>
    <x v="0"/>
  </r>
  <r>
    <n v="745"/>
    <x v="5"/>
    <n v="13115271652001"/>
    <x v="170"/>
    <d v="2021-08-03T12:30:00"/>
    <d v="1899-12-30T04:00:00"/>
    <n v="74.999999997817213"/>
    <s v="UNPLANNED"/>
    <x v="0"/>
    <d v="1899-12-30T08:30:00"/>
    <x v="0"/>
  </r>
  <r>
    <n v="746"/>
    <x v="2"/>
    <n v="12115271560117"/>
    <x v="170"/>
    <d v="2021-08-03T12:30:00"/>
    <d v="1899-12-30T04:00:00"/>
    <n v="74.999999997817213"/>
    <s v="UNPLANNED"/>
    <x v="2"/>
    <d v="1899-12-30T08:30:00"/>
    <x v="0"/>
  </r>
  <r>
    <n v="747"/>
    <x v="2"/>
    <n v="12115271560116"/>
    <x v="170"/>
    <d v="2021-08-03T12:30:00"/>
    <d v="1899-12-30T04:00:00"/>
    <n v="74.999999997817213"/>
    <s v="UNPLANNED"/>
    <x v="1"/>
    <d v="1899-12-30T08:30:00"/>
    <x v="0"/>
  </r>
  <r>
    <n v="748"/>
    <x v="11"/>
    <n v="10115271959001"/>
    <x v="170"/>
    <d v="2021-08-03T12:30:00"/>
    <d v="1899-12-30T04:00:00"/>
    <n v="74.999999997817213"/>
    <s v="UNPLANNED"/>
    <x v="1"/>
    <d v="1899-12-30T08:30:00"/>
    <x v="0"/>
  </r>
  <r>
    <n v="749"/>
    <x v="11"/>
    <n v="10115271959000"/>
    <x v="170"/>
    <d v="2021-08-03T12:30:00"/>
    <d v="1899-12-30T04:00:00"/>
    <n v="74.999999997817213"/>
    <s v="UNPLANNED"/>
    <x v="1"/>
    <d v="1899-12-30T08:30:00"/>
    <x v="0"/>
  </r>
  <r>
    <n v="750"/>
    <x v="6"/>
    <n v="9115271910015"/>
    <x v="170"/>
    <d v="2021-08-03T12:30:00"/>
    <d v="1899-12-30T04:00:00"/>
    <n v="74.999999997817213"/>
    <s v="UNPLANNED"/>
    <x v="1"/>
    <d v="1899-12-30T08:30:00"/>
    <x v="0"/>
  </r>
  <r>
    <n v="751"/>
    <x v="4"/>
    <n v="15115271786221"/>
    <x v="171"/>
    <d v="2021-08-03T13:45:00"/>
    <d v="1899-12-30T00:45:00"/>
    <n v="400"/>
    <s v="UNPLANNED"/>
    <x v="0"/>
    <d v="1899-12-30T13:00:00"/>
    <x v="0"/>
  </r>
  <r>
    <n v="752"/>
    <x v="4"/>
    <n v="15115271786220"/>
    <x v="171"/>
    <d v="2021-08-03T13:45:00"/>
    <d v="1899-12-30T00:45:00"/>
    <n v="400"/>
    <s v="UNPLANNED"/>
    <x v="0"/>
    <d v="1899-12-30T13:00:00"/>
    <x v="0"/>
  </r>
  <r>
    <n v="753"/>
    <x v="3"/>
    <n v="8115271834300"/>
    <x v="172"/>
    <d v="2021-08-03T18:00:00"/>
    <d v="1899-12-30T03:00:00"/>
    <n v="100"/>
    <s v="UNPLANNED"/>
    <x v="1"/>
    <d v="1899-12-30T15:00:00"/>
    <x v="1"/>
  </r>
  <r>
    <n v="754"/>
    <x v="1"/>
    <n v="6115271748405"/>
    <x v="172"/>
    <d v="2021-08-03T18:00:00"/>
    <d v="1899-12-30T03:00:00"/>
    <n v="100"/>
    <s v="UNPLANNED"/>
    <x v="2"/>
    <d v="1899-12-30T15:00:00"/>
    <x v="1"/>
  </r>
  <r>
    <n v="755"/>
    <x v="1"/>
    <n v="6115271748401"/>
    <x v="172"/>
    <d v="2021-08-03T18:00:00"/>
    <d v="1899-12-30T03:00:00"/>
    <n v="100"/>
    <s v="UNPLANNED"/>
    <x v="1"/>
    <d v="1899-12-30T15:00:00"/>
    <x v="1"/>
  </r>
  <r>
    <n v="756"/>
    <x v="13"/>
    <n v="3115270388807"/>
    <x v="172"/>
    <d v="2021-08-03T18:00:00"/>
    <d v="1899-12-30T03:00:00"/>
    <n v="100"/>
    <s v="UNPLANNED"/>
    <x v="1"/>
    <d v="1899-12-30T15:00:00"/>
    <x v="1"/>
  </r>
  <r>
    <n v="757"/>
    <x v="13"/>
    <n v="3115270388801"/>
    <x v="172"/>
    <d v="2021-08-03T18:00:00"/>
    <d v="1899-12-30T03:00:00"/>
    <n v="100"/>
    <s v="UNPLANNED"/>
    <x v="1"/>
    <d v="1899-12-30T15:00:00"/>
    <x v="1"/>
  </r>
  <r>
    <n v="758"/>
    <x v="13"/>
    <n v="3115270388800"/>
    <x v="172"/>
    <d v="2021-08-03T18:00:00"/>
    <d v="1899-12-30T03:00:00"/>
    <n v="100"/>
    <s v="UNPLANNED"/>
    <x v="2"/>
    <d v="1899-12-30T15:00:00"/>
    <x v="1"/>
  </r>
  <r>
    <n v="759"/>
    <x v="14"/>
    <n v="1115270137409"/>
    <x v="172"/>
    <d v="2021-08-03T18:00:00"/>
    <d v="1899-12-30T03:00:00"/>
    <n v="100"/>
    <s v="UNPLANNED"/>
    <x v="1"/>
    <d v="1899-12-30T15:00:00"/>
    <x v="1"/>
  </r>
  <r>
    <n v="760"/>
    <x v="14"/>
    <n v="1115270137401"/>
    <x v="172"/>
    <d v="2021-08-03T18:00:00"/>
    <d v="1899-12-30T03:00:00"/>
    <n v="100"/>
    <s v="UNPLANNED"/>
    <x v="0"/>
    <d v="1899-12-30T15:00:00"/>
    <x v="1"/>
  </r>
  <r>
    <n v="761"/>
    <x v="14"/>
    <n v="1115270137400"/>
    <x v="172"/>
    <d v="2021-08-03T18:00:00"/>
    <d v="1899-12-30T03:00:00"/>
    <n v="100"/>
    <s v="UNPLANNED"/>
    <x v="0"/>
    <d v="1899-12-30T15:00:00"/>
    <x v="1"/>
  </r>
  <r>
    <n v="762"/>
    <x v="12"/>
    <n v="14115271687632"/>
    <x v="173"/>
    <d v="2021-08-03T21:30:00"/>
    <d v="1899-12-30T02:00:00"/>
    <n v="149.99999999563443"/>
    <s v="UNPLANNED"/>
    <x v="0"/>
    <d v="1899-12-30T19:30:00"/>
    <x v="1"/>
  </r>
  <r>
    <n v="763"/>
    <x v="4"/>
    <n v="15115271788506"/>
    <x v="173"/>
    <d v="2021-08-03T21:50:00"/>
    <d v="1899-12-30T02:20:00"/>
    <n v="128.57142857570506"/>
    <s v="UNPLANNED"/>
    <x v="2"/>
    <d v="1899-12-30T19:30:00"/>
    <x v="1"/>
  </r>
  <r>
    <n v="764"/>
    <x v="2"/>
    <n v="12115271567451"/>
    <x v="173"/>
    <d v="2021-08-03T21:50:00"/>
    <d v="1899-12-30T02:20:00"/>
    <n v="128.57142857570506"/>
    <s v="UNPLANNED"/>
    <x v="1"/>
    <d v="1899-12-30T19:30:00"/>
    <x v="1"/>
  </r>
  <r>
    <n v="765"/>
    <x v="11"/>
    <n v="10115270967501"/>
    <x v="173"/>
    <d v="2021-08-03T21:50:00"/>
    <d v="1899-12-30T02:20:00"/>
    <n v="128.57142857570506"/>
    <s v="UNPLANNED"/>
    <x v="0"/>
    <d v="1899-12-30T19:30:00"/>
    <x v="1"/>
  </r>
  <r>
    <n v="766"/>
    <x v="11"/>
    <n v="10115271956500"/>
    <x v="174"/>
    <d v="2021-08-03T23:50:00"/>
    <d v="1899-12-30T01:35:00"/>
    <n v="189.47368421981375"/>
    <s v="UNPLANNED"/>
    <x v="0"/>
    <d v="1899-12-30T22:15:00"/>
    <x v="2"/>
  </r>
  <r>
    <n v="767"/>
    <x v="3"/>
    <n v="8115271834300"/>
    <x v="174"/>
    <d v="2021-08-03T23:50:00"/>
    <d v="1899-12-30T01:35:00"/>
    <n v="189.47368421981375"/>
    <s v="UNPLANNED"/>
    <x v="0"/>
    <d v="1899-12-30T22:15:00"/>
    <x v="2"/>
  </r>
  <r>
    <n v="768"/>
    <x v="7"/>
    <n v="7115271753878"/>
    <x v="175"/>
    <d v="2021-08-04T03:30:00"/>
    <d v="1899-12-30T03:00:00"/>
    <n v="100"/>
    <s v="UNPLANNED"/>
    <x v="6"/>
    <d v="1899-12-30T00:30:00"/>
    <x v="2"/>
  </r>
  <r>
    <n v="769"/>
    <x v="7"/>
    <n v="7115271753872"/>
    <x v="175"/>
    <d v="2021-08-04T03:30:00"/>
    <d v="1899-12-30T03:00:00"/>
    <n v="100"/>
    <s v="UNPLANNED"/>
    <x v="1"/>
    <d v="1899-12-30T00:30:00"/>
    <x v="2"/>
  </r>
  <r>
    <n v="770"/>
    <x v="0"/>
    <n v="5115271269909"/>
    <x v="175"/>
    <d v="2021-08-04T03:30:00"/>
    <d v="1899-12-30T03:00:00"/>
    <n v="100"/>
    <s v="UNPLANNED"/>
    <x v="2"/>
    <d v="1899-12-30T00:30:00"/>
    <x v="2"/>
  </r>
  <r>
    <n v="771"/>
    <x v="0"/>
    <n v="5115271269900"/>
    <x v="175"/>
    <d v="2021-08-04T03:30:00"/>
    <d v="1899-12-30T03:00:00"/>
    <n v="100"/>
    <s v="UNPLANNED"/>
    <x v="0"/>
    <d v="1899-12-30T00:30:00"/>
    <x v="2"/>
  </r>
  <r>
    <n v="772"/>
    <x v="0"/>
    <n v="5115270973905"/>
    <x v="175"/>
    <d v="2021-08-04T03:30:00"/>
    <d v="1899-12-30T03:00:00"/>
    <n v="100"/>
    <s v="UNPLANNED"/>
    <x v="0"/>
    <d v="1899-12-30T00:30:00"/>
    <x v="2"/>
  </r>
  <r>
    <n v="773"/>
    <x v="0"/>
    <n v="5115270973901"/>
    <x v="175"/>
    <d v="2021-08-04T03:30:00"/>
    <d v="1899-12-30T03:00:00"/>
    <n v="100"/>
    <s v="UNPLANNED"/>
    <x v="3"/>
    <d v="1899-12-30T00:30:00"/>
    <x v="2"/>
  </r>
  <r>
    <n v="774"/>
    <x v="13"/>
    <n v="3115270306609"/>
    <x v="175"/>
    <d v="2021-08-04T03:30:00"/>
    <d v="1899-12-30T03:00:00"/>
    <n v="100"/>
    <s v="UNPLANNED"/>
    <x v="0"/>
    <d v="1899-12-30T00:30:00"/>
    <x v="2"/>
  </r>
  <r>
    <n v="775"/>
    <x v="13"/>
    <n v="3115270306603"/>
    <x v="175"/>
    <d v="2021-08-04T03:30:00"/>
    <d v="1899-12-30T03:00:00"/>
    <n v="100"/>
    <s v="UNPLANNED"/>
    <x v="0"/>
    <d v="1899-12-30T00:30:00"/>
    <x v="2"/>
  </r>
  <r>
    <n v="776"/>
    <x v="14"/>
    <n v="1115270058107"/>
    <x v="175"/>
    <d v="2021-08-04T03:30:00"/>
    <d v="1899-12-30T03:00:00"/>
    <n v="100"/>
    <s v="UNPLANNED"/>
    <x v="1"/>
    <d v="1899-12-30T00:30:00"/>
    <x v="2"/>
  </r>
  <r>
    <n v="777"/>
    <x v="14"/>
    <n v="1115270058100"/>
    <x v="175"/>
    <d v="2021-08-04T03:30:00"/>
    <d v="1899-12-30T03:00:00"/>
    <n v="100"/>
    <s v="UNPLANNED"/>
    <x v="0"/>
    <d v="1899-12-30T00:30:00"/>
    <x v="2"/>
  </r>
  <r>
    <n v="778"/>
    <x v="4"/>
    <n v="15115271744002"/>
    <x v="176"/>
    <d v="2021-08-04T13:40:00"/>
    <d v="1899-12-30T05:40:00"/>
    <n v="52.941176470950779"/>
    <s v="UNPLANNED"/>
    <x v="0"/>
    <d v="1899-12-30T08:00:00"/>
    <x v="0"/>
  </r>
  <r>
    <n v="779"/>
    <x v="5"/>
    <n v="13115271650701"/>
    <x v="176"/>
    <d v="2021-08-04T13:40:00"/>
    <d v="1899-12-30T05:40:00"/>
    <n v="52.941176470950779"/>
    <s v="UNPLANNED"/>
    <x v="0"/>
    <d v="1899-12-30T08:00:00"/>
    <x v="0"/>
  </r>
  <r>
    <n v="780"/>
    <x v="10"/>
    <n v="11115271559107"/>
    <x v="176"/>
    <d v="2021-08-04T13:40:00"/>
    <d v="1899-12-30T05:40:00"/>
    <n v="52.941176470950779"/>
    <s v="UNPLANNED"/>
    <x v="0"/>
    <d v="1899-12-30T08:00:00"/>
    <x v="0"/>
  </r>
  <r>
    <n v="781"/>
    <x v="6"/>
    <n v="9115271909001"/>
    <x v="176"/>
    <d v="2021-08-04T13:40:00"/>
    <d v="1899-12-30T05:40:00"/>
    <n v="52.941176470950779"/>
    <s v="UNPLANNED"/>
    <x v="0"/>
    <d v="1899-12-30T08:00:00"/>
    <x v="0"/>
  </r>
  <r>
    <n v="782"/>
    <x v="6"/>
    <n v="9115270643301"/>
    <x v="176"/>
    <d v="2021-08-04T13:40:00"/>
    <d v="1899-12-30T05:40:00"/>
    <n v="52.941176470950779"/>
    <s v="UNPLANNED"/>
    <x v="2"/>
    <d v="1899-12-30T08:00:00"/>
    <x v="0"/>
  </r>
  <r>
    <n v="783"/>
    <x v="3"/>
    <n v="8115271838506"/>
    <x v="176"/>
    <d v="2021-08-04T13:40:00"/>
    <d v="1899-12-30T05:40:00"/>
    <n v="52.941176470950779"/>
    <s v="UNPLANNED"/>
    <x v="0"/>
    <d v="1899-12-30T08:00:00"/>
    <x v="0"/>
  </r>
  <r>
    <n v="784"/>
    <x v="13"/>
    <n v="3115270360701"/>
    <x v="176"/>
    <d v="2021-08-04T13:40:00"/>
    <d v="1899-12-30T05:40:00"/>
    <n v="52.941176470950779"/>
    <s v="UNPLANNED"/>
    <x v="0"/>
    <d v="1899-12-30T08:00:00"/>
    <x v="0"/>
  </r>
  <r>
    <n v="785"/>
    <x v="2"/>
    <n v="12115271560193"/>
    <x v="177"/>
    <d v="2021-08-04T21:50:00"/>
    <d v="1899-12-30T05:20:00"/>
    <n v="56.250000000818545"/>
    <s v="UNPLANNED"/>
    <x v="0"/>
    <d v="1899-12-30T16:30:00"/>
    <x v="1"/>
  </r>
  <r>
    <n v="786"/>
    <x v="2"/>
    <n v="12115271560192"/>
    <x v="177"/>
    <d v="2021-08-04T21:50:00"/>
    <d v="1899-12-30T05:20:00"/>
    <n v="56.250000000818545"/>
    <s v="UNPLANNED"/>
    <x v="0"/>
    <d v="1899-12-30T16:30:00"/>
    <x v="1"/>
  </r>
  <r>
    <n v="787"/>
    <x v="0"/>
    <n v="5115271685508"/>
    <x v="177"/>
    <d v="2021-08-04T21:50:00"/>
    <d v="1899-12-30T05:20:00"/>
    <n v="56.250000000818545"/>
    <s v="UNPLANNED"/>
    <x v="0"/>
    <d v="1899-12-30T16:30:00"/>
    <x v="1"/>
  </r>
  <r>
    <n v="788"/>
    <x v="0"/>
    <n v="5115271685507"/>
    <x v="177"/>
    <d v="2021-08-04T21:50:00"/>
    <d v="1899-12-30T05:20:00"/>
    <n v="56.250000000818545"/>
    <s v="UNPLANNED"/>
    <x v="2"/>
    <d v="1899-12-30T16:30:00"/>
    <x v="1"/>
  </r>
  <r>
    <n v="789"/>
    <x v="0"/>
    <n v="5115271677907"/>
    <x v="177"/>
    <d v="2021-08-04T21:50:00"/>
    <d v="1899-12-30T05:20:00"/>
    <n v="56.250000000818545"/>
    <s v="UNPLANNED"/>
    <x v="1"/>
    <d v="1899-12-30T16:30:00"/>
    <x v="1"/>
  </r>
  <r>
    <n v="790"/>
    <x v="0"/>
    <n v="5115271677900"/>
    <x v="177"/>
    <d v="2021-08-04T21:50:00"/>
    <d v="1899-12-30T05:20:00"/>
    <n v="56.250000000818545"/>
    <s v="UNPLANNED"/>
    <x v="1"/>
    <d v="1899-12-30T16:30:00"/>
    <x v="1"/>
  </r>
  <r>
    <n v="791"/>
    <x v="9"/>
    <n v="2115270229300"/>
    <x v="177"/>
    <d v="2021-08-04T21:50:00"/>
    <d v="1899-12-30T05:20:00"/>
    <n v="56.250000000818545"/>
    <s v="UNPLANNED"/>
    <x v="0"/>
    <d v="1899-12-30T16:30:00"/>
    <x v="1"/>
  </r>
  <r>
    <n v="792"/>
    <x v="14"/>
    <n v="1115270047801"/>
    <x v="177"/>
    <d v="2021-08-04T21:50:00"/>
    <d v="1899-12-30T05:20:00"/>
    <n v="56.250000000818545"/>
    <s v="UNPLANNED"/>
    <x v="0"/>
    <d v="1899-12-30T16:30:00"/>
    <x v="1"/>
  </r>
  <r>
    <n v="793"/>
    <x v="6"/>
    <n v="9115271925002"/>
    <x v="178"/>
    <d v="2021-08-04T23:30:00"/>
    <d v="1899-12-30T01:00:00"/>
    <n v="300.0000000174623"/>
    <s v="UNPLANNED"/>
    <x v="0"/>
    <d v="1899-12-30T22:30:00"/>
    <x v="2"/>
  </r>
  <r>
    <n v="794"/>
    <x v="6"/>
    <n v="9115271925000"/>
    <x v="178"/>
    <d v="2021-08-04T23:30:00"/>
    <d v="1899-12-30T01:00:00"/>
    <n v="300.0000000174623"/>
    <s v="UNPLANNED"/>
    <x v="1"/>
    <d v="1899-12-30T22:30:00"/>
    <x v="2"/>
  </r>
  <r>
    <n v="795"/>
    <x v="6"/>
    <n v="9115271923601"/>
    <x v="178"/>
    <d v="2021-08-04T23:30:00"/>
    <d v="1899-12-30T01:00:00"/>
    <n v="300.0000000174623"/>
    <s v="UNPLANNED"/>
    <x v="0"/>
    <d v="1899-12-30T22:30:00"/>
    <x v="2"/>
  </r>
  <r>
    <n v="796"/>
    <x v="6"/>
    <n v="9115271923600"/>
    <x v="178"/>
    <d v="2021-08-04T23:30:00"/>
    <d v="1899-12-30T01:00:00"/>
    <n v="300.0000000174623"/>
    <s v="UNPLANNED"/>
    <x v="0"/>
    <d v="1899-12-30T22:30:00"/>
    <x v="2"/>
  </r>
  <r>
    <n v="797"/>
    <x v="4"/>
    <n v="15115271791105"/>
    <x v="179"/>
    <d v="2021-08-05T03:30:00"/>
    <d v="1899-12-30T02:30:00"/>
    <n v="119.99999999441206"/>
    <s v="UNPLANNED"/>
    <x v="0"/>
    <d v="1899-12-30T01:00:00"/>
    <x v="2"/>
  </r>
  <r>
    <n v="798"/>
    <x v="4"/>
    <n v="15115271791103"/>
    <x v="179"/>
    <d v="2021-08-05T03:30:00"/>
    <d v="1899-12-30T02:30:00"/>
    <n v="119.99999999441206"/>
    <s v="UNPLANNED"/>
    <x v="0"/>
    <d v="1899-12-30T01:00:00"/>
    <x v="2"/>
  </r>
  <r>
    <n v="799"/>
    <x v="5"/>
    <n v="13115271651102"/>
    <x v="179"/>
    <d v="2021-08-05T03:30:00"/>
    <d v="1899-12-30T02:30:00"/>
    <n v="119.99999999441206"/>
    <s v="UNPLANNED"/>
    <x v="0"/>
    <d v="1899-12-30T01:00:00"/>
    <x v="2"/>
  </r>
  <r>
    <n v="800"/>
    <x v="5"/>
    <n v="13115271651101"/>
    <x v="179"/>
    <d v="2021-08-05T03:30:00"/>
    <d v="1899-12-30T02:30:00"/>
    <n v="119.99999999441206"/>
    <s v="UNPLANNED"/>
    <x v="0"/>
    <d v="1899-12-30T01:00:00"/>
    <x v="2"/>
  </r>
  <r>
    <n v="801"/>
    <x v="5"/>
    <n v="13115271590709"/>
    <x v="180"/>
    <d v="2021-08-05T12:00:00"/>
    <d v="1899-12-30T04:00:00"/>
    <n v="75.000000001091394"/>
    <s v="UNPLANNED"/>
    <x v="0"/>
    <d v="1899-12-30T08:00:00"/>
    <x v="0"/>
  </r>
  <r>
    <n v="802"/>
    <x v="5"/>
    <n v="13115271590704"/>
    <x v="180"/>
    <d v="2021-08-05T12:00:00"/>
    <d v="1899-12-30T04:00:00"/>
    <n v="75.000000001091394"/>
    <s v="UNPLANNED"/>
    <x v="0"/>
    <d v="1899-12-30T08:00:00"/>
    <x v="0"/>
  </r>
  <r>
    <n v="803"/>
    <x v="5"/>
    <n v="13115271590701"/>
    <x v="180"/>
    <d v="2021-08-05T12:00:00"/>
    <d v="1899-12-30T04:00:00"/>
    <n v="75.000000001091394"/>
    <s v="UNPLANNED"/>
    <x v="0"/>
    <d v="1899-12-30T08:00:00"/>
    <x v="0"/>
  </r>
  <r>
    <n v="804"/>
    <x v="2"/>
    <n v="12115271560223"/>
    <x v="180"/>
    <d v="2021-08-05T12:00:00"/>
    <d v="1899-12-30T04:00:00"/>
    <n v="75.000000001091394"/>
    <s v="UNPLANNED"/>
    <x v="0"/>
    <d v="1899-12-30T08:00:00"/>
    <x v="0"/>
  </r>
  <r>
    <n v="805"/>
    <x v="2"/>
    <n v="12115271560222"/>
    <x v="180"/>
    <d v="2021-08-05T12:00:00"/>
    <d v="1899-12-30T04:00:00"/>
    <n v="75.000000001091394"/>
    <s v="UNPLANNED"/>
    <x v="0"/>
    <d v="1899-12-30T08:00:00"/>
    <x v="0"/>
  </r>
  <r>
    <n v="806"/>
    <x v="3"/>
    <n v="8115270613707"/>
    <x v="180"/>
    <d v="2021-08-05T12:00:00"/>
    <d v="1899-12-30T04:00:00"/>
    <n v="75.000000001091394"/>
    <s v="UNPLANNED"/>
    <x v="0"/>
    <d v="1899-12-30T08:00:00"/>
    <x v="0"/>
  </r>
  <r>
    <n v="807"/>
    <x v="3"/>
    <n v="8115270613701"/>
    <x v="180"/>
    <d v="2021-08-05T12:00:00"/>
    <d v="1899-12-30T04:00:00"/>
    <n v="75.000000001091394"/>
    <s v="UNPLANNED"/>
    <x v="0"/>
    <d v="1899-12-30T08:00:00"/>
    <x v="0"/>
  </r>
  <r>
    <n v="808"/>
    <x v="9"/>
    <n v="2115270302701"/>
    <x v="180"/>
    <d v="2021-08-05T12:00:00"/>
    <d v="1899-12-30T04:00:00"/>
    <n v="75.000000001091394"/>
    <s v="UNPLANNED"/>
    <x v="3"/>
    <d v="1899-12-30T08:00:00"/>
    <x v="0"/>
  </r>
  <r>
    <n v="809"/>
    <x v="9"/>
    <n v="2115270302700"/>
    <x v="180"/>
    <d v="2021-08-05T12:00:00"/>
    <d v="1899-12-30T04:00:00"/>
    <n v="75.000000001091394"/>
    <s v="UNPLANNED"/>
    <x v="1"/>
    <d v="1899-12-30T08:00:00"/>
    <x v="0"/>
  </r>
  <r>
    <n v="810"/>
    <x v="7"/>
    <n v="7115271791101"/>
    <x v="181"/>
    <d v="2021-08-05T19:30:00"/>
    <d v="1899-12-30T05:00:00"/>
    <n v="59.999999999301515"/>
    <s v="UNPLANNED"/>
    <x v="0"/>
    <d v="1899-12-30T14:30:00"/>
    <x v="1"/>
  </r>
  <r>
    <n v="811"/>
    <x v="1"/>
    <n v="6115271726500"/>
    <x v="181"/>
    <d v="2021-08-05T19:30:00"/>
    <d v="1899-12-30T05:00:00"/>
    <n v="59.999999999301515"/>
    <s v="UNPLANNED"/>
    <x v="0"/>
    <d v="1899-12-30T14:30:00"/>
    <x v="1"/>
  </r>
  <r>
    <n v="812"/>
    <x v="1"/>
    <n v="6115271690504"/>
    <x v="181"/>
    <d v="2021-08-05T19:30:00"/>
    <d v="1899-12-30T05:00:00"/>
    <n v="59.999999999301515"/>
    <s v="UNPLANNED"/>
    <x v="0"/>
    <d v="1899-12-30T14:30:00"/>
    <x v="1"/>
  </r>
  <r>
    <n v="813"/>
    <x v="9"/>
    <n v="2115270228900"/>
    <x v="181"/>
    <d v="2021-08-05T19:30:00"/>
    <d v="1899-12-30T05:00:00"/>
    <n v="59.999999999301515"/>
    <s v="UNPLANNED"/>
    <x v="1"/>
    <d v="1899-12-30T14:30:00"/>
    <x v="1"/>
  </r>
  <r>
    <n v="814"/>
    <x v="14"/>
    <n v="1115270027001"/>
    <x v="181"/>
    <d v="2021-08-05T19:30:00"/>
    <d v="1899-12-30T05:00:00"/>
    <n v="59.999999999301515"/>
    <s v="UNPLANNED"/>
    <x v="0"/>
    <d v="1899-12-30T14:30:00"/>
    <x v="1"/>
  </r>
  <r>
    <n v="815"/>
    <x v="14"/>
    <n v="1115270027000"/>
    <x v="181"/>
    <d v="2021-08-05T19:30:00"/>
    <d v="1899-12-30T05:00:00"/>
    <n v="59.999999999301515"/>
    <s v="UNPLANNED"/>
    <x v="0"/>
    <d v="1899-12-30T14:30:00"/>
    <x v="1"/>
  </r>
  <r>
    <n v="816"/>
    <x v="7"/>
    <n v="7115271760308"/>
    <x v="182"/>
    <d v="2021-08-06T02:00:00"/>
    <d v="1899-12-30T03:00:00"/>
    <n v="100"/>
    <s v="UNPLANNED"/>
    <x v="0"/>
    <d v="1899-12-30T23:00:00"/>
    <x v="2"/>
  </r>
  <r>
    <n v="817"/>
    <x v="0"/>
    <n v="5115270982402"/>
    <x v="182"/>
    <d v="2021-08-06T02:00:00"/>
    <d v="1899-12-30T03:00:00"/>
    <n v="100"/>
    <s v="UNPLANNED"/>
    <x v="0"/>
    <d v="1899-12-30T23:00:00"/>
    <x v="2"/>
  </r>
  <r>
    <n v="818"/>
    <x v="14"/>
    <n v="1115270075701"/>
    <x v="182"/>
    <d v="2021-08-06T02:00:00"/>
    <d v="1899-12-30T03:00:00"/>
    <n v="100"/>
    <s v="UNPLANNED"/>
    <x v="0"/>
    <d v="1899-12-30T23:00:00"/>
    <x v="2"/>
  </r>
  <r>
    <n v="819"/>
    <x v="14"/>
    <n v="1115270146002"/>
    <x v="183"/>
    <d v="2021-08-07T03:00:00"/>
    <d v="1899-12-30T03:10:00"/>
    <n v="94.736842104682694"/>
    <s v="UNPLANNED"/>
    <x v="0"/>
    <d v="1899-12-30T23:50:00"/>
    <x v="2"/>
  </r>
  <r>
    <n v="820"/>
    <x v="14"/>
    <n v="1115270146000"/>
    <x v="183"/>
    <d v="2021-08-07T03:00:00"/>
    <d v="1899-12-30T03:10:00"/>
    <n v="94.736842104682694"/>
    <s v="UNPLANNED"/>
    <x v="0"/>
    <d v="1899-12-30T23:50:00"/>
    <x v="2"/>
  </r>
  <r>
    <n v="821"/>
    <x v="12"/>
    <n v="14115271680709"/>
    <x v="184"/>
    <d v="2021-08-06T13:50:00"/>
    <d v="1899-12-30T04:20:00"/>
    <n v="69.230769231079208"/>
    <s v="UNPLANNED"/>
    <x v="0"/>
    <d v="1899-12-30T09:30:00"/>
    <x v="0"/>
  </r>
  <r>
    <n v="822"/>
    <x v="12"/>
    <n v="14115271680708"/>
    <x v="184"/>
    <d v="2021-08-06T13:50:00"/>
    <d v="1899-12-30T04:20:00"/>
    <n v="69.230769231079208"/>
    <s v="UNPLANNED"/>
    <x v="0"/>
    <d v="1899-12-30T09:30:00"/>
    <x v="0"/>
  </r>
  <r>
    <n v="823"/>
    <x v="5"/>
    <n v="13115271591501"/>
    <x v="184"/>
    <d v="2021-08-06T13:50:00"/>
    <d v="1899-12-30T04:20:00"/>
    <n v="69.230769231079208"/>
    <s v="UNPLANNED"/>
    <x v="1"/>
    <d v="1899-12-30T09:30:00"/>
    <x v="0"/>
  </r>
  <r>
    <n v="824"/>
    <x v="5"/>
    <n v="13115271591500"/>
    <x v="184"/>
    <d v="2021-08-06T13:50:00"/>
    <d v="1899-12-30T04:20:00"/>
    <n v="69.230769231079208"/>
    <s v="UNPLANNED"/>
    <x v="0"/>
    <d v="1899-12-30T09:30:00"/>
    <x v="0"/>
  </r>
  <r>
    <n v="825"/>
    <x v="10"/>
    <n v="11115271502301"/>
    <x v="184"/>
    <d v="2021-08-06T13:50:00"/>
    <d v="1899-12-30T04:20:00"/>
    <n v="69.230769231079208"/>
    <s v="UNPLANNED"/>
    <x v="0"/>
    <d v="1899-12-30T09:30:00"/>
    <x v="0"/>
  </r>
  <r>
    <n v="826"/>
    <x v="10"/>
    <n v="11115271502300"/>
    <x v="184"/>
    <d v="2021-08-06T13:50:00"/>
    <d v="1899-12-30T04:20:00"/>
    <n v="69.230769231079208"/>
    <s v="UNPLANNED"/>
    <x v="6"/>
    <d v="1899-12-30T09:30:00"/>
    <x v="0"/>
  </r>
  <r>
    <n v="827"/>
    <x v="6"/>
    <n v="9115270638306"/>
    <x v="184"/>
    <d v="2021-08-06T13:50:00"/>
    <d v="1899-12-30T04:20:00"/>
    <n v="69.230769231079208"/>
    <s v="UNPLANNED"/>
    <x v="1"/>
    <d v="1899-12-30T09:30:00"/>
    <x v="0"/>
  </r>
  <r>
    <n v="828"/>
    <x v="6"/>
    <n v="9115270638305"/>
    <x v="184"/>
    <d v="2021-08-06T13:50:00"/>
    <d v="1899-12-30T04:20:00"/>
    <n v="69.230769231079208"/>
    <s v="UNPLANNED"/>
    <x v="1"/>
    <d v="1899-12-30T09:30:00"/>
    <x v="0"/>
  </r>
  <r>
    <n v="829"/>
    <x v="0"/>
    <n v="5115271661601"/>
    <x v="184"/>
    <d v="2021-08-06T13:50:00"/>
    <d v="1899-12-30T04:20:00"/>
    <n v="69.230769231079208"/>
    <s v="UNPLANNED"/>
    <x v="0"/>
    <d v="1899-12-30T09:30:00"/>
    <x v="0"/>
  </r>
  <r>
    <n v="830"/>
    <x v="0"/>
    <n v="5115271661600"/>
    <x v="184"/>
    <d v="2021-08-06T13:50:00"/>
    <d v="1899-12-30T04:20:00"/>
    <n v="69.230769231079208"/>
    <s v="UNPLANNED"/>
    <x v="1"/>
    <d v="1899-12-30T09:30:00"/>
    <x v="0"/>
  </r>
  <r>
    <n v="831"/>
    <x v="8"/>
    <n v="4115270827104"/>
    <x v="184"/>
    <d v="2021-08-06T13:50:00"/>
    <d v="1899-12-30T04:20:00"/>
    <n v="69.230769231079208"/>
    <s v="UNPLANNED"/>
    <x v="2"/>
    <d v="1899-12-30T09:30:00"/>
    <x v="0"/>
  </r>
  <r>
    <n v="832"/>
    <x v="8"/>
    <n v="4115270827103"/>
    <x v="184"/>
    <d v="2021-08-06T13:50:00"/>
    <d v="1899-12-30T04:20:00"/>
    <n v="69.230769231079208"/>
    <s v="UNPLANNED"/>
    <x v="0"/>
    <d v="1899-12-30T09:30:00"/>
    <x v="0"/>
  </r>
  <r>
    <n v="833"/>
    <x v="2"/>
    <n v="12115271560306"/>
    <x v="185"/>
    <d v="2021-08-06T21:00:00"/>
    <d v="1899-12-30T06:00:00"/>
    <n v="50"/>
    <s v="UNPLANNED"/>
    <x v="0"/>
    <d v="1899-12-30T15:00:00"/>
    <x v="1"/>
  </r>
  <r>
    <n v="834"/>
    <x v="2"/>
    <n v="12115271560117"/>
    <x v="185"/>
    <d v="2021-08-06T21:00:00"/>
    <d v="1899-12-30T06:00:00"/>
    <n v="50"/>
    <s v="UNPLANNED"/>
    <x v="0"/>
    <d v="1899-12-30T15:00:00"/>
    <x v="1"/>
  </r>
  <r>
    <n v="835"/>
    <x v="11"/>
    <n v="10115270972800"/>
    <x v="185"/>
    <d v="2021-08-06T21:00:00"/>
    <d v="1899-12-30T06:00:00"/>
    <n v="50"/>
    <s v="UNPLANNED"/>
    <x v="0"/>
    <d v="1899-12-30T15:00:00"/>
    <x v="1"/>
  </r>
  <r>
    <n v="836"/>
    <x v="6"/>
    <n v="9115271970809"/>
    <x v="185"/>
    <d v="2021-08-06T21:00:00"/>
    <d v="1899-12-30T06:00:00"/>
    <n v="50"/>
    <s v="UNPLANNED"/>
    <x v="0"/>
    <d v="1899-12-30T15:00:00"/>
    <x v="1"/>
  </r>
  <r>
    <n v="837"/>
    <x v="6"/>
    <n v="9115271970808"/>
    <x v="185"/>
    <d v="2021-08-06T21:00:00"/>
    <d v="1899-12-30T06:00:00"/>
    <n v="50"/>
    <s v="UNPLANNED"/>
    <x v="2"/>
    <d v="1899-12-30T15:00:00"/>
    <x v="1"/>
  </r>
  <r>
    <n v="838"/>
    <x v="6"/>
    <n v="9115271910017"/>
    <x v="185"/>
    <d v="2021-08-06T21:00:00"/>
    <d v="1899-12-30T06:00:00"/>
    <n v="50"/>
    <s v="UNPLANNED"/>
    <x v="2"/>
    <d v="1899-12-30T15:00:00"/>
    <x v="1"/>
  </r>
  <r>
    <n v="839"/>
    <x v="6"/>
    <n v="9115271910016"/>
    <x v="185"/>
    <d v="2021-08-06T21:00:00"/>
    <d v="1899-12-30T06:00:00"/>
    <n v="50"/>
    <s v="UNPLANNED"/>
    <x v="1"/>
    <d v="1899-12-30T15:00:00"/>
    <x v="1"/>
  </r>
  <r>
    <n v="840"/>
    <x v="3"/>
    <n v="8115271809902"/>
    <x v="183"/>
    <d v="2021-08-07T03:00:00"/>
    <d v="1899-12-30T03:10:00"/>
    <n v="94.736842104682694"/>
    <s v="UNPLANNED"/>
    <x v="0"/>
    <d v="1899-12-30T23:50:00"/>
    <x v="2"/>
  </r>
  <r>
    <n v="841"/>
    <x v="1"/>
    <n v="6115271717229"/>
    <x v="183"/>
    <d v="2021-08-07T03:00:00"/>
    <d v="1899-12-30T03:10:00"/>
    <n v="94.736842104682694"/>
    <s v="UNPLANNED"/>
    <x v="0"/>
    <d v="1899-12-30T23:50:00"/>
    <x v="2"/>
  </r>
  <r>
    <n v="842"/>
    <x v="1"/>
    <n v="6115271717228"/>
    <x v="186"/>
    <d v="2021-08-08T03:00:00"/>
    <d v="1899-12-30T03:10:00"/>
    <n v="94.736842104682694"/>
    <s v="UNPLANNED"/>
    <x v="1"/>
    <d v="1899-12-30T23:50:00"/>
    <x v="2"/>
  </r>
  <r>
    <n v="843"/>
    <x v="1"/>
    <n v="6115271717224"/>
    <x v="183"/>
    <d v="2021-08-07T03:00:00"/>
    <d v="1899-12-30T03:10:00"/>
    <n v="94.736842104682694"/>
    <s v="UNPLANNED"/>
    <x v="0"/>
    <d v="1899-12-30T23:50:00"/>
    <x v="2"/>
  </r>
  <r>
    <n v="844"/>
    <x v="14"/>
    <n v="1115270073806"/>
    <x v="183"/>
    <d v="2021-08-07T03:00:00"/>
    <d v="1899-12-30T03:10:00"/>
    <n v="94.736842104682694"/>
    <s v="UNPLANNED"/>
    <x v="0"/>
    <d v="1899-12-30T23:50:00"/>
    <x v="2"/>
  </r>
  <r>
    <n v="845"/>
    <x v="14"/>
    <n v="1115270073800"/>
    <x v="183"/>
    <d v="2021-08-07T03:00:00"/>
    <d v="1899-12-30T03:10:00"/>
    <n v="94.736842104682694"/>
    <s v="UNPLANNED"/>
    <x v="0"/>
    <d v="1899-12-30T23:50:00"/>
    <x v="2"/>
  </r>
  <r>
    <n v="846"/>
    <x v="0"/>
    <n v="5115271285201"/>
    <x v="187"/>
    <d v="2021-08-07T10:30:00"/>
    <d v="1899-12-30T02:30:00"/>
    <n v="120.00000000279397"/>
    <s v="UNPLANNED"/>
    <x v="0"/>
    <d v="1899-12-30T08:00:00"/>
    <x v="0"/>
  </r>
  <r>
    <n v="847"/>
    <x v="0"/>
    <n v="5115271285200"/>
    <x v="187"/>
    <d v="2021-08-07T10:30:00"/>
    <d v="1899-12-30T02:30:00"/>
    <n v="120.00000000279397"/>
    <s v="UNPLANNED"/>
    <x v="0"/>
    <d v="1899-12-30T08:00:00"/>
    <x v="0"/>
  </r>
  <r>
    <n v="848"/>
    <x v="8"/>
    <n v="4115270826203"/>
    <x v="187"/>
    <d v="2021-08-07T10:30:00"/>
    <d v="1899-12-30T02:30:00"/>
    <n v="120.00000000279397"/>
    <s v="UNPLANNED"/>
    <x v="1"/>
    <d v="1899-12-30T08:00:00"/>
    <x v="0"/>
  </r>
  <r>
    <n v="849"/>
    <x v="8"/>
    <n v="4115270826202"/>
    <x v="187"/>
    <d v="2021-08-07T10:30:00"/>
    <d v="1899-12-30T02:30:00"/>
    <n v="120.00000000279397"/>
    <s v="UNPLANNED"/>
    <x v="1"/>
    <d v="1899-12-30T08:00:00"/>
    <x v="0"/>
  </r>
  <r>
    <n v="850"/>
    <x v="7"/>
    <n v="7115271791003"/>
    <x v="188"/>
    <d v="2021-08-07T13:50:00"/>
    <d v="1899-12-30T02:20:00"/>
    <n v="128.57142856608297"/>
    <s v="UNPLANNED"/>
    <x v="0"/>
    <d v="1899-12-30T11:30:00"/>
    <x v="0"/>
  </r>
  <r>
    <n v="851"/>
    <x v="7"/>
    <n v="7115271791002"/>
    <x v="188"/>
    <d v="2021-08-07T13:50:00"/>
    <d v="1899-12-30T02:20:00"/>
    <n v="128.57142856608297"/>
    <s v="UNPLANNED"/>
    <x v="0"/>
    <d v="1899-12-30T11:30:00"/>
    <x v="0"/>
  </r>
  <r>
    <n v="852"/>
    <x v="8"/>
    <n v="4115270867501"/>
    <x v="188"/>
    <d v="2021-08-07T13:50:00"/>
    <d v="1899-12-30T02:20:00"/>
    <n v="128.57142856608297"/>
    <s v="UNPLANNED"/>
    <x v="0"/>
    <d v="1899-12-30T11:30:00"/>
    <x v="0"/>
  </r>
  <r>
    <n v="853"/>
    <x v="8"/>
    <n v="4115270867500"/>
    <x v="188"/>
    <d v="2021-08-07T13:50:00"/>
    <d v="1899-12-30T02:20:00"/>
    <n v="128.57142856608297"/>
    <s v="UNPLANNED"/>
    <x v="0"/>
    <d v="1899-12-30T11:30:00"/>
    <x v="0"/>
  </r>
  <r>
    <n v="854"/>
    <x v="9"/>
    <n v="2115270155402"/>
    <x v="188"/>
    <d v="2021-08-07T13:50:00"/>
    <d v="1899-12-30T02:20:00"/>
    <n v="128.57142856608297"/>
    <s v="UNPLANNED"/>
    <x v="0"/>
    <d v="1899-12-30T11:30:00"/>
    <x v="0"/>
  </r>
  <r>
    <n v="855"/>
    <x v="9"/>
    <n v="2115270155401"/>
    <x v="188"/>
    <d v="2021-08-07T13:50:00"/>
    <d v="1899-12-30T02:20:00"/>
    <n v="128.57142856608297"/>
    <s v="UNPLANNED"/>
    <x v="0"/>
    <d v="1899-12-30T11:30:00"/>
    <x v="0"/>
  </r>
  <r>
    <n v="856"/>
    <x v="12"/>
    <n v="14115271672508"/>
    <x v="189"/>
    <d v="2021-08-07T18:30:00"/>
    <d v="1899-12-30T02:30:00"/>
    <n v="119.99999999441206"/>
    <s v="UNPLANNED"/>
    <x v="0"/>
    <d v="1899-12-30T16:00:00"/>
    <x v="1"/>
  </r>
  <r>
    <n v="857"/>
    <x v="12"/>
    <n v="14115271672502"/>
    <x v="189"/>
    <d v="2021-08-07T18:30:00"/>
    <d v="1899-12-30T02:30:00"/>
    <n v="119.99999999441206"/>
    <s v="UNPLANNED"/>
    <x v="1"/>
    <d v="1899-12-30T16:00:00"/>
    <x v="1"/>
  </r>
  <r>
    <n v="858"/>
    <x v="12"/>
    <n v="14115271672501"/>
    <x v="189"/>
    <d v="2021-08-07T18:30:00"/>
    <d v="1899-12-30T02:30:00"/>
    <n v="119.99999999441206"/>
    <s v="UNPLANNED"/>
    <x v="1"/>
    <d v="1899-12-30T16:00:00"/>
    <x v="1"/>
  </r>
  <r>
    <n v="859"/>
    <x v="5"/>
    <n v="13115271591209"/>
    <x v="189"/>
    <d v="2021-08-07T18:30:00"/>
    <d v="1899-12-30T02:30:00"/>
    <n v="119.99999999441206"/>
    <s v="UNPLANNED"/>
    <x v="0"/>
    <d v="1899-12-30T16:00:00"/>
    <x v="1"/>
  </r>
  <r>
    <n v="860"/>
    <x v="5"/>
    <n v="13115271591205"/>
    <x v="189"/>
    <d v="2021-08-07T18:30:00"/>
    <d v="1899-12-30T02:30:00"/>
    <n v="119.99999999441206"/>
    <s v="UNPLANNED"/>
    <x v="0"/>
    <d v="1899-12-30T16:00:00"/>
    <x v="1"/>
  </r>
  <r>
    <n v="861"/>
    <x v="5"/>
    <n v="13115271591204"/>
    <x v="189"/>
    <d v="2021-08-07T18:30:00"/>
    <d v="1899-12-30T02:30:00"/>
    <n v="119.99999999441206"/>
    <s v="UNPLANNED"/>
    <x v="1"/>
    <d v="1899-12-30T16:00:00"/>
    <x v="1"/>
  </r>
  <r>
    <n v="862"/>
    <x v="2"/>
    <n v="12115271567449"/>
    <x v="189"/>
    <d v="2021-08-07T18:30:00"/>
    <d v="1899-12-30T02:30:00"/>
    <n v="119.99999999441206"/>
    <s v="UNPLANNED"/>
    <x v="0"/>
    <d v="1899-12-30T16:00:00"/>
    <x v="1"/>
  </r>
  <r>
    <n v="863"/>
    <x v="2"/>
    <n v="12115271567448"/>
    <x v="189"/>
    <d v="2021-08-07T18:30:00"/>
    <d v="1899-12-30T02:30:00"/>
    <n v="119.99999999441206"/>
    <s v="UNPLANNED"/>
    <x v="0"/>
    <d v="1899-12-30T16:00:00"/>
    <x v="1"/>
  </r>
  <r>
    <n v="864"/>
    <x v="4"/>
    <n v="15115271790901"/>
    <x v="190"/>
    <d v="2021-08-07T21:50:00"/>
    <d v="1899-12-30T02:35:00"/>
    <n v="116.12903226416995"/>
    <s v="UNPLANNED"/>
    <x v="1"/>
    <d v="1899-12-30T19:15:00"/>
    <x v="1"/>
  </r>
  <r>
    <n v="865"/>
    <x v="5"/>
    <n v="13115271661702"/>
    <x v="190"/>
    <d v="2021-08-07T21:50:00"/>
    <d v="1899-12-30T02:35:00"/>
    <n v="116.12903226416995"/>
    <s v="UNPLANNED"/>
    <x v="1"/>
    <d v="1899-12-30T19:15:00"/>
    <x v="1"/>
  </r>
  <r>
    <n v="866"/>
    <x v="11"/>
    <n v="10115270954201"/>
    <x v="190"/>
    <d v="2021-08-07T21:50:00"/>
    <d v="1899-12-30T02:35:00"/>
    <n v="116.12903226416995"/>
    <s v="UNPLANNED"/>
    <x v="0"/>
    <d v="1899-12-30T19:15:00"/>
    <x v="1"/>
  </r>
  <r>
    <n v="867"/>
    <x v="11"/>
    <n v="10115270954200"/>
    <x v="190"/>
    <d v="2021-08-07T21:50:00"/>
    <d v="1899-12-30T02:35:00"/>
    <n v="116.12903226416995"/>
    <s v="UNPLANNED"/>
    <x v="1"/>
    <d v="1899-12-30T19:15:00"/>
    <x v="1"/>
  </r>
  <r>
    <n v="868"/>
    <x v="7"/>
    <n v="7115271766604"/>
    <x v="191"/>
    <d v="2021-08-07T23:55:00"/>
    <d v="1899-12-30T01:25:00"/>
    <n v="211.7647058707517"/>
    <s v="UNPLANNED"/>
    <x v="0"/>
    <d v="1899-12-30T22:30:00"/>
    <x v="2"/>
  </r>
  <r>
    <n v="869"/>
    <x v="0"/>
    <n v="5115270974400"/>
    <x v="191"/>
    <d v="2021-08-07T23:55:00"/>
    <d v="1899-12-30T01:25:00"/>
    <n v="211.7647058707517"/>
    <s v="UNPLANNED"/>
    <x v="1"/>
    <d v="1899-12-30T22:30:00"/>
    <x v="2"/>
  </r>
  <r>
    <n v="870"/>
    <x v="7"/>
    <n v="7115271795003"/>
    <x v="192"/>
    <d v="2021-08-08T02:00:00"/>
    <d v="1899-12-30T01:30:00"/>
    <n v="200"/>
    <s v="UNPLANNED"/>
    <x v="0"/>
    <d v="1899-12-30T00:30:00"/>
    <x v="2"/>
  </r>
  <r>
    <n v="871"/>
    <x v="1"/>
    <n v="6115271720707"/>
    <x v="192"/>
    <d v="2021-08-08T02:00:00"/>
    <d v="1899-12-30T01:30:00"/>
    <n v="200"/>
    <s v="UNPLANNED"/>
    <x v="0"/>
    <d v="1899-12-30T00:30:00"/>
    <x v="2"/>
  </r>
  <r>
    <n v="872"/>
    <x v="14"/>
    <n v="1115270099400"/>
    <x v="192"/>
    <d v="2021-08-08T02:00:00"/>
    <d v="1899-12-30T01:30:00"/>
    <n v="200"/>
    <s v="UNPLANNED"/>
    <x v="1"/>
    <d v="1899-12-30T00:30:00"/>
    <x v="2"/>
  </r>
  <r>
    <n v="873"/>
    <x v="12"/>
    <n v="14115271728305"/>
    <x v="193"/>
    <d v="2021-08-08T13:00:00"/>
    <d v="1899-12-30T04:00:00"/>
    <n v="75.000000001091394"/>
    <s v="UNPLANNED"/>
    <x v="0"/>
    <d v="1899-12-30T09:00:00"/>
    <x v="0"/>
  </r>
  <r>
    <n v="874"/>
    <x v="5"/>
    <n v="13115271610300"/>
    <x v="193"/>
    <d v="2021-08-08T13:00:00"/>
    <d v="1899-12-30T04:00:00"/>
    <n v="75.000000001091394"/>
    <s v="UNPLANNED"/>
    <x v="0"/>
    <d v="1899-12-30T09:00:00"/>
    <x v="0"/>
  </r>
  <r>
    <n v="875"/>
    <x v="5"/>
    <n v="13115271592414"/>
    <x v="193"/>
    <d v="2021-08-08T13:00:00"/>
    <d v="1899-12-30T04:00:00"/>
    <n v="75.000000001091394"/>
    <s v="UNPLANNED"/>
    <x v="1"/>
    <d v="1899-12-30T09:00:00"/>
    <x v="0"/>
  </r>
  <r>
    <n v="876"/>
    <x v="10"/>
    <n v="11115271545301"/>
    <x v="193"/>
    <d v="2021-08-08T13:00:00"/>
    <d v="1899-12-30T04:00:00"/>
    <n v="75.000000001091394"/>
    <s v="UNPLANNED"/>
    <x v="0"/>
    <d v="1899-12-30T09:00:00"/>
    <x v="0"/>
  </r>
  <r>
    <n v="877"/>
    <x v="6"/>
    <n v="9115271909204"/>
    <x v="193"/>
    <d v="2021-08-08T13:00:00"/>
    <d v="1899-12-30T04:00:00"/>
    <n v="75.000000001091394"/>
    <s v="UNPLANNED"/>
    <x v="0"/>
    <d v="1899-12-30T09:00:00"/>
    <x v="0"/>
  </r>
  <r>
    <n v="878"/>
    <x v="1"/>
    <n v="6115271734900"/>
    <x v="193"/>
    <d v="2021-08-08T13:00:00"/>
    <d v="1899-12-30T04:00:00"/>
    <n v="75.000000001091394"/>
    <s v="UNPLANNED"/>
    <x v="0"/>
    <d v="1899-12-30T09:00:00"/>
    <x v="0"/>
  </r>
  <r>
    <n v="879"/>
    <x v="0"/>
    <n v="5115271296108"/>
    <x v="193"/>
    <d v="2021-08-08T13:00:00"/>
    <d v="1899-12-30T04:00:00"/>
    <n v="75.000000001091394"/>
    <s v="UNPLANNED"/>
    <x v="0"/>
    <d v="1899-12-30T09:00:00"/>
    <x v="0"/>
  </r>
  <r>
    <n v="880"/>
    <x v="7"/>
    <n v="7115271783206"/>
    <x v="194"/>
    <d v="2021-08-08T18:30:00"/>
    <d v="1899-12-30T03:30:00"/>
    <n v="85.714285712860217"/>
    <s v="UNPLANNED"/>
    <x v="0"/>
    <d v="1899-12-30T15:00:00"/>
    <x v="1"/>
  </r>
  <r>
    <n v="881"/>
    <x v="1"/>
    <n v="6115271720625"/>
    <x v="194"/>
    <d v="2021-08-08T18:30:00"/>
    <d v="1899-12-30T03:30:00"/>
    <n v="85.714285712860217"/>
    <s v="UNPLANNED"/>
    <x v="0"/>
    <d v="1899-12-30T15:00:00"/>
    <x v="1"/>
  </r>
  <r>
    <n v="882"/>
    <x v="13"/>
    <n v="3115270395806"/>
    <x v="194"/>
    <d v="2021-08-08T18:30:00"/>
    <d v="1899-12-30T03:30:00"/>
    <n v="85.714285712860217"/>
    <s v="UNPLANNED"/>
    <x v="1"/>
    <d v="1899-12-30T15:00:00"/>
    <x v="1"/>
  </r>
  <r>
    <n v="883"/>
    <x v="9"/>
    <n v="2115270497005"/>
    <x v="194"/>
    <d v="2021-08-08T18:30:00"/>
    <d v="1899-12-30T03:30:00"/>
    <n v="85.714285712860217"/>
    <s v="UNPLANNED"/>
    <x v="0"/>
    <d v="1899-12-30T15:00:00"/>
    <x v="1"/>
  </r>
  <r>
    <n v="884"/>
    <x v="0"/>
    <n v="5115271678309"/>
    <x v="195"/>
    <d v="2021-08-08T21:30:00"/>
    <d v="1899-12-30T02:00:00"/>
    <n v="149.99999999563443"/>
    <s v="UNPLANNED"/>
    <x v="0"/>
    <d v="1899-12-30T19:30:00"/>
    <x v="1"/>
  </r>
  <r>
    <n v="885"/>
    <x v="13"/>
    <n v="3115270439907"/>
    <x v="195"/>
    <d v="2021-08-08T21:30:00"/>
    <d v="1899-12-30T02:00:00"/>
    <n v="149.99999999563443"/>
    <s v="UNPLANNED"/>
    <x v="0"/>
    <d v="1899-12-30T19:30:00"/>
    <x v="1"/>
  </r>
  <r>
    <n v="886"/>
    <x v="14"/>
    <n v="1115270096000"/>
    <x v="195"/>
    <d v="2021-08-08T21:30:00"/>
    <d v="1899-12-30T02:00:00"/>
    <n v="149.99999999563443"/>
    <s v="UNPLANNED"/>
    <x v="2"/>
    <d v="1899-12-30T19:30:00"/>
    <x v="1"/>
  </r>
  <r>
    <n v="887"/>
    <x v="4"/>
    <n v="15115271788410"/>
    <x v="196"/>
    <d v="2021-08-09T03:45:00"/>
    <d v="1899-12-30T03:55:00"/>
    <n v="76.595744680471626"/>
    <s v="UNPLANNED"/>
    <x v="1"/>
    <d v="1899-12-30T23:50:00"/>
    <x v="2"/>
  </r>
  <r>
    <n v="888"/>
    <x v="12"/>
    <n v="14115271722905"/>
    <x v="196"/>
    <d v="2021-08-09T03:45:00"/>
    <d v="1899-12-30T03:55:00"/>
    <n v="76.595744680471626"/>
    <s v="UNPLANNED"/>
    <x v="0"/>
    <d v="1899-12-30T23:50:00"/>
    <x v="2"/>
  </r>
  <r>
    <n v="889"/>
    <x v="2"/>
    <n v="12115271566212"/>
    <x v="196"/>
    <d v="2021-08-09T03:45:00"/>
    <d v="1899-12-30T03:55:00"/>
    <n v="76.595744680471626"/>
    <s v="UNPLANNED"/>
    <x v="0"/>
    <d v="1899-12-30T23:50:00"/>
    <x v="2"/>
  </r>
  <r>
    <n v="890"/>
    <x v="2"/>
    <n v="12115271560174"/>
    <x v="196"/>
    <d v="2021-08-09T03:45:00"/>
    <d v="1899-12-30T03:55:00"/>
    <n v="76.595744680471626"/>
    <s v="UNPLANNED"/>
    <x v="0"/>
    <d v="1899-12-30T23:50:00"/>
    <x v="2"/>
  </r>
  <r>
    <n v="891"/>
    <x v="11"/>
    <n v="10115271430900"/>
    <x v="196"/>
    <d v="2021-08-09T03:45:00"/>
    <d v="1899-12-30T03:55:00"/>
    <n v="76.595744680471626"/>
    <s v="UNPLANNED"/>
    <x v="0"/>
    <d v="1899-12-30T23:50:00"/>
    <x v="2"/>
  </r>
  <r>
    <n v="892"/>
    <x v="6"/>
    <n v="9115271935000"/>
    <x v="196"/>
    <d v="2021-08-09T03:45:00"/>
    <d v="1899-12-30T03:55:00"/>
    <n v="76.595744680471626"/>
    <s v="UNPLANNED"/>
    <x v="1"/>
    <d v="1899-12-30T23:50:00"/>
    <x v="2"/>
  </r>
  <r>
    <n v="893"/>
    <x v="4"/>
    <n v="15115271786205"/>
    <x v="197"/>
    <d v="2021-08-09T12:00:00"/>
    <d v="1899-12-30T03:00:00"/>
    <n v="100"/>
    <s v="UNPLANNED"/>
    <x v="0"/>
    <d v="1899-12-30T09:00:00"/>
    <x v="0"/>
  </r>
  <r>
    <n v="894"/>
    <x v="4"/>
    <n v="15115271786204"/>
    <x v="197"/>
    <d v="2021-08-09T12:00:00"/>
    <d v="1899-12-30T03:00:00"/>
    <n v="100"/>
    <s v="UNPLANNED"/>
    <x v="0"/>
    <d v="1899-12-30T09:00:00"/>
    <x v="0"/>
  </r>
  <r>
    <n v="895"/>
    <x v="12"/>
    <n v="14115271687703"/>
    <x v="197"/>
    <d v="2021-08-09T12:00:00"/>
    <d v="1899-12-30T03:00:00"/>
    <n v="100"/>
    <s v="UNPLANNED"/>
    <x v="0"/>
    <d v="1899-12-30T09:00:00"/>
    <x v="0"/>
  </r>
  <r>
    <n v="896"/>
    <x v="12"/>
    <n v="14115271687702"/>
    <x v="197"/>
    <d v="2021-08-09T12:00:00"/>
    <d v="1899-12-30T03:00:00"/>
    <n v="100"/>
    <s v="UNPLANNED"/>
    <x v="1"/>
    <d v="1899-12-30T09:00:00"/>
    <x v="0"/>
  </r>
  <r>
    <n v="897"/>
    <x v="11"/>
    <n v="10115270967801"/>
    <x v="197"/>
    <d v="2021-08-09T12:00:00"/>
    <d v="1899-12-30T03:00:00"/>
    <n v="100"/>
    <s v="UNPLANNED"/>
    <x v="1"/>
    <d v="1899-12-30T09:00:00"/>
    <x v="0"/>
  </r>
  <r>
    <n v="898"/>
    <x v="11"/>
    <n v="10115270967800"/>
    <x v="197"/>
    <d v="2021-08-09T12:00:00"/>
    <d v="1899-12-30T03:00:00"/>
    <n v="100"/>
    <s v="UNPLANNED"/>
    <x v="1"/>
    <d v="1899-12-30T09:00:00"/>
    <x v="0"/>
  </r>
  <r>
    <n v="899"/>
    <x v="6"/>
    <n v="9115271898904"/>
    <x v="197"/>
    <d v="2021-08-09T12:00:00"/>
    <d v="1899-12-30T03:00:00"/>
    <n v="100"/>
    <s v="UNPLANNED"/>
    <x v="1"/>
    <d v="1899-12-30T09:00:00"/>
    <x v="0"/>
  </r>
  <r>
    <n v="900"/>
    <x v="6"/>
    <n v="9115271898900"/>
    <x v="197"/>
    <d v="2021-08-09T12:00:00"/>
    <d v="1899-12-30T03:00:00"/>
    <n v="100"/>
    <s v="UNPLANNED"/>
    <x v="1"/>
    <d v="1899-12-30T09:00:00"/>
    <x v="0"/>
  </r>
  <r>
    <n v="901"/>
    <x v="7"/>
    <n v="7115271765615"/>
    <x v="197"/>
    <d v="2021-08-09T12:00:00"/>
    <d v="1899-12-30T03:00:00"/>
    <n v="100"/>
    <s v="UNPLANNED"/>
    <x v="1"/>
    <d v="1899-12-30T09:00:00"/>
    <x v="0"/>
  </r>
  <r>
    <n v="902"/>
    <x v="7"/>
    <n v="7115271765614"/>
    <x v="197"/>
    <d v="2021-08-09T12:00:00"/>
    <d v="1899-12-30T03:00:00"/>
    <n v="100"/>
    <s v="UNPLANNED"/>
    <x v="0"/>
    <d v="1899-12-30T09:00:00"/>
    <x v="0"/>
  </r>
  <r>
    <n v="903"/>
    <x v="0"/>
    <n v="5115271675905"/>
    <x v="198"/>
    <d v="2021-08-09T14:00:00"/>
    <d v="1899-12-30T01:15:00"/>
    <n v="239.99999998882413"/>
    <s v="UNPLANNED"/>
    <x v="0"/>
    <d v="1899-12-30T12:45:00"/>
    <x v="0"/>
  </r>
  <r>
    <n v="904"/>
    <x v="0"/>
    <n v="5115271675904"/>
    <x v="198"/>
    <d v="2021-08-09T14:00:00"/>
    <d v="1899-12-30T01:15:00"/>
    <n v="239.99999998882413"/>
    <s v="UNPLANNED"/>
    <x v="0"/>
    <d v="1899-12-30T12:45:00"/>
    <x v="0"/>
  </r>
  <r>
    <n v="905"/>
    <x v="8"/>
    <n v="4115270825603"/>
    <x v="198"/>
    <d v="2021-08-09T14:00:00"/>
    <d v="1899-12-30T01:15:00"/>
    <n v="239.99999998882413"/>
    <s v="UNPLANNED"/>
    <x v="0"/>
    <d v="1899-12-30T12:45:00"/>
    <x v="0"/>
  </r>
  <r>
    <n v="906"/>
    <x v="8"/>
    <n v="4115270825602"/>
    <x v="198"/>
    <d v="2021-08-09T14:00:00"/>
    <d v="1899-12-30T01:15:00"/>
    <n v="239.99999998882413"/>
    <s v="UNPLANNED"/>
    <x v="1"/>
    <d v="1899-12-30T12:45:00"/>
    <x v="0"/>
  </r>
  <r>
    <n v="907"/>
    <x v="4"/>
    <n v="15115271778716"/>
    <x v="199"/>
    <d v="2021-08-09T21:30:00"/>
    <d v="1899-12-30T05:00:00"/>
    <n v="59.999999999301515"/>
    <s v="UNPLANNED"/>
    <x v="0"/>
    <d v="1899-12-30T16:30:00"/>
    <x v="1"/>
  </r>
  <r>
    <n v="908"/>
    <x v="12"/>
    <n v="14115271690106"/>
    <x v="199"/>
    <d v="2021-08-09T21:30:00"/>
    <d v="1899-12-30T05:00:00"/>
    <n v="59.999999999301515"/>
    <s v="UNPLANNED"/>
    <x v="0"/>
    <d v="1899-12-30T16:30:00"/>
    <x v="1"/>
  </r>
  <r>
    <n v="909"/>
    <x v="12"/>
    <n v="14115271672605"/>
    <x v="199"/>
    <d v="2021-08-09T21:30:00"/>
    <d v="1899-12-30T05:00:00"/>
    <n v="59.999999999301515"/>
    <s v="UNPLANNED"/>
    <x v="0"/>
    <d v="1899-12-30T16:30:00"/>
    <x v="1"/>
  </r>
  <r>
    <n v="910"/>
    <x v="5"/>
    <n v="13115271591204"/>
    <x v="199"/>
    <d v="2021-08-09T21:30:00"/>
    <d v="1899-12-30T05:00:00"/>
    <n v="59.999999999301515"/>
    <s v="UNPLANNED"/>
    <x v="0"/>
    <d v="1899-12-30T16:30:00"/>
    <x v="1"/>
  </r>
  <r>
    <n v="911"/>
    <x v="5"/>
    <n v="13115271590800"/>
    <x v="199"/>
    <d v="2021-08-09T21:30:00"/>
    <d v="1899-12-30T05:00:00"/>
    <n v="59.999999999301515"/>
    <s v="UNPLANNED"/>
    <x v="1"/>
    <d v="1899-12-30T16:30:00"/>
    <x v="1"/>
  </r>
  <r>
    <n v="912"/>
    <x v="11"/>
    <n v="10115270954000"/>
    <x v="199"/>
    <d v="2021-08-09T21:30:00"/>
    <d v="1899-12-30T05:00:00"/>
    <n v="59.999999999301515"/>
    <s v="UNPLANNED"/>
    <x v="1"/>
    <d v="1899-12-30T16:30:00"/>
    <x v="1"/>
  </r>
  <r>
    <n v="913"/>
    <x v="13"/>
    <n v="3115270360200"/>
    <x v="199"/>
    <d v="2021-08-09T21:30:00"/>
    <d v="1899-12-30T05:00:00"/>
    <n v="59.999999999301515"/>
    <s v="UNPLANNED"/>
    <x v="1"/>
    <d v="1899-12-30T16:30:00"/>
    <x v="1"/>
  </r>
  <r>
    <n v="914"/>
    <x v="14"/>
    <n v="1115270095307"/>
    <x v="199"/>
    <d v="2021-08-09T21:30:00"/>
    <d v="1899-12-30T05:00:00"/>
    <n v="59.999999999301515"/>
    <s v="UNPLANNED"/>
    <x v="1"/>
    <d v="1899-12-30T16:30:00"/>
    <x v="1"/>
  </r>
  <r>
    <n v="915"/>
    <x v="14"/>
    <n v="1115270095300"/>
    <x v="199"/>
    <d v="2021-08-09T21:30:00"/>
    <d v="1899-12-30T05:00:00"/>
    <n v="59.999999999301515"/>
    <s v="UNPLANNED"/>
    <x v="0"/>
    <d v="1899-12-30T16:30:00"/>
    <x v="1"/>
  </r>
  <r>
    <n v="916"/>
    <x v="12"/>
    <n v="14115271672905"/>
    <x v="200"/>
    <d v="2021-08-10T04:10:00"/>
    <d v="1899-12-30T03:35:00"/>
    <n v="83.720930233011458"/>
    <s v="UNPLANNED"/>
    <x v="0"/>
    <d v="1899-12-30T00:35:00"/>
    <x v="2"/>
  </r>
  <r>
    <n v="917"/>
    <x v="3"/>
    <n v="8115271877500"/>
    <x v="200"/>
    <d v="2021-08-10T04:10:00"/>
    <d v="1899-12-30T03:35:00"/>
    <n v="83.720930233011458"/>
    <s v="UNPLANNED"/>
    <x v="1"/>
    <d v="1899-12-30T00:35:00"/>
    <x v="2"/>
  </r>
  <r>
    <n v="918"/>
    <x v="1"/>
    <n v="6115271720702"/>
    <x v="200"/>
    <d v="2021-08-10T04:10:00"/>
    <d v="1899-12-30T03:35:00"/>
    <n v="83.720930233011458"/>
    <s v="UNPLANNED"/>
    <x v="1"/>
    <d v="1899-12-30T00:35:00"/>
    <x v="2"/>
  </r>
  <r>
    <n v="919"/>
    <x v="13"/>
    <n v="3115270306902"/>
    <x v="200"/>
    <d v="2021-08-10T04:10:00"/>
    <d v="1899-12-30T03:35:00"/>
    <n v="83.720930233011458"/>
    <s v="UNPLANNED"/>
    <x v="0"/>
    <d v="1899-12-30T00:35:00"/>
    <x v="2"/>
  </r>
  <r>
    <n v="920"/>
    <x v="14"/>
    <n v="1115270029200"/>
    <x v="200"/>
    <d v="2021-08-10T04:10:00"/>
    <d v="1899-12-30T03:35:00"/>
    <n v="83.720930233011458"/>
    <s v="UNPLANNED"/>
    <x v="0"/>
    <d v="1899-12-30T00:35:00"/>
    <x v="2"/>
  </r>
  <r>
    <n v="921"/>
    <x v="12"/>
    <n v="14115271672500"/>
    <x v="201"/>
    <d v="2021-08-10T13:40:00"/>
    <d v="1899-12-30T03:40:00"/>
    <n v="81.818181816450021"/>
    <s v="UNPLANNED"/>
    <x v="0"/>
    <d v="1899-12-30T10:00:00"/>
    <x v="0"/>
  </r>
  <r>
    <n v="922"/>
    <x v="11"/>
    <n v="10115271969300"/>
    <x v="201"/>
    <d v="2021-08-10T13:40:00"/>
    <d v="1899-12-30T03:40:00"/>
    <n v="81.818181816450021"/>
    <s v="UNPLANNED"/>
    <x v="0"/>
    <d v="1899-12-30T10:00:00"/>
    <x v="0"/>
  </r>
  <r>
    <n v="923"/>
    <x v="11"/>
    <n v="10115270981000"/>
    <x v="201"/>
    <d v="2021-08-10T13:40:00"/>
    <d v="1899-12-30T03:40:00"/>
    <n v="81.818181816450021"/>
    <s v="UNPLANNED"/>
    <x v="1"/>
    <d v="1899-12-30T10:00:00"/>
    <x v="0"/>
  </r>
  <r>
    <n v="924"/>
    <x v="7"/>
    <n v="7115271771006"/>
    <x v="201"/>
    <d v="2021-08-10T13:40:00"/>
    <d v="1899-12-30T03:40:00"/>
    <n v="81.818181816450021"/>
    <s v="UNPLANNED"/>
    <x v="1"/>
    <d v="1899-12-30T10:00:00"/>
    <x v="0"/>
  </r>
  <r>
    <n v="925"/>
    <x v="1"/>
    <n v="6115271707001"/>
    <x v="201"/>
    <d v="2021-08-10T13:40:00"/>
    <d v="1899-12-30T03:40:00"/>
    <n v="81.818181816450021"/>
    <s v="UNPLANNED"/>
    <x v="0"/>
    <d v="1899-12-30T10:00:00"/>
    <x v="0"/>
  </r>
  <r>
    <n v="926"/>
    <x v="13"/>
    <n v="3115270395900"/>
    <x v="201"/>
    <d v="2021-08-10T13:40:00"/>
    <d v="1899-12-30T03:40:00"/>
    <n v="81.818181816450021"/>
    <s v="UNPLANNED"/>
    <x v="0"/>
    <d v="1899-12-30T10:00:00"/>
    <x v="0"/>
  </r>
  <r>
    <n v="927"/>
    <x v="14"/>
    <n v="1115270139401"/>
    <x v="201"/>
    <d v="2021-08-10T13:40:00"/>
    <d v="1899-12-30T03:40:00"/>
    <n v="81.818181816450021"/>
    <s v="UNPLANNED"/>
    <x v="0"/>
    <d v="1899-12-30T10:00:00"/>
    <x v="0"/>
  </r>
  <r>
    <n v="928"/>
    <x v="7"/>
    <n v="7115271804405"/>
    <x v="202"/>
    <d v="2021-08-10T17:00:00"/>
    <d v="1899-12-30T02:00:00"/>
    <n v="149.99999999563443"/>
    <s v="UNPLANNED"/>
    <x v="0"/>
    <d v="1899-12-30T15:00:00"/>
    <x v="1"/>
  </r>
  <r>
    <n v="929"/>
    <x v="5"/>
    <n v="13115271645000"/>
    <x v="203"/>
    <d v="2021-08-10T22:00:00"/>
    <d v="1899-12-30T04:30:00"/>
    <n v="66.666666666666657"/>
    <s v="UNPLANNED"/>
    <x v="0"/>
    <d v="1899-12-30T17:30:00"/>
    <x v="1"/>
  </r>
  <r>
    <n v="930"/>
    <x v="11"/>
    <n v="10115271459900"/>
    <x v="203"/>
    <d v="2021-08-10T22:00:00"/>
    <d v="1899-12-30T04:30:00"/>
    <n v="66.666666666666657"/>
    <s v="UNPLANNED"/>
    <x v="1"/>
    <d v="1899-12-30T17:30:00"/>
    <x v="1"/>
  </r>
  <r>
    <n v="931"/>
    <x v="11"/>
    <n v="10115270141080"/>
    <x v="203"/>
    <d v="2021-08-10T22:00:00"/>
    <d v="1899-12-30T04:30:00"/>
    <n v="66.666666666666657"/>
    <s v="UNPLANNED"/>
    <x v="0"/>
    <d v="1899-12-30T17:30:00"/>
    <x v="1"/>
  </r>
  <r>
    <n v="932"/>
    <x v="13"/>
    <n v="3115270400400"/>
    <x v="203"/>
    <d v="2021-08-10T22:00:00"/>
    <d v="1899-12-30T04:30:00"/>
    <n v="66.666666666666657"/>
    <s v="UNPLANNED"/>
    <x v="0"/>
    <d v="1899-12-30T17:30:00"/>
    <x v="1"/>
  </r>
  <r>
    <n v="933"/>
    <x v="14"/>
    <n v="1115270120800"/>
    <x v="203"/>
    <d v="2021-08-10T22:00:00"/>
    <d v="1899-12-30T04:30:00"/>
    <n v="66.666666666666657"/>
    <s v="UNPLANNED"/>
    <x v="0"/>
    <d v="1899-12-30T17:30:00"/>
    <x v="1"/>
  </r>
  <r>
    <n v="934"/>
    <x v="14"/>
    <n v="1115270055600"/>
    <x v="203"/>
    <d v="2021-08-10T22:00:00"/>
    <d v="1899-12-30T04:30:00"/>
    <n v="66.666666666666657"/>
    <s v="UNPLANNED"/>
    <x v="1"/>
    <d v="1899-12-30T17:30:00"/>
    <x v="1"/>
  </r>
  <r>
    <n v="935"/>
    <x v="7"/>
    <n v="7115271766341"/>
    <x v="204"/>
    <d v="2021-08-11T00:45:00"/>
    <d v="1899-12-30T02:05:00"/>
    <n v="144.00000000134111"/>
    <s v="UNPLANNED"/>
    <x v="0"/>
    <d v="1899-12-30T22:40:00"/>
    <x v="2"/>
  </r>
  <r>
    <n v="936"/>
    <x v="13"/>
    <n v="3115270311200"/>
    <x v="204"/>
    <d v="2021-08-11T00:45:00"/>
    <d v="1899-12-30T02:05:00"/>
    <n v="144.00000000134111"/>
    <s v="UNPLANNED"/>
    <x v="0"/>
    <d v="1899-12-30T22:40:00"/>
    <x v="2"/>
  </r>
  <r>
    <n v="937"/>
    <x v="13"/>
    <n v="3115270406600"/>
    <x v="205"/>
    <d v="2021-08-11T03:00:00"/>
    <d v="1899-12-30T02:00:00"/>
    <n v="149.99999999563443"/>
    <s v="UNPLANNED"/>
    <x v="1"/>
    <d v="1899-12-30T01:00:00"/>
    <x v="2"/>
  </r>
  <r>
    <n v="938"/>
    <x v="6"/>
    <n v="9115270647702"/>
    <x v="205"/>
    <d v="2021-08-11T03:30:00"/>
    <d v="1899-12-30T02:30:00"/>
    <n v="119.99999999441206"/>
    <s v="UNPLANNED"/>
    <x v="1"/>
    <d v="1899-12-30T01:00:00"/>
    <x v="2"/>
  </r>
  <r>
    <n v="939"/>
    <x v="12"/>
    <n v="14115271672412"/>
    <x v="206"/>
    <d v="2021-08-11T13:50:00"/>
    <d v="1899-12-30T05:35:00"/>
    <n v="53.731343283208645"/>
    <s v="UNPLANNED"/>
    <x v="0"/>
    <d v="1899-12-30T08:15:00"/>
    <x v="0"/>
  </r>
  <r>
    <n v="940"/>
    <x v="2"/>
    <n v="12115271567380"/>
    <x v="206"/>
    <d v="2021-08-11T13:50:00"/>
    <d v="1899-12-30T05:35:00"/>
    <n v="53.731343283208645"/>
    <s v="UNPLANNED"/>
    <x v="1"/>
    <d v="1899-12-30T08:15:00"/>
    <x v="0"/>
  </r>
  <r>
    <n v="941"/>
    <x v="11"/>
    <n v="10115271415602"/>
    <x v="206"/>
    <d v="2021-08-11T13:50:00"/>
    <d v="1899-12-30T05:35:00"/>
    <n v="53.731343283208645"/>
    <s v="UNPLANNED"/>
    <x v="1"/>
    <d v="1899-12-30T08:15:00"/>
    <x v="0"/>
  </r>
  <r>
    <n v="942"/>
    <x v="7"/>
    <n v="7115271798004"/>
    <x v="206"/>
    <d v="2021-08-11T13:50:00"/>
    <d v="1899-12-30T05:35:00"/>
    <n v="53.731343283208645"/>
    <s v="UNPLANNED"/>
    <x v="0"/>
    <d v="1899-12-30T08:15:00"/>
    <x v="0"/>
  </r>
  <r>
    <n v="943"/>
    <x v="7"/>
    <n v="7115271792500"/>
    <x v="206"/>
    <d v="2021-08-11T13:50:00"/>
    <d v="1899-12-30T05:35:00"/>
    <n v="53.731343283208645"/>
    <s v="UNPLANNED"/>
    <x v="0"/>
    <d v="1899-12-30T08:15:00"/>
    <x v="0"/>
  </r>
  <r>
    <n v="944"/>
    <x v="13"/>
    <n v="3115270306702"/>
    <x v="206"/>
    <d v="2021-08-11T13:50:00"/>
    <d v="1899-12-30T05:35:00"/>
    <n v="53.731343283208645"/>
    <s v="UNPLANNED"/>
    <x v="1"/>
    <d v="1899-12-30T08:15:00"/>
    <x v="0"/>
  </r>
  <r>
    <n v="945"/>
    <x v="14"/>
    <n v="1115270073400"/>
    <x v="206"/>
    <d v="2021-08-11T13:50:00"/>
    <d v="1899-12-30T05:35:00"/>
    <n v="53.731343283208645"/>
    <s v="UNPLANNED"/>
    <x v="1"/>
    <d v="1899-12-30T08:15:00"/>
    <x v="0"/>
  </r>
  <r>
    <n v="946"/>
    <x v="13"/>
    <n v="3115270448600"/>
    <x v="207"/>
    <d v="2021-08-11T20:35:00"/>
    <d v="1899-12-30T00:50:00"/>
    <n v="359.99999995809048"/>
    <s v="UNPLANNED"/>
    <x v="2"/>
    <d v="1899-12-30T19:45:00"/>
    <x v="1"/>
  </r>
  <r>
    <n v="947"/>
    <x v="1"/>
    <n v="6115271770300"/>
    <x v="208"/>
    <d v="2021-08-11T22:45:00"/>
    <d v="1899-12-30T01:55:00"/>
    <n v="156.52173913360375"/>
    <s v="UNPLANNED"/>
    <x v="1"/>
    <d v="1899-12-30T20:50:00"/>
    <x v="1"/>
  </r>
  <r>
    <n v="948"/>
    <x v="13"/>
    <n v="3115270305700"/>
    <x v="208"/>
    <d v="2021-08-11T22:45:00"/>
    <d v="1899-12-30T01:55:00"/>
    <n v="156.52173913360375"/>
    <s v="UNPLANNED"/>
    <x v="6"/>
    <d v="1899-12-30T20:50:00"/>
    <x v="1"/>
  </r>
  <r>
    <n v="949"/>
    <x v="9"/>
    <n v="2115270260500"/>
    <x v="208"/>
    <d v="2021-08-11T22:45:00"/>
    <d v="1899-12-30T01:55:00"/>
    <n v="156.52173913360375"/>
    <s v="UNPLANNED"/>
    <x v="1"/>
    <d v="1899-12-30T20:50:00"/>
    <x v="1"/>
  </r>
  <r>
    <n v="950"/>
    <x v="12"/>
    <n v="14115271672405"/>
    <x v="209"/>
    <d v="2021-08-12T03:45:00"/>
    <d v="1899-12-30T04:05:00"/>
    <n v="73.46938775440384"/>
    <s v="UNPLANNED"/>
    <x v="0"/>
    <d v="1899-12-30T23:40:00"/>
    <x v="2"/>
  </r>
  <r>
    <n v="951"/>
    <x v="7"/>
    <n v="7115271765614"/>
    <x v="209"/>
    <d v="2021-08-12T03:45:00"/>
    <d v="1899-12-30T04:05:00"/>
    <n v="73.46938775440384"/>
    <s v="UNPLANNED"/>
    <x v="3"/>
    <d v="1899-12-30T23:40:00"/>
    <x v="2"/>
  </r>
  <r>
    <n v="952"/>
    <x v="13"/>
    <n v="3115270394500"/>
    <x v="209"/>
    <d v="2021-08-12T03:45:00"/>
    <d v="1899-12-30T04:05:00"/>
    <n v="73.46938775440384"/>
    <s v="UNPLANNED"/>
    <x v="0"/>
    <d v="1899-12-30T23:40:00"/>
    <x v="2"/>
  </r>
  <r>
    <n v="953"/>
    <x v="14"/>
    <n v="1115270137700"/>
    <x v="209"/>
    <d v="2021-08-12T03:45:00"/>
    <d v="1899-12-30T04:05:00"/>
    <n v="73.46938775440384"/>
    <s v="UNPLANNED"/>
    <x v="0"/>
    <d v="1899-12-30T23:40:00"/>
    <x v="2"/>
  </r>
  <r>
    <n v="954"/>
    <x v="14"/>
    <n v="1115270020400"/>
    <x v="209"/>
    <d v="2021-08-12T03:45:00"/>
    <d v="1899-12-30T04:05:00"/>
    <n v="73.46938775440384"/>
    <s v="UNPLANNED"/>
    <x v="1"/>
    <d v="1899-12-30T23:40:00"/>
    <x v="2"/>
  </r>
  <r>
    <n v="955"/>
    <x v="13"/>
    <n v="3115270413201"/>
    <x v="210"/>
    <d v="2021-08-12T13:30:00"/>
    <d v="1899-12-30T01:30:00"/>
    <n v="200"/>
    <s v="UNPLANNED"/>
    <x v="6"/>
    <d v="1899-12-30T12:00:00"/>
    <x v="0"/>
  </r>
  <r>
    <n v="956"/>
    <x v="13"/>
    <n v="3115270413200"/>
    <x v="210"/>
    <d v="2021-08-12T13:30:00"/>
    <d v="1899-12-30T01:30:00"/>
    <n v="200"/>
    <s v="UNPLANNED"/>
    <x v="0"/>
    <d v="1899-12-30T12:00:00"/>
    <x v="0"/>
  </r>
  <r>
    <n v="957"/>
    <x v="13"/>
    <n v="3115270349101"/>
    <x v="210"/>
    <d v="2021-08-12T13:30:00"/>
    <d v="1899-12-30T01:30:00"/>
    <n v="200"/>
    <s v="UNPLANNED"/>
    <x v="0"/>
    <d v="1899-12-30T12:00:00"/>
    <x v="0"/>
  </r>
  <r>
    <n v="958"/>
    <x v="13"/>
    <n v="3115270349100"/>
    <x v="210"/>
    <d v="2021-08-12T13:30:00"/>
    <d v="1899-12-30T01:30:00"/>
    <n v="200"/>
    <s v="UNPLANNED"/>
    <x v="0"/>
    <d v="1899-12-30T12:00:00"/>
    <x v="0"/>
  </r>
  <r>
    <n v="959"/>
    <x v="5"/>
    <n v="13115271630402"/>
    <x v="211"/>
    <d v="2021-08-12T22:00:00"/>
    <d v="1899-12-30T03:20:00"/>
    <n v="90.000000003667083"/>
    <s v="UNPLANNED"/>
    <x v="0"/>
    <d v="1899-12-30T18:40:00"/>
    <x v="1"/>
  </r>
  <r>
    <n v="960"/>
    <x v="5"/>
    <n v="13115271630401"/>
    <x v="211"/>
    <d v="2021-08-12T22:00:00"/>
    <d v="1899-12-30T03:20:00"/>
    <n v="90.000000003667083"/>
    <s v="UNPLANNED"/>
    <x v="1"/>
    <d v="1899-12-30T18:40:00"/>
    <x v="1"/>
  </r>
  <r>
    <n v="961"/>
    <x v="5"/>
    <n v="13115271612607"/>
    <x v="211"/>
    <d v="2021-08-12T22:00:00"/>
    <d v="1899-12-30T03:20:00"/>
    <n v="90.000000003667083"/>
    <s v="UNPLANNED"/>
    <x v="0"/>
    <d v="1899-12-30T18:40:00"/>
    <x v="1"/>
  </r>
  <r>
    <n v="962"/>
    <x v="5"/>
    <n v="13115271612606"/>
    <x v="211"/>
    <d v="2021-08-12T22:00:00"/>
    <d v="1899-12-30T03:20:00"/>
    <n v="90.000000003667083"/>
    <s v="UNPLANNED"/>
    <x v="1"/>
    <d v="1899-12-30T18:40:00"/>
    <x v="1"/>
  </r>
  <r>
    <n v="963"/>
    <x v="7"/>
    <n v="7115271761102"/>
    <x v="211"/>
    <d v="2021-08-12T22:00:00"/>
    <d v="1899-12-30T03:20:00"/>
    <n v="90.000000003667083"/>
    <s v="UNPLANNED"/>
    <x v="1"/>
    <d v="1899-12-30T18:40:00"/>
    <x v="1"/>
  </r>
  <r>
    <n v="964"/>
    <x v="7"/>
    <n v="7115271761101"/>
    <x v="211"/>
    <d v="2021-08-12T22:00:00"/>
    <d v="1899-12-30T03:20:00"/>
    <n v="90.000000003667083"/>
    <s v="UNPLANNED"/>
    <x v="1"/>
    <d v="1899-12-30T18:40:00"/>
    <x v="1"/>
  </r>
  <r>
    <n v="965"/>
    <x v="13"/>
    <n v="3115270317206"/>
    <x v="211"/>
    <d v="2021-08-12T22:00:00"/>
    <d v="1899-12-30T03:20:00"/>
    <n v="90.000000003667083"/>
    <s v="UNPLANNED"/>
    <x v="0"/>
    <d v="1899-12-30T18:40:00"/>
    <x v="1"/>
  </r>
  <r>
    <n v="966"/>
    <x v="13"/>
    <n v="3115270317200"/>
    <x v="211"/>
    <d v="2021-08-12T22:00:00"/>
    <d v="1899-12-30T03:20:00"/>
    <n v="90.000000003667083"/>
    <s v="UNPLANNED"/>
    <x v="0"/>
    <d v="1899-12-30T18:40:00"/>
    <x v="1"/>
  </r>
  <r>
    <n v="967"/>
    <x v="14"/>
    <n v="1115270131307"/>
    <x v="211"/>
    <d v="2021-08-12T22:00:00"/>
    <d v="1899-12-30T03:20:00"/>
    <n v="90.000000003667083"/>
    <s v="UNPLANNED"/>
    <x v="1"/>
    <d v="1899-12-30T18:40:00"/>
    <x v="1"/>
  </r>
  <r>
    <n v="968"/>
    <x v="14"/>
    <n v="1115270131300"/>
    <x v="211"/>
    <d v="2021-08-12T22:00:00"/>
    <d v="1899-12-30T03:20:00"/>
    <n v="90.000000003667083"/>
    <s v="UNPLANNED"/>
    <x v="0"/>
    <d v="1899-12-30T18:40:00"/>
    <x v="1"/>
  </r>
  <r>
    <n v="969"/>
    <x v="14"/>
    <n v="1115270104401"/>
    <x v="211"/>
    <d v="2021-08-12T22:00:00"/>
    <d v="1899-12-30T03:20:00"/>
    <n v="90.000000003667083"/>
    <s v="UNPLANNED"/>
    <x v="1"/>
    <d v="1899-12-30T18:40:00"/>
    <x v="1"/>
  </r>
  <r>
    <n v="970"/>
    <x v="14"/>
    <n v="1115270104400"/>
    <x v="211"/>
    <d v="2021-08-12T22:00:00"/>
    <d v="1899-12-30T03:20:00"/>
    <n v="90.000000003667083"/>
    <s v="UNPLANNED"/>
    <x v="0"/>
    <d v="1899-12-30T18:40:00"/>
    <x v="1"/>
  </r>
  <r>
    <n v="971"/>
    <x v="13"/>
    <n v="3115270426900"/>
    <x v="212"/>
    <d v="2021-08-12T23:25:00"/>
    <d v="1899-12-30T00:55:00"/>
    <n v="327.27272726580009"/>
    <s v="UNPLANNED"/>
    <x v="0"/>
    <d v="1899-12-30T22:30:00"/>
    <x v="2"/>
  </r>
  <r>
    <n v="972"/>
    <x v="13"/>
    <n v="3115270340100"/>
    <x v="212"/>
    <d v="2021-08-13T00:30:00"/>
    <d v="1899-12-30T02:00:00"/>
    <n v="149.99999999563443"/>
    <s v="UNPLANNED"/>
    <x v="2"/>
    <d v="1899-12-30T22:30:00"/>
    <x v="2"/>
  </r>
  <r>
    <n v="973"/>
    <x v="9"/>
    <n v="2115270156504"/>
    <x v="212"/>
    <d v="2021-08-13T00:30:00"/>
    <d v="1899-12-30T02:00:00"/>
    <n v="149.99999999563443"/>
    <s v="UNPLANNED"/>
    <x v="0"/>
    <d v="1899-12-30T22:30:00"/>
    <x v="2"/>
  </r>
  <r>
    <n v="974"/>
    <x v="9"/>
    <n v="2115270156500"/>
    <x v="212"/>
    <d v="2021-08-13T00:30:00"/>
    <d v="1899-12-30T02:00:00"/>
    <n v="149.99999999563443"/>
    <s v="UNPLANNED"/>
    <x v="1"/>
    <d v="1899-12-30T22:30:00"/>
    <x v="2"/>
  </r>
  <r>
    <n v="975"/>
    <x v="11"/>
    <n v="10115270972600"/>
    <x v="213"/>
    <d v="2021-08-13T05:30:00"/>
    <d v="1899-12-30T04:00:00"/>
    <n v="75.000000001091394"/>
    <s v="UNPLANNED"/>
    <x v="0"/>
    <d v="1899-12-30T01:30:00"/>
    <x v="2"/>
  </r>
  <r>
    <n v="976"/>
    <x v="7"/>
    <n v="7115271804520"/>
    <x v="213"/>
    <d v="2021-08-13T05:30:00"/>
    <d v="1899-12-30T04:00:00"/>
    <n v="75.000000001091394"/>
    <s v="UNPLANNED"/>
    <x v="0"/>
    <d v="1899-12-30T01:30:00"/>
    <x v="2"/>
  </r>
  <r>
    <n v="977"/>
    <x v="7"/>
    <n v="7115271759901"/>
    <x v="213"/>
    <d v="2021-08-13T05:30:00"/>
    <d v="1899-12-30T04:00:00"/>
    <n v="75.000000001091394"/>
    <s v="UNPLANNED"/>
    <x v="0"/>
    <d v="1899-12-30T01:30:00"/>
    <x v="2"/>
  </r>
  <r>
    <n v="978"/>
    <x v="1"/>
    <n v="6115271720606"/>
    <x v="213"/>
    <d v="2021-08-13T05:30:00"/>
    <d v="1899-12-30T04:00:00"/>
    <n v="75.000000001091394"/>
    <s v="UNPLANNED"/>
    <x v="0"/>
    <d v="1899-12-30T01:30:00"/>
    <x v="2"/>
  </r>
  <r>
    <n v="979"/>
    <x v="13"/>
    <n v="3115270319301"/>
    <x v="213"/>
    <d v="2021-08-13T05:30:00"/>
    <d v="1899-12-30T04:00:00"/>
    <n v="75.000000001091394"/>
    <s v="UNPLANNED"/>
    <x v="0"/>
    <d v="1899-12-30T01:30:00"/>
    <x v="2"/>
  </r>
  <r>
    <n v="980"/>
    <x v="9"/>
    <n v="2115270192400"/>
    <x v="213"/>
    <d v="2021-08-13T05:30:00"/>
    <d v="1899-12-30T04:00:00"/>
    <n v="75.000000001091394"/>
    <s v="UNPLANNED"/>
    <x v="0"/>
    <d v="1899-12-30T01:30:00"/>
    <x v="2"/>
  </r>
  <r>
    <n v="981"/>
    <x v="14"/>
    <n v="1115270105800"/>
    <x v="213"/>
    <d v="2021-08-13T05:30:00"/>
    <d v="1899-12-30T04:00:00"/>
    <n v="75.000000001091394"/>
    <s v="UNPLANNED"/>
    <x v="0"/>
    <d v="1899-12-30T01:30:00"/>
    <x v="2"/>
  </r>
  <r>
    <n v="982"/>
    <x v="12"/>
    <n v="14115271724207"/>
    <x v="214"/>
    <d v="2021-08-13T13:50:00"/>
    <d v="1899-12-30T07:00:00"/>
    <n v="42.857142856430109"/>
    <s v="UNPLANNED"/>
    <x v="0"/>
    <d v="1899-12-30T06:50:00"/>
    <x v="0"/>
  </r>
  <r>
    <n v="983"/>
    <x v="12"/>
    <n v="14115271723805"/>
    <x v="214"/>
    <d v="2021-08-13T13:50:00"/>
    <d v="1899-12-30T07:00:00"/>
    <n v="42.857142856430109"/>
    <s v="UNPLANNED"/>
    <x v="0"/>
    <d v="1899-12-30T06:50:00"/>
    <x v="0"/>
  </r>
  <r>
    <n v="984"/>
    <x v="12"/>
    <n v="14115271691029"/>
    <x v="214"/>
    <d v="2021-08-13T13:50:00"/>
    <d v="1899-12-30T07:00:00"/>
    <n v="42.857142856430109"/>
    <s v="UNPLANNED"/>
    <x v="0"/>
    <d v="1899-12-30T06:50:00"/>
    <x v="0"/>
  </r>
  <r>
    <n v="985"/>
    <x v="12"/>
    <n v="14115271691011"/>
    <x v="214"/>
    <d v="2021-08-13T13:50:00"/>
    <d v="1899-12-30T07:00:00"/>
    <n v="42.857142856430109"/>
    <s v="UNPLANNED"/>
    <x v="2"/>
    <d v="1899-12-30T06:50:00"/>
    <x v="0"/>
  </r>
  <r>
    <n v="986"/>
    <x v="5"/>
    <n v="13115271638608"/>
    <x v="214"/>
    <d v="2021-08-13T13:50:00"/>
    <d v="1899-12-30T07:00:00"/>
    <n v="42.857142856430109"/>
    <s v="UNPLANNED"/>
    <x v="0"/>
    <d v="1899-12-30T06:50:00"/>
    <x v="0"/>
  </r>
  <r>
    <n v="987"/>
    <x v="2"/>
    <n v="12115271573208"/>
    <x v="214"/>
    <d v="2021-08-13T13:50:00"/>
    <d v="1899-12-30T07:00:00"/>
    <n v="42.857142856430109"/>
    <s v="UNPLANNED"/>
    <x v="0"/>
    <d v="1899-12-30T06:50:00"/>
    <x v="0"/>
  </r>
  <r>
    <n v="988"/>
    <x v="11"/>
    <n v="10115271959400"/>
    <x v="214"/>
    <d v="2021-08-13T13:50:00"/>
    <d v="1899-12-30T07:00:00"/>
    <n v="42.857142856430109"/>
    <s v="UNPLANNED"/>
    <x v="0"/>
    <d v="1899-12-30T06:50:00"/>
    <x v="0"/>
  </r>
  <r>
    <n v="989"/>
    <x v="6"/>
    <n v="9115271909000"/>
    <x v="214"/>
    <d v="2021-08-13T13:50:00"/>
    <d v="1899-12-30T07:00:00"/>
    <n v="42.857142856430109"/>
    <s v="UNPLANNED"/>
    <x v="0"/>
    <d v="1899-12-30T06:50:00"/>
    <x v="0"/>
  </r>
  <r>
    <n v="990"/>
    <x v="7"/>
    <n v="7115271766515"/>
    <x v="214"/>
    <d v="2021-08-13T13:50:00"/>
    <d v="1899-12-30T07:00:00"/>
    <n v="42.857142856430109"/>
    <s v="UNPLANNED"/>
    <x v="0"/>
    <d v="1899-12-30T06:50:00"/>
    <x v="0"/>
  </r>
  <r>
    <n v="991"/>
    <x v="7"/>
    <n v="7115271759701"/>
    <x v="214"/>
    <d v="2021-08-13T13:50:00"/>
    <d v="1899-12-30T07:00:00"/>
    <n v="42.857142856430109"/>
    <s v="UNPLANNED"/>
    <x v="0"/>
    <d v="1899-12-30T06:50:00"/>
    <x v="0"/>
  </r>
  <r>
    <n v="992"/>
    <x v="7"/>
    <n v="7115271759600"/>
    <x v="214"/>
    <d v="2021-08-13T13:50:00"/>
    <d v="1899-12-30T07:00:00"/>
    <n v="42.857142856430109"/>
    <s v="UNPLANNED"/>
    <x v="0"/>
    <d v="1899-12-30T06:50:00"/>
    <x v="0"/>
  </r>
  <r>
    <n v="993"/>
    <x v="1"/>
    <n v="6115271726400"/>
    <x v="214"/>
    <d v="2021-08-13T13:50:00"/>
    <d v="1899-12-30T07:00:00"/>
    <n v="42.857142856430109"/>
    <s v="UNPLANNED"/>
    <x v="0"/>
    <d v="1899-12-30T06:50:00"/>
    <x v="0"/>
  </r>
  <r>
    <n v="994"/>
    <x v="13"/>
    <n v="3115270306604"/>
    <x v="214"/>
    <d v="2021-08-13T13:50:00"/>
    <d v="1899-12-30T07:00:00"/>
    <n v="42.857142856430109"/>
    <s v="UNPLANNED"/>
    <x v="0"/>
    <d v="1899-12-30T06:50:00"/>
    <x v="0"/>
  </r>
  <r>
    <n v="995"/>
    <x v="4"/>
    <n v="15115271795600"/>
    <x v="215"/>
    <d v="2021-08-13T19:20:00"/>
    <d v="1899-12-30T03:20:00"/>
    <n v="89.999999998952262"/>
    <s v="UNPLANNED"/>
    <x v="0"/>
    <d v="1899-12-30T16:00:00"/>
    <x v="1"/>
  </r>
  <r>
    <n v="996"/>
    <x v="12"/>
    <n v="14115271672356"/>
    <x v="215"/>
    <d v="2021-08-13T19:20:00"/>
    <d v="1899-12-30T03:20:00"/>
    <n v="89.999999998952262"/>
    <s v="UNPLANNED"/>
    <x v="0"/>
    <d v="1899-12-30T16:00:00"/>
    <x v="1"/>
  </r>
  <r>
    <n v="997"/>
    <x v="2"/>
    <n v="12115271573412"/>
    <x v="215"/>
    <d v="2021-08-13T19:20:00"/>
    <d v="1899-12-30T03:20:00"/>
    <n v="89.999999998952262"/>
    <s v="UNPLANNED"/>
    <x v="0"/>
    <d v="1899-12-30T16:00:00"/>
    <x v="1"/>
  </r>
  <r>
    <n v="998"/>
    <x v="11"/>
    <n v="10115271466200"/>
    <x v="215"/>
    <d v="2021-08-13T19:20:00"/>
    <d v="1899-12-30T03:20:00"/>
    <n v="89.999999998952262"/>
    <s v="UNPLANNED"/>
    <x v="1"/>
    <d v="1899-12-30T16:00:00"/>
    <x v="1"/>
  </r>
  <r>
    <n v="999"/>
    <x v="11"/>
    <n v="10115271459901"/>
    <x v="215"/>
    <d v="2021-08-13T19:20:00"/>
    <d v="1899-12-30T03:20:00"/>
    <n v="89.999999998952262"/>
    <s v="UNPLANNED"/>
    <x v="1"/>
    <d v="1899-12-30T16:00:00"/>
    <x v="1"/>
  </r>
  <r>
    <n v="1000"/>
    <x v="7"/>
    <n v="7115271804407"/>
    <x v="215"/>
    <d v="2021-08-13T19:20:00"/>
    <d v="1899-12-30T03:20:00"/>
    <n v="89.999999998952262"/>
    <s v="UNPLANNED"/>
    <x v="0"/>
    <d v="1899-12-30T16:00:00"/>
    <x v="1"/>
  </r>
  <r>
    <n v="1001"/>
    <x v="0"/>
    <n v="5115271683504"/>
    <x v="215"/>
    <d v="2021-08-13T19:20:00"/>
    <d v="1899-12-30T03:20:00"/>
    <n v="89.999999998952262"/>
    <s v="UNPLANNED"/>
    <x v="0"/>
    <d v="1899-12-30T16:00:00"/>
    <x v="1"/>
  </r>
  <r>
    <n v="1002"/>
    <x v="10"/>
    <n v="11115271553300"/>
    <x v="216"/>
    <d v="2021-08-14T00:30:00"/>
    <d v="1899-12-30T00:50:00"/>
    <n v="359.99999995809048"/>
    <s v="UNPLANNED"/>
    <x v="0"/>
    <d v="1899-12-30T23:40:00"/>
    <x v="2"/>
  </r>
  <r>
    <n v="1003"/>
    <x v="5"/>
    <n v="13115271590700"/>
    <x v="217"/>
    <d v="2021-08-15T01:00:00"/>
    <d v="1899-12-30T01:35:00"/>
    <n v="189.47368421981375"/>
    <s v="UNPLANNED"/>
    <x v="0"/>
    <d v="1899-12-30T23:25:00"/>
    <x v="2"/>
  </r>
  <r>
    <n v="1004"/>
    <x v="7"/>
    <n v="7115271798202"/>
    <x v="218"/>
    <d v="2021-08-14T10:10:00"/>
    <d v="1899-12-30T01:20:00"/>
    <n v="225.00000000327418"/>
    <s v="UNPLANNED"/>
    <x v="0"/>
    <d v="1899-12-30T08:50:00"/>
    <x v="0"/>
  </r>
  <r>
    <n v="1005"/>
    <x v="7"/>
    <n v="7115271798201"/>
    <x v="218"/>
    <d v="2021-08-14T10:10:00"/>
    <d v="1899-12-30T01:20:00"/>
    <n v="225.00000000327418"/>
    <s v="UNPLANNED"/>
    <x v="0"/>
    <d v="1899-12-30T08:50:00"/>
    <x v="0"/>
  </r>
  <r>
    <n v="1006"/>
    <x v="10"/>
    <n v="11115271554307"/>
    <x v="218"/>
    <d v="2021-08-14T11:30:00"/>
    <d v="1899-12-30T02:40:00"/>
    <n v="112.50000000163709"/>
    <s v="UNPLANNED"/>
    <x v="2"/>
    <d v="1899-12-30T08:50:00"/>
    <x v="0"/>
  </r>
  <r>
    <n v="1007"/>
    <x v="10"/>
    <n v="11115271554306"/>
    <x v="218"/>
    <d v="2021-08-14T11:30:00"/>
    <d v="1899-12-30T02:40:00"/>
    <n v="112.50000000163709"/>
    <s v="UNPLANNED"/>
    <x v="0"/>
    <d v="1899-12-30T08:50:00"/>
    <x v="0"/>
  </r>
  <r>
    <n v="1008"/>
    <x v="13"/>
    <n v="3115270287609"/>
    <x v="218"/>
    <d v="2021-08-14T11:30:00"/>
    <d v="1899-12-30T02:40:00"/>
    <n v="112.50000000163709"/>
    <s v="UNPLANNED"/>
    <x v="0"/>
    <d v="1899-12-30T08:50:00"/>
    <x v="0"/>
  </r>
  <r>
    <n v="1009"/>
    <x v="13"/>
    <n v="3115270287600"/>
    <x v="218"/>
    <d v="2021-08-14T11:30:00"/>
    <d v="1899-12-30T02:40:00"/>
    <n v="112.50000000163709"/>
    <s v="UNPLANNED"/>
    <x v="0"/>
    <d v="1899-12-30T08:50:00"/>
    <x v="0"/>
  </r>
  <r>
    <n v="1010"/>
    <x v="12"/>
    <n v="14115271674913"/>
    <x v="219"/>
    <d v="2021-08-14T13:40:00"/>
    <d v="1899-12-30T01:45:00"/>
    <n v="171.42857143427341"/>
    <s v="UNPLANNED"/>
    <x v="0"/>
    <d v="1899-12-30T11:55:00"/>
    <x v="0"/>
  </r>
  <r>
    <n v="1011"/>
    <x v="12"/>
    <n v="14115271674912"/>
    <x v="219"/>
    <d v="2021-08-14T13:40:00"/>
    <d v="1899-12-30T01:45:00"/>
    <n v="171.42857143427341"/>
    <s v="UNPLANNED"/>
    <x v="1"/>
    <d v="1899-12-30T11:55:00"/>
    <x v="0"/>
  </r>
  <r>
    <n v="1012"/>
    <x v="1"/>
    <n v="6115271716101"/>
    <x v="219"/>
    <d v="2021-08-14T13:40:00"/>
    <d v="1899-12-30T01:45:00"/>
    <n v="171.42857143427341"/>
    <s v="UNPLANNED"/>
    <x v="0"/>
    <d v="1899-12-30T11:55:00"/>
    <x v="0"/>
  </r>
  <r>
    <n v="1013"/>
    <x v="1"/>
    <n v="6115271716100"/>
    <x v="219"/>
    <d v="2021-08-14T13:40:00"/>
    <d v="1899-12-30T01:45:00"/>
    <n v="171.42857143427341"/>
    <s v="UNPLANNED"/>
    <x v="3"/>
    <d v="1899-12-30T11:55:00"/>
    <x v="0"/>
  </r>
  <r>
    <n v="1014"/>
    <x v="13"/>
    <n v="3115270319302"/>
    <x v="219"/>
    <d v="2021-08-14T13:40:00"/>
    <d v="1899-12-30T01:45:00"/>
    <n v="171.42857143427341"/>
    <s v="UNPLANNED"/>
    <x v="0"/>
    <d v="1899-12-30T11:55:00"/>
    <x v="0"/>
  </r>
  <r>
    <n v="1015"/>
    <x v="13"/>
    <n v="3115270319301"/>
    <x v="219"/>
    <d v="2021-08-14T13:40:00"/>
    <d v="1899-12-30T01:45:00"/>
    <n v="171.42857143427341"/>
    <s v="UNPLANNED"/>
    <x v="0"/>
    <d v="1899-12-30T11:55:00"/>
    <x v="0"/>
  </r>
  <r>
    <n v="1016"/>
    <x v="13"/>
    <n v="3115270310801"/>
    <x v="219"/>
    <d v="2021-08-14T13:40:00"/>
    <d v="1899-12-30T01:45:00"/>
    <n v="171.42857143427341"/>
    <s v="UNPLANNED"/>
    <x v="0"/>
    <d v="1899-12-30T11:55:00"/>
    <x v="0"/>
  </r>
  <r>
    <n v="1017"/>
    <x v="13"/>
    <n v="3115270310800"/>
    <x v="219"/>
    <d v="2021-08-14T13:40:00"/>
    <d v="1899-12-30T01:45:00"/>
    <n v="171.42857143427341"/>
    <s v="UNPLANNED"/>
    <x v="0"/>
    <d v="1899-12-30T11:55:00"/>
    <x v="0"/>
  </r>
  <r>
    <n v="1018"/>
    <x v="12"/>
    <n v="14115271710000"/>
    <x v="220"/>
    <d v="2021-08-14T18:50:00"/>
    <d v="1899-12-30T03:00:00"/>
    <n v="100"/>
    <s v="UNPLANNED"/>
    <x v="1"/>
    <d v="1899-12-30T15:50:00"/>
    <x v="1"/>
  </r>
  <r>
    <n v="1019"/>
    <x v="2"/>
    <n v="12115271571022"/>
    <x v="220"/>
    <d v="2021-08-14T18:50:00"/>
    <d v="1899-12-30T03:00:00"/>
    <n v="100"/>
    <s v="UNPLANNED"/>
    <x v="0"/>
    <d v="1899-12-30T15:50:00"/>
    <x v="1"/>
  </r>
  <r>
    <n v="1020"/>
    <x v="10"/>
    <n v="11115271489600"/>
    <x v="220"/>
    <d v="2021-08-14T18:50:00"/>
    <d v="1899-12-30T03:00:00"/>
    <n v="100"/>
    <s v="UNPLANNED"/>
    <x v="0"/>
    <d v="1899-12-30T15:50:00"/>
    <x v="1"/>
  </r>
  <r>
    <n v="1021"/>
    <x v="13"/>
    <n v="3115270367100"/>
    <x v="220"/>
    <d v="2021-08-14T18:50:00"/>
    <d v="1899-12-30T03:00:00"/>
    <n v="100"/>
    <s v="UNPLANNED"/>
    <x v="1"/>
    <d v="1899-12-30T15:50:00"/>
    <x v="1"/>
  </r>
  <r>
    <n v="1022"/>
    <x v="13"/>
    <n v="3115270321901"/>
    <x v="220"/>
    <d v="2021-08-14T18:50:00"/>
    <d v="1899-12-30T03:00:00"/>
    <n v="100"/>
    <s v="UNPLANNED"/>
    <x v="3"/>
    <d v="1899-12-30T15:50:00"/>
    <x v="1"/>
  </r>
  <r>
    <n v="1023"/>
    <x v="13"/>
    <n v="3115270321900"/>
    <x v="220"/>
    <d v="2021-08-14T18:50:00"/>
    <d v="1899-12-30T03:00:00"/>
    <n v="100"/>
    <s v="UNPLANNED"/>
    <x v="6"/>
    <d v="1899-12-30T15:50:00"/>
    <x v="1"/>
  </r>
  <r>
    <n v="1024"/>
    <x v="13"/>
    <n v="3115270306804"/>
    <x v="220"/>
    <d v="2021-08-14T18:50:00"/>
    <d v="1899-12-30T03:00:00"/>
    <n v="100"/>
    <s v="UNPLANNED"/>
    <x v="0"/>
    <d v="1899-12-30T15:50:00"/>
    <x v="1"/>
  </r>
  <r>
    <n v="1025"/>
    <x v="13"/>
    <n v="3115270306803"/>
    <x v="220"/>
    <d v="2021-08-14T18:50:00"/>
    <d v="1899-12-30T03:00:00"/>
    <n v="100"/>
    <s v="UNPLANNED"/>
    <x v="0"/>
    <d v="1899-12-30T15:50:00"/>
    <x v="1"/>
  </r>
  <r>
    <n v="1026"/>
    <x v="5"/>
    <n v="13115271590606"/>
    <x v="221"/>
    <d v="2021-08-15T10:25:00"/>
    <d v="1899-12-30T00:35:00"/>
    <n v="514.28571414886687"/>
    <s v="UNPLANNED"/>
    <x v="0"/>
    <d v="1899-12-30T09:50:00"/>
    <x v="0"/>
  </r>
  <r>
    <n v="1027"/>
    <x v="5"/>
    <n v="13115271590601"/>
    <x v="221"/>
    <d v="2021-08-15T10:25:00"/>
    <d v="1899-12-30T00:35:00"/>
    <n v="514.28571414886687"/>
    <s v="UNPLANNED"/>
    <x v="0"/>
    <d v="1899-12-30T09:50:00"/>
    <x v="0"/>
  </r>
  <r>
    <n v="1028"/>
    <x v="5"/>
    <n v="13115271591400"/>
    <x v="222"/>
    <d v="2021-08-15T12:20:00"/>
    <d v="1899-12-30T01:30:00"/>
    <n v="200"/>
    <s v="UNPLANNED"/>
    <x v="0"/>
    <d v="1899-12-30T10:50:00"/>
    <x v="0"/>
  </r>
  <r>
    <n v="1029"/>
    <x v="2"/>
    <n v="12115271572315"/>
    <x v="222"/>
    <d v="2021-08-15T12:20:00"/>
    <d v="1899-12-30T01:30:00"/>
    <n v="200"/>
    <s v="UNPLANNED"/>
    <x v="0"/>
    <d v="1899-12-30T10:50:00"/>
    <x v="0"/>
  </r>
  <r>
    <n v="1030"/>
    <x v="2"/>
    <n v="12115271572312"/>
    <x v="222"/>
    <d v="2021-08-15T12:20:00"/>
    <d v="1899-12-30T01:30:00"/>
    <n v="200"/>
    <s v="UNPLANNED"/>
    <x v="1"/>
    <d v="1899-12-30T10:50:00"/>
    <x v="0"/>
  </r>
  <r>
    <n v="1031"/>
    <x v="11"/>
    <n v="10115271417203"/>
    <x v="222"/>
    <d v="2021-08-15T12:20:00"/>
    <d v="1899-12-30T01:30:00"/>
    <n v="200"/>
    <s v="UNPLANNED"/>
    <x v="6"/>
    <d v="1899-12-30T10:50:00"/>
    <x v="0"/>
  </r>
  <r>
    <n v="1032"/>
    <x v="11"/>
    <n v="10115271417201"/>
    <x v="222"/>
    <d v="2021-08-15T12:20:00"/>
    <d v="1899-12-30T01:30:00"/>
    <n v="200"/>
    <s v="UNPLANNED"/>
    <x v="0"/>
    <d v="1899-12-30T10:50:00"/>
    <x v="0"/>
  </r>
  <r>
    <n v="1033"/>
    <x v="11"/>
    <n v="10115271965107"/>
    <x v="223"/>
    <d v="2021-08-15T14:30:00"/>
    <d v="1899-12-30T02:00:00"/>
    <n v="150.00000000873115"/>
    <s v="UNPLANNED"/>
    <x v="1"/>
    <d v="1899-12-30T12:30:00"/>
    <x v="0"/>
  </r>
  <r>
    <n v="1034"/>
    <x v="11"/>
    <n v="10115271965100"/>
    <x v="223"/>
    <d v="2021-08-15T14:30:00"/>
    <d v="1899-12-30T02:00:00"/>
    <n v="150.00000000873115"/>
    <s v="UNPLANNED"/>
    <x v="0"/>
    <d v="1899-12-30T12:30:00"/>
    <x v="0"/>
  </r>
  <r>
    <n v="1035"/>
    <x v="3"/>
    <n v="8115271835809"/>
    <x v="223"/>
    <d v="2021-08-15T14:30:00"/>
    <d v="1899-12-30T02:00:00"/>
    <n v="150.00000000873115"/>
    <s v="UNPLANNED"/>
    <x v="1"/>
    <d v="1899-12-30T12:30:00"/>
    <x v="0"/>
  </r>
  <r>
    <n v="1036"/>
    <x v="3"/>
    <n v="8115271835800"/>
    <x v="223"/>
    <d v="2021-08-15T14:30:00"/>
    <d v="1899-12-30T02:00:00"/>
    <n v="150.00000000873115"/>
    <s v="UNPLANNED"/>
    <x v="0"/>
    <d v="1899-12-30T12:30:00"/>
    <x v="0"/>
  </r>
  <r>
    <n v="1037"/>
    <x v="13"/>
    <n v="3115270351401"/>
    <x v="223"/>
    <d v="2021-08-15T14:30:00"/>
    <d v="1899-12-30T02:00:00"/>
    <n v="150.00000000873115"/>
    <s v="UNPLANNED"/>
    <x v="0"/>
    <d v="1899-12-30T12:30:00"/>
    <x v="0"/>
  </r>
  <r>
    <n v="1038"/>
    <x v="13"/>
    <n v="3115270351400"/>
    <x v="223"/>
    <d v="2021-08-15T14:30:00"/>
    <d v="1899-12-30T02:00:00"/>
    <n v="150.00000000873115"/>
    <s v="UNPLANNED"/>
    <x v="0"/>
    <d v="1899-12-30T12:30:00"/>
    <x v="0"/>
  </r>
  <r>
    <n v="1039"/>
    <x v="12"/>
    <n v="14115271674707"/>
    <x v="224"/>
    <d v="2021-08-15T22:00:00"/>
    <d v="1899-12-30T04:05:00"/>
    <n v="73.469387757545746"/>
    <s v="UNPLANNED"/>
    <x v="0"/>
    <d v="1899-12-30T17:55:00"/>
    <x v="1"/>
  </r>
  <r>
    <n v="1040"/>
    <x v="12"/>
    <n v="14115271674706"/>
    <x v="224"/>
    <d v="2021-08-15T22:00:00"/>
    <d v="1899-12-30T04:05:00"/>
    <n v="73.469387757545746"/>
    <s v="UNPLANNED"/>
    <x v="0"/>
    <d v="1899-12-30T17:55:00"/>
    <x v="1"/>
  </r>
  <r>
    <n v="1041"/>
    <x v="12"/>
    <n v="14115271672408"/>
    <x v="224"/>
    <d v="2021-08-15T22:00:00"/>
    <d v="1899-12-30T04:05:00"/>
    <n v="73.469387757545746"/>
    <s v="UNPLANNED"/>
    <x v="0"/>
    <d v="1899-12-30T17:55:00"/>
    <x v="1"/>
  </r>
  <r>
    <n v="1042"/>
    <x v="12"/>
    <n v="14115271672400"/>
    <x v="224"/>
    <d v="2021-08-15T22:00:00"/>
    <d v="1899-12-30T04:05:00"/>
    <n v="73.469387757545746"/>
    <s v="UNPLANNED"/>
    <x v="0"/>
    <d v="1899-12-30T17:55:00"/>
    <x v="1"/>
  </r>
  <r>
    <n v="1043"/>
    <x v="3"/>
    <n v="8115270615703"/>
    <x v="224"/>
    <d v="2021-08-15T22:00:00"/>
    <d v="1899-12-30T04:05:00"/>
    <n v="73.469387757545746"/>
    <s v="UNPLANNED"/>
    <x v="0"/>
    <d v="1899-12-30T17:55:00"/>
    <x v="1"/>
  </r>
  <r>
    <n v="1044"/>
    <x v="3"/>
    <n v="8115270615702"/>
    <x v="224"/>
    <d v="2021-08-15T22:00:00"/>
    <d v="1899-12-30T04:05:00"/>
    <n v="73.469387757545746"/>
    <s v="UNPLANNED"/>
    <x v="0"/>
    <d v="1899-12-30T17:55:00"/>
    <x v="1"/>
  </r>
  <r>
    <n v="1045"/>
    <x v="13"/>
    <n v="3115270369103"/>
    <x v="224"/>
    <d v="2021-08-15T22:00:00"/>
    <d v="1899-12-30T04:05:00"/>
    <n v="73.469387757545746"/>
    <s v="UNPLANNED"/>
    <x v="0"/>
    <d v="1899-12-30T17:55:00"/>
    <x v="1"/>
  </r>
  <r>
    <n v="1046"/>
    <x v="13"/>
    <n v="3115270369103"/>
    <x v="224"/>
    <d v="2021-08-15T22:00:00"/>
    <d v="1899-12-30T04:05:00"/>
    <n v="73.469387757545746"/>
    <s v="UNPLANNED"/>
    <x v="0"/>
    <d v="1899-12-30T17:55:00"/>
    <x v="1"/>
  </r>
  <r>
    <n v="1047"/>
    <x v="13"/>
    <n v="3115270341006"/>
    <x v="224"/>
    <d v="2021-08-15T22:00:00"/>
    <d v="1899-12-30T04:05:00"/>
    <n v="73.469387757545746"/>
    <s v="UNPLANNED"/>
    <x v="1"/>
    <d v="1899-12-30T17:55:00"/>
    <x v="1"/>
  </r>
  <r>
    <n v="1048"/>
    <x v="13"/>
    <n v="3115270341005"/>
    <x v="224"/>
    <d v="2021-08-15T22:00:00"/>
    <d v="1899-12-30T04:05:00"/>
    <n v="73.469387757545746"/>
    <s v="UNPLANNED"/>
    <x v="1"/>
    <d v="1899-12-30T17:55:00"/>
    <x v="1"/>
  </r>
  <r>
    <n v="1049"/>
    <x v="2"/>
    <n v="12115271560119"/>
    <x v="225"/>
    <d v="2021-08-16T02:30:00"/>
    <d v="1899-12-30T00:55:00"/>
    <n v="327.27272726580009"/>
    <s v="UNPLANNED"/>
    <x v="0"/>
    <d v="1899-12-30T01:35:00"/>
    <x v="2"/>
  </r>
  <r>
    <n v="1050"/>
    <x v="14"/>
    <n v="1115270147300"/>
    <x v="226"/>
    <d v="2021-08-16T09:15:00"/>
    <d v="1899-12-30T00:50:00"/>
    <n v="360.00000003352761"/>
    <s v="UNPLANNED"/>
    <x v="1"/>
    <d v="1899-12-30T08:25:00"/>
    <x v="0"/>
  </r>
  <r>
    <n v="1051"/>
    <x v="14"/>
    <n v="1115270138600"/>
    <x v="226"/>
    <d v="2021-08-16T09:15:00"/>
    <d v="1899-12-30T00:50:00"/>
    <n v="360.00000003352761"/>
    <s v="UNPLANNED"/>
    <x v="1"/>
    <d v="1899-12-30T08:25:00"/>
    <x v="0"/>
  </r>
  <r>
    <n v="1052"/>
    <x v="10"/>
    <n v="11115271515201"/>
    <x v="227"/>
    <d v="2021-08-16T12:50:00"/>
    <d v="1899-12-30T02:10:00"/>
    <n v="138.46153846773811"/>
    <s v="UNPLANNED"/>
    <x v="1"/>
    <d v="1899-12-30T10:40:00"/>
    <x v="0"/>
  </r>
  <r>
    <n v="1053"/>
    <x v="7"/>
    <n v="7115271761001"/>
    <x v="227"/>
    <d v="2021-08-16T12:50:00"/>
    <d v="1899-12-30T02:10:00"/>
    <n v="138.46153846773811"/>
    <s v="UNPLANNED"/>
    <x v="1"/>
    <d v="1899-12-30T10:40:00"/>
    <x v="0"/>
  </r>
  <r>
    <n v="1054"/>
    <x v="1"/>
    <n v="6115271720802"/>
    <x v="227"/>
    <d v="2021-08-16T12:50:00"/>
    <d v="1899-12-30T02:10:00"/>
    <n v="138.46153846773811"/>
    <s v="UNPLANNED"/>
    <x v="0"/>
    <d v="1899-12-30T10:40:00"/>
    <x v="0"/>
  </r>
  <r>
    <n v="1055"/>
    <x v="14"/>
    <n v="1115270087001"/>
    <x v="227"/>
    <d v="2021-08-16T12:50:00"/>
    <d v="1899-12-30T02:10:00"/>
    <n v="138.46153846773811"/>
    <s v="UNPLANNED"/>
    <x v="1"/>
    <d v="1899-12-30T10:40:00"/>
    <x v="0"/>
  </r>
  <r>
    <n v="1056"/>
    <x v="4"/>
    <n v="15115271743902"/>
    <x v="228"/>
    <d v="2021-08-16T14:50:00"/>
    <d v="1899-12-30T06:35:00"/>
    <n v="45.569620253298858"/>
    <s v="UNPLANNED"/>
    <x v="1"/>
    <d v="1899-12-30T08:15:00"/>
    <x v="0"/>
  </r>
  <r>
    <n v="1057"/>
    <x v="1"/>
    <n v="6115271739002"/>
    <x v="228"/>
    <d v="2021-08-16T14:50:00"/>
    <d v="1899-12-30T06:35:00"/>
    <n v="45.569620253298858"/>
    <s v="UNPLANNED"/>
    <x v="1"/>
    <d v="1899-12-30T08:15:00"/>
    <x v="0"/>
  </r>
  <r>
    <n v="1058"/>
    <x v="9"/>
    <n v="2115270253300"/>
    <x v="228"/>
    <d v="2021-08-16T14:50:00"/>
    <d v="1899-12-30T06:35:00"/>
    <n v="45.569620253298858"/>
    <s v="UNPLANNED"/>
    <x v="0"/>
    <d v="1899-12-30T08:15:00"/>
    <x v="0"/>
  </r>
  <r>
    <n v="1059"/>
    <x v="9"/>
    <n v="2115270168203"/>
    <x v="229"/>
    <d v="2021-08-16T17:20:00"/>
    <d v="1899-12-30T00:45:00"/>
    <n v="400"/>
    <s v="UNPLANNED"/>
    <x v="0"/>
    <d v="1899-12-30T16:35:00"/>
    <x v="1"/>
  </r>
  <r>
    <n v="1060"/>
    <x v="4"/>
    <n v="15115271782104"/>
    <x v="230"/>
    <d v="2021-08-16T22:00:00"/>
    <d v="1899-12-30T02:45:00"/>
    <n v="109.09090909552721"/>
    <s v="UNPLANNED"/>
    <x v="1"/>
    <d v="1899-12-30T19:15:00"/>
    <x v="1"/>
  </r>
  <r>
    <n v="1061"/>
    <x v="12"/>
    <n v="14115271687615"/>
    <x v="230"/>
    <d v="2021-08-16T22:00:00"/>
    <d v="1899-12-30T02:45:00"/>
    <n v="109.09090909552721"/>
    <s v="UNPLANNED"/>
    <x v="1"/>
    <d v="1899-12-30T19:15:00"/>
    <x v="1"/>
  </r>
  <r>
    <n v="1062"/>
    <x v="10"/>
    <n v="11115271488301"/>
    <x v="230"/>
    <d v="2021-08-16T22:00:00"/>
    <d v="1899-12-30T02:45:00"/>
    <n v="109.09090909552721"/>
    <s v="UNPLANNED"/>
    <x v="0"/>
    <d v="1899-12-30T19:15:00"/>
    <x v="1"/>
  </r>
  <r>
    <n v="1063"/>
    <x v="1"/>
    <n v="6115271751300"/>
    <x v="230"/>
    <d v="2021-08-16T22:00:00"/>
    <d v="1899-12-30T02:45:00"/>
    <n v="109.09090909552721"/>
    <s v="UNPLANNED"/>
    <x v="0"/>
    <d v="1899-12-30T19:15:00"/>
    <x v="1"/>
  </r>
  <r>
    <n v="1064"/>
    <x v="13"/>
    <n v="3115270257400"/>
    <x v="230"/>
    <d v="2021-08-16T22:00:00"/>
    <d v="1899-12-30T02:45:00"/>
    <n v="109.09090909552721"/>
    <s v="UNPLANNED"/>
    <x v="0"/>
    <d v="1899-12-30T19:15:00"/>
    <x v="1"/>
  </r>
  <r>
    <n v="1065"/>
    <x v="7"/>
    <n v="7115271760500"/>
    <x v="230"/>
    <d v="2021-08-16T22:20:00"/>
    <d v="1899-12-30T03:05:00"/>
    <n v="97.297297299746361"/>
    <s v="UNPLANNED"/>
    <x v="0"/>
    <d v="1899-12-30T19:15:00"/>
    <x v="1"/>
  </r>
  <r>
    <n v="1066"/>
    <x v="13"/>
    <n v="3115270305800"/>
    <x v="231"/>
    <d v="2021-08-17T00:30:00"/>
    <d v="1899-12-30T13:40:00"/>
    <n v="21.951219512163959"/>
    <s v="UNPLANNED"/>
    <x v="1"/>
    <d v="1899-12-30T10:50:00"/>
    <x v="0"/>
  </r>
  <r>
    <n v="1067"/>
    <x v="9"/>
    <n v="2115270254500"/>
    <x v="231"/>
    <d v="2021-08-17T00:30:00"/>
    <d v="1899-12-30T13:40:00"/>
    <n v="21.951219512163959"/>
    <s v="UNPLANNED"/>
    <x v="1"/>
    <d v="1899-12-30T10:50:00"/>
    <x v="0"/>
  </r>
  <r>
    <n v="1068"/>
    <x v="4"/>
    <n v="15115271743617"/>
    <x v="232"/>
    <d v="2021-08-17T14:50:00"/>
    <d v="1899-12-30T06:35:00"/>
    <n v="45.569620253298858"/>
    <s v="UNPLANNED"/>
    <x v="1"/>
    <d v="1899-12-30T08:15:00"/>
    <x v="0"/>
  </r>
  <r>
    <n v="1069"/>
    <x v="4"/>
    <n v="15115271743607"/>
    <x v="232"/>
    <d v="2021-08-17T14:50:00"/>
    <d v="1899-12-30T06:35:00"/>
    <n v="45.569620253298858"/>
    <s v="UNPLANNED"/>
    <x v="1"/>
    <d v="1899-12-30T08:15:00"/>
    <x v="0"/>
  </r>
  <r>
    <n v="1070"/>
    <x v="4"/>
    <n v="15115271743606"/>
    <x v="232"/>
    <d v="2021-08-17T14:50:00"/>
    <d v="1899-12-30T06:35:00"/>
    <n v="45.569620253298858"/>
    <s v="UNPLANNED"/>
    <x v="1"/>
    <d v="1899-12-30T08:15:00"/>
    <x v="0"/>
  </r>
  <r>
    <n v="1071"/>
    <x v="4"/>
    <n v="15115271743600"/>
    <x v="232"/>
    <d v="2021-08-17T14:50:00"/>
    <d v="1899-12-30T06:35:00"/>
    <n v="45.569620253298858"/>
    <s v="UNPLANNED"/>
    <x v="1"/>
    <d v="1899-12-30T08:15:00"/>
    <x v="0"/>
  </r>
  <r>
    <n v="1072"/>
    <x v="2"/>
    <n v="12115271565712"/>
    <x v="232"/>
    <d v="2021-08-17T14:50:00"/>
    <d v="1899-12-30T06:35:00"/>
    <n v="45.569620253298858"/>
    <s v="UNPLANNED"/>
    <x v="1"/>
    <d v="1899-12-30T08:15:00"/>
    <x v="0"/>
  </r>
  <r>
    <n v="1073"/>
    <x v="2"/>
    <n v="12115271565705"/>
    <x v="232"/>
    <d v="2021-08-17T14:50:00"/>
    <d v="1899-12-30T06:35:00"/>
    <n v="45.569620253298858"/>
    <s v="UNPLANNED"/>
    <x v="0"/>
    <d v="1899-12-30T08:15:00"/>
    <x v="0"/>
  </r>
  <r>
    <n v="1074"/>
    <x v="2"/>
    <n v="12115271565703"/>
    <x v="232"/>
    <d v="2021-08-17T14:50:00"/>
    <d v="1899-12-30T06:35:00"/>
    <n v="45.569620253298858"/>
    <s v="UNPLANNED"/>
    <x v="0"/>
    <d v="1899-12-30T08:15:00"/>
    <x v="0"/>
  </r>
  <r>
    <n v="1075"/>
    <x v="2"/>
    <n v="12115271565702"/>
    <x v="232"/>
    <d v="2021-08-17T14:50:00"/>
    <d v="1899-12-30T06:35:00"/>
    <n v="45.569620253298858"/>
    <s v="UNPLANNED"/>
    <x v="1"/>
    <d v="1899-12-30T08:15:00"/>
    <x v="0"/>
  </r>
  <r>
    <n v="1076"/>
    <x v="2"/>
    <n v="12115271573017"/>
    <x v="233"/>
    <d v="2021-08-17T18:30:00"/>
    <d v="1899-12-30T03:00:00"/>
    <n v="100"/>
    <s v="UNPLANNED"/>
    <x v="1"/>
    <d v="1899-12-30T15:30:00"/>
    <x v="1"/>
  </r>
  <r>
    <n v="1077"/>
    <x v="2"/>
    <n v="12115271573008"/>
    <x v="233"/>
    <d v="2021-08-17T18:30:00"/>
    <d v="1899-12-30T03:00:00"/>
    <n v="100"/>
    <s v="UNPLANNED"/>
    <x v="0"/>
    <d v="1899-12-30T15:30:00"/>
    <x v="1"/>
  </r>
  <r>
    <n v="1078"/>
    <x v="2"/>
    <n v="12115271573007"/>
    <x v="233"/>
    <d v="2021-08-17T18:30:00"/>
    <d v="1899-12-30T03:00:00"/>
    <n v="100"/>
    <s v="UNPLANNED"/>
    <x v="0"/>
    <d v="1899-12-30T15:30:00"/>
    <x v="1"/>
  </r>
  <r>
    <n v="1079"/>
    <x v="2"/>
    <n v="12115271573003"/>
    <x v="233"/>
    <d v="2021-08-17T18:30:00"/>
    <d v="1899-12-30T03:00:00"/>
    <n v="100"/>
    <s v="UNPLANNED"/>
    <x v="0"/>
    <d v="1899-12-30T15:30:00"/>
    <x v="1"/>
  </r>
  <r>
    <n v="1080"/>
    <x v="2"/>
    <n v="12115271573001"/>
    <x v="233"/>
    <d v="2021-08-17T18:30:00"/>
    <d v="1899-12-30T03:00:00"/>
    <n v="100"/>
    <s v="UNPLANNED"/>
    <x v="0"/>
    <d v="1899-12-30T15:30:00"/>
    <x v="1"/>
  </r>
  <r>
    <n v="1081"/>
    <x v="10"/>
    <n v="11115271547019"/>
    <x v="233"/>
    <d v="2021-08-17T18:30:00"/>
    <d v="1899-12-30T03:00:00"/>
    <n v="100"/>
    <s v="UNPLANNED"/>
    <x v="0"/>
    <d v="1899-12-30T15:30:00"/>
    <x v="1"/>
  </r>
  <r>
    <n v="1082"/>
    <x v="10"/>
    <n v="11115271547009"/>
    <x v="233"/>
    <d v="2021-08-17T18:30:00"/>
    <d v="1899-12-30T03:00:00"/>
    <n v="100"/>
    <s v="UNPLANNED"/>
    <x v="1"/>
    <d v="1899-12-30T15:30:00"/>
    <x v="1"/>
  </r>
  <r>
    <n v="1083"/>
    <x v="10"/>
    <n v="11115271547003"/>
    <x v="233"/>
    <d v="2021-08-17T18:30:00"/>
    <d v="1899-12-30T03:00:00"/>
    <n v="100"/>
    <s v="UNPLANNED"/>
    <x v="0"/>
    <d v="1899-12-30T15:30:00"/>
    <x v="1"/>
  </r>
  <r>
    <n v="1084"/>
    <x v="10"/>
    <n v="11115271547002"/>
    <x v="233"/>
    <d v="2021-08-17T18:30:00"/>
    <d v="1899-12-30T03:00:00"/>
    <n v="100"/>
    <s v="UNPLANNED"/>
    <x v="0"/>
    <d v="1899-12-30T15:30:00"/>
    <x v="1"/>
  </r>
  <r>
    <n v="1085"/>
    <x v="8"/>
    <n v="4115270845511"/>
    <x v="234"/>
    <d v="2021-08-17T23:30:00"/>
    <d v="1899-12-30T01:00:00"/>
    <n v="300.0000000174623"/>
    <s v="UNPLANNED"/>
    <x v="0"/>
    <d v="1899-12-30T22:30:00"/>
    <x v="2"/>
  </r>
  <r>
    <n v="1086"/>
    <x v="8"/>
    <n v="4115270845510"/>
    <x v="234"/>
    <d v="2021-08-17T23:30:00"/>
    <d v="1899-12-30T01:00:00"/>
    <n v="300.0000000174623"/>
    <s v="UNPLANNED"/>
    <x v="1"/>
    <d v="1899-12-30T22:30:00"/>
    <x v="2"/>
  </r>
  <r>
    <n v="1087"/>
    <x v="8"/>
    <n v="4115270845502"/>
    <x v="234"/>
    <d v="2021-08-17T23:30:00"/>
    <d v="1899-12-30T01:00:00"/>
    <n v="300.0000000174623"/>
    <s v="UNPLANNED"/>
    <x v="1"/>
    <d v="1899-12-30T22:30:00"/>
    <x v="2"/>
  </r>
  <r>
    <n v="1088"/>
    <x v="8"/>
    <n v="4115270845501"/>
    <x v="234"/>
    <d v="2021-08-17T23:30:00"/>
    <d v="1899-12-30T01:00:00"/>
    <n v="300.0000000174623"/>
    <s v="UNPLANNED"/>
    <x v="0"/>
    <d v="1899-12-30T22:30:00"/>
    <x v="2"/>
  </r>
  <r>
    <n v="1089"/>
    <x v="8"/>
    <n v="4115270845500"/>
    <x v="234"/>
    <d v="2021-08-17T23:30:00"/>
    <d v="1899-12-30T01:00:00"/>
    <n v="300.0000000174623"/>
    <s v="UNPLANNED"/>
    <x v="1"/>
    <d v="1899-12-30T22:30:00"/>
    <x v="2"/>
  </r>
  <r>
    <n v="1090"/>
    <x v="7"/>
    <n v="7115271760001"/>
    <x v="235"/>
    <d v="2021-08-18T07:40:00"/>
    <d v="1899-12-30T00:50:00"/>
    <n v="359.99999995809048"/>
    <s v="UNPLANNED"/>
    <x v="0"/>
    <d v="1899-12-30T06:50:00"/>
    <x v="0"/>
  </r>
  <r>
    <n v="1091"/>
    <x v="12"/>
    <n v="14115271672309"/>
    <x v="236"/>
    <d v="2021-08-18T11:20:00"/>
    <d v="1899-12-30T03:30:00"/>
    <n v="85.714285717136704"/>
    <s v="UNPLANNED"/>
    <x v="0"/>
    <d v="1899-12-30T07:50:00"/>
    <x v="0"/>
  </r>
  <r>
    <n v="1092"/>
    <x v="12"/>
    <n v="14115271672256"/>
    <x v="236"/>
    <d v="2021-08-18T11:20:00"/>
    <d v="1899-12-30T03:30:00"/>
    <n v="85.714285717136704"/>
    <s v="UNPLANNED"/>
    <x v="0"/>
    <d v="1899-12-30T07:50:00"/>
    <x v="0"/>
  </r>
  <r>
    <n v="1093"/>
    <x v="5"/>
    <n v="13115271649406"/>
    <x v="236"/>
    <d v="2021-08-18T11:20:00"/>
    <d v="1899-12-30T03:30:00"/>
    <n v="85.714285717136704"/>
    <s v="UNPLANNED"/>
    <x v="1"/>
    <d v="1899-12-30T07:50:00"/>
    <x v="0"/>
  </r>
  <r>
    <n v="1094"/>
    <x v="9"/>
    <n v="2115270237600"/>
    <x v="236"/>
    <d v="2021-08-18T11:20:00"/>
    <d v="1899-12-30T03:30:00"/>
    <n v="85.714285717136704"/>
    <s v="UNPLANNED"/>
    <x v="1"/>
    <d v="1899-12-30T07:50:00"/>
    <x v="0"/>
  </r>
  <r>
    <n v="1095"/>
    <x v="9"/>
    <n v="2115270228806"/>
    <x v="236"/>
    <d v="2021-08-18T11:20:00"/>
    <d v="1899-12-30T03:30:00"/>
    <n v="85.714285717136704"/>
    <s v="UNPLANNED"/>
    <x v="1"/>
    <d v="1899-12-30T07:50:00"/>
    <x v="0"/>
  </r>
  <r>
    <n v="1096"/>
    <x v="2"/>
    <n v="12115271565900"/>
    <x v="237"/>
    <d v="2021-08-18T14:05:00"/>
    <d v="1899-12-30T02:30:00"/>
    <n v="120.00000000279397"/>
    <s v="UNPLANNED"/>
    <x v="0"/>
    <d v="1899-12-30T11:35:00"/>
    <x v="0"/>
  </r>
  <r>
    <n v="1097"/>
    <x v="10"/>
    <n v="11115271506801"/>
    <x v="237"/>
    <d v="2021-08-18T14:05:00"/>
    <d v="1899-12-30T02:30:00"/>
    <n v="120.00000000279397"/>
    <s v="UNPLANNED"/>
    <x v="0"/>
    <d v="1899-12-30T11:35:00"/>
    <x v="0"/>
  </r>
  <r>
    <n v="1098"/>
    <x v="7"/>
    <n v="7115271760308"/>
    <x v="237"/>
    <d v="2021-08-18T14:05:00"/>
    <d v="1899-12-30T02:30:00"/>
    <n v="120.00000000279397"/>
    <s v="UNPLANNED"/>
    <x v="0"/>
    <d v="1899-12-30T11:35:00"/>
    <x v="0"/>
  </r>
  <r>
    <n v="1099"/>
    <x v="13"/>
    <n v="3115270306702"/>
    <x v="237"/>
    <d v="2021-08-18T14:05:00"/>
    <d v="1899-12-30T02:30:00"/>
    <n v="120.00000000279397"/>
    <s v="UNPLANNED"/>
    <x v="1"/>
    <d v="1899-12-30T11:35:00"/>
    <x v="0"/>
  </r>
  <r>
    <n v="1100"/>
    <x v="4"/>
    <n v="15115271743500"/>
    <x v="238"/>
    <d v="2021-08-18T22:00:00"/>
    <d v="1899-12-30T03:25:00"/>
    <n v="87.804878049777741"/>
    <s v="UNPLANNED"/>
    <x v="1"/>
    <d v="1899-12-30T18:35:00"/>
    <x v="1"/>
  </r>
  <r>
    <n v="1101"/>
    <x v="12"/>
    <n v="14115271672351"/>
    <x v="238"/>
    <d v="2021-08-18T22:00:00"/>
    <d v="1899-12-30T03:25:00"/>
    <n v="87.804878049777741"/>
    <s v="UNPLANNED"/>
    <x v="0"/>
    <d v="1899-12-30T18:35:00"/>
    <x v="1"/>
  </r>
  <r>
    <n v="1102"/>
    <x v="1"/>
    <n v="6115271738700"/>
    <x v="238"/>
    <d v="2021-08-18T22:00:00"/>
    <d v="1899-12-30T03:25:00"/>
    <n v="87.804878049777741"/>
    <s v="UNPLANNED"/>
    <x v="1"/>
    <d v="1899-12-30T18:35:00"/>
    <x v="1"/>
  </r>
  <r>
    <n v="1103"/>
    <x v="1"/>
    <n v="6115271720806"/>
    <x v="238"/>
    <d v="2021-08-18T22:00:00"/>
    <d v="1899-12-30T03:25:00"/>
    <n v="87.804878049777741"/>
    <s v="UNPLANNED"/>
    <x v="1"/>
    <d v="1899-12-30T18:35:00"/>
    <x v="1"/>
  </r>
  <r>
    <n v="1104"/>
    <x v="13"/>
    <n v="3115270344701"/>
    <x v="238"/>
    <d v="2021-08-18T22:00:00"/>
    <d v="1899-12-30T03:25:00"/>
    <n v="87.804878049777741"/>
    <s v="UNPLANNED"/>
    <x v="1"/>
    <d v="1899-12-30T18:35:00"/>
    <x v="1"/>
  </r>
  <r>
    <n v="1105"/>
    <x v="14"/>
    <n v="1115270142504"/>
    <x v="238"/>
    <d v="2021-08-18T22:00:00"/>
    <d v="1899-12-30T03:25:00"/>
    <n v="87.804878049777741"/>
    <s v="UNPLANNED"/>
    <x v="0"/>
    <d v="1899-12-30T18:35:00"/>
    <x v="1"/>
  </r>
  <r>
    <n v="1106"/>
    <x v="14"/>
    <n v="1115270109401"/>
    <x v="238"/>
    <d v="2021-08-18T22:00:00"/>
    <d v="1899-12-30T03:25:00"/>
    <n v="87.804878049777741"/>
    <s v="UNPLANNED"/>
    <x v="0"/>
    <d v="1899-12-30T18:35:00"/>
    <x v="1"/>
  </r>
  <r>
    <n v="1107"/>
    <x v="1"/>
    <n v="6115271720801"/>
    <x v="239"/>
    <d v="2021-08-19T01:30:00"/>
    <d v="1899-12-30T14:20:00"/>
    <n v="20.930232558252865"/>
    <s v="UNPLANNED"/>
    <x v="0"/>
    <d v="1899-12-30T11:10:00"/>
    <x v="0"/>
  </r>
  <r>
    <n v="1108"/>
    <x v="13"/>
    <n v="3115270306701"/>
    <x v="239"/>
    <d v="2021-08-19T01:30:00"/>
    <d v="1899-12-30T14:20:00"/>
    <n v="20.930232558252865"/>
    <s v="UNPLANNED"/>
    <x v="0"/>
    <d v="1899-12-30T11:10:00"/>
    <x v="0"/>
  </r>
  <r>
    <n v="1109"/>
    <x v="4"/>
    <n v="15115271795019"/>
    <x v="240"/>
    <d v="2021-08-19T13:20:00"/>
    <d v="1899-12-30T05:50:00"/>
    <n v="51.428571428742487"/>
    <s v="UNPLANNED"/>
    <x v="1"/>
    <d v="1899-12-30T07:30:00"/>
    <x v="0"/>
  </r>
  <r>
    <n v="1110"/>
    <x v="5"/>
    <n v="13115271590400"/>
    <x v="240"/>
    <d v="2021-08-19T13:20:00"/>
    <d v="1899-12-30T05:50:00"/>
    <n v="51.428571428742487"/>
    <s v="UNPLANNED"/>
    <x v="1"/>
    <d v="1899-12-30T07:30:00"/>
    <x v="0"/>
  </r>
  <r>
    <n v="1111"/>
    <x v="2"/>
    <n v="12115271575120"/>
    <x v="240"/>
    <d v="2021-08-19T13:20:00"/>
    <d v="1899-12-30T05:50:00"/>
    <n v="51.428571428742487"/>
    <s v="UNPLANNED"/>
    <x v="1"/>
    <d v="1899-12-30T07:30:00"/>
    <x v="0"/>
  </r>
  <r>
    <n v="1112"/>
    <x v="10"/>
    <n v="11115271546600"/>
    <x v="240"/>
    <d v="2021-08-19T13:20:00"/>
    <d v="1899-12-30T05:50:00"/>
    <n v="51.428571428742487"/>
    <s v="UNPLANNED"/>
    <x v="1"/>
    <d v="1899-12-30T07:30:00"/>
    <x v="0"/>
  </r>
  <r>
    <n v="1113"/>
    <x v="11"/>
    <n v="10115271958200"/>
    <x v="240"/>
    <d v="2021-08-19T13:20:00"/>
    <d v="1899-12-30T05:50:00"/>
    <n v="51.428571428742487"/>
    <s v="UNPLANNED"/>
    <x v="1"/>
    <d v="1899-12-30T07:30:00"/>
    <x v="0"/>
  </r>
  <r>
    <n v="1114"/>
    <x v="11"/>
    <n v="10115271410201"/>
    <x v="240"/>
    <d v="2021-08-19T13:20:00"/>
    <d v="1899-12-30T05:50:00"/>
    <n v="51.428571428742487"/>
    <s v="UNPLANNED"/>
    <x v="0"/>
    <d v="1899-12-30T07:30:00"/>
    <x v="0"/>
  </r>
  <r>
    <n v="1115"/>
    <x v="3"/>
    <n v="8115271810106"/>
    <x v="240"/>
    <d v="2021-08-19T13:20:00"/>
    <d v="1899-12-30T05:50:00"/>
    <n v="51.428571428742487"/>
    <s v="UNPLANNED"/>
    <x v="0"/>
    <d v="1899-12-30T07:30:00"/>
    <x v="0"/>
  </r>
  <r>
    <n v="1116"/>
    <x v="7"/>
    <n v="7115271791100"/>
    <x v="240"/>
    <d v="2021-08-19T13:20:00"/>
    <d v="1899-12-30T05:50:00"/>
    <n v="51.428571428742487"/>
    <s v="UNPLANNED"/>
    <x v="1"/>
    <d v="1899-12-30T07:30:00"/>
    <x v="0"/>
  </r>
  <r>
    <n v="1117"/>
    <x v="7"/>
    <n v="7115271766012"/>
    <x v="240"/>
    <d v="2021-08-19T13:20:00"/>
    <d v="1899-12-30T05:50:00"/>
    <n v="51.428571428742487"/>
    <s v="UNPLANNED"/>
    <x v="0"/>
    <d v="1899-12-30T07:30:00"/>
    <x v="0"/>
  </r>
  <r>
    <n v="1118"/>
    <x v="7"/>
    <n v="7115271765620"/>
    <x v="240"/>
    <d v="2021-08-19T13:20:00"/>
    <d v="1899-12-30T05:50:00"/>
    <n v="51.428571428742487"/>
    <s v="UNPLANNED"/>
    <x v="1"/>
    <d v="1899-12-30T07:30:00"/>
    <x v="0"/>
  </r>
  <r>
    <n v="1119"/>
    <x v="14"/>
    <n v="1115270145900"/>
    <x v="240"/>
    <d v="2021-08-19T13:20:00"/>
    <d v="1899-12-30T05:50:00"/>
    <n v="51.428571428742487"/>
    <s v="UNPLANNED"/>
    <x v="1"/>
    <d v="1899-12-30T07:30:00"/>
    <x v="0"/>
  </r>
  <r>
    <n v="1120"/>
    <x v="14"/>
    <n v="1115270142100"/>
    <x v="240"/>
    <d v="2021-08-19T13:20:00"/>
    <d v="1899-12-30T05:50:00"/>
    <n v="51.428571428742487"/>
    <s v="UNPLANNED"/>
    <x v="1"/>
    <d v="1899-12-30T07:30:00"/>
    <x v="0"/>
  </r>
  <r>
    <n v="1121"/>
    <x v="4"/>
    <n v="15115271743405"/>
    <x v="241"/>
    <d v="2021-08-19T16:15:00"/>
    <d v="1899-12-30T00:35:00"/>
    <n v="514.28571430282022"/>
    <s v="UNPLANNED"/>
    <x v="0"/>
    <d v="1899-12-30T15:40:00"/>
    <x v="1"/>
  </r>
  <r>
    <n v="1122"/>
    <x v="7"/>
    <n v="7115271806811"/>
    <x v="241"/>
    <d v="2021-08-19T16:15:00"/>
    <d v="1899-12-30T00:35:00"/>
    <n v="514.28571430282022"/>
    <s v="UNPLANNED"/>
    <x v="0"/>
    <d v="1899-12-30T15:40:00"/>
    <x v="1"/>
  </r>
  <r>
    <n v="1123"/>
    <x v="5"/>
    <n v="13115271590401"/>
    <x v="242"/>
    <d v="2021-08-19T20:40:00"/>
    <d v="1899-12-30T02:25:00"/>
    <n v="124.1379310334861"/>
    <s v="UNPLANNED"/>
    <x v="0"/>
    <d v="1899-12-30T18:15:00"/>
    <x v="1"/>
  </r>
  <r>
    <n v="1124"/>
    <x v="11"/>
    <n v="10115271460400"/>
    <x v="242"/>
    <d v="2021-08-19T20:40:00"/>
    <d v="1899-12-30T02:25:00"/>
    <n v="124.1379310334861"/>
    <s v="UNPLANNED"/>
    <x v="0"/>
    <d v="1899-12-30T18:15:00"/>
    <x v="1"/>
  </r>
  <r>
    <n v="1125"/>
    <x v="6"/>
    <n v="9115270640101"/>
    <x v="242"/>
    <d v="2021-08-19T20:40:00"/>
    <d v="1899-12-30T02:25:00"/>
    <n v="124.1379310334861"/>
    <s v="UNPLANNED"/>
    <x v="0"/>
    <d v="1899-12-30T18:15:00"/>
    <x v="1"/>
  </r>
  <r>
    <n v="1126"/>
    <x v="3"/>
    <n v="8115271865407"/>
    <x v="242"/>
    <d v="2021-08-19T20:40:00"/>
    <d v="1899-12-30T02:25:00"/>
    <n v="124.1379310334861"/>
    <s v="UNPLANNED"/>
    <x v="1"/>
    <d v="1899-12-30T18:15:00"/>
    <x v="1"/>
  </r>
  <r>
    <n v="1127"/>
    <x v="1"/>
    <n v="6115271751106"/>
    <x v="242"/>
    <d v="2021-08-19T20:40:00"/>
    <d v="1899-12-30T02:25:00"/>
    <n v="124.1379310334861"/>
    <s v="UNPLANNED"/>
    <x v="0"/>
    <d v="1899-12-30T18:15:00"/>
    <x v="1"/>
  </r>
  <r>
    <n v="1128"/>
    <x v="11"/>
    <n v="10115271476205"/>
    <x v="243"/>
    <d v="2021-08-19T22:35:00"/>
    <d v="1899-12-30T01:25:00"/>
    <n v="211.76470589685451"/>
    <s v="UNPLANNED"/>
    <x v="0"/>
    <d v="1899-12-30T21:10:00"/>
    <x v="1"/>
  </r>
  <r>
    <n v="1129"/>
    <x v="7"/>
    <n v="7115271773606"/>
    <x v="243"/>
    <d v="2021-08-19T22:35:00"/>
    <d v="1899-12-30T01:25:00"/>
    <n v="211.76470589685451"/>
    <s v="UNPLANNED"/>
    <x v="0"/>
    <d v="1899-12-30T21:10:00"/>
    <x v="1"/>
  </r>
  <r>
    <n v="1130"/>
    <x v="9"/>
    <n v="2115270154900"/>
    <x v="243"/>
    <d v="2021-08-19T22:35:00"/>
    <d v="1899-12-30T01:25:00"/>
    <n v="211.76470589685451"/>
    <s v="UNPLANNED"/>
    <x v="0"/>
    <d v="1899-12-30T21:10:00"/>
    <x v="1"/>
  </r>
  <r>
    <n v="1131"/>
    <x v="12"/>
    <n v="14115271672309"/>
    <x v="244"/>
    <d v="2021-08-20T03:45:00"/>
    <d v="1899-12-30T03:35:00"/>
    <n v="83.720930233011458"/>
    <s v="UNPLANNED"/>
    <x v="0"/>
    <d v="1899-12-30T00:10:00"/>
    <x v="2"/>
  </r>
  <r>
    <n v="1132"/>
    <x v="6"/>
    <n v="9115271950601"/>
    <x v="244"/>
    <d v="2021-08-20T03:45:00"/>
    <d v="1899-12-30T03:35:00"/>
    <n v="83.720930233011458"/>
    <s v="UNPLANNED"/>
    <x v="0"/>
    <d v="1899-12-30T00:10:00"/>
    <x v="2"/>
  </r>
  <r>
    <n v="1133"/>
    <x v="4"/>
    <n v="15115271772970"/>
    <x v="245"/>
    <d v="2021-08-20T13:50:00"/>
    <d v="1899-12-30T03:30:00"/>
    <n v="85.714285712860217"/>
    <s v="UNPLANNED"/>
    <x v="2"/>
    <d v="1899-12-30T10:20:00"/>
    <x v="0"/>
  </r>
  <r>
    <n v="1134"/>
    <x v="12"/>
    <n v="14115271672256"/>
    <x v="245"/>
    <d v="2021-08-20T13:50:00"/>
    <d v="1899-12-30T03:30:00"/>
    <n v="85.714285712860217"/>
    <s v="UNPLANNED"/>
    <x v="0"/>
    <d v="1899-12-30T10:20:00"/>
    <x v="0"/>
  </r>
  <r>
    <n v="1135"/>
    <x v="5"/>
    <n v="13115271634400"/>
    <x v="245"/>
    <d v="2021-08-20T13:50:00"/>
    <d v="1899-12-30T03:30:00"/>
    <n v="85.714285712860217"/>
    <s v="UNPLANNED"/>
    <x v="1"/>
    <d v="1899-12-30T10:20:00"/>
    <x v="0"/>
  </r>
  <r>
    <n v="1136"/>
    <x v="2"/>
    <n v="12115271574504"/>
    <x v="245"/>
    <d v="2021-08-20T13:50:00"/>
    <d v="1899-12-30T03:30:00"/>
    <n v="85.714285712860217"/>
    <s v="UNPLANNED"/>
    <x v="1"/>
    <d v="1899-12-30T10:20:00"/>
    <x v="0"/>
  </r>
  <r>
    <n v="1137"/>
    <x v="0"/>
    <n v="5115271661800"/>
    <x v="245"/>
    <d v="2021-08-20T13:50:00"/>
    <d v="1899-12-30T03:30:00"/>
    <n v="85.714285712860217"/>
    <s v="UNPLANNED"/>
    <x v="1"/>
    <d v="1899-12-30T10:20:00"/>
    <x v="0"/>
  </r>
  <r>
    <n v="1138"/>
    <x v="13"/>
    <n v="3115270344701"/>
    <x v="245"/>
    <d v="2021-08-20T13:50:00"/>
    <d v="1899-12-30T03:30:00"/>
    <n v="85.714285712860217"/>
    <s v="UNPLANNED"/>
    <x v="0"/>
    <d v="1899-12-30T10:20:00"/>
    <x v="0"/>
  </r>
  <r>
    <n v="1139"/>
    <x v="14"/>
    <n v="1115270088800"/>
    <x v="245"/>
    <d v="2021-08-20T13:50:00"/>
    <d v="1899-12-30T03:30:00"/>
    <n v="85.714285712860217"/>
    <s v="UNPLANNED"/>
    <x v="0"/>
    <d v="1899-12-30T10:20:00"/>
    <x v="0"/>
  </r>
  <r>
    <n v="1140"/>
    <x v="12"/>
    <n v="14115271685405"/>
    <x v="246"/>
    <d v="2021-08-20T21:40:00"/>
    <d v="1899-12-30T05:10:00"/>
    <n v="58.064516128160051"/>
    <s v="UNPLANNED"/>
    <x v="0"/>
    <d v="1899-12-30T16:30:00"/>
    <x v="1"/>
  </r>
  <r>
    <n v="1141"/>
    <x v="12"/>
    <n v="14115271684800"/>
    <x v="246"/>
    <d v="2021-08-20T21:40:00"/>
    <d v="1899-12-30T05:10:00"/>
    <n v="58.064516128160051"/>
    <s v="UNPLANNED"/>
    <x v="1"/>
    <d v="1899-12-30T16:30:00"/>
    <x v="1"/>
  </r>
  <r>
    <n v="1142"/>
    <x v="12"/>
    <n v="14115271672406"/>
    <x v="246"/>
    <d v="2021-08-20T21:40:00"/>
    <d v="1899-12-30T05:10:00"/>
    <n v="58.064516128160051"/>
    <s v="UNPLANNED"/>
    <x v="1"/>
    <d v="1899-12-30T16:30:00"/>
    <x v="1"/>
  </r>
  <r>
    <n v="1143"/>
    <x v="10"/>
    <n v="11115271547100"/>
    <x v="246"/>
    <d v="2021-08-20T21:40:00"/>
    <d v="1899-12-30T05:10:00"/>
    <n v="58.064516128160051"/>
    <s v="UNPLANNED"/>
    <x v="1"/>
    <d v="1899-12-30T16:30:00"/>
    <x v="1"/>
  </r>
  <r>
    <n v="1144"/>
    <x v="11"/>
    <n v="10115271958201"/>
    <x v="246"/>
    <d v="2021-08-20T21:40:00"/>
    <d v="1899-12-30T05:10:00"/>
    <n v="58.064516128160051"/>
    <s v="UNPLANNED"/>
    <x v="1"/>
    <d v="1899-12-30T16:30:00"/>
    <x v="1"/>
  </r>
  <r>
    <n v="1145"/>
    <x v="13"/>
    <n v="3115270312902"/>
    <x v="246"/>
    <d v="2021-08-20T21:40:00"/>
    <d v="1899-12-30T05:10:00"/>
    <n v="58.064516128160051"/>
    <s v="UNPLANNED"/>
    <x v="6"/>
    <d v="1899-12-30T16:30:00"/>
    <x v="1"/>
  </r>
  <r>
    <n v="1146"/>
    <x v="13"/>
    <n v="3115270306804"/>
    <x v="246"/>
    <d v="2021-08-20T21:40:00"/>
    <d v="1899-12-30T05:10:00"/>
    <n v="58.064516128160051"/>
    <s v="UNPLANNED"/>
    <x v="2"/>
    <d v="1899-12-30T16:30:00"/>
    <x v="1"/>
  </r>
  <r>
    <n v="1147"/>
    <x v="14"/>
    <n v="1115270100100"/>
    <x v="246"/>
    <d v="2021-08-20T21:40:00"/>
    <d v="1899-12-30T05:10:00"/>
    <n v="58.064516128160051"/>
    <s v="UNPLANNED"/>
    <x v="1"/>
    <d v="1899-12-30T16:30:00"/>
    <x v="1"/>
  </r>
  <r>
    <n v="1148"/>
    <x v="3"/>
    <n v="8115271809802"/>
    <x v="247"/>
    <d v="2021-08-21T01:05:00"/>
    <d v="1899-12-30T14:30:00"/>
    <n v="20.689655172247683"/>
    <s v="UNPLANNED"/>
    <x v="0"/>
    <d v="1899-12-30T10:35:00"/>
    <x v="0"/>
  </r>
  <r>
    <n v="1149"/>
    <x v="13"/>
    <n v="3115270339900"/>
    <x v="247"/>
    <d v="2021-08-21T01:05:00"/>
    <d v="1899-12-30T14:30:00"/>
    <n v="20.689655172247683"/>
    <s v="UNPLANNED"/>
    <x v="0"/>
    <d v="1899-12-30T10:35:00"/>
    <x v="0"/>
  </r>
  <r>
    <n v="1150"/>
    <x v="9"/>
    <n v="2115270165800"/>
    <x v="247"/>
    <d v="2021-08-21T01:05:00"/>
    <d v="1899-12-30T14:30:00"/>
    <n v="20.689655172247683"/>
    <s v="UNPLANNED"/>
    <x v="0"/>
    <d v="1899-12-30T10:35:00"/>
    <x v="0"/>
  </r>
  <r>
    <n v="1151"/>
    <x v="12"/>
    <n v="14115271672409"/>
    <x v="248"/>
    <d v="2021-08-21T10:30:00"/>
    <d v="1899-12-30T01:40:00"/>
    <n v="179.99999999790452"/>
    <s v="UNPLANNED"/>
    <x v="1"/>
    <d v="1899-12-30T08:50:00"/>
    <x v="0"/>
  </r>
  <r>
    <n v="1152"/>
    <x v="12"/>
    <n v="14115271672408"/>
    <x v="248"/>
    <d v="2021-08-21T10:30:00"/>
    <d v="1899-12-30T01:40:00"/>
    <n v="179.99999999790452"/>
    <s v="UNPLANNED"/>
    <x v="0"/>
    <d v="1899-12-30T08:50:00"/>
    <x v="0"/>
  </r>
  <r>
    <n v="1153"/>
    <x v="13"/>
    <n v="3115270408401"/>
    <x v="248"/>
    <d v="2021-08-21T10:30:00"/>
    <d v="1899-12-30T01:40:00"/>
    <n v="179.99999999790452"/>
    <s v="UNPLANNED"/>
    <x v="0"/>
    <d v="1899-12-30T08:50:00"/>
    <x v="0"/>
  </r>
  <r>
    <n v="1154"/>
    <x v="13"/>
    <n v="3115270408400"/>
    <x v="248"/>
    <d v="2021-08-21T10:30:00"/>
    <d v="1899-12-30T01:40:00"/>
    <n v="179.99999999790452"/>
    <s v="UNPLANNED"/>
    <x v="1"/>
    <d v="1899-12-30T08:50:00"/>
    <x v="0"/>
  </r>
  <r>
    <n v="1155"/>
    <x v="12"/>
    <n v="14115271693556"/>
    <x v="249"/>
    <d v="2021-08-21T13:30:00"/>
    <d v="1899-12-30T01:25:00"/>
    <n v="211.7647058707517"/>
    <s v="UNPLANNED"/>
    <x v="1"/>
    <d v="1899-12-30T12:05:00"/>
    <x v="0"/>
  </r>
  <r>
    <n v="1156"/>
    <x v="12"/>
    <n v="14115271693555"/>
    <x v="249"/>
    <d v="2021-08-21T13:30:00"/>
    <d v="1899-12-30T01:25:00"/>
    <n v="211.7647058707517"/>
    <s v="UNPLANNED"/>
    <x v="1"/>
    <d v="1899-12-30T12:05:00"/>
    <x v="0"/>
  </r>
  <r>
    <n v="1157"/>
    <x v="5"/>
    <n v="13115271662902"/>
    <x v="249"/>
    <d v="2021-08-21T13:30:00"/>
    <d v="1899-12-30T01:25:00"/>
    <n v="211.7647058707517"/>
    <s v="UNPLANNED"/>
    <x v="1"/>
    <d v="1899-12-30T12:05:00"/>
    <x v="0"/>
  </r>
  <r>
    <n v="1158"/>
    <x v="5"/>
    <n v="13115271662901"/>
    <x v="249"/>
    <d v="2021-08-21T13:30:00"/>
    <d v="1899-12-30T01:25:00"/>
    <n v="211.7647058707517"/>
    <s v="UNPLANNED"/>
    <x v="1"/>
    <d v="1899-12-30T12:05:00"/>
    <x v="0"/>
  </r>
  <r>
    <n v="1159"/>
    <x v="7"/>
    <n v="7115271771008"/>
    <x v="249"/>
    <d v="2021-08-21T13:30:00"/>
    <d v="1899-12-30T01:25:00"/>
    <n v="211.7647058707517"/>
    <s v="UNPLANNED"/>
    <x v="2"/>
    <d v="1899-12-30T12:05:00"/>
    <x v="0"/>
  </r>
  <r>
    <n v="1160"/>
    <x v="7"/>
    <n v="7115271771007"/>
    <x v="249"/>
    <d v="2021-08-21T13:30:00"/>
    <d v="1899-12-30T01:25:00"/>
    <n v="211.7647058707517"/>
    <s v="UNPLANNED"/>
    <x v="1"/>
    <d v="1899-12-30T12:05:00"/>
    <x v="0"/>
  </r>
  <r>
    <n v="1161"/>
    <x v="1"/>
    <n v="6115271704103"/>
    <x v="249"/>
    <d v="2021-08-21T13:30:00"/>
    <d v="1899-12-30T01:25:00"/>
    <n v="211.7647058707517"/>
    <s v="UNPLANNED"/>
    <x v="0"/>
    <d v="1899-12-30T12:05:00"/>
    <x v="0"/>
  </r>
  <r>
    <n v="1162"/>
    <x v="1"/>
    <n v="6115271704102"/>
    <x v="249"/>
    <d v="2021-08-21T13:30:00"/>
    <d v="1899-12-30T01:25:00"/>
    <n v="211.7647058707517"/>
    <s v="UNPLANNED"/>
    <x v="1"/>
    <d v="1899-12-30T12:05:00"/>
    <x v="0"/>
  </r>
  <r>
    <n v="1163"/>
    <x v="5"/>
    <n v="13115271590508"/>
    <x v="250"/>
    <d v="2021-08-21T23:20:00"/>
    <d v="1899-12-30T06:50:00"/>
    <n v="43.902439024888871"/>
    <s v="UNPLANNED"/>
    <x v="2"/>
    <d v="1899-12-30T16:30:00"/>
    <x v="1"/>
  </r>
  <r>
    <n v="1164"/>
    <x v="2"/>
    <n v="12115271569019"/>
    <x v="250"/>
    <d v="2021-08-21T23:20:00"/>
    <d v="1899-12-30T06:50:00"/>
    <n v="43.902439024888871"/>
    <s v="UNPLANNED"/>
    <x v="0"/>
    <d v="1899-12-30T16:30:00"/>
    <x v="1"/>
  </r>
  <r>
    <n v="1165"/>
    <x v="2"/>
    <n v="12115271567349"/>
    <x v="250"/>
    <d v="2021-08-21T23:20:00"/>
    <d v="1899-12-30T06:50:00"/>
    <n v="43.902439024888871"/>
    <s v="UNPLANNED"/>
    <x v="2"/>
    <d v="1899-12-30T16:30:00"/>
    <x v="1"/>
  </r>
  <r>
    <n v="1166"/>
    <x v="3"/>
    <n v="8115271809902"/>
    <x v="250"/>
    <d v="2021-08-21T23:20:00"/>
    <d v="1899-12-30T06:50:00"/>
    <n v="43.902439024888871"/>
    <s v="UNPLANNED"/>
    <x v="0"/>
    <d v="1899-12-30T16:30:00"/>
    <x v="1"/>
  </r>
  <r>
    <n v="1167"/>
    <x v="7"/>
    <n v="7115271788600"/>
    <x v="250"/>
    <d v="2021-08-21T23:20:00"/>
    <d v="1899-12-30T06:50:00"/>
    <n v="43.902439024888871"/>
    <s v="UNPLANNED"/>
    <x v="1"/>
    <d v="1899-12-30T16:30:00"/>
    <x v="1"/>
  </r>
  <r>
    <n v="1168"/>
    <x v="13"/>
    <n v="3115270307608"/>
    <x v="250"/>
    <d v="2021-08-21T23:20:00"/>
    <d v="1899-12-30T06:50:00"/>
    <n v="43.902439024888871"/>
    <s v="UNPLANNED"/>
    <x v="0"/>
    <d v="1899-12-30T16:30:00"/>
    <x v="1"/>
  </r>
  <r>
    <n v="1169"/>
    <x v="13"/>
    <n v="3115270307601"/>
    <x v="250"/>
    <d v="2021-08-21T23:20:00"/>
    <d v="1899-12-30T06:50:00"/>
    <n v="43.902439024888871"/>
    <s v="UNPLANNED"/>
    <x v="0"/>
    <d v="1899-12-30T16:30:00"/>
    <x v="1"/>
  </r>
  <r>
    <n v="1170"/>
    <x v="13"/>
    <n v="3115270306404"/>
    <x v="250"/>
    <d v="2021-08-21T23:20:00"/>
    <d v="1899-12-30T06:50:00"/>
    <n v="43.902439024888871"/>
    <s v="UNPLANNED"/>
    <x v="0"/>
    <d v="1899-12-30T16:30:00"/>
    <x v="1"/>
  </r>
  <r>
    <n v="1171"/>
    <x v="14"/>
    <n v="1115270079501"/>
    <x v="250"/>
    <d v="2021-08-21T23:20:00"/>
    <d v="1899-12-30T06:50:00"/>
    <n v="43.902439024888871"/>
    <s v="UNPLANNED"/>
    <x v="0"/>
    <d v="1899-12-30T16:30:00"/>
    <x v="1"/>
  </r>
  <r>
    <n v="1172"/>
    <x v="14"/>
    <n v="1115270075500"/>
    <x v="250"/>
    <d v="2021-08-21T23:20:00"/>
    <d v="1899-12-30T06:50:00"/>
    <n v="43.902439024888871"/>
    <s v="UNPLANNED"/>
    <x v="1"/>
    <d v="1899-12-30T16:30:00"/>
    <x v="1"/>
  </r>
  <r>
    <n v="1173"/>
    <x v="10"/>
    <n v="11115271542008"/>
    <x v="251"/>
    <d v="2021-08-22T01:15:00"/>
    <d v="1899-12-30T02:45:00"/>
    <n v="109.09090908860001"/>
    <s v="UNPLANNED"/>
    <x v="2"/>
    <d v="1899-12-30T22:30:00"/>
    <x v="2"/>
  </r>
  <r>
    <n v="1174"/>
    <x v="8"/>
    <n v="4115270830211"/>
    <x v="251"/>
    <d v="2021-08-22T01:15:00"/>
    <d v="1899-12-30T02:45:00"/>
    <n v="109.09090908860001"/>
    <s v="UNPLANNED"/>
    <x v="0"/>
    <d v="1899-12-30T22:30:00"/>
    <x v="2"/>
  </r>
  <r>
    <n v="1175"/>
    <x v="9"/>
    <n v="2115270273900"/>
    <x v="251"/>
    <d v="2021-08-22T01:15:00"/>
    <d v="1899-12-30T02:45:00"/>
    <n v="109.09090908860001"/>
    <s v="UNPLANNED"/>
    <x v="0"/>
    <d v="1899-12-30T22:30:00"/>
    <x v="2"/>
  </r>
  <r>
    <n v="1176"/>
    <x v="7"/>
    <n v="7115271770608"/>
    <x v="252"/>
    <d v="2021-08-22T09:00:00"/>
    <d v="1899-12-30T00:40:00"/>
    <n v="449.99999994761311"/>
    <s v="UNPLANNED"/>
    <x v="1"/>
    <d v="1899-12-30T08:20:00"/>
    <x v="0"/>
  </r>
  <r>
    <n v="1177"/>
    <x v="7"/>
    <n v="7115271770607"/>
    <x v="252"/>
    <d v="2021-08-22T09:00:00"/>
    <d v="1899-12-30T00:40:00"/>
    <n v="449.99999994761311"/>
    <s v="UNPLANNED"/>
    <x v="0"/>
    <d v="1899-12-30T08:20:00"/>
    <x v="0"/>
  </r>
  <r>
    <n v="1178"/>
    <x v="10"/>
    <n v="11115271542809"/>
    <x v="253"/>
    <d v="2021-08-22T12:45:00"/>
    <d v="1899-12-30T01:05:00"/>
    <n v="276.9230769131575"/>
    <s v="UNPLANNED"/>
    <x v="2"/>
    <d v="1899-12-30T11:40:00"/>
    <x v="0"/>
  </r>
  <r>
    <n v="1179"/>
    <x v="10"/>
    <n v="11115271542803"/>
    <x v="253"/>
    <d v="2021-08-22T12:45:00"/>
    <d v="1899-12-30T01:05:00"/>
    <n v="276.9230769131575"/>
    <s v="UNPLANNED"/>
    <x v="0"/>
    <d v="1899-12-30T11:40:00"/>
    <x v="0"/>
  </r>
  <r>
    <n v="1180"/>
    <x v="10"/>
    <n v="11115271542801"/>
    <x v="253"/>
    <d v="2021-08-22T12:45:00"/>
    <d v="1899-12-30T01:05:00"/>
    <n v="276.9230769131575"/>
    <s v="UNPLANNED"/>
    <x v="1"/>
    <d v="1899-12-30T11:40:00"/>
    <x v="0"/>
  </r>
  <r>
    <n v="1181"/>
    <x v="13"/>
    <n v="3115270310806"/>
    <x v="253"/>
    <d v="2021-08-22T12:45:00"/>
    <d v="1899-12-30T01:05:00"/>
    <n v="276.9230769131575"/>
    <s v="UNPLANNED"/>
    <x v="1"/>
    <d v="1899-12-30T11:40:00"/>
    <x v="0"/>
  </r>
  <r>
    <n v="1182"/>
    <x v="13"/>
    <n v="3115270310802"/>
    <x v="253"/>
    <d v="2021-08-22T12:45:00"/>
    <d v="1899-12-30T01:05:00"/>
    <n v="276.9230769131575"/>
    <s v="UNPLANNED"/>
    <x v="0"/>
    <d v="1899-12-30T11:40:00"/>
    <x v="0"/>
  </r>
  <r>
    <n v="1183"/>
    <x v="13"/>
    <n v="3115270310801"/>
    <x v="253"/>
    <d v="2021-08-22T12:45:00"/>
    <d v="1899-12-30T01:05:00"/>
    <n v="276.9230769131575"/>
    <s v="UNPLANNED"/>
    <x v="0"/>
    <d v="1899-12-30T11:40:00"/>
    <x v="0"/>
  </r>
  <r>
    <n v="1184"/>
    <x v="14"/>
    <n v="1115270036103"/>
    <x v="253"/>
    <d v="2021-08-22T12:45:00"/>
    <d v="1899-12-30T01:05:00"/>
    <n v="276.9230769131575"/>
    <s v="UNPLANNED"/>
    <x v="1"/>
    <d v="1899-12-30T11:40:00"/>
    <x v="0"/>
  </r>
  <r>
    <n v="1185"/>
    <x v="14"/>
    <n v="1115270036101"/>
    <x v="253"/>
    <d v="2021-08-22T12:45:00"/>
    <d v="1899-12-30T01:05:00"/>
    <n v="276.9230769131575"/>
    <s v="UNPLANNED"/>
    <x v="1"/>
    <d v="1899-12-30T11:40:00"/>
    <x v="0"/>
  </r>
  <r>
    <n v="1186"/>
    <x v="14"/>
    <n v="1115270036100"/>
    <x v="253"/>
    <d v="2021-08-22T12:45:00"/>
    <d v="1899-12-30T01:05:00"/>
    <n v="276.9230769131575"/>
    <s v="UNPLANNED"/>
    <x v="1"/>
    <d v="1899-12-30T11:40:00"/>
    <x v="0"/>
  </r>
  <r>
    <n v="1187"/>
    <x v="1"/>
    <n v="6115271712109"/>
    <x v="254"/>
    <d v="2021-08-22T13:55:00"/>
    <d v="1899-12-30T00:50:00"/>
    <n v="360.00000003352761"/>
    <s v="UNPLANNED"/>
    <x v="0"/>
    <d v="1899-12-30T13:05:00"/>
    <x v="0"/>
  </r>
  <r>
    <n v="1188"/>
    <x v="1"/>
    <n v="6115271712101"/>
    <x v="254"/>
    <d v="2021-08-22T13:55:00"/>
    <d v="1899-12-30T00:50:00"/>
    <n v="360.00000003352761"/>
    <s v="UNPLANNED"/>
    <x v="2"/>
    <d v="1899-12-30T13:05:00"/>
    <x v="0"/>
  </r>
  <r>
    <n v="1189"/>
    <x v="1"/>
    <n v="6115271712100"/>
    <x v="254"/>
    <d v="2021-08-22T13:55:00"/>
    <d v="1899-12-30T00:50:00"/>
    <n v="360.00000003352761"/>
    <s v="UNPLANNED"/>
    <x v="2"/>
    <d v="1899-12-30T13:05:00"/>
    <x v="0"/>
  </r>
  <r>
    <n v="1190"/>
    <x v="13"/>
    <n v="3115270306607"/>
    <x v="255"/>
    <d v="2021-08-22T19:00:00"/>
    <d v="1899-12-30T02:00:00"/>
    <n v="150.00000000873115"/>
    <s v="UNPLANNED"/>
    <x v="0"/>
    <d v="1899-12-30T17:00:00"/>
    <x v="1"/>
  </r>
  <r>
    <n v="1191"/>
    <x v="13"/>
    <n v="3115270306602"/>
    <x v="255"/>
    <d v="2021-08-22T19:00:00"/>
    <d v="1899-12-30T02:00:00"/>
    <n v="150.00000000873115"/>
    <s v="UNPLANNED"/>
    <x v="1"/>
    <d v="1899-12-30T17:00:00"/>
    <x v="1"/>
  </r>
  <r>
    <n v="1192"/>
    <x v="13"/>
    <n v="3115270306601"/>
    <x v="255"/>
    <d v="2021-08-22T19:00:00"/>
    <d v="1899-12-30T02:00:00"/>
    <n v="150.00000000873115"/>
    <s v="UNPLANNED"/>
    <x v="2"/>
    <d v="1899-12-30T17:00:00"/>
    <x v="1"/>
  </r>
  <r>
    <n v="1193"/>
    <x v="10"/>
    <n v="11115271536005"/>
    <x v="256"/>
    <d v="2021-08-22T22:00:00"/>
    <d v="1899-12-30T02:30:00"/>
    <n v="120.00000000279397"/>
    <s v="UNPLANNED"/>
    <x v="0"/>
    <d v="1899-12-30T19:30:00"/>
    <x v="1"/>
  </r>
  <r>
    <n v="1194"/>
    <x v="10"/>
    <n v="11115271536005"/>
    <x v="256"/>
    <d v="2021-08-22T22:00:00"/>
    <d v="1899-12-30T02:30:00"/>
    <n v="120.00000000279397"/>
    <s v="UNPLANNED"/>
    <x v="0"/>
    <d v="1899-12-30T19:30:00"/>
    <x v="1"/>
  </r>
  <r>
    <n v="1195"/>
    <x v="10"/>
    <n v="11115271536001"/>
    <x v="256"/>
    <d v="2021-08-22T22:00:00"/>
    <d v="1899-12-30T02:30:00"/>
    <n v="120.00000000279397"/>
    <s v="UNPLANNED"/>
    <x v="0"/>
    <d v="1899-12-30T19:30:00"/>
    <x v="1"/>
  </r>
  <r>
    <n v="1196"/>
    <x v="11"/>
    <n v="10115271963208"/>
    <x v="257"/>
    <d v="2021-08-22T23:45:00"/>
    <d v="1899-12-30T01:45:00"/>
    <n v="171.42857141716746"/>
    <s v="UNPLANNED"/>
    <x v="0"/>
    <d v="1899-12-30T22:00:00"/>
    <x v="1"/>
  </r>
  <r>
    <n v="1197"/>
    <x v="11"/>
    <n v="10115271963208"/>
    <x v="257"/>
    <d v="2021-08-22T23:45:00"/>
    <d v="1899-12-30T01:45:00"/>
    <n v="171.42857141716746"/>
    <s v="UNPLANNED"/>
    <x v="6"/>
    <d v="1899-12-30T22:00:00"/>
    <x v="1"/>
  </r>
  <r>
    <n v="1198"/>
    <x v="11"/>
    <n v="10115271963207"/>
    <x v="257"/>
    <d v="2021-08-22T23:45:00"/>
    <d v="1899-12-30T01:45:00"/>
    <n v="171.42857141716746"/>
    <s v="UNPLANNED"/>
    <x v="0"/>
    <d v="1899-12-30T22:00:00"/>
    <x v="1"/>
  </r>
  <r>
    <n v="1199"/>
    <x v="13"/>
    <n v="3115270327801"/>
    <x v="258"/>
    <d v="2021-08-23T10:05:00"/>
    <d v="1899-12-30T00:35:00"/>
    <n v="514.28571430282022"/>
    <s v="UNPLANNED"/>
    <x v="1"/>
    <d v="1899-12-30T09:30:00"/>
    <x v="0"/>
  </r>
  <r>
    <n v="1200"/>
    <x v="13"/>
    <n v="3115270327800"/>
    <x v="258"/>
    <d v="2021-08-23T10:05:00"/>
    <d v="1899-12-30T00:35:00"/>
    <n v="514.28571430282022"/>
    <s v="UNPLANNED"/>
    <x v="1"/>
    <d v="1899-12-30T09:30:00"/>
    <x v="0"/>
  </r>
  <r>
    <n v="1201"/>
    <x v="7"/>
    <n v="7115271760209"/>
    <x v="259"/>
    <d v="2021-08-23T13:25:00"/>
    <d v="1899-12-30T01:25:00"/>
    <n v="211.7647058707517"/>
    <s v="UNPLANNED"/>
    <x v="6"/>
    <d v="1899-12-30T12:00:00"/>
    <x v="0"/>
  </r>
  <r>
    <n v="1202"/>
    <x v="7"/>
    <n v="7115271760201"/>
    <x v="259"/>
    <d v="2021-08-23T13:25:00"/>
    <d v="1899-12-30T01:25:00"/>
    <n v="211.7647058707517"/>
    <s v="UNPLANNED"/>
    <x v="1"/>
    <d v="1899-12-30T12:00:00"/>
    <x v="0"/>
  </r>
  <r>
    <n v="1203"/>
    <x v="7"/>
    <n v="7115271760200"/>
    <x v="259"/>
    <d v="2021-08-23T13:25:00"/>
    <d v="1899-12-30T01:25:00"/>
    <n v="211.7647058707517"/>
    <s v="UNPLANNED"/>
    <x v="1"/>
    <d v="1899-12-30T12:00:00"/>
    <x v="0"/>
  </r>
  <r>
    <n v="1204"/>
    <x v="1"/>
    <n v="6115271717231"/>
    <x v="259"/>
    <d v="2021-08-23T13:25:00"/>
    <d v="1899-12-30T01:25:00"/>
    <n v="211.7647058707517"/>
    <s v="UNPLANNED"/>
    <x v="1"/>
    <d v="1899-12-30T12:00:00"/>
    <x v="0"/>
  </r>
  <r>
    <n v="1205"/>
    <x v="1"/>
    <n v="6115271717230"/>
    <x v="259"/>
    <d v="2021-08-23T13:25:00"/>
    <d v="1899-12-30T01:25:00"/>
    <n v="211.7647058707517"/>
    <s v="UNPLANNED"/>
    <x v="0"/>
    <d v="1899-12-30T12:00:00"/>
    <x v="0"/>
  </r>
  <r>
    <n v="1206"/>
    <x v="9"/>
    <n v="2115270217101"/>
    <x v="259"/>
    <d v="2021-08-23T13:25:00"/>
    <d v="1899-12-30T01:25:00"/>
    <n v="211.7647058707517"/>
    <s v="UNPLANNED"/>
    <x v="0"/>
    <d v="1899-12-30T12:00:00"/>
    <x v="0"/>
  </r>
  <r>
    <n v="1207"/>
    <x v="9"/>
    <n v="2115270217100"/>
    <x v="259"/>
    <d v="2021-08-23T13:25:00"/>
    <d v="1899-12-30T01:25:00"/>
    <n v="211.7647058707517"/>
    <s v="UNPLANNED"/>
    <x v="1"/>
    <d v="1899-12-30T12:00:00"/>
    <x v="0"/>
  </r>
  <r>
    <n v="1208"/>
    <x v="2"/>
    <n v="12115271581908"/>
    <x v="260"/>
    <d v="2021-08-23T16:50:00"/>
    <d v="1899-12-30T00:40:00"/>
    <n v="449.99999994761311"/>
    <s v="UNPLANNED"/>
    <x v="1"/>
    <d v="1899-12-30T16:10:00"/>
    <x v="1"/>
  </r>
  <r>
    <n v="1209"/>
    <x v="2"/>
    <n v="12115271581906"/>
    <x v="260"/>
    <d v="2021-08-23T16:50:00"/>
    <d v="1899-12-30T00:40:00"/>
    <n v="449.99999994761311"/>
    <s v="UNPLANNED"/>
    <x v="1"/>
    <d v="1899-12-30T16:10:00"/>
    <x v="1"/>
  </r>
  <r>
    <n v="1210"/>
    <x v="2"/>
    <n v="12115271581905"/>
    <x v="260"/>
    <d v="2021-08-23T16:50:00"/>
    <d v="1899-12-30T00:40:00"/>
    <n v="449.99999994761311"/>
    <s v="UNPLANNED"/>
    <x v="6"/>
    <d v="1899-12-30T16:10:00"/>
    <x v="1"/>
  </r>
  <r>
    <n v="1211"/>
    <x v="1"/>
    <n v="6115271740309"/>
    <x v="261"/>
    <d v="2021-08-23T19:25:00"/>
    <d v="1899-12-30T00:50:00"/>
    <n v="359.99999995809048"/>
    <s v="UNPLANNED"/>
    <x v="1"/>
    <d v="1899-12-30T18:35:00"/>
    <x v="1"/>
  </r>
  <r>
    <n v="1212"/>
    <x v="1"/>
    <n v="6115271740304"/>
    <x v="261"/>
    <d v="2021-08-23T19:25:00"/>
    <d v="1899-12-30T00:50:00"/>
    <n v="359.99999995809048"/>
    <s v="UNPLANNED"/>
    <x v="2"/>
    <d v="1899-12-30T18:35:00"/>
    <x v="1"/>
  </r>
  <r>
    <n v="1213"/>
    <x v="1"/>
    <n v="6115271740303"/>
    <x v="261"/>
    <d v="2021-08-23T19:25:00"/>
    <d v="1899-12-30T00:50:00"/>
    <n v="359.99999995809048"/>
    <s v="UNPLANNED"/>
    <x v="1"/>
    <d v="1899-12-30T18:35:00"/>
    <x v="1"/>
  </r>
  <r>
    <n v="1214"/>
    <x v="6"/>
    <n v="9115271945503"/>
    <x v="262"/>
    <d v="2021-08-23T23:50:00"/>
    <d v="1899-12-30T03:10:00"/>
    <n v="94.736842104682694"/>
    <s v="UNPLANNED"/>
    <x v="0"/>
    <d v="1899-12-30T20:40:00"/>
    <x v="1"/>
  </r>
  <r>
    <n v="1215"/>
    <x v="6"/>
    <n v="9115271945501"/>
    <x v="262"/>
    <d v="2021-08-23T23:50:00"/>
    <d v="1899-12-30T03:10:00"/>
    <n v="94.736842104682694"/>
    <s v="UNPLANNED"/>
    <x v="0"/>
    <d v="1899-12-30T20:40:00"/>
    <x v="1"/>
  </r>
  <r>
    <n v="1216"/>
    <x v="6"/>
    <n v="9115271945500"/>
    <x v="262"/>
    <d v="2021-08-23T23:50:00"/>
    <d v="1899-12-30T03:10:00"/>
    <n v="94.736842104682694"/>
    <s v="UNPLANNED"/>
    <x v="1"/>
    <d v="1899-12-30T20:40:00"/>
    <x v="1"/>
  </r>
  <r>
    <n v="1217"/>
    <x v="14"/>
    <n v="1115270095206"/>
    <x v="262"/>
    <d v="2021-08-23T23:50:00"/>
    <d v="1899-12-30T03:10:00"/>
    <n v="94.736842104682694"/>
    <s v="UNPLANNED"/>
    <x v="0"/>
    <d v="1899-12-30T20:40:00"/>
    <x v="1"/>
  </r>
  <r>
    <n v="1218"/>
    <x v="14"/>
    <n v="1115270095202"/>
    <x v="262"/>
    <d v="2021-08-23T23:50:00"/>
    <d v="1899-12-30T03:10:00"/>
    <n v="94.736842104682694"/>
    <s v="UNPLANNED"/>
    <x v="1"/>
    <d v="1899-12-30T20:40:00"/>
    <x v="1"/>
  </r>
  <r>
    <n v="1219"/>
    <x v="14"/>
    <n v="1115270095200"/>
    <x v="262"/>
    <d v="2021-08-23T23:50:00"/>
    <d v="1899-12-30T03:10:00"/>
    <n v="94.736842104682694"/>
    <s v="UNPLANNED"/>
    <x v="1"/>
    <d v="1899-12-30T20:40:00"/>
    <x v="1"/>
  </r>
  <r>
    <n v="1220"/>
    <x v="14"/>
    <n v="1115270152101"/>
    <x v="263"/>
    <d v="2021-08-24T01:15:00"/>
    <d v="1899-12-30T01:05:00"/>
    <n v="276.9230769131575"/>
    <s v="UNPLANNED"/>
    <x v="0"/>
    <d v="1899-12-30T00:10:00"/>
    <x v="2"/>
  </r>
  <r>
    <n v="1221"/>
    <x v="14"/>
    <n v="1115270152100"/>
    <x v="263"/>
    <d v="2021-08-24T01:15:00"/>
    <d v="1899-12-30T01:05:00"/>
    <n v="276.9230769131575"/>
    <s v="UNPLANNED"/>
    <x v="0"/>
    <d v="1899-12-30T00:10:00"/>
    <x v="2"/>
  </r>
  <r>
    <n v="1222"/>
    <x v="5"/>
    <n v="13115271590502"/>
    <x v="264"/>
    <d v="2021-08-24T04:30:00"/>
    <d v="1899-12-30T02:15:00"/>
    <n v="133.33333333333331"/>
    <s v="UNPLANNED"/>
    <x v="0"/>
    <d v="1899-12-30T02:15:00"/>
    <x v="2"/>
  </r>
  <r>
    <n v="1223"/>
    <x v="5"/>
    <n v="13115271590501"/>
    <x v="264"/>
    <d v="2021-08-24T04:30:00"/>
    <d v="1899-12-30T02:15:00"/>
    <n v="133.33333333333331"/>
    <s v="UNPLANNED"/>
    <x v="0"/>
    <d v="1899-12-30T02:15:00"/>
    <x v="2"/>
  </r>
  <r>
    <n v="1224"/>
    <x v="7"/>
    <n v="7115271760309"/>
    <x v="264"/>
    <d v="2021-08-24T04:30:00"/>
    <d v="1899-12-30T02:15:00"/>
    <n v="133.33333333333331"/>
    <s v="UNPLANNED"/>
    <x v="1"/>
    <d v="1899-12-30T02:15:00"/>
    <x v="2"/>
  </r>
  <r>
    <n v="1225"/>
    <x v="7"/>
    <n v="7115271760308"/>
    <x v="264"/>
    <d v="2021-08-24T04:30:00"/>
    <d v="1899-12-30T02:15:00"/>
    <n v="133.33333333333331"/>
    <s v="UNPLANNED"/>
    <x v="1"/>
    <d v="1899-12-30T02:15:00"/>
    <x v="2"/>
  </r>
  <r>
    <n v="1226"/>
    <x v="12"/>
    <n v="14115271685113"/>
    <x v="265"/>
    <d v="2021-08-24T12:45:00"/>
    <d v="1899-12-30T01:55:00"/>
    <n v="156.52173913360375"/>
    <s v="UNPLANNED"/>
    <x v="0"/>
    <d v="1899-12-30T10:50:00"/>
    <x v="0"/>
  </r>
  <r>
    <n v="1227"/>
    <x v="12"/>
    <n v="14115271674918"/>
    <x v="265"/>
    <d v="2021-08-24T12:45:00"/>
    <d v="1899-12-30T01:55:00"/>
    <n v="156.52173913360375"/>
    <s v="UNPLANNED"/>
    <x v="1"/>
    <d v="1899-12-30T10:50:00"/>
    <x v="0"/>
  </r>
  <r>
    <n v="1228"/>
    <x v="12"/>
    <n v="14115271674917"/>
    <x v="265"/>
    <d v="2021-08-24T12:45:00"/>
    <d v="1899-12-30T01:55:00"/>
    <n v="156.52173913360375"/>
    <s v="UNPLANNED"/>
    <x v="1"/>
    <d v="1899-12-30T10:50:00"/>
    <x v="0"/>
  </r>
  <r>
    <n v="1229"/>
    <x v="10"/>
    <n v="11115271542302"/>
    <x v="265"/>
    <d v="2021-08-24T12:45:00"/>
    <d v="1899-12-30T01:55:00"/>
    <n v="156.52173913360375"/>
    <s v="UNPLANNED"/>
    <x v="1"/>
    <d v="1899-12-30T10:50:00"/>
    <x v="0"/>
  </r>
  <r>
    <n v="1230"/>
    <x v="10"/>
    <n v="11115271542301"/>
    <x v="265"/>
    <d v="2021-08-24T12:45:00"/>
    <d v="1899-12-30T01:55:00"/>
    <n v="156.52173913360375"/>
    <s v="UNPLANNED"/>
    <x v="0"/>
    <d v="1899-12-30T10:50:00"/>
    <x v="0"/>
  </r>
  <r>
    <n v="1231"/>
    <x v="10"/>
    <n v="11115271510201"/>
    <x v="265"/>
    <d v="2021-08-24T12:45:00"/>
    <d v="1899-12-30T01:55:00"/>
    <n v="156.52173913360375"/>
    <s v="UNPLANNED"/>
    <x v="0"/>
    <d v="1899-12-30T10:50:00"/>
    <x v="0"/>
  </r>
  <r>
    <n v="1232"/>
    <x v="10"/>
    <n v="11115271510200"/>
    <x v="265"/>
    <d v="2021-08-24T12:45:00"/>
    <d v="1899-12-30T01:55:00"/>
    <n v="156.52173913360375"/>
    <s v="UNPLANNED"/>
    <x v="6"/>
    <d v="1899-12-30T10:50:00"/>
    <x v="0"/>
  </r>
  <r>
    <n v="1233"/>
    <x v="1"/>
    <n v="6115271720708"/>
    <x v="265"/>
    <d v="2021-08-24T12:45:00"/>
    <d v="1899-12-30T01:55:00"/>
    <n v="156.52173913360375"/>
    <s v="UNPLANNED"/>
    <x v="0"/>
    <d v="1899-12-30T10:50:00"/>
    <x v="0"/>
  </r>
  <r>
    <n v="1234"/>
    <x v="1"/>
    <n v="6115271720707"/>
    <x v="265"/>
    <d v="2021-08-24T12:45:00"/>
    <d v="1899-12-30T01:55:00"/>
    <n v="156.52173913360375"/>
    <s v="UNPLANNED"/>
    <x v="0"/>
    <d v="1899-12-30T10:50:00"/>
    <x v="0"/>
  </r>
  <r>
    <n v="1235"/>
    <x v="14"/>
    <n v="1115270138801"/>
    <x v="265"/>
    <d v="2021-08-24T12:45:00"/>
    <d v="1899-12-30T01:55:00"/>
    <n v="156.52173913360375"/>
    <s v="UNPLANNED"/>
    <x v="0"/>
    <d v="1899-12-30T10:50:00"/>
    <x v="0"/>
  </r>
  <r>
    <n v="1236"/>
    <x v="14"/>
    <n v="1115270138800"/>
    <x v="265"/>
    <d v="2021-08-24T12:45:00"/>
    <d v="1899-12-30T01:55:00"/>
    <n v="156.52173913360375"/>
    <s v="UNPLANNED"/>
    <x v="0"/>
    <d v="1899-12-30T10:50:00"/>
    <x v="0"/>
  </r>
  <r>
    <n v="1237"/>
    <x v="1"/>
    <n v="6115271725709"/>
    <x v="266"/>
    <d v="2021-08-24T17:10:00"/>
    <d v="1899-12-30T01:10:00"/>
    <n v="257.14285711292177"/>
    <s v="UNPLANNED"/>
    <x v="0"/>
    <d v="1899-12-30T16:00:00"/>
    <x v="1"/>
  </r>
  <r>
    <n v="1238"/>
    <x v="1"/>
    <n v="6115271725700"/>
    <x v="266"/>
    <d v="2021-08-24T17:10:00"/>
    <d v="1899-12-30T01:10:00"/>
    <n v="257.14285711292177"/>
    <s v="UNPLANNED"/>
    <x v="1"/>
    <d v="1899-12-30T16:00:00"/>
    <x v="1"/>
  </r>
  <r>
    <n v="1239"/>
    <x v="5"/>
    <n v="13115271590600"/>
    <x v="267"/>
    <d v="2021-08-24T21:30:00"/>
    <d v="1899-12-30T01:45:00"/>
    <n v="171.42857141716746"/>
    <s v="UNPLANNED"/>
    <x v="0"/>
    <d v="1899-12-30T19:45:00"/>
    <x v="1"/>
  </r>
  <r>
    <n v="1240"/>
    <x v="13"/>
    <n v="3115270343703"/>
    <x v="267"/>
    <d v="2021-08-24T21:30:00"/>
    <d v="1899-12-30T01:45:00"/>
    <n v="171.42857141716746"/>
    <s v="UNPLANNED"/>
    <x v="0"/>
    <d v="1899-12-30T19:45:00"/>
    <x v="1"/>
  </r>
  <r>
    <n v="1241"/>
    <x v="13"/>
    <n v="3115270343701"/>
    <x v="267"/>
    <d v="2021-08-24T21:30:00"/>
    <d v="1899-12-30T01:45:00"/>
    <n v="171.42857141716746"/>
    <s v="UNPLANNED"/>
    <x v="0"/>
    <d v="1899-12-30T19:45:00"/>
    <x v="1"/>
  </r>
  <r>
    <n v="1242"/>
    <x v="9"/>
    <n v="2115270202305"/>
    <x v="267"/>
    <d v="2021-08-24T21:30:00"/>
    <d v="1899-12-30T01:45:00"/>
    <n v="171.42857141716746"/>
    <s v="UNPLANNED"/>
    <x v="0"/>
    <d v="1899-12-30T19:45:00"/>
    <x v="1"/>
  </r>
  <r>
    <n v="1243"/>
    <x v="9"/>
    <n v="2115270202300"/>
    <x v="267"/>
    <d v="2021-08-24T21:30:00"/>
    <d v="1899-12-30T01:45:00"/>
    <n v="171.42857141716746"/>
    <s v="UNPLANNED"/>
    <x v="0"/>
    <d v="1899-12-30T19:45:00"/>
    <x v="1"/>
  </r>
  <r>
    <n v="1244"/>
    <x v="5"/>
    <n v="13115271591301"/>
    <x v="268"/>
    <d v="2021-08-25T02:50:00"/>
    <d v="1899-12-30T01:05:00"/>
    <n v="276.9230769131575"/>
    <s v="UNPLANNED"/>
    <x v="0"/>
    <d v="1899-12-30T01:45:00"/>
    <x v="2"/>
  </r>
  <r>
    <n v="1245"/>
    <x v="5"/>
    <n v="13115271591300"/>
    <x v="268"/>
    <d v="2021-08-25T02:50:00"/>
    <d v="1899-12-30T01:05:00"/>
    <n v="276.9230769131575"/>
    <s v="UNPLANNED"/>
    <x v="0"/>
    <d v="1899-12-30T01:45:00"/>
    <x v="2"/>
  </r>
  <r>
    <n v="1246"/>
    <x v="4"/>
    <n v="15115271743402"/>
    <x v="269"/>
    <d v="2021-08-25T15:45:00"/>
    <d v="1899-12-30T07:10:00"/>
    <n v="41.860465116505729"/>
    <s v="UNPLANNED"/>
    <x v="1"/>
    <d v="1899-12-30T08:35:00"/>
    <x v="0"/>
  </r>
  <r>
    <n v="1247"/>
    <x v="10"/>
    <n v="11115271542506"/>
    <x v="269"/>
    <d v="2021-08-25T15:45:00"/>
    <d v="1899-12-30T07:10:00"/>
    <n v="41.860465116505729"/>
    <s v="UNPLANNED"/>
    <x v="0"/>
    <d v="1899-12-30T08:35:00"/>
    <x v="0"/>
  </r>
  <r>
    <n v="1248"/>
    <x v="10"/>
    <n v="11115271530500"/>
    <x v="269"/>
    <d v="2021-08-25T15:45:00"/>
    <d v="1899-12-30T07:10:00"/>
    <n v="41.860465116505729"/>
    <s v="UNPLANNED"/>
    <x v="2"/>
    <d v="1899-12-30T08:35:00"/>
    <x v="0"/>
  </r>
  <r>
    <n v="1249"/>
    <x v="3"/>
    <n v="8115271809102"/>
    <x v="269"/>
    <d v="2021-08-25T15:45:00"/>
    <d v="1899-12-30T07:10:00"/>
    <n v="41.860465116505729"/>
    <s v="UNPLANNED"/>
    <x v="0"/>
    <d v="1899-12-30T08:35:00"/>
    <x v="0"/>
  </r>
  <r>
    <n v="1250"/>
    <x v="0"/>
    <n v="5115271261101"/>
    <x v="269"/>
    <d v="2021-08-25T15:45:00"/>
    <d v="1899-12-30T07:10:00"/>
    <n v="41.860465116505729"/>
    <s v="UNPLANNED"/>
    <x v="0"/>
    <d v="1899-12-30T08:35:00"/>
    <x v="0"/>
  </r>
  <r>
    <n v="1251"/>
    <x v="0"/>
    <n v="5115271261100"/>
    <x v="269"/>
    <d v="2021-08-25T15:45:00"/>
    <d v="1899-12-30T07:10:00"/>
    <n v="41.860465116505729"/>
    <s v="UNPLANNED"/>
    <x v="0"/>
    <d v="1899-12-30T08:35:00"/>
    <x v="0"/>
  </r>
  <r>
    <n v="1252"/>
    <x v="8"/>
    <n v="4115270831602"/>
    <x v="269"/>
    <d v="2021-08-25T15:45:00"/>
    <d v="1899-12-30T07:10:00"/>
    <n v="41.860465116505729"/>
    <s v="UNPLANNED"/>
    <x v="1"/>
    <d v="1899-12-30T08:35:00"/>
    <x v="0"/>
  </r>
  <r>
    <n v="1253"/>
    <x v="8"/>
    <n v="4115270831601"/>
    <x v="269"/>
    <d v="2021-08-25T15:45:00"/>
    <d v="1899-12-30T07:10:00"/>
    <n v="41.860465116505729"/>
    <s v="UNPLANNED"/>
    <x v="0"/>
    <d v="1899-12-30T08:35:00"/>
    <x v="0"/>
  </r>
  <r>
    <n v="1254"/>
    <x v="14"/>
    <n v="1115270061901"/>
    <x v="269"/>
    <d v="2021-08-25T15:45:00"/>
    <d v="1899-12-30T07:10:00"/>
    <n v="41.860465116505729"/>
    <s v="UNPLANNED"/>
    <x v="1"/>
    <d v="1899-12-30T08:35:00"/>
    <x v="0"/>
  </r>
  <r>
    <n v="1255"/>
    <x v="14"/>
    <n v="1115270061900"/>
    <x v="269"/>
    <d v="2021-08-25T15:45:00"/>
    <d v="1899-12-30T07:10:00"/>
    <n v="41.860465116505729"/>
    <s v="UNPLANNED"/>
    <x v="0"/>
    <d v="1899-12-30T08:35:00"/>
    <x v="0"/>
  </r>
  <r>
    <n v="1256"/>
    <x v="13"/>
    <n v="3115270306606"/>
    <x v="270"/>
    <d v="2021-08-25T18:10:00"/>
    <d v="1899-12-30T01:55:00"/>
    <n v="156.52173913360375"/>
    <s v="UNPLANNED"/>
    <x v="0"/>
    <d v="1899-12-30T16:15:00"/>
    <x v="1"/>
  </r>
  <r>
    <n v="1257"/>
    <x v="14"/>
    <n v="1115270141600"/>
    <x v="270"/>
    <d v="2021-08-25T18:10:00"/>
    <d v="1899-12-30T01:55:00"/>
    <n v="156.52173913360375"/>
    <s v="UNPLANNED"/>
    <x v="0"/>
    <d v="1899-12-30T16:15:00"/>
    <x v="1"/>
  </r>
  <r>
    <n v="1258"/>
    <x v="10"/>
    <n v="11115271533700"/>
    <x v="271"/>
    <d v="2021-08-25T19:55:00"/>
    <d v="1899-12-30T01:30:00"/>
    <n v="200"/>
    <s v="UNPLANNED"/>
    <x v="0"/>
    <d v="1899-12-30T18:25:00"/>
    <x v="1"/>
  </r>
  <r>
    <n v="1259"/>
    <x v="1"/>
    <n v="6115271728001"/>
    <x v="271"/>
    <d v="2021-08-25T19:55:00"/>
    <d v="1899-12-30T01:30:00"/>
    <n v="200"/>
    <s v="UNPLANNED"/>
    <x v="0"/>
    <d v="1899-12-30T18:25:00"/>
    <x v="1"/>
  </r>
  <r>
    <n v="1260"/>
    <x v="9"/>
    <n v="2115270229900"/>
    <x v="272"/>
    <d v="2021-08-25T21:30:00"/>
    <d v="1899-12-30T00:40:00"/>
    <n v="449.99999994761311"/>
    <s v="UNPLANNED"/>
    <x v="0"/>
    <d v="1899-12-30T20:50:00"/>
    <x v="1"/>
  </r>
  <r>
    <n v="1261"/>
    <x v="12"/>
    <n v="14115271672352"/>
    <x v="273"/>
    <d v="2021-08-26T02:15:00"/>
    <d v="1899-12-30T04:15:00"/>
    <n v="70.588235293150888"/>
    <s v="UNPLANNED"/>
    <x v="0"/>
    <d v="1899-12-30T22:00:00"/>
    <x v="1"/>
  </r>
  <r>
    <n v="1262"/>
    <x v="12"/>
    <n v="14115271672351"/>
    <x v="273"/>
    <d v="2021-08-26T02:15:00"/>
    <d v="1899-12-30T04:15:00"/>
    <n v="70.588235293150888"/>
    <s v="UNPLANNED"/>
    <x v="2"/>
    <d v="1899-12-30T22:00:00"/>
    <x v="1"/>
  </r>
  <r>
    <n v="1263"/>
    <x v="1"/>
    <n v="6115271705405"/>
    <x v="273"/>
    <d v="2021-08-26T02:15:00"/>
    <d v="1899-12-30T04:15:00"/>
    <n v="70.588235293150888"/>
    <s v="UNPLANNED"/>
    <x v="0"/>
    <d v="1899-12-30T22:00:00"/>
    <x v="1"/>
  </r>
  <r>
    <n v="1264"/>
    <x v="1"/>
    <n v="6115271705404"/>
    <x v="273"/>
    <d v="2021-08-26T02:15:00"/>
    <d v="1899-12-30T04:15:00"/>
    <n v="70.588235293150888"/>
    <s v="UNPLANNED"/>
    <x v="0"/>
    <d v="1899-12-30T22:00:00"/>
    <x v="1"/>
  </r>
  <r>
    <n v="1265"/>
    <x v="9"/>
    <n v="2115270154901"/>
    <x v="273"/>
    <d v="2021-08-26T02:15:00"/>
    <d v="1899-12-30T04:15:00"/>
    <n v="70.588235293150888"/>
    <s v="UNPLANNED"/>
    <x v="0"/>
    <d v="1899-12-30T22:00:00"/>
    <x v="1"/>
  </r>
  <r>
    <n v="1266"/>
    <x v="9"/>
    <n v="2115270154900"/>
    <x v="273"/>
    <d v="2021-08-26T02:15:00"/>
    <d v="1899-12-30T04:15:00"/>
    <n v="70.588235293150888"/>
    <s v="UNPLANNED"/>
    <x v="1"/>
    <d v="1899-12-30T22:00:00"/>
    <x v="1"/>
  </r>
  <r>
    <n v="1267"/>
    <x v="14"/>
    <n v="1115270012101"/>
    <x v="273"/>
    <d v="2021-08-26T02:15:00"/>
    <d v="1899-12-30T04:15:00"/>
    <n v="70.588235293150888"/>
    <s v="UNPLANNED"/>
    <x v="2"/>
    <d v="1899-12-30T22:00:00"/>
    <x v="1"/>
  </r>
  <r>
    <n v="1268"/>
    <x v="14"/>
    <n v="1115270012100"/>
    <x v="273"/>
    <d v="2021-08-26T02:15:00"/>
    <d v="1899-12-30T04:15:00"/>
    <n v="70.588235293150888"/>
    <s v="UNPLANNED"/>
    <x v="1"/>
    <d v="1899-12-30T22:00:00"/>
    <x v="1"/>
  </r>
  <r>
    <n v="1269"/>
    <x v="1"/>
    <n v="6115271720708"/>
    <x v="274"/>
    <d v="2021-08-26T03:25:00"/>
    <d v="1899-12-30T00:55:00"/>
    <n v="327.27272726580009"/>
    <s v="UNPLANNED"/>
    <x v="0"/>
    <d v="1899-12-30T02:30:00"/>
    <x v="2"/>
  </r>
  <r>
    <n v="1270"/>
    <x v="1"/>
    <n v="6115271720707"/>
    <x v="274"/>
    <d v="2021-08-26T03:25:00"/>
    <d v="1899-12-30T00:55:00"/>
    <n v="327.27272726580009"/>
    <s v="UNPLANNED"/>
    <x v="0"/>
    <d v="1899-12-30T02:30:00"/>
    <x v="2"/>
  </r>
  <r>
    <n v="1271"/>
    <x v="5"/>
    <n v="13115271616603"/>
    <x v="275"/>
    <d v="2021-08-26T09:06:00"/>
    <d v="1899-12-30T01:21:00"/>
    <n v="222.22222221647331"/>
    <s v="UNPLANNED"/>
    <x v="0"/>
    <d v="1899-12-30T07:45:00"/>
    <x v="0"/>
  </r>
  <r>
    <n v="1272"/>
    <x v="5"/>
    <n v="13115271616602"/>
    <x v="275"/>
    <d v="2021-08-26T09:06:00"/>
    <d v="1899-12-30T01:21:00"/>
    <n v="222.22222221647331"/>
    <s v="UNPLANNED"/>
    <x v="0"/>
    <d v="1899-12-30T07:45:00"/>
    <x v="0"/>
  </r>
  <r>
    <n v="1273"/>
    <x v="16"/>
    <n v="27115270414856"/>
    <x v="276"/>
    <d v="2021-08-26T11:05:00"/>
    <d v="1899-12-30T01:50:00"/>
    <n v="163.63636363290004"/>
    <s v="UNPLANNED"/>
    <x v="0"/>
    <d v="1899-12-30T09:15:00"/>
    <x v="0"/>
  </r>
  <r>
    <n v="1274"/>
    <x v="16"/>
    <n v="27115270414851"/>
    <x v="276"/>
    <d v="2021-08-26T11:05:00"/>
    <d v="1899-12-30T01:50:00"/>
    <n v="163.63636363290004"/>
    <s v="UNPLANNED"/>
    <x v="0"/>
    <d v="1899-12-30T09:15:00"/>
    <x v="0"/>
  </r>
  <r>
    <n v="1275"/>
    <x v="7"/>
    <n v="7115271771008"/>
    <x v="276"/>
    <d v="2021-08-26T11:05:00"/>
    <d v="1899-12-30T01:50:00"/>
    <n v="163.63636363290004"/>
    <s v="UNPLANNED"/>
    <x v="0"/>
    <d v="1899-12-30T09:15:00"/>
    <x v="0"/>
  </r>
  <r>
    <n v="1276"/>
    <x v="7"/>
    <n v="7115271771007"/>
    <x v="276"/>
    <d v="2021-08-26T11:05:00"/>
    <d v="1899-12-30T01:50:00"/>
    <n v="163.63636363290004"/>
    <s v="UNPLANNED"/>
    <x v="1"/>
    <d v="1899-12-30T09:15:00"/>
    <x v="0"/>
  </r>
  <r>
    <n v="1277"/>
    <x v="10"/>
    <n v="11115271556401"/>
    <x v="277"/>
    <d v="2021-08-26T13:00:00"/>
    <d v="1899-12-30T01:40:00"/>
    <n v="179.99999999790452"/>
    <s v="UNPLANNED"/>
    <x v="0"/>
    <d v="1899-12-30T11:20:00"/>
    <x v="0"/>
  </r>
  <r>
    <n v="1278"/>
    <x v="10"/>
    <n v="11115271556400"/>
    <x v="277"/>
    <d v="2021-08-26T13:00:00"/>
    <d v="1899-12-30T01:40:00"/>
    <n v="179.99999999790452"/>
    <s v="UNPLANNED"/>
    <x v="0"/>
    <d v="1899-12-30T11:20:00"/>
    <x v="0"/>
  </r>
  <r>
    <n v="1279"/>
    <x v="0"/>
    <n v="5115271676005"/>
    <x v="277"/>
    <d v="2021-08-26T13:00:00"/>
    <d v="1899-12-30T01:40:00"/>
    <n v="179.99999999790452"/>
    <s v="UNPLANNED"/>
    <x v="2"/>
    <d v="1899-12-30T11:20:00"/>
    <x v="0"/>
  </r>
  <r>
    <n v="1280"/>
    <x v="0"/>
    <n v="5115271676004"/>
    <x v="277"/>
    <d v="2021-08-26T13:00:00"/>
    <d v="1899-12-30T01:40:00"/>
    <n v="179.99999999790452"/>
    <s v="UNPLANNED"/>
    <x v="1"/>
    <d v="1899-12-30T11:20:00"/>
    <x v="0"/>
  </r>
  <r>
    <n v="1281"/>
    <x v="5"/>
    <n v="13115271612109"/>
    <x v="278"/>
    <d v="2021-08-26T21:00:00"/>
    <d v="1899-12-30T02:50:00"/>
    <n v="105.88235294190156"/>
    <s v="UNPLANNED"/>
    <x v="0"/>
    <d v="1899-12-30T18:10:00"/>
    <x v="1"/>
  </r>
  <r>
    <n v="1282"/>
    <x v="5"/>
    <n v="13115271612107"/>
    <x v="278"/>
    <d v="2021-08-26T21:00:00"/>
    <d v="1899-12-30T02:50:00"/>
    <n v="105.88235294190156"/>
    <s v="UNPLANNED"/>
    <x v="0"/>
    <d v="1899-12-30T18:10:00"/>
    <x v="1"/>
  </r>
  <r>
    <n v="1283"/>
    <x v="5"/>
    <n v="13115271612106"/>
    <x v="278"/>
    <d v="2021-08-26T21:00:00"/>
    <d v="1899-12-30T02:50:00"/>
    <n v="105.88235294190156"/>
    <s v="UNPLANNED"/>
    <x v="0"/>
    <d v="1899-12-30T18:10:00"/>
    <x v="1"/>
  </r>
  <r>
    <n v="1284"/>
    <x v="5"/>
    <n v="13115271590403"/>
    <x v="278"/>
    <d v="2021-08-26T21:00:00"/>
    <d v="1899-12-30T02:50:00"/>
    <n v="105.88235294190156"/>
    <s v="UNPLANNED"/>
    <x v="0"/>
    <d v="1899-12-30T18:10:00"/>
    <x v="1"/>
  </r>
  <r>
    <n v="1285"/>
    <x v="5"/>
    <n v="13115271590402"/>
    <x v="278"/>
    <d v="2021-08-26T21:00:00"/>
    <d v="1899-12-30T02:50:00"/>
    <n v="105.88235294190156"/>
    <s v="UNPLANNED"/>
    <x v="3"/>
    <d v="1899-12-30T18:10:00"/>
    <x v="1"/>
  </r>
  <r>
    <n v="1286"/>
    <x v="5"/>
    <n v="13115271590401"/>
    <x v="278"/>
    <d v="2021-08-26T21:00:00"/>
    <d v="1899-12-30T02:50:00"/>
    <n v="105.88235294190156"/>
    <s v="UNPLANNED"/>
    <x v="1"/>
    <d v="1899-12-30T18:10:00"/>
    <x v="1"/>
  </r>
  <r>
    <n v="1287"/>
    <x v="1"/>
    <n v="6115271734631"/>
    <x v="278"/>
    <d v="2021-08-26T21:00:00"/>
    <d v="1899-12-30T02:50:00"/>
    <n v="105.88235294190156"/>
    <s v="UNPLANNED"/>
    <x v="0"/>
    <d v="1899-12-30T18:10:00"/>
    <x v="1"/>
  </r>
  <r>
    <n v="1288"/>
    <x v="1"/>
    <n v="6115271734630"/>
    <x v="278"/>
    <d v="2021-08-26T21:00:00"/>
    <d v="1899-12-30T02:50:00"/>
    <n v="105.88235294190156"/>
    <s v="UNPLANNED"/>
    <x v="3"/>
    <d v="1899-12-30T18:10:00"/>
    <x v="1"/>
  </r>
  <r>
    <n v="1289"/>
    <x v="5"/>
    <n v="13115271590600"/>
    <x v="279"/>
    <d v="2021-08-26T22:10:00"/>
    <d v="1899-12-30T00:50:00"/>
    <n v="360.00000003352761"/>
    <s v="UNPLANNED"/>
    <x v="1"/>
    <d v="1899-12-30T21:20:00"/>
    <x v="1"/>
  </r>
  <r>
    <n v="1290"/>
    <x v="10"/>
    <n v="11115271559928"/>
    <x v="279"/>
    <d v="2021-08-26T22:10:00"/>
    <d v="1899-12-30T00:50:00"/>
    <n v="360.00000003352761"/>
    <s v="UNPLANNED"/>
    <x v="0"/>
    <d v="1899-12-30T21:20:00"/>
    <x v="1"/>
  </r>
  <r>
    <n v="1291"/>
    <x v="11"/>
    <n v="10115271963609"/>
    <x v="279"/>
    <d v="2021-08-26T22:10:00"/>
    <d v="1899-12-30T00:50:00"/>
    <n v="360.00000003352761"/>
    <s v="UNPLANNED"/>
    <x v="0"/>
    <d v="1899-12-30T21:20:00"/>
    <x v="1"/>
  </r>
  <r>
    <n v="1292"/>
    <x v="11"/>
    <n v="10115271963608"/>
    <x v="279"/>
    <d v="2021-08-26T22:10:00"/>
    <d v="1899-12-30T00:50:00"/>
    <n v="360.00000003352761"/>
    <s v="UNPLANNED"/>
    <x v="0"/>
    <d v="1899-12-30T21:20:00"/>
    <x v="1"/>
  </r>
  <r>
    <n v="1293"/>
    <x v="11"/>
    <n v="10115271963600"/>
    <x v="279"/>
    <d v="2021-08-26T22:10:00"/>
    <d v="1899-12-30T00:50:00"/>
    <n v="360.00000003352761"/>
    <s v="UNPLANNED"/>
    <x v="0"/>
    <d v="1899-12-30T21:20:00"/>
    <x v="1"/>
  </r>
  <r>
    <n v="1294"/>
    <x v="10"/>
    <n v="11115271542400"/>
    <x v="280"/>
    <d v="2021-08-26T23:45:00"/>
    <d v="1899-12-30T01:15:00"/>
    <n v="239.99999998882413"/>
    <s v="UNPLANNED"/>
    <x v="0"/>
    <d v="1899-12-30T22:30:00"/>
    <x v="2"/>
  </r>
  <r>
    <n v="1295"/>
    <x v="5"/>
    <n v="13115271591500"/>
    <x v="281"/>
    <d v="2021-08-27T14:10:00"/>
    <d v="1899-12-30T04:40:00"/>
    <n v="64.285714285447"/>
    <s v="UNPLANNED"/>
    <x v="2"/>
    <d v="1899-12-30T09:30:00"/>
    <x v="0"/>
  </r>
  <r>
    <n v="1296"/>
    <x v="2"/>
    <n v="12115271569201"/>
    <x v="281"/>
    <d v="2021-08-27T14:10:00"/>
    <d v="1899-12-30T04:40:00"/>
    <n v="64.285714285447"/>
    <s v="UNPLANNED"/>
    <x v="2"/>
    <d v="1899-12-30T09:30:00"/>
    <x v="0"/>
  </r>
  <r>
    <n v="1297"/>
    <x v="10"/>
    <n v="11115271542607"/>
    <x v="281"/>
    <d v="2021-08-27T14:10:00"/>
    <d v="1899-12-30T04:40:00"/>
    <n v="64.285714285447"/>
    <s v="UNPLANNED"/>
    <x v="1"/>
    <d v="1899-12-30T09:30:00"/>
    <x v="0"/>
  </r>
  <r>
    <n v="1298"/>
    <x v="7"/>
    <n v="7115271770300"/>
    <x v="281"/>
    <d v="2021-08-27T14:10:00"/>
    <d v="1899-12-30T04:40:00"/>
    <n v="64.285714285447"/>
    <s v="UNPLANNED"/>
    <x v="1"/>
    <d v="1899-12-30T09:30:00"/>
    <x v="0"/>
  </r>
  <r>
    <n v="1299"/>
    <x v="13"/>
    <n v="3115270396600"/>
    <x v="281"/>
    <d v="2021-08-27T14:10:00"/>
    <d v="1899-12-30T04:40:00"/>
    <n v="64.285714285447"/>
    <s v="UNPLANNED"/>
    <x v="6"/>
    <d v="1899-12-30T09:30:00"/>
    <x v="0"/>
  </r>
  <r>
    <n v="1300"/>
    <x v="13"/>
    <n v="3115270350702"/>
    <x v="281"/>
    <d v="2021-08-27T14:10:00"/>
    <d v="1899-12-30T04:40:00"/>
    <n v="64.285714285447"/>
    <s v="UNPLANNED"/>
    <x v="2"/>
    <d v="1899-12-30T09:30:00"/>
    <x v="0"/>
  </r>
  <r>
    <n v="1301"/>
    <x v="9"/>
    <n v="2115270217000"/>
    <x v="281"/>
    <d v="2021-08-27T14:10:00"/>
    <d v="1899-12-30T04:40:00"/>
    <n v="64.285714285447"/>
    <s v="UNPLANNED"/>
    <x v="1"/>
    <d v="1899-12-30T09:30:00"/>
    <x v="0"/>
  </r>
  <r>
    <n v="1302"/>
    <x v="14"/>
    <n v="1115270140700"/>
    <x v="281"/>
    <d v="2021-08-27T14:10:00"/>
    <d v="1899-12-30T04:40:00"/>
    <n v="64.285714285447"/>
    <s v="UNPLANNED"/>
    <x v="1"/>
    <d v="1899-12-30T09:30:00"/>
    <x v="0"/>
  </r>
  <r>
    <n v="1303"/>
    <x v="14"/>
    <n v="1115270027101"/>
    <x v="281"/>
    <d v="2021-08-27T14:10:00"/>
    <d v="1899-12-30T04:40:00"/>
    <n v="64.285714285447"/>
    <s v="UNPLANNED"/>
    <x v="2"/>
    <d v="1899-12-30T09:30:00"/>
    <x v="0"/>
  </r>
  <r>
    <n v="1304"/>
    <x v="2"/>
    <n v="12115271574501"/>
    <x v="282"/>
    <d v="2021-08-27T22:45:00"/>
    <d v="1899-12-30T06:05:00"/>
    <n v="49.31506849377984"/>
    <s v="UNPLANNED"/>
    <x v="2"/>
    <d v="1899-12-30T16:40:00"/>
    <x v="1"/>
  </r>
  <r>
    <n v="1305"/>
    <x v="2"/>
    <n v="12115271568402"/>
    <x v="282"/>
    <d v="2021-08-27T22:45:00"/>
    <d v="1899-12-30T06:05:00"/>
    <n v="49.31506849377984"/>
    <s v="UNPLANNED"/>
    <x v="0"/>
    <d v="1899-12-30T16:40:00"/>
    <x v="1"/>
  </r>
  <r>
    <n v="1306"/>
    <x v="11"/>
    <n v="10115271964600"/>
    <x v="282"/>
    <d v="2021-08-27T22:45:00"/>
    <d v="1899-12-30T06:05:00"/>
    <n v="49.31506849377984"/>
    <s v="UNPLANNED"/>
    <x v="0"/>
    <d v="1899-12-30T16:40:00"/>
    <x v="1"/>
  </r>
  <r>
    <n v="1307"/>
    <x v="11"/>
    <n v="10115271408001"/>
    <x v="282"/>
    <d v="2021-08-27T22:45:00"/>
    <d v="1899-12-30T06:05:00"/>
    <n v="49.31506849377984"/>
    <s v="UNPLANNED"/>
    <x v="3"/>
    <d v="1899-12-30T16:40:00"/>
    <x v="1"/>
  </r>
  <r>
    <n v="1308"/>
    <x v="6"/>
    <n v="9115271945500"/>
    <x v="282"/>
    <d v="2021-08-27T22:45:00"/>
    <d v="1899-12-30T06:05:00"/>
    <n v="49.31506849377984"/>
    <s v="UNPLANNED"/>
    <x v="1"/>
    <d v="1899-12-30T16:40:00"/>
    <x v="1"/>
  </r>
  <r>
    <n v="1309"/>
    <x v="2"/>
    <n v="12115271560118"/>
    <x v="283"/>
    <d v="2021-08-28T00:30:00"/>
    <d v="1899-12-30T02:15:00"/>
    <n v="133.33333333333331"/>
    <s v="UNPLANNED"/>
    <x v="0"/>
    <d v="1899-12-30T22:15:00"/>
    <x v="2"/>
  </r>
  <r>
    <n v="1310"/>
    <x v="8"/>
    <n v="4115270847200"/>
    <x v="283"/>
    <d v="2021-08-28T00:30:00"/>
    <d v="1899-12-30T02:15:00"/>
    <n v="133.33333333333331"/>
    <s v="UNPLANNED"/>
    <x v="0"/>
    <d v="1899-12-30T22:15:00"/>
    <x v="2"/>
  </r>
  <r>
    <n v="1311"/>
    <x v="13"/>
    <n v="3115270352800"/>
    <x v="283"/>
    <d v="2021-08-28T00:30:00"/>
    <d v="1899-12-30T02:15:00"/>
    <n v="133.33333333333331"/>
    <s v="UNPLANNED"/>
    <x v="2"/>
    <d v="1899-12-30T22:15:00"/>
    <x v="2"/>
  </r>
  <r>
    <n v="1312"/>
    <x v="9"/>
    <n v="2115270229200"/>
    <x v="283"/>
    <d v="2021-08-28T00:30:00"/>
    <d v="1899-12-30T02:15:00"/>
    <n v="133.33333333333331"/>
    <s v="UNPLANNED"/>
    <x v="1"/>
    <d v="1899-12-30T22:15:00"/>
    <x v="2"/>
  </r>
  <r>
    <n v="1313"/>
    <x v="14"/>
    <n v="1115270067000"/>
    <x v="283"/>
    <d v="2021-08-28T00:30:00"/>
    <d v="1899-12-30T02:15:00"/>
    <n v="133.33333333333331"/>
    <s v="UNPLANNED"/>
    <x v="0"/>
    <d v="1899-12-30T22:15:00"/>
    <x v="2"/>
  </r>
  <r>
    <n v="1314"/>
    <x v="5"/>
    <n v="13115271590501"/>
    <x v="284"/>
    <d v="2021-08-28T10:00:00"/>
    <d v="1899-12-30T01:45:00"/>
    <n v="171.42857143427341"/>
    <s v="UNPLANNED"/>
    <x v="0"/>
    <d v="1899-12-30T08:15:00"/>
    <x v="0"/>
  </r>
  <r>
    <n v="1315"/>
    <x v="7"/>
    <n v="7115271774500"/>
    <x v="284"/>
    <d v="2021-08-28T10:00:00"/>
    <d v="1899-12-30T01:45:00"/>
    <n v="171.42857143427341"/>
    <s v="UNPLANNED"/>
    <x v="0"/>
    <d v="1899-12-30T08:15:00"/>
    <x v="0"/>
  </r>
  <r>
    <n v="1316"/>
    <x v="14"/>
    <n v="1115270067302"/>
    <x v="284"/>
    <d v="2021-08-28T10:00:00"/>
    <d v="1899-12-30T01:45:00"/>
    <n v="171.42857143427341"/>
    <s v="UNPLANNED"/>
    <x v="0"/>
    <d v="1899-12-30T08:15:00"/>
    <x v="0"/>
  </r>
  <r>
    <n v="1317"/>
    <x v="2"/>
    <n v="12115271564305"/>
    <x v="285"/>
    <d v="2021-08-28T14:10:00"/>
    <d v="1899-12-30T02:40:00"/>
    <n v="112.49999999427018"/>
    <s v="UNPLANNED"/>
    <x v="1"/>
    <d v="1899-12-30T11:30:00"/>
    <x v="0"/>
  </r>
  <r>
    <n v="1318"/>
    <x v="7"/>
    <n v="7115271770605"/>
    <x v="285"/>
    <d v="2021-08-28T14:10:00"/>
    <d v="1899-12-30T02:40:00"/>
    <n v="112.49999999427018"/>
    <s v="UNPLANNED"/>
    <x v="0"/>
    <d v="1899-12-30T11:30:00"/>
    <x v="0"/>
  </r>
  <r>
    <n v="1319"/>
    <x v="13"/>
    <n v="3115270324000"/>
    <x v="285"/>
    <d v="2021-08-28T14:10:00"/>
    <d v="1899-12-30T02:40:00"/>
    <n v="112.49999999427018"/>
    <s v="UNPLANNED"/>
    <x v="0"/>
    <d v="1899-12-30T11:30:00"/>
    <x v="0"/>
  </r>
  <r>
    <n v="1320"/>
    <x v="4"/>
    <n v="15115271761004"/>
    <x v="286"/>
    <d v="2021-08-28T17:00:00"/>
    <d v="1899-12-30T01:00:00"/>
    <n v="299.9999999650754"/>
    <s v="UNPLANNED"/>
    <x v="0"/>
    <d v="1899-12-30T16:00:00"/>
    <x v="1"/>
  </r>
  <r>
    <n v="1321"/>
    <x v="8"/>
    <n v="4115270826203"/>
    <x v="286"/>
    <d v="2021-08-28T17:00:00"/>
    <d v="1899-12-30T01:00:00"/>
    <n v="299.9999999650754"/>
    <s v="UNPLANNED"/>
    <x v="1"/>
    <d v="1899-12-30T16:00:00"/>
    <x v="1"/>
  </r>
  <r>
    <n v="1322"/>
    <x v="2"/>
    <n v="12115271566604"/>
    <x v="287"/>
    <d v="2021-08-28T21:50:00"/>
    <d v="1899-12-30T03:40:00"/>
    <n v="81.818181820346567"/>
    <s v="UNPLANNED"/>
    <x v="1"/>
    <d v="1899-12-30T18:10:00"/>
    <x v="1"/>
  </r>
  <r>
    <n v="1323"/>
    <x v="10"/>
    <n v="11115271508400"/>
    <x v="287"/>
    <d v="2021-08-28T21:50:00"/>
    <d v="1899-12-30T03:40:00"/>
    <n v="81.818181820346567"/>
    <s v="UNPLANNED"/>
    <x v="2"/>
    <d v="1899-12-30T18:10:00"/>
    <x v="1"/>
  </r>
  <r>
    <n v="1324"/>
    <x v="10"/>
    <n v="11115271051500"/>
    <x v="287"/>
    <d v="2021-08-28T21:50:00"/>
    <d v="1899-12-30T03:40:00"/>
    <n v="81.818181820346567"/>
    <s v="UNPLANNED"/>
    <x v="2"/>
    <d v="1899-12-30T18:10:00"/>
    <x v="1"/>
  </r>
  <r>
    <n v="1325"/>
    <x v="11"/>
    <n v="10115271433901"/>
    <x v="287"/>
    <d v="2021-08-28T21:50:00"/>
    <d v="1899-12-30T03:40:00"/>
    <n v="81.818181820346567"/>
    <s v="UNPLANNED"/>
    <x v="1"/>
    <d v="1899-12-30T18:10:00"/>
    <x v="1"/>
  </r>
  <r>
    <n v="1326"/>
    <x v="13"/>
    <n v="3115270343300"/>
    <x v="287"/>
    <d v="2021-08-28T21:50:00"/>
    <d v="1899-12-30T03:40:00"/>
    <n v="81.818181820346567"/>
    <s v="UNPLANNED"/>
    <x v="1"/>
    <d v="1899-12-30T18:10:00"/>
    <x v="1"/>
  </r>
  <r>
    <n v="1327"/>
    <x v="9"/>
    <n v="2115270237700"/>
    <x v="287"/>
    <d v="2021-08-28T21:50:00"/>
    <d v="1899-12-30T03:40:00"/>
    <n v="81.818181820346567"/>
    <s v="UNPLANNED"/>
    <x v="0"/>
    <d v="1899-12-30T18:10:00"/>
    <x v="1"/>
  </r>
  <r>
    <n v="1328"/>
    <x v="9"/>
    <n v="2115270186400"/>
    <x v="287"/>
    <d v="2021-08-28T21:50:00"/>
    <d v="1899-12-30T03:40:00"/>
    <n v="81.818181820346567"/>
    <s v="UNPLANNED"/>
    <x v="0"/>
    <d v="1899-12-30T18:10:00"/>
    <x v="1"/>
  </r>
  <r>
    <n v="1329"/>
    <x v="10"/>
    <n v="11115271551705"/>
    <x v="288"/>
    <d v="2021-08-29T03:15:00"/>
    <d v="1899-12-30T00:55:00"/>
    <n v="327.27272726580009"/>
    <s v="UNPLANNED"/>
    <x v="0"/>
    <d v="1899-12-30T02:20:00"/>
    <x v="2"/>
  </r>
  <r>
    <n v="1330"/>
    <x v="17"/>
    <n v="46115270488301"/>
    <x v="289"/>
    <d v="2021-08-29T14:05:00"/>
    <d v="1899-12-30T05:05:00"/>
    <n v="59.016393442848212"/>
    <s v="UNPLANNED"/>
    <x v="1"/>
    <d v="1899-12-30T09:00:00"/>
    <x v="0"/>
  </r>
  <r>
    <n v="1331"/>
    <x v="12"/>
    <n v="14115271672400"/>
    <x v="289"/>
    <d v="2021-08-29T14:05:00"/>
    <d v="1899-12-30T05:05:00"/>
    <n v="59.016393442848212"/>
    <s v="UNPLANNED"/>
    <x v="2"/>
    <d v="1899-12-30T09:00:00"/>
    <x v="0"/>
  </r>
  <r>
    <n v="1332"/>
    <x v="10"/>
    <n v="11115271558701"/>
    <x v="289"/>
    <d v="2021-08-29T14:05:00"/>
    <d v="1899-12-30T05:05:00"/>
    <n v="59.016393442848212"/>
    <s v="UNPLANNED"/>
    <x v="1"/>
    <d v="1899-12-30T09:00:00"/>
    <x v="0"/>
  </r>
  <r>
    <n v="1333"/>
    <x v="10"/>
    <n v="11115271546600"/>
    <x v="289"/>
    <d v="2021-08-29T14:05:00"/>
    <d v="1899-12-30T05:05:00"/>
    <n v="59.016393442848212"/>
    <s v="UNPLANNED"/>
    <x v="1"/>
    <d v="1899-12-30T09:00:00"/>
    <x v="0"/>
  </r>
  <r>
    <n v="1334"/>
    <x v="10"/>
    <n v="11115271542604"/>
    <x v="289"/>
    <d v="2021-08-29T14:05:00"/>
    <d v="1899-12-30T05:05:00"/>
    <n v="59.016393442848212"/>
    <s v="UNPLANNED"/>
    <x v="0"/>
    <d v="1899-12-30T09:00:00"/>
    <x v="0"/>
  </r>
  <r>
    <n v="1335"/>
    <x v="11"/>
    <n v="10115271965200"/>
    <x v="289"/>
    <d v="2021-08-29T14:05:00"/>
    <d v="1899-12-30T05:05:00"/>
    <n v="59.016393442848212"/>
    <s v="UNPLANNED"/>
    <x v="1"/>
    <d v="1899-12-30T09:00:00"/>
    <x v="0"/>
  </r>
  <r>
    <n v="1336"/>
    <x v="11"/>
    <n v="10115271964500"/>
    <x v="289"/>
    <d v="2021-08-29T14:05:00"/>
    <d v="1899-12-30T05:05:00"/>
    <n v="59.016393442848212"/>
    <s v="UNPLANNED"/>
    <x v="0"/>
    <d v="1899-12-30T09:00:00"/>
    <x v="0"/>
  </r>
  <r>
    <n v="1337"/>
    <x v="7"/>
    <n v="7115271765727"/>
    <x v="289"/>
    <d v="2021-08-29T14:05:00"/>
    <d v="1899-12-30T05:05:00"/>
    <n v="59.016393442848212"/>
    <s v="UNPLANNED"/>
    <x v="3"/>
    <d v="1899-12-30T09:00:00"/>
    <x v="0"/>
  </r>
  <r>
    <n v="1338"/>
    <x v="13"/>
    <n v="3115270366101"/>
    <x v="289"/>
    <d v="2021-08-29T14:05:00"/>
    <d v="1899-12-30T05:05:00"/>
    <n v="59.016393442848212"/>
    <s v="UNPLANNED"/>
    <x v="1"/>
    <d v="1899-12-30T09:00:00"/>
    <x v="0"/>
  </r>
  <r>
    <n v="1339"/>
    <x v="2"/>
    <n v="12115271560816"/>
    <x v="290"/>
    <d v="2021-08-29T20:25:00"/>
    <d v="1899-12-30T03:25:00"/>
    <n v="87.804878049777741"/>
    <s v="UNPLANNED"/>
    <x v="0"/>
    <d v="1899-12-30T17:00:00"/>
    <x v="1"/>
  </r>
  <r>
    <n v="1340"/>
    <x v="6"/>
    <n v="9115271952800"/>
    <x v="290"/>
    <d v="2021-08-29T20:25:00"/>
    <d v="1899-12-30T03:25:00"/>
    <n v="87.804878049777741"/>
    <s v="UNPLANNED"/>
    <x v="2"/>
    <d v="1899-12-30T17:00:00"/>
    <x v="1"/>
  </r>
  <r>
    <n v="1341"/>
    <x v="3"/>
    <n v="8115271859400"/>
    <x v="290"/>
    <d v="2021-08-29T20:25:00"/>
    <d v="1899-12-30T03:25:00"/>
    <n v="87.804878049777741"/>
    <s v="UNPLANNED"/>
    <x v="1"/>
    <d v="1899-12-30T17:00:00"/>
    <x v="1"/>
  </r>
  <r>
    <n v="1342"/>
    <x v="7"/>
    <n v="7115271771003"/>
    <x v="290"/>
    <d v="2021-08-29T20:25:00"/>
    <d v="1899-12-30T03:25:00"/>
    <n v="87.804878049777741"/>
    <s v="UNPLANNED"/>
    <x v="0"/>
    <d v="1899-12-30T17:00:00"/>
    <x v="1"/>
  </r>
  <r>
    <n v="1343"/>
    <x v="13"/>
    <n v="3115270366306"/>
    <x v="290"/>
    <d v="2021-08-29T20:25:00"/>
    <d v="1899-12-30T03:25:00"/>
    <n v="87.804878049777741"/>
    <s v="UNPLANNED"/>
    <x v="1"/>
    <d v="1899-12-30T17:00:00"/>
    <x v="1"/>
  </r>
  <r>
    <n v="1344"/>
    <x v="9"/>
    <n v="2115270250700"/>
    <x v="290"/>
    <d v="2021-08-29T20:25:00"/>
    <d v="1899-12-30T03:25:00"/>
    <n v="87.804878049777741"/>
    <s v="UNPLANNED"/>
    <x v="0"/>
    <d v="1899-12-30T17:00:00"/>
    <x v="1"/>
  </r>
  <r>
    <n v="1345"/>
    <x v="14"/>
    <n v="1115270067800"/>
    <x v="290"/>
    <d v="2021-08-29T20:25:00"/>
    <d v="1899-12-30T03:25:00"/>
    <n v="87.804878049777741"/>
    <s v="UNPLANNED"/>
    <x v="2"/>
    <d v="1899-12-30T17:00:00"/>
    <x v="1"/>
  </r>
  <r>
    <n v="1346"/>
    <x v="9"/>
    <n v="2115270155400"/>
    <x v="291"/>
    <d v="2021-08-29T21:55:00"/>
    <d v="1899-12-30T00:35:00"/>
    <n v="514.28571430282022"/>
    <s v="UNPLANNED"/>
    <x v="1"/>
    <d v="1899-12-30T21:20:00"/>
    <x v="1"/>
  </r>
  <r>
    <n v="1347"/>
    <x v="4"/>
    <n v="15115271743401"/>
    <x v="292"/>
    <d v="2021-08-30T11:40:00"/>
    <d v="1899-12-30T02:10:00"/>
    <n v="138.46153846773811"/>
    <s v="UNPLANNED"/>
    <x v="6"/>
    <d v="1899-12-30T09:30:00"/>
    <x v="0"/>
  </r>
  <r>
    <n v="1348"/>
    <x v="12"/>
    <n v="14115271672411"/>
    <x v="292"/>
    <d v="2021-08-30T11:40:00"/>
    <d v="1899-12-30T02:10:00"/>
    <n v="138.46153846773811"/>
    <s v="UNPLANNED"/>
    <x v="1"/>
    <d v="1899-12-30T09:30:00"/>
    <x v="0"/>
  </r>
  <r>
    <n v="1349"/>
    <x v="13"/>
    <n v="3115270306400"/>
    <x v="292"/>
    <d v="2021-08-30T11:40:00"/>
    <d v="1899-12-30T02:10:00"/>
    <n v="138.46153846773811"/>
    <s v="UNPLANNED"/>
    <x v="1"/>
    <d v="1899-12-30T09:30:00"/>
    <x v="0"/>
  </r>
  <r>
    <n v="1350"/>
    <x v="5"/>
    <n v="13115271590600"/>
    <x v="293"/>
    <d v="2021-08-30T13:55:00"/>
    <d v="1899-12-30T01:45:00"/>
    <n v="171.42857143427341"/>
    <s v="UNPLANNED"/>
    <x v="1"/>
    <d v="1899-12-30T12:10:00"/>
    <x v="0"/>
  </r>
  <r>
    <n v="1351"/>
    <x v="0"/>
    <n v="5115271289100"/>
    <x v="293"/>
    <d v="2021-08-30T13:55:00"/>
    <d v="1899-12-30T01:45:00"/>
    <n v="171.42857143427341"/>
    <s v="UNPLANNED"/>
    <x v="0"/>
    <d v="1899-12-30T12:10:00"/>
    <x v="0"/>
  </r>
  <r>
    <n v="1352"/>
    <x v="8"/>
    <n v="4115271014201"/>
    <x v="293"/>
    <d v="2021-08-30T13:55:00"/>
    <d v="1899-12-30T01:45:00"/>
    <n v="171.42857143427341"/>
    <s v="UNPLANNED"/>
    <x v="1"/>
    <d v="1899-12-30T12:10:00"/>
    <x v="0"/>
  </r>
  <r>
    <n v="1353"/>
    <x v="14"/>
    <n v="1115270110400"/>
    <x v="293"/>
    <d v="2021-08-30T13:55:00"/>
    <d v="1899-12-30T01:45:00"/>
    <n v="171.42857143427341"/>
    <s v="UNPLANNED"/>
    <x v="1"/>
    <d v="1899-12-30T12:10:00"/>
    <x v="0"/>
  </r>
  <r>
    <n v="1354"/>
    <x v="10"/>
    <n v="11115271557904"/>
    <x v="294"/>
    <d v="2021-08-30T19:40:00"/>
    <d v="1899-12-30T03:40:00"/>
    <n v="81.818181816450021"/>
    <s v="UNPLANNED"/>
    <x v="0"/>
    <d v="1899-12-30T16:00:00"/>
    <x v="1"/>
  </r>
  <r>
    <n v="1355"/>
    <x v="3"/>
    <n v="8115271822402"/>
    <x v="294"/>
    <d v="2021-08-30T19:40:00"/>
    <d v="1899-12-30T03:40:00"/>
    <n v="81.818181816450021"/>
    <s v="UNPLANNED"/>
    <x v="0"/>
    <d v="1899-12-30T16:00:00"/>
    <x v="1"/>
  </r>
  <r>
    <n v="1356"/>
    <x v="3"/>
    <n v="8115271712906"/>
    <x v="294"/>
    <d v="2021-08-30T19:40:00"/>
    <d v="1899-12-30T03:40:00"/>
    <n v="81.818181816450021"/>
    <s v="UNPLANNED"/>
    <x v="1"/>
    <d v="1899-12-30T16:00:00"/>
    <x v="1"/>
  </r>
  <r>
    <n v="1357"/>
    <x v="13"/>
    <n v="3115270821600"/>
    <x v="294"/>
    <d v="2021-08-30T19:40:00"/>
    <d v="1899-12-30T03:40:00"/>
    <n v="81.818181816450021"/>
    <s v="UNPLANNED"/>
    <x v="0"/>
    <d v="1899-12-30T16:00:00"/>
    <x v="1"/>
  </r>
  <r>
    <n v="1358"/>
    <x v="14"/>
    <n v="1115270142504"/>
    <x v="294"/>
    <d v="2021-08-30T19:40:00"/>
    <d v="1899-12-30T03:40:00"/>
    <n v="81.818181816450021"/>
    <s v="UNPLANNED"/>
    <x v="1"/>
    <d v="1899-12-30T16:00:00"/>
    <x v="1"/>
  </r>
  <r>
    <n v="1359"/>
    <x v="5"/>
    <n v="13115271607400"/>
    <x v="295"/>
    <d v="2021-08-30T22:10:00"/>
    <d v="1899-12-30T02:20:00"/>
    <n v="128.57142857570506"/>
    <s v="UNPLANNED"/>
    <x v="1"/>
    <d v="1899-12-30T19:50:00"/>
    <x v="1"/>
  </r>
  <r>
    <n v="1360"/>
    <x v="2"/>
    <n v="12115271574901"/>
    <x v="295"/>
    <d v="2021-08-30T22:10:00"/>
    <d v="1899-12-30T02:20:00"/>
    <n v="128.57142857570506"/>
    <s v="UNPLANNED"/>
    <x v="2"/>
    <d v="1899-12-30T19:50:00"/>
    <x v="1"/>
  </r>
  <r>
    <n v="1361"/>
    <x v="3"/>
    <n v="8115271843801"/>
    <x v="295"/>
    <d v="2021-08-30T22:10:00"/>
    <d v="1899-12-30T02:20:00"/>
    <n v="128.57142857570506"/>
    <s v="UNPLANNED"/>
    <x v="1"/>
    <d v="1899-12-30T19:50:00"/>
    <x v="1"/>
  </r>
  <r>
    <n v="1362"/>
    <x v="7"/>
    <n v="7115271760309"/>
    <x v="295"/>
    <d v="2021-08-30T22:10:00"/>
    <d v="1899-12-30T02:20:00"/>
    <n v="128.57142857570506"/>
    <s v="UNPLANNED"/>
    <x v="1"/>
    <d v="1899-12-30T19:50:00"/>
    <x v="1"/>
  </r>
  <r>
    <n v="1363"/>
    <x v="13"/>
    <n v="3115270411701"/>
    <x v="295"/>
    <d v="2021-08-30T22:10:00"/>
    <d v="1899-12-30T02:20:00"/>
    <n v="128.57142857570506"/>
    <s v="UNPLANNED"/>
    <x v="1"/>
    <d v="1899-12-30T19:50:00"/>
    <x v="1"/>
  </r>
  <r>
    <n v="1364"/>
    <x v="13"/>
    <n v="3115270401500"/>
    <x v="295"/>
    <d v="2021-08-30T22:10:00"/>
    <d v="1899-12-30T02:20:00"/>
    <n v="128.57142857570506"/>
    <s v="UNPLANNED"/>
    <x v="1"/>
    <d v="1899-12-30T19:50:00"/>
    <x v="1"/>
  </r>
  <r>
    <n v="1365"/>
    <x v="2"/>
    <n v="12115271569209"/>
    <x v="296"/>
    <d v="2021-08-31T02:30:00"/>
    <d v="1899-12-30T03:45:00"/>
    <n v="80"/>
    <s v="UNPLANNED"/>
    <x v="1"/>
    <d v="1899-12-30T22:45:00"/>
    <x v="2"/>
  </r>
  <r>
    <n v="1366"/>
    <x v="10"/>
    <n v="11115271542300"/>
    <x v="296"/>
    <d v="2021-08-31T02:30:00"/>
    <d v="1899-12-30T03:45:00"/>
    <n v="80"/>
    <s v="UNPLANNED"/>
    <x v="1"/>
    <d v="1899-12-30T22:45:00"/>
    <x v="2"/>
  </r>
  <r>
    <n v="1367"/>
    <x v="0"/>
    <n v="5115271258100"/>
    <x v="296"/>
    <d v="2021-08-31T02:30:00"/>
    <d v="1899-12-30T03:45:00"/>
    <n v="80"/>
    <s v="UNPLANNED"/>
    <x v="1"/>
    <d v="1899-12-30T22:45:00"/>
    <x v="2"/>
  </r>
  <r>
    <n v="1368"/>
    <x v="4"/>
    <n v="15115271743512"/>
    <x v="297"/>
    <d v="2021-08-31T16:40:00"/>
    <d v="1899-12-30T01:40:00"/>
    <n v="179.99999999790452"/>
    <s v="UNPLANNED"/>
    <x v="0"/>
    <d v="1899-12-30T15:00:00"/>
    <x v="1"/>
  </r>
  <r>
    <n v="1369"/>
    <x v="4"/>
    <n v="15115271743511"/>
    <x v="297"/>
    <d v="2021-08-31T16:40:00"/>
    <d v="1899-12-30T01:40:00"/>
    <n v="179.99999999790452"/>
    <s v="UNPLANNED"/>
    <x v="2"/>
    <d v="1899-12-30T15:00:00"/>
    <x v="1"/>
  </r>
  <r>
    <n v="1370"/>
    <x v="4"/>
    <n v="15115271743502"/>
    <x v="297"/>
    <d v="2021-08-31T16:40:00"/>
    <d v="1899-12-30T01:40:00"/>
    <n v="179.99999999790452"/>
    <s v="UNPLANNED"/>
    <x v="0"/>
    <d v="1899-12-30T15:00:00"/>
    <x v="1"/>
  </r>
  <r>
    <n v="1371"/>
    <x v="4"/>
    <n v="15115271743501"/>
    <x v="297"/>
    <d v="2021-08-31T16:40:00"/>
    <d v="1899-12-30T01:40:00"/>
    <n v="179.99999999790452"/>
    <s v="UNPLANNED"/>
    <x v="0"/>
    <d v="1899-12-30T15:00:00"/>
    <x v="1"/>
  </r>
  <r>
    <n v="1372"/>
    <x v="4"/>
    <n v="15115271743500"/>
    <x v="297"/>
    <d v="2021-08-31T16:40:00"/>
    <d v="1899-12-30T01:40:00"/>
    <n v="179.99999999790452"/>
    <s v="UNPLANNED"/>
    <x v="0"/>
    <d v="1899-12-30T15:00:00"/>
    <x v="1"/>
  </r>
  <r>
    <n v="1373"/>
    <x v="11"/>
    <n v="10115271959411"/>
    <x v="297"/>
    <d v="2021-08-31T16:40:00"/>
    <d v="1899-12-30T01:40:00"/>
    <n v="179.99999999790452"/>
    <s v="UNPLANNED"/>
    <x v="0"/>
    <d v="1899-12-30T15:00:00"/>
    <x v="1"/>
  </r>
  <r>
    <n v="1374"/>
    <x v="11"/>
    <n v="10115271959407"/>
    <x v="297"/>
    <d v="2021-08-31T16:40:00"/>
    <d v="1899-12-30T01:40:00"/>
    <n v="179.99999999790452"/>
    <s v="UNPLANNED"/>
    <x v="0"/>
    <d v="1899-12-30T15:00:00"/>
    <x v="1"/>
  </r>
  <r>
    <n v="1375"/>
    <x v="11"/>
    <n v="10115271959402"/>
    <x v="297"/>
    <d v="2021-08-31T16:40:00"/>
    <d v="1899-12-30T01:40:00"/>
    <n v="179.99999999790452"/>
    <s v="UNPLANNED"/>
    <x v="0"/>
    <d v="1899-12-30T15:00:00"/>
    <x v="1"/>
  </r>
  <r>
    <n v="1376"/>
    <x v="11"/>
    <n v="10115271959401"/>
    <x v="297"/>
    <d v="2021-08-31T16:40:00"/>
    <d v="1899-12-30T01:40:00"/>
    <n v="179.99999999790452"/>
    <s v="UNPLANNED"/>
    <x v="0"/>
    <d v="1899-12-30T15:00:00"/>
    <x v="1"/>
  </r>
  <r>
    <n v="1377"/>
    <x v="11"/>
    <n v="10115271959400"/>
    <x v="297"/>
    <d v="2021-08-31T16:40:00"/>
    <d v="1899-12-30T01:40:00"/>
    <n v="179.99999999790452"/>
    <s v="UNPLANNED"/>
    <x v="0"/>
    <d v="1899-12-30T15:00:00"/>
    <x v="1"/>
  </r>
  <r>
    <n v="1378"/>
    <x v="2"/>
    <n v="12115271560119"/>
    <x v="297"/>
    <d v="2021-08-31T18:40:00"/>
    <d v="1899-12-30T03:40:00"/>
    <n v="81.818181816450021"/>
    <s v="UNPLANNED"/>
    <x v="0"/>
    <d v="1899-12-30T15:00:00"/>
    <x v="1"/>
  </r>
  <r>
    <n v="1379"/>
    <x v="2"/>
    <n v="12115271560115"/>
    <x v="297"/>
    <d v="2021-08-31T18:40:00"/>
    <d v="1899-12-30T03:40:00"/>
    <n v="81.818181816450021"/>
    <s v="UNPLANNED"/>
    <x v="0"/>
    <d v="1899-12-30T15:00:00"/>
    <x v="1"/>
  </r>
  <r>
    <n v="1380"/>
    <x v="2"/>
    <n v="12115271560114"/>
    <x v="297"/>
    <d v="2021-08-31T18:40:00"/>
    <d v="1899-12-30T03:40:00"/>
    <n v="81.818181816450021"/>
    <s v="UNPLANNED"/>
    <x v="0"/>
    <d v="1899-12-30T15:00:00"/>
    <x v="1"/>
  </r>
  <r>
    <n v="1381"/>
    <x v="2"/>
    <n v="12115271560113"/>
    <x v="297"/>
    <d v="2021-08-31T18:40:00"/>
    <d v="1899-12-30T03:40:00"/>
    <n v="81.818181816450021"/>
    <s v="UNPLANNED"/>
    <x v="1"/>
    <d v="1899-12-30T15:00:00"/>
    <x v="1"/>
  </r>
  <r>
    <n v="1382"/>
    <x v="2"/>
    <n v="12115271560103"/>
    <x v="297"/>
    <d v="2021-08-31T18:40:00"/>
    <d v="1899-12-30T03:40:00"/>
    <n v="81.818181816450021"/>
    <s v="UNPLANNED"/>
    <x v="1"/>
    <d v="1899-12-30T15:00:00"/>
    <x v="1"/>
  </r>
  <r>
    <n v="1383"/>
    <x v="10"/>
    <n v="11115271508309"/>
    <x v="298"/>
    <d v="2021-08-31T21:30:00"/>
    <d v="1899-12-30T02:00:00"/>
    <n v="149.99999999563443"/>
    <s v="UNPLANNED"/>
    <x v="1"/>
    <d v="1899-12-30T19:30:00"/>
    <x v="1"/>
  </r>
  <r>
    <n v="1384"/>
    <x v="10"/>
    <n v="11115271508307"/>
    <x v="298"/>
    <d v="2021-08-31T21:30:00"/>
    <d v="1899-12-30T02:00:00"/>
    <n v="149.99999999563443"/>
    <s v="UNPLANNED"/>
    <x v="0"/>
    <d v="1899-12-30T19:30:00"/>
    <x v="1"/>
  </r>
  <r>
    <n v="1385"/>
    <x v="10"/>
    <n v="11115271508305"/>
    <x v="298"/>
    <d v="2021-08-31T21:30:00"/>
    <d v="1899-12-30T02:00:00"/>
    <n v="149.99999999563443"/>
    <s v="UNPLANNED"/>
    <x v="0"/>
    <d v="1899-12-30T19:30:00"/>
    <x v="1"/>
  </r>
  <r>
    <n v="1386"/>
    <x v="10"/>
    <n v="11115271508304"/>
    <x v="298"/>
    <d v="2021-08-31T21:30:00"/>
    <d v="1899-12-30T02:00:00"/>
    <n v="149.99999999563443"/>
    <s v="UNPLANNED"/>
    <x v="0"/>
    <d v="1899-12-30T19:30:00"/>
    <x v="1"/>
  </r>
  <r>
    <n v="1387"/>
    <x v="10"/>
    <n v="11115271508300"/>
    <x v="298"/>
    <d v="2021-08-31T21:30:00"/>
    <d v="1899-12-30T02:00:00"/>
    <n v="149.99999999563443"/>
    <s v="UNPLANNED"/>
    <x v="0"/>
    <d v="1899-12-30T19:30:00"/>
    <x v="1"/>
  </r>
  <r>
    <n v="1388"/>
    <x v="5"/>
    <n v="13115271590308"/>
    <x v="299"/>
    <d v="2021-09-01T01:00:00"/>
    <d v="1899-12-30T00:40:00"/>
    <n v="450.00000006548362"/>
    <s v="UNPLANNED"/>
    <x v="1"/>
    <d v="1899-12-30T00:20:00"/>
    <x v="2"/>
  </r>
  <r>
    <n v="1389"/>
    <x v="5"/>
    <n v="13115271590603"/>
    <x v="300"/>
    <d v="2021-09-01T13:35:00"/>
    <d v="1899-12-30T04:25:00"/>
    <n v="67.924528303378764"/>
    <s v="UNPLANNED"/>
    <x v="0"/>
    <d v="1899-12-30T09:10:00"/>
    <x v="0"/>
  </r>
  <r>
    <n v="1390"/>
    <x v="11"/>
    <n v="10115271958500"/>
    <x v="300"/>
    <d v="2021-09-01T13:35:00"/>
    <d v="1899-12-30T04:25:00"/>
    <n v="67.924528303378764"/>
    <s v="UNPLANNED"/>
    <x v="0"/>
    <d v="1899-12-30T09:10:00"/>
    <x v="0"/>
  </r>
  <r>
    <n v="1391"/>
    <x v="3"/>
    <n v="8115270613707"/>
    <x v="300"/>
    <d v="2021-09-01T13:35:00"/>
    <d v="1899-12-30T04:25:00"/>
    <n v="67.924528303378764"/>
    <s v="UNPLANNED"/>
    <x v="0"/>
    <d v="1899-12-30T09:10:00"/>
    <x v="0"/>
  </r>
  <r>
    <n v="1392"/>
    <x v="7"/>
    <n v="7115271771307"/>
    <x v="300"/>
    <d v="2021-09-01T13:35:00"/>
    <d v="1899-12-30T04:25:00"/>
    <n v="67.924528303378764"/>
    <s v="UNPLANNED"/>
    <x v="0"/>
    <d v="1899-12-30T09:10:00"/>
    <x v="0"/>
  </r>
  <r>
    <n v="1393"/>
    <x v="13"/>
    <n v="3115270343400"/>
    <x v="300"/>
    <d v="2021-09-01T13:35:00"/>
    <d v="1899-12-30T04:25:00"/>
    <n v="67.924528303378764"/>
    <s v="UNPLANNED"/>
    <x v="0"/>
    <d v="1899-12-30T09:10:00"/>
    <x v="0"/>
  </r>
  <r>
    <n v="1394"/>
    <x v="14"/>
    <n v="1115270130200"/>
    <x v="300"/>
    <d v="2021-09-01T13:35:00"/>
    <d v="1899-12-30T04:25:00"/>
    <n v="67.924528303378764"/>
    <s v="UNPLANNED"/>
    <x v="0"/>
    <d v="1899-12-30T09:10:00"/>
    <x v="0"/>
  </r>
  <r>
    <n v="1395"/>
    <x v="14"/>
    <n v="1115270133900"/>
    <x v="301"/>
    <d v="2021-09-01T16:35:00"/>
    <d v="1899-12-30T00:45:00"/>
    <n v="400"/>
    <s v="UNPLANNED"/>
    <x v="0"/>
    <d v="1899-12-30T15:50:00"/>
    <x v="1"/>
  </r>
  <r>
    <n v="1396"/>
    <x v="12"/>
    <n v="14115271680111"/>
    <x v="302"/>
    <d v="2021-09-01T19:45:00"/>
    <d v="1899-12-30T02:15:00"/>
    <n v="133.33333333333331"/>
    <s v="UNPLANNED"/>
    <x v="0"/>
    <d v="1899-12-30T17:30:00"/>
    <x v="1"/>
  </r>
  <r>
    <n v="1397"/>
    <x v="5"/>
    <n v="13115271623700"/>
    <x v="302"/>
    <d v="2021-09-01T19:45:00"/>
    <d v="1899-12-30T02:15:00"/>
    <n v="133.33333333333331"/>
    <s v="UNPLANNED"/>
    <x v="0"/>
    <d v="1899-12-30T17:30:00"/>
    <x v="1"/>
  </r>
  <r>
    <n v="1398"/>
    <x v="6"/>
    <n v="9115271906910"/>
    <x v="303"/>
    <d v="2021-09-02T01:15:00"/>
    <d v="1899-12-30T01:35:00"/>
    <n v="189.47368419891703"/>
    <s v="UNPLANNED"/>
    <x v="0"/>
    <d v="1899-12-30T23:40:00"/>
    <x v="2"/>
  </r>
  <r>
    <n v="1399"/>
    <x v="5"/>
    <n v="13115271590600"/>
    <x v="304"/>
    <d v="2021-09-01T23:30:00"/>
    <d v="1899-12-30T00:40:00"/>
    <n v="450.00000006548362"/>
    <s v="UNPLANNED"/>
    <x v="2"/>
    <d v="1899-12-30T22:50:00"/>
    <x v="2"/>
  </r>
  <r>
    <n v="1400"/>
    <x v="10"/>
    <n v="11115271542604"/>
    <x v="305"/>
    <d v="2021-09-02T00:50:00"/>
    <d v="1899-12-30T01:05:00"/>
    <n v="276.92307695779488"/>
    <s v="UNPLANNED"/>
    <x v="0"/>
    <d v="1899-12-30T23:45:00"/>
    <x v="2"/>
  </r>
  <r>
    <n v="1401"/>
    <x v="1"/>
    <n v="6115271734504"/>
    <x v="305"/>
    <d v="2021-09-02T00:50:00"/>
    <d v="1899-12-30T01:05:00"/>
    <n v="276.92307695779488"/>
    <s v="UNPLANNED"/>
    <x v="0"/>
    <d v="1899-12-30T23:45:00"/>
    <x v="2"/>
  </r>
  <r>
    <n v="1402"/>
    <x v="13"/>
    <n v="3115270308000"/>
    <x v="306"/>
    <d v="2021-09-02T04:15:00"/>
    <d v="1899-12-30T01:05:00"/>
    <n v="276.9230769131575"/>
    <s v="UNPLANNED"/>
    <x v="0"/>
    <d v="1899-12-30T03:10:00"/>
    <x v="2"/>
  </r>
  <r>
    <n v="1403"/>
    <x v="6"/>
    <n v="9115270622000"/>
    <x v="307"/>
    <d v="2021-09-02T09:00:00"/>
    <d v="1899-12-30T00:55:00"/>
    <n v="327.27272726580009"/>
    <s v="UNPLANNED"/>
    <x v="3"/>
    <d v="1899-12-30T08:05:00"/>
    <x v="0"/>
  </r>
  <r>
    <n v="1404"/>
    <x v="10"/>
    <n v="11115271508506"/>
    <x v="308"/>
    <d v="2021-09-02T10:00:00"/>
    <d v="1899-12-30T00:50:00"/>
    <n v="360.00000003352761"/>
    <s v="UNPLANNED"/>
    <x v="0"/>
    <d v="1899-12-30T09:10:00"/>
    <x v="0"/>
  </r>
  <r>
    <n v="1405"/>
    <x v="4"/>
    <n v="15115271743802"/>
    <x v="309"/>
    <d v="2021-09-02T13:45:00"/>
    <d v="1899-12-30T02:45:00"/>
    <n v="109.09090909552721"/>
    <s v="UNPLANNED"/>
    <x v="6"/>
    <d v="1899-12-30T11:00:00"/>
    <x v="0"/>
  </r>
  <r>
    <n v="1406"/>
    <x v="2"/>
    <n v="12115271560206"/>
    <x v="309"/>
    <d v="2021-09-02T13:45:00"/>
    <d v="1899-12-30T02:45:00"/>
    <n v="109.09090909552721"/>
    <s v="UNPLANNED"/>
    <x v="0"/>
    <d v="1899-12-30T11:00:00"/>
    <x v="0"/>
  </r>
  <r>
    <n v="1407"/>
    <x v="1"/>
    <n v="6115271746744"/>
    <x v="309"/>
    <d v="2021-09-02T13:45:00"/>
    <d v="1899-12-30T02:45:00"/>
    <n v="109.09090909552721"/>
    <s v="UNPLANNED"/>
    <x v="0"/>
    <d v="1899-12-30T11:00:00"/>
    <x v="0"/>
  </r>
  <r>
    <n v="1408"/>
    <x v="0"/>
    <n v="5115271261100"/>
    <x v="309"/>
    <d v="2021-09-02T13:45:00"/>
    <d v="1899-12-30T02:45:00"/>
    <n v="109.09090909552721"/>
    <s v="UNPLANNED"/>
    <x v="0"/>
    <d v="1899-12-30T11:00:00"/>
    <x v="0"/>
  </r>
  <r>
    <n v="1409"/>
    <x v="14"/>
    <n v="1115270372915"/>
    <x v="309"/>
    <d v="2021-09-02T13:45:00"/>
    <d v="1899-12-30T02:45:00"/>
    <n v="109.09090909552721"/>
    <s v="UNPLANNED"/>
    <x v="1"/>
    <d v="1899-12-30T11:00:00"/>
    <x v="0"/>
  </r>
  <r>
    <n v="1410"/>
    <x v="13"/>
    <n v="3115270360703"/>
    <x v="310"/>
    <d v="2021-09-02T16:00:00"/>
    <d v="1899-12-30T01:00:00"/>
    <n v="300.0000000174623"/>
    <s v="UNPLANNED"/>
    <x v="3"/>
    <d v="1899-12-30T15:00:00"/>
    <x v="1"/>
  </r>
  <r>
    <n v="1411"/>
    <x v="4"/>
    <n v="15115271751902"/>
    <x v="311"/>
    <d v="2021-09-02T22:20:00"/>
    <d v="1899-12-30T04:55:00"/>
    <n v="61.016949153023958"/>
    <s v="UNPLANNED"/>
    <x v="0"/>
    <d v="1899-12-30T17:25:00"/>
    <x v="1"/>
  </r>
  <r>
    <n v="1412"/>
    <x v="12"/>
    <n v="14115271707809"/>
    <x v="311"/>
    <d v="2021-09-02T22:20:00"/>
    <d v="1899-12-30T04:55:00"/>
    <n v="61.016949153023958"/>
    <s v="UNPLANNED"/>
    <x v="0"/>
    <d v="1899-12-30T17:25:00"/>
    <x v="1"/>
  </r>
  <r>
    <n v="1413"/>
    <x v="11"/>
    <n v="10115271456200"/>
    <x v="311"/>
    <d v="2021-09-02T22:20:00"/>
    <d v="1899-12-30T04:55:00"/>
    <n v="61.016949153023958"/>
    <s v="UNPLANNED"/>
    <x v="0"/>
    <d v="1899-12-30T17:25:00"/>
    <x v="1"/>
  </r>
  <r>
    <n v="1414"/>
    <x v="7"/>
    <n v="7115271803505"/>
    <x v="311"/>
    <d v="2021-09-02T22:20:00"/>
    <d v="1899-12-30T04:55:00"/>
    <n v="61.016949153023958"/>
    <s v="UNPLANNED"/>
    <x v="0"/>
    <d v="1899-12-30T17:25:00"/>
    <x v="1"/>
  </r>
  <r>
    <n v="1415"/>
    <x v="1"/>
    <n v="6115271750986"/>
    <x v="311"/>
    <d v="2021-09-02T22:20:00"/>
    <d v="1899-12-30T04:55:00"/>
    <n v="61.016949153023958"/>
    <s v="UNPLANNED"/>
    <x v="1"/>
    <d v="1899-12-30T17:25:00"/>
    <x v="1"/>
  </r>
  <r>
    <n v="1416"/>
    <x v="0"/>
    <n v="5115271677805"/>
    <x v="311"/>
    <d v="2021-09-02T22:20:00"/>
    <d v="1899-12-30T04:55:00"/>
    <n v="61.016949153023958"/>
    <s v="UNPLANNED"/>
    <x v="0"/>
    <d v="1899-12-30T17:25:00"/>
    <x v="1"/>
  </r>
  <r>
    <n v="1417"/>
    <x v="13"/>
    <n v="3115270308001"/>
    <x v="311"/>
    <d v="2021-09-02T22:20:00"/>
    <d v="1899-12-30T04:55:00"/>
    <n v="61.016949153023958"/>
    <s v="UNPLANNED"/>
    <x v="0"/>
    <d v="1899-12-30T17:25:00"/>
    <x v="1"/>
  </r>
  <r>
    <n v="1418"/>
    <x v="9"/>
    <n v="2115270291201"/>
    <x v="312"/>
    <d v="2021-09-02T22:20:00"/>
    <d v="1899-12-30T06:55:00"/>
    <n v="43.373493975781948"/>
    <s v="UNPLANNED"/>
    <x v="1"/>
    <d v="1899-12-30T15:25:00"/>
    <x v="1"/>
  </r>
  <r>
    <n v="1419"/>
    <x v="8"/>
    <n v="4115270852401"/>
    <x v="313"/>
    <d v="2021-09-03T03:05:00"/>
    <d v="1899-12-30T03:35:00"/>
    <n v="83.720930233011458"/>
    <s v="UNPLANNED"/>
    <x v="1"/>
    <d v="1899-12-30T23:30:00"/>
    <x v="2"/>
  </r>
  <r>
    <n v="1420"/>
    <x v="13"/>
    <n v="3115270389400"/>
    <x v="313"/>
    <d v="2021-09-03T03:05:00"/>
    <d v="1899-12-30T03:35:00"/>
    <n v="83.720930233011458"/>
    <s v="UNPLANNED"/>
    <x v="6"/>
    <d v="1899-12-30T23:30:00"/>
    <x v="2"/>
  </r>
  <r>
    <n v="1421"/>
    <x v="10"/>
    <n v="11115271560113"/>
    <x v="314"/>
    <d v="2021-09-03T13:20:00"/>
    <d v="1899-12-30T04:10:00"/>
    <n v="72.000000000670553"/>
    <s v="UNPLANNED"/>
    <x v="1"/>
    <d v="1899-12-30T09:10:00"/>
    <x v="0"/>
  </r>
  <r>
    <n v="1422"/>
    <x v="7"/>
    <n v="7115271774419"/>
    <x v="314"/>
    <d v="2021-09-03T13:20:00"/>
    <d v="1899-12-30T04:10:00"/>
    <n v="72.000000000670553"/>
    <s v="UNPLANNED"/>
    <x v="0"/>
    <d v="1899-12-30T09:10:00"/>
    <x v="0"/>
  </r>
  <r>
    <n v="1423"/>
    <x v="13"/>
    <n v="3115270379801"/>
    <x v="314"/>
    <d v="2021-09-03T13:20:00"/>
    <d v="1899-12-30T04:10:00"/>
    <n v="72.000000000670553"/>
    <s v="UNPLANNED"/>
    <x v="0"/>
    <d v="1899-12-30T09:10:00"/>
    <x v="0"/>
  </r>
  <r>
    <n v="1424"/>
    <x v="9"/>
    <n v="2115270229700"/>
    <x v="314"/>
    <d v="2021-09-03T13:20:00"/>
    <d v="1899-12-30T04:10:00"/>
    <n v="72.000000000670553"/>
    <s v="UNPLANNED"/>
    <x v="0"/>
    <d v="1899-12-30T09:10:00"/>
    <x v="0"/>
  </r>
  <r>
    <n v="1425"/>
    <x v="14"/>
    <n v="1115270141400"/>
    <x v="314"/>
    <d v="2021-09-03T13:20:00"/>
    <d v="1899-12-30T04:10:00"/>
    <n v="72.000000000670553"/>
    <s v="UNPLANNED"/>
    <x v="0"/>
    <d v="1899-12-30T09:10:00"/>
    <x v="0"/>
  </r>
  <r>
    <n v="1426"/>
    <x v="14"/>
    <n v="1115270122500"/>
    <x v="314"/>
    <d v="2021-09-03T13:20:00"/>
    <d v="1899-12-30T04:10:00"/>
    <n v="72.000000000670553"/>
    <s v="UNPLANNED"/>
    <x v="0"/>
    <d v="1899-12-30T09:10:00"/>
    <x v="0"/>
  </r>
  <r>
    <n v="1427"/>
    <x v="12"/>
    <n v="14115271732100"/>
    <x v="315"/>
    <d v="2021-09-03T23:10:00"/>
    <d v="1899-12-30T06:20:00"/>
    <n v="47.368421052341347"/>
    <s v="UNPLANNED"/>
    <x v="0"/>
    <d v="1899-12-30T16:50:00"/>
    <x v="1"/>
  </r>
  <r>
    <n v="1428"/>
    <x v="2"/>
    <n v="12115271579400"/>
    <x v="315"/>
    <d v="2021-09-03T23:10:00"/>
    <d v="1899-12-30T06:20:00"/>
    <n v="47.368421052341347"/>
    <s v="UNPLANNED"/>
    <x v="0"/>
    <d v="1899-12-30T16:50:00"/>
    <x v="1"/>
  </r>
  <r>
    <n v="1429"/>
    <x v="2"/>
    <n v="12115271506801"/>
    <x v="315"/>
    <d v="2021-09-03T23:10:00"/>
    <d v="1899-12-30T06:20:00"/>
    <n v="47.368421052341347"/>
    <s v="UNPLANNED"/>
    <x v="0"/>
    <d v="1899-12-30T16:50:00"/>
    <x v="1"/>
  </r>
  <r>
    <n v="1430"/>
    <x v="11"/>
    <n v="10115271967600"/>
    <x v="315"/>
    <d v="2021-09-03T23:10:00"/>
    <d v="1899-12-30T06:20:00"/>
    <n v="47.368421052341347"/>
    <s v="UNPLANNED"/>
    <x v="0"/>
    <d v="1899-12-30T16:50:00"/>
    <x v="1"/>
  </r>
  <r>
    <n v="1431"/>
    <x v="6"/>
    <n v="9115271906600"/>
    <x v="315"/>
    <d v="2021-09-03T23:10:00"/>
    <d v="1899-12-30T06:20:00"/>
    <n v="47.368421052341347"/>
    <s v="UNPLANNED"/>
    <x v="1"/>
    <d v="1899-12-30T16:50:00"/>
    <x v="1"/>
  </r>
  <r>
    <n v="1432"/>
    <x v="7"/>
    <n v="7115271785911"/>
    <x v="315"/>
    <d v="2021-09-03T23:10:00"/>
    <d v="1899-12-30T06:20:00"/>
    <n v="47.368421052341347"/>
    <s v="UNPLANNED"/>
    <x v="1"/>
    <d v="1899-12-30T16:50:00"/>
    <x v="1"/>
  </r>
  <r>
    <n v="1433"/>
    <x v="7"/>
    <n v="7115271760300"/>
    <x v="315"/>
    <d v="2021-09-03T23:10:00"/>
    <d v="1899-12-30T06:20:00"/>
    <n v="47.368421052341347"/>
    <s v="UNPLANNED"/>
    <x v="1"/>
    <d v="1899-12-30T16:50:00"/>
    <x v="1"/>
  </r>
  <r>
    <n v="1434"/>
    <x v="13"/>
    <n v="3115270319202"/>
    <x v="315"/>
    <d v="2021-09-03T23:10:00"/>
    <d v="1899-12-30T06:20:00"/>
    <n v="47.368421052341347"/>
    <s v="UNPLANNED"/>
    <x v="0"/>
    <d v="1899-12-30T16:50:00"/>
    <x v="1"/>
  </r>
  <r>
    <n v="1435"/>
    <x v="10"/>
    <n v="11115271542001"/>
    <x v="316"/>
    <d v="2021-09-04T01:55:00"/>
    <d v="1899-12-30T01:05:00"/>
    <n v="276.9230769131575"/>
    <s v="UNPLANNED"/>
    <x v="0"/>
    <d v="1899-12-30T00:50:00"/>
    <x v="2"/>
  </r>
  <r>
    <n v="1436"/>
    <x v="14"/>
    <n v="1115270048600"/>
    <x v="316"/>
    <d v="2021-09-04T01:55:00"/>
    <d v="1899-12-30T01:05:00"/>
    <n v="276.9230769131575"/>
    <s v="UNPLANNED"/>
    <x v="0"/>
    <d v="1899-12-30T00:50:00"/>
    <x v="2"/>
  </r>
  <r>
    <n v="1437"/>
    <x v="2"/>
    <n v="12115271567387"/>
    <x v="317"/>
    <d v="2021-09-04T12:30:00"/>
    <d v="1899-12-30T02:20:00"/>
    <n v="128.57142856608297"/>
    <s v="UNPLANNED"/>
    <x v="1"/>
    <d v="1899-12-30T10:10:00"/>
    <x v="0"/>
  </r>
  <r>
    <n v="1438"/>
    <x v="10"/>
    <n v="11115271542301"/>
    <x v="317"/>
    <d v="2021-09-04T12:30:00"/>
    <d v="1899-12-30T02:20:00"/>
    <n v="128.57142856608297"/>
    <s v="UNPLANNED"/>
    <x v="0"/>
    <d v="1899-12-30T10:10:00"/>
    <x v="0"/>
  </r>
  <r>
    <n v="1439"/>
    <x v="6"/>
    <n v="9115270628102"/>
    <x v="317"/>
    <d v="2021-09-04T12:30:00"/>
    <d v="1899-12-30T02:20:00"/>
    <n v="128.57142856608297"/>
    <s v="UNPLANNED"/>
    <x v="0"/>
    <d v="1899-12-30T10:10:00"/>
    <x v="0"/>
  </r>
  <r>
    <n v="1440"/>
    <x v="3"/>
    <n v="8115271816502"/>
    <x v="317"/>
    <d v="2021-09-04T12:30:00"/>
    <d v="1899-12-30T02:20:00"/>
    <n v="128.57142856608297"/>
    <s v="UNPLANNED"/>
    <x v="0"/>
    <d v="1899-12-30T10:10:00"/>
    <x v="0"/>
  </r>
  <r>
    <n v="1441"/>
    <x v="7"/>
    <n v="7115271771106"/>
    <x v="317"/>
    <d v="2021-09-04T12:30:00"/>
    <d v="1899-12-30T02:20:00"/>
    <n v="128.57142856608297"/>
    <s v="UNPLANNED"/>
    <x v="0"/>
    <d v="1899-12-30T10:10:00"/>
    <x v="0"/>
  </r>
  <r>
    <n v="1442"/>
    <x v="13"/>
    <n v="3115270396300"/>
    <x v="318"/>
    <d v="2021-09-04T14:15:00"/>
    <d v="1899-12-30T01:20:00"/>
    <n v="225.00000000327418"/>
    <s v="UNPLANNED"/>
    <x v="1"/>
    <d v="1899-12-30T12:55:00"/>
    <x v="0"/>
  </r>
  <r>
    <n v="1443"/>
    <x v="5"/>
    <n v="13115271606103"/>
    <x v="319"/>
    <d v="2021-09-04T22:00:00"/>
    <d v="1899-12-30T05:05:00"/>
    <n v="59.016393442848212"/>
    <s v="UNPLANNED"/>
    <x v="1"/>
    <d v="1899-12-30T16:55:00"/>
    <x v="1"/>
  </r>
  <r>
    <n v="1444"/>
    <x v="5"/>
    <n v="13115271606003"/>
    <x v="319"/>
    <d v="2021-09-04T22:00:00"/>
    <d v="1899-12-30T05:05:00"/>
    <n v="59.016393442848212"/>
    <s v="UNPLANNED"/>
    <x v="1"/>
    <d v="1899-12-30T16:55:00"/>
    <x v="1"/>
  </r>
  <r>
    <n v="1445"/>
    <x v="11"/>
    <n v="10115271958000"/>
    <x v="320"/>
    <d v="2021-09-04T22:00:00"/>
    <d v="1899-12-30T03:05:00"/>
    <n v="97.297297299746361"/>
    <s v="UNPLANNED"/>
    <x v="1"/>
    <d v="1899-12-30T18:55:00"/>
    <x v="1"/>
  </r>
  <r>
    <n v="1446"/>
    <x v="3"/>
    <n v="8115271816503"/>
    <x v="320"/>
    <d v="2021-09-04T22:00:00"/>
    <d v="1899-12-30T03:05:00"/>
    <n v="97.297297299746361"/>
    <s v="UNPLANNED"/>
    <x v="0"/>
    <d v="1899-12-30T18:55:00"/>
    <x v="1"/>
  </r>
  <r>
    <n v="1447"/>
    <x v="13"/>
    <n v="3115270324102"/>
    <x v="319"/>
    <d v="2021-09-04T22:00:00"/>
    <d v="1899-12-30T05:05:00"/>
    <n v="59.016393442848212"/>
    <s v="UNPLANNED"/>
    <x v="1"/>
    <d v="1899-12-30T16:55:00"/>
    <x v="1"/>
  </r>
  <r>
    <n v="1448"/>
    <x v="7"/>
    <n v="7115271803800"/>
    <x v="321"/>
    <d v="2021-09-05T01:40:00"/>
    <d v="1899-12-30T01:20:00"/>
    <n v="225.00000000327418"/>
    <s v="UNPLANNED"/>
    <x v="1"/>
    <d v="1899-12-30T00:20:00"/>
    <x v="2"/>
  </r>
  <r>
    <n v="1449"/>
    <x v="7"/>
    <n v="7115271795608"/>
    <x v="321"/>
    <d v="2021-09-05T01:40:00"/>
    <d v="1899-12-30T01:20:00"/>
    <n v="225.00000000327418"/>
    <s v="UNPLANNED"/>
    <x v="1"/>
    <d v="1899-12-30T00:20:00"/>
    <x v="2"/>
  </r>
  <r>
    <n v="1450"/>
    <x v="10"/>
    <n v="11115271542101"/>
    <x v="322"/>
    <d v="2021-09-05T13:50:00"/>
    <d v="1899-12-30T04:05:00"/>
    <n v="73.46938775440384"/>
    <s v="UNPLANNED"/>
    <x v="1"/>
    <d v="1899-12-30T09:45:00"/>
    <x v="0"/>
  </r>
  <r>
    <n v="1451"/>
    <x v="11"/>
    <n v="10115271478600"/>
    <x v="322"/>
    <d v="2021-09-05T13:50:00"/>
    <d v="1899-12-30T04:05:00"/>
    <n v="73.46938775440384"/>
    <s v="UNPLANNED"/>
    <x v="0"/>
    <d v="1899-12-30T09:45:00"/>
    <x v="0"/>
  </r>
  <r>
    <n v="1452"/>
    <x v="1"/>
    <n v="6115271736200"/>
    <x v="322"/>
    <d v="2021-09-05T13:50:00"/>
    <d v="1899-12-30T04:05:00"/>
    <n v="73.46938775440384"/>
    <s v="UNPLANNED"/>
    <x v="0"/>
    <d v="1899-12-30T09:45:00"/>
    <x v="0"/>
  </r>
  <r>
    <n v="1453"/>
    <x v="1"/>
    <n v="6115271731400"/>
    <x v="322"/>
    <d v="2021-09-05T13:50:00"/>
    <d v="1899-12-30T04:05:00"/>
    <n v="73.46938775440384"/>
    <s v="UNPLANNED"/>
    <x v="0"/>
    <d v="1899-12-30T09:45:00"/>
    <x v="0"/>
  </r>
  <r>
    <n v="1454"/>
    <x v="13"/>
    <n v="3115270349800"/>
    <x v="322"/>
    <d v="2021-09-05T13:50:00"/>
    <d v="1899-12-30T04:05:00"/>
    <n v="73.46938775440384"/>
    <s v="UNPLANNED"/>
    <x v="0"/>
    <d v="1899-12-30T09:45:00"/>
    <x v="0"/>
  </r>
  <r>
    <n v="1455"/>
    <x v="13"/>
    <n v="3115270325300"/>
    <x v="322"/>
    <d v="2021-09-05T13:50:00"/>
    <d v="1899-12-30T04:05:00"/>
    <n v="73.46938775440384"/>
    <s v="UNPLANNED"/>
    <x v="0"/>
    <d v="1899-12-30T09:45:00"/>
    <x v="0"/>
  </r>
  <r>
    <n v="1456"/>
    <x v="14"/>
    <n v="1115270100600"/>
    <x v="322"/>
    <d v="2021-09-05T13:50:00"/>
    <d v="1899-12-30T04:05:00"/>
    <n v="73.46938775440384"/>
    <s v="UNPLANNED"/>
    <x v="1"/>
    <d v="1899-12-30T09:45:00"/>
    <x v="0"/>
  </r>
  <r>
    <n v="1457"/>
    <x v="0"/>
    <n v="5115271261001"/>
    <x v="323"/>
    <d v="2021-09-05T16:15:00"/>
    <d v="1899-12-30T01:15:00"/>
    <n v="239.99999998882413"/>
    <s v="UNPLANNED"/>
    <x v="1"/>
    <d v="1899-12-30T15:00:00"/>
    <x v="1"/>
  </r>
  <r>
    <n v="1458"/>
    <x v="13"/>
    <n v="3115270324200"/>
    <x v="323"/>
    <d v="2021-09-05T16:15:00"/>
    <d v="1899-12-30T01:15:00"/>
    <n v="239.99999998882413"/>
    <s v="UNPLANNED"/>
    <x v="1"/>
    <d v="1899-12-30T15:00:00"/>
    <x v="1"/>
  </r>
  <r>
    <n v="1459"/>
    <x v="14"/>
    <n v="1115270143300"/>
    <x v="324"/>
    <d v="2021-09-05T21:30:00"/>
    <d v="1899-12-30T00:40:00"/>
    <n v="449.99999994761311"/>
    <s v="UNPLANNED"/>
    <x v="0"/>
    <d v="1899-12-30T20:50:00"/>
    <x v="1"/>
  </r>
  <r>
    <n v="1460"/>
    <x v="14"/>
    <n v="1115270387014"/>
    <x v="325"/>
    <d v="2021-09-06T03:15:00"/>
    <d v="1899-12-30T01:45:00"/>
    <n v="171.42857143427341"/>
    <s v="UNPLANNED"/>
    <x v="0"/>
    <d v="1899-12-30T01:30:00"/>
    <x v="2"/>
  </r>
  <r>
    <n v="1461"/>
    <x v="4"/>
    <n v="15115271743402"/>
    <x v="326"/>
    <d v="2021-09-06T12:40:00"/>
    <d v="1899-12-30T04:10:00"/>
    <n v="71.999999997653063"/>
    <s v="UNPLANNED"/>
    <x v="0"/>
    <d v="1899-12-30T08:30:00"/>
    <x v="0"/>
  </r>
  <r>
    <n v="1462"/>
    <x v="5"/>
    <n v="13115271625701"/>
    <x v="326"/>
    <d v="2021-09-06T12:40:00"/>
    <d v="1899-12-30T04:10:00"/>
    <n v="71.999999997653063"/>
    <s v="UNPLANNED"/>
    <x v="1"/>
    <d v="1899-12-30T08:30:00"/>
    <x v="0"/>
  </r>
  <r>
    <n v="1463"/>
    <x v="11"/>
    <n v="10115271958401"/>
    <x v="326"/>
    <d v="2021-09-06T12:40:00"/>
    <d v="1899-12-30T04:10:00"/>
    <n v="71.999999997653063"/>
    <s v="UNPLANNED"/>
    <x v="1"/>
    <d v="1899-12-30T08:30:00"/>
    <x v="0"/>
  </r>
  <r>
    <n v="1464"/>
    <x v="11"/>
    <n v="10115271957700"/>
    <x v="326"/>
    <d v="2021-09-06T12:40:00"/>
    <d v="1899-12-30T04:10:00"/>
    <n v="71.999999997653063"/>
    <s v="UNPLANNED"/>
    <x v="1"/>
    <d v="1899-12-30T08:30:00"/>
    <x v="0"/>
  </r>
  <r>
    <n v="1465"/>
    <x v="13"/>
    <n v="3115270310703"/>
    <x v="326"/>
    <d v="2021-09-06T12:40:00"/>
    <d v="1899-12-30T04:10:00"/>
    <n v="71.999999997653063"/>
    <s v="UNPLANNED"/>
    <x v="1"/>
    <d v="1899-12-30T08:30:00"/>
    <x v="0"/>
  </r>
  <r>
    <n v="1466"/>
    <x v="13"/>
    <n v="3115270308100"/>
    <x v="326"/>
    <d v="2021-09-06T12:40:00"/>
    <d v="1899-12-30T04:10:00"/>
    <n v="71.999999997653063"/>
    <s v="UNPLANNED"/>
    <x v="1"/>
    <d v="1899-12-30T08:30:00"/>
    <x v="0"/>
  </r>
  <r>
    <n v="1467"/>
    <x v="4"/>
    <n v="15115271771605"/>
    <x v="327"/>
    <d v="2021-09-06T17:30:00"/>
    <d v="1899-12-30T02:00:00"/>
    <n v="150.00000000873115"/>
    <s v="UNPLANNED"/>
    <x v="1"/>
    <d v="1899-12-30T15:30:00"/>
    <x v="1"/>
  </r>
  <r>
    <n v="1468"/>
    <x v="14"/>
    <n v="1115271094101"/>
    <x v="327"/>
    <d v="2021-09-06T17:30:00"/>
    <d v="1899-12-30T02:00:00"/>
    <n v="150.00000000873115"/>
    <s v="UNPLANNED"/>
    <x v="0"/>
    <d v="1899-12-30T15:30:00"/>
    <x v="1"/>
  </r>
  <r>
    <n v="1469"/>
    <x v="10"/>
    <n v="11115271507900"/>
    <x v="328"/>
    <d v="2021-09-06T19:20:00"/>
    <d v="1899-12-30T01:20:00"/>
    <n v="225.00000000327418"/>
    <s v="UNPLANNED"/>
    <x v="0"/>
    <d v="1899-12-30T18:00:00"/>
    <x v="1"/>
  </r>
  <r>
    <n v="1470"/>
    <x v="1"/>
    <n v="6115271720110"/>
    <x v="328"/>
    <d v="2021-09-06T19:20:00"/>
    <d v="1899-12-30T01:20:00"/>
    <n v="225.00000000327418"/>
    <s v="UNPLANNED"/>
    <x v="0"/>
    <d v="1899-12-30T18:00:00"/>
    <x v="1"/>
  </r>
  <r>
    <n v="1471"/>
    <x v="4"/>
    <n v="15115271745851"/>
    <x v="329"/>
    <d v="2021-09-06T22:10:00"/>
    <d v="1899-12-30T02:00:00"/>
    <n v="150.00000000873115"/>
    <s v="UNPLANNED"/>
    <x v="1"/>
    <d v="1899-12-30T20:10:00"/>
    <x v="1"/>
  </r>
  <r>
    <n v="1472"/>
    <x v="2"/>
    <n v="12115271565401"/>
    <x v="329"/>
    <d v="2021-09-06T22:10:00"/>
    <d v="1899-12-30T02:00:00"/>
    <n v="150.00000000873115"/>
    <s v="UNPLANNED"/>
    <x v="0"/>
    <d v="1899-12-30T20:10:00"/>
    <x v="1"/>
  </r>
  <r>
    <n v="1473"/>
    <x v="14"/>
    <n v="1115270143100"/>
    <x v="329"/>
    <d v="2021-09-06T22:10:00"/>
    <d v="1899-12-30T02:00:00"/>
    <n v="150.00000000873115"/>
    <s v="UNPLANNED"/>
    <x v="0"/>
    <d v="1899-12-30T20:10:00"/>
    <x v="1"/>
  </r>
  <r>
    <n v="1474"/>
    <x v="14"/>
    <n v="1115270019601"/>
    <x v="329"/>
    <d v="2021-09-06T22:10:00"/>
    <d v="1899-12-30T02:00:00"/>
    <n v="150.00000000873115"/>
    <s v="UNPLANNED"/>
    <x v="0"/>
    <d v="1899-12-30T20:10:00"/>
    <x v="1"/>
  </r>
  <r>
    <n v="1475"/>
    <x v="4"/>
    <n v="15115271743600"/>
    <x v="330"/>
    <d v="2021-09-07T04:30:00"/>
    <d v="1899-12-30T06:00:00"/>
    <n v="50"/>
    <s v="UNPLANNED"/>
    <x v="1"/>
    <d v="1899-12-30T22:30:00"/>
    <x v="2"/>
  </r>
  <r>
    <n v="1476"/>
    <x v="2"/>
    <n v="12115271569208"/>
    <x v="330"/>
    <d v="2021-09-07T04:30:00"/>
    <d v="1899-12-30T06:00:00"/>
    <n v="50"/>
    <s v="UNPLANNED"/>
    <x v="1"/>
    <d v="1899-12-30T22:30:00"/>
    <x v="2"/>
  </r>
  <r>
    <n v="1477"/>
    <x v="13"/>
    <n v="3115270308700"/>
    <x v="330"/>
    <d v="2021-09-07T04:30:00"/>
    <d v="1899-12-30T06:00:00"/>
    <n v="50"/>
    <s v="UNPLANNED"/>
    <x v="0"/>
    <d v="1899-12-30T22:30:00"/>
    <x v="2"/>
  </r>
  <r>
    <n v="1478"/>
    <x v="14"/>
    <n v="1115270362320"/>
    <x v="330"/>
    <d v="2021-09-07T04:30:00"/>
    <d v="1899-12-30T06:00:00"/>
    <n v="50"/>
    <s v="UNPLANNED"/>
    <x v="1"/>
    <d v="1899-12-30T22:30:00"/>
    <x v="2"/>
  </r>
  <r>
    <n v="1479"/>
    <x v="2"/>
    <n v="12115271569320"/>
    <x v="331"/>
    <d v="2021-09-07T12:30:00"/>
    <d v="1899-12-30T02:10:00"/>
    <n v="138.46153845657875"/>
    <s v="UNPLANNED"/>
    <x v="0"/>
    <d v="1899-12-30T10:20:00"/>
    <x v="0"/>
  </r>
  <r>
    <n v="1480"/>
    <x v="2"/>
    <n v="12115271569310"/>
    <x v="331"/>
    <d v="2021-09-07T12:30:00"/>
    <d v="1899-12-30T02:10:00"/>
    <n v="138.46153845657875"/>
    <s v="UNPLANNED"/>
    <x v="1"/>
    <d v="1899-12-30T10:20:00"/>
    <x v="0"/>
  </r>
  <r>
    <n v="1481"/>
    <x v="2"/>
    <n v="12115271569308"/>
    <x v="331"/>
    <d v="2021-09-07T12:30:00"/>
    <d v="1899-12-30T02:10:00"/>
    <n v="138.46153845657875"/>
    <s v="UNPLANNED"/>
    <x v="0"/>
    <d v="1899-12-30T10:20:00"/>
    <x v="0"/>
  </r>
  <r>
    <n v="1482"/>
    <x v="2"/>
    <n v="12115271569307"/>
    <x v="331"/>
    <d v="2021-09-07T12:30:00"/>
    <d v="1899-12-30T02:10:00"/>
    <n v="138.46153845657875"/>
    <s v="UNPLANNED"/>
    <x v="0"/>
    <d v="1899-12-30T10:20:00"/>
    <x v="0"/>
  </r>
  <r>
    <n v="1483"/>
    <x v="2"/>
    <n v="12115271569302"/>
    <x v="331"/>
    <d v="2021-09-07T12:30:00"/>
    <d v="1899-12-30T02:10:00"/>
    <n v="138.46153845657875"/>
    <s v="UNPLANNED"/>
    <x v="0"/>
    <d v="1899-12-30T10:20:00"/>
    <x v="0"/>
  </r>
  <r>
    <n v="1484"/>
    <x v="2"/>
    <n v="12115271569300"/>
    <x v="331"/>
    <d v="2021-09-07T12:30:00"/>
    <d v="1899-12-30T02:10:00"/>
    <n v="138.46153845657875"/>
    <s v="UNPLANNED"/>
    <x v="0"/>
    <d v="1899-12-30T10:20:00"/>
    <x v="0"/>
  </r>
  <r>
    <n v="1485"/>
    <x v="13"/>
    <n v="3115270349729"/>
    <x v="331"/>
    <d v="2021-09-07T12:30:00"/>
    <d v="1899-12-30T02:10:00"/>
    <n v="138.46153845657875"/>
    <s v="UNPLANNED"/>
    <x v="1"/>
    <d v="1899-12-30T10:20:00"/>
    <x v="0"/>
  </r>
  <r>
    <n v="1486"/>
    <x v="13"/>
    <n v="3115270349719"/>
    <x v="331"/>
    <d v="2021-09-07T12:30:00"/>
    <d v="1899-12-30T02:10:00"/>
    <n v="138.46153845657875"/>
    <s v="UNPLANNED"/>
    <x v="1"/>
    <d v="1899-12-30T10:20:00"/>
    <x v="0"/>
  </r>
  <r>
    <n v="1487"/>
    <x v="13"/>
    <n v="3115270349709"/>
    <x v="331"/>
    <d v="2021-09-07T12:30:00"/>
    <d v="1899-12-30T02:10:00"/>
    <n v="138.46153845657875"/>
    <s v="UNPLANNED"/>
    <x v="1"/>
    <d v="1899-12-30T10:20:00"/>
    <x v="0"/>
  </r>
  <r>
    <n v="1488"/>
    <x v="13"/>
    <n v="3115270349701"/>
    <x v="331"/>
    <d v="2021-09-07T12:30:00"/>
    <d v="1899-12-30T02:10:00"/>
    <n v="138.46153845657875"/>
    <s v="UNPLANNED"/>
    <x v="0"/>
    <d v="1899-12-30T10:20:00"/>
    <x v="0"/>
  </r>
  <r>
    <n v="1489"/>
    <x v="13"/>
    <n v="3115270349700"/>
    <x v="331"/>
    <d v="2021-09-07T12:30:00"/>
    <d v="1899-12-30T02:10:00"/>
    <n v="138.46153845657875"/>
    <s v="UNPLANNED"/>
    <x v="0"/>
    <d v="1899-12-30T10:20:00"/>
    <x v="0"/>
  </r>
  <r>
    <n v="1490"/>
    <x v="13"/>
    <n v="3115270370727"/>
    <x v="332"/>
    <d v="2021-09-07T16:30:00"/>
    <d v="1899-12-30T01:00:00"/>
    <n v="300.0000000174623"/>
    <s v="UNPLANNED"/>
    <x v="1"/>
    <d v="1899-12-30T15:30:00"/>
    <x v="1"/>
  </r>
  <r>
    <n v="1491"/>
    <x v="13"/>
    <n v="3115270370718"/>
    <x v="332"/>
    <d v="2021-09-07T16:30:00"/>
    <d v="1899-12-30T01:00:00"/>
    <n v="300.0000000174623"/>
    <s v="UNPLANNED"/>
    <x v="1"/>
    <d v="1899-12-30T15:30:00"/>
    <x v="1"/>
  </r>
  <r>
    <n v="1492"/>
    <x v="13"/>
    <n v="3115270370710"/>
    <x v="332"/>
    <d v="2021-09-07T16:30:00"/>
    <d v="1899-12-30T01:00:00"/>
    <n v="300.0000000174623"/>
    <s v="UNPLANNED"/>
    <x v="0"/>
    <d v="1899-12-30T15:30:00"/>
    <x v="1"/>
  </r>
  <r>
    <n v="1493"/>
    <x v="13"/>
    <n v="3115270370707"/>
    <x v="332"/>
    <d v="2021-09-07T16:30:00"/>
    <d v="1899-12-30T01:00:00"/>
    <n v="300.0000000174623"/>
    <s v="UNPLANNED"/>
    <x v="0"/>
    <d v="1899-12-30T15:30:00"/>
    <x v="1"/>
  </r>
  <r>
    <n v="1494"/>
    <x v="13"/>
    <n v="3115270370705"/>
    <x v="332"/>
    <d v="2021-09-07T16:30:00"/>
    <d v="1899-12-30T01:00:00"/>
    <n v="300.0000000174623"/>
    <s v="UNPLANNED"/>
    <x v="0"/>
    <d v="1899-12-30T15:30:00"/>
    <x v="1"/>
  </r>
  <r>
    <n v="1495"/>
    <x v="13"/>
    <n v="3115270370700"/>
    <x v="332"/>
    <d v="2021-09-07T16:30:00"/>
    <d v="1899-12-30T01:00:00"/>
    <n v="300.0000000174623"/>
    <s v="UNPLANNED"/>
    <x v="0"/>
    <d v="1899-12-30T15:30:00"/>
    <x v="1"/>
  </r>
  <r>
    <n v="1496"/>
    <x v="14"/>
    <n v="1115270026801"/>
    <x v="333"/>
    <d v="2021-09-08T13:40:00"/>
    <d v="1899-12-30T01:10:00"/>
    <n v="257.14285715141011"/>
    <s v="UNPLANNED"/>
    <x v="0"/>
    <d v="1899-12-30T12:30:00"/>
    <x v="0"/>
  </r>
  <r>
    <n v="1497"/>
    <x v="14"/>
    <n v="1115270026800"/>
    <x v="333"/>
    <d v="2021-09-08T13:40:00"/>
    <d v="1899-12-30T01:10:00"/>
    <n v="257.14285715141011"/>
    <s v="UNPLANNED"/>
    <x v="1"/>
    <d v="1899-12-30T12:30:00"/>
    <x v="0"/>
  </r>
  <r>
    <n v="1498"/>
    <x v="18"/>
    <n v="44115271685206"/>
    <x v="334"/>
    <d v="2021-09-08T19:15:00"/>
    <d v="1899-12-30T02:50:00"/>
    <n v="105.88235294190156"/>
    <s v="UNPLANNED"/>
    <x v="0"/>
    <d v="1899-12-30T16:25:00"/>
    <x v="1"/>
  </r>
  <r>
    <n v="1499"/>
    <x v="18"/>
    <n v="44115271685205"/>
    <x v="334"/>
    <d v="2021-09-08T19:15:00"/>
    <d v="1899-12-30T02:50:00"/>
    <n v="105.88235294190156"/>
    <s v="UNPLANNED"/>
    <x v="1"/>
    <d v="1899-12-30T16:25:00"/>
    <x v="1"/>
  </r>
  <r>
    <n v="1500"/>
    <x v="16"/>
    <n v="27115270490209"/>
    <x v="334"/>
    <d v="2021-09-08T19:15:00"/>
    <d v="1899-12-30T02:50:00"/>
    <n v="105.88235294190156"/>
    <s v="UNPLANNED"/>
    <x v="0"/>
    <d v="1899-12-30T16:25:00"/>
    <x v="1"/>
  </r>
  <r>
    <n v="1501"/>
    <x v="16"/>
    <n v="27115270490208"/>
    <x v="334"/>
    <d v="2021-09-08T19:15:00"/>
    <d v="1899-12-30T02:50:00"/>
    <n v="105.88235294190156"/>
    <s v="UNPLANNED"/>
    <x v="1"/>
    <d v="1899-12-30T16:25:00"/>
    <x v="1"/>
  </r>
  <r>
    <n v="1502"/>
    <x v="7"/>
    <n v="7115271760507"/>
    <x v="334"/>
    <d v="2021-09-08T19:15:00"/>
    <d v="1899-12-30T02:50:00"/>
    <n v="105.88235294190156"/>
    <s v="UNPLANNED"/>
    <x v="1"/>
    <d v="1899-12-30T16:25:00"/>
    <x v="1"/>
  </r>
  <r>
    <n v="1503"/>
    <x v="7"/>
    <n v="7115271760501"/>
    <x v="334"/>
    <d v="2021-09-08T19:15:00"/>
    <d v="1899-12-30T02:50:00"/>
    <n v="105.88235294190156"/>
    <s v="UNPLANNED"/>
    <x v="1"/>
    <d v="1899-12-30T16:25:00"/>
    <x v="1"/>
  </r>
  <r>
    <n v="1504"/>
    <x v="7"/>
    <n v="7115271760500"/>
    <x v="334"/>
    <d v="2021-09-08T19:15:00"/>
    <d v="1899-12-30T02:50:00"/>
    <n v="105.88235294190156"/>
    <s v="UNPLANNED"/>
    <x v="1"/>
    <d v="1899-12-30T16:25:00"/>
    <x v="1"/>
  </r>
  <r>
    <n v="1505"/>
    <x v="2"/>
    <n v="12115271573202"/>
    <x v="335"/>
    <d v="2021-09-08T22:00:00"/>
    <d v="1899-12-30T02:30:00"/>
    <n v="120.00000000279397"/>
    <s v="UNPLANNED"/>
    <x v="0"/>
    <d v="1899-12-30T19:30:00"/>
    <x v="1"/>
  </r>
  <r>
    <n v="1506"/>
    <x v="2"/>
    <n v="12115271573201"/>
    <x v="335"/>
    <d v="2021-09-08T22:00:00"/>
    <d v="1899-12-30T02:30:00"/>
    <n v="120.00000000279397"/>
    <s v="UNPLANNED"/>
    <x v="0"/>
    <d v="1899-12-30T19:30:00"/>
    <x v="1"/>
  </r>
  <r>
    <n v="1507"/>
    <x v="2"/>
    <n v="12115271560114"/>
    <x v="335"/>
    <d v="2021-09-08T22:00:00"/>
    <d v="1899-12-30T02:30:00"/>
    <n v="120.00000000279397"/>
    <s v="UNPLANNED"/>
    <x v="1"/>
    <d v="1899-12-30T19:30:00"/>
    <x v="1"/>
  </r>
  <r>
    <n v="1508"/>
    <x v="2"/>
    <n v="12115271560113"/>
    <x v="335"/>
    <d v="2021-09-08T22:00:00"/>
    <d v="1899-12-30T02:30:00"/>
    <n v="120.00000000279397"/>
    <s v="UNPLANNED"/>
    <x v="1"/>
    <d v="1899-12-30T19:30:00"/>
    <x v="1"/>
  </r>
  <r>
    <n v="1509"/>
    <x v="11"/>
    <n v="10115271958202"/>
    <x v="335"/>
    <d v="2021-09-08T22:00:00"/>
    <d v="1899-12-30T02:30:00"/>
    <n v="120.00000000279397"/>
    <s v="UNPLANNED"/>
    <x v="1"/>
    <d v="1899-12-30T19:30:00"/>
    <x v="1"/>
  </r>
  <r>
    <n v="1510"/>
    <x v="11"/>
    <n v="10115271958201"/>
    <x v="335"/>
    <d v="2021-09-08T22:00:00"/>
    <d v="1899-12-30T02:30:00"/>
    <n v="120.00000000279397"/>
    <s v="UNPLANNED"/>
    <x v="1"/>
    <d v="1899-12-30T19:30:00"/>
    <x v="1"/>
  </r>
  <r>
    <n v="1511"/>
    <x v="6"/>
    <n v="9115270642404"/>
    <x v="335"/>
    <d v="2021-09-08T22:00:00"/>
    <d v="1899-12-30T02:30:00"/>
    <n v="120.00000000279397"/>
    <s v="UNPLANNED"/>
    <x v="1"/>
    <d v="1899-12-30T19:30:00"/>
    <x v="1"/>
  </r>
  <r>
    <n v="1512"/>
    <x v="6"/>
    <n v="9115270642403"/>
    <x v="335"/>
    <d v="2021-09-08T22:00:00"/>
    <d v="1899-12-30T02:30:00"/>
    <n v="120.00000000279397"/>
    <s v="UNPLANNED"/>
    <x v="0"/>
    <d v="1899-12-30T19:30:00"/>
    <x v="1"/>
  </r>
  <r>
    <n v="1513"/>
    <x v="5"/>
    <n v="13115271590500"/>
    <x v="336"/>
    <d v="2021-09-08T23:10:00"/>
    <d v="1899-12-30T00:50:00"/>
    <n v="359.99999995809048"/>
    <s v="UNPLANNED"/>
    <x v="0"/>
    <d v="1899-12-30T22:20:00"/>
    <x v="2"/>
  </r>
  <r>
    <n v="1514"/>
    <x v="12"/>
    <n v="14115271673161"/>
    <x v="337"/>
    <d v="2021-09-09T19:25:00"/>
    <d v="1899-12-30T03:15:00"/>
    <n v="92.307692304385839"/>
    <s v="UNPLANNED"/>
    <x v="0"/>
    <d v="1899-12-30T16:10:00"/>
    <x v="1"/>
  </r>
  <r>
    <n v="1515"/>
    <x v="12"/>
    <n v="14115271673148"/>
    <x v="337"/>
    <d v="2021-09-09T19:25:00"/>
    <d v="1899-12-30T03:15:00"/>
    <n v="92.307692304385839"/>
    <s v="UNPLANNED"/>
    <x v="0"/>
    <d v="1899-12-30T16:10:00"/>
    <x v="1"/>
  </r>
  <r>
    <n v="1516"/>
    <x v="2"/>
    <n v="12115271560158"/>
    <x v="337"/>
    <d v="2021-09-09T19:25:00"/>
    <d v="1899-12-30T03:15:00"/>
    <n v="92.307692304385839"/>
    <s v="UNPLANNED"/>
    <x v="0"/>
    <d v="1899-12-30T16:10:00"/>
    <x v="1"/>
  </r>
  <r>
    <n v="1517"/>
    <x v="10"/>
    <n v="11115271542302"/>
    <x v="337"/>
    <d v="2021-09-09T19:25:00"/>
    <d v="1899-12-30T03:15:00"/>
    <n v="92.307692304385839"/>
    <s v="UNPLANNED"/>
    <x v="0"/>
    <d v="1899-12-30T16:10:00"/>
    <x v="1"/>
  </r>
  <r>
    <n v="1518"/>
    <x v="1"/>
    <n v="6115271720801"/>
    <x v="337"/>
    <d v="2021-09-09T19:25:00"/>
    <d v="1899-12-30T03:15:00"/>
    <n v="92.307692304385839"/>
    <s v="UNPLANNED"/>
    <x v="0"/>
    <d v="1899-12-30T16:10:00"/>
    <x v="1"/>
  </r>
  <r>
    <n v="1519"/>
    <x v="13"/>
    <n v="3115270347400"/>
    <x v="337"/>
    <d v="2021-09-09T19:25:00"/>
    <d v="1899-12-30T03:15:00"/>
    <n v="92.307692304385839"/>
    <s v="UNPLANNED"/>
    <x v="0"/>
    <d v="1899-12-30T16:10:00"/>
    <x v="1"/>
  </r>
  <r>
    <n v="1520"/>
    <x v="14"/>
    <n v="1115270127100"/>
    <x v="337"/>
    <d v="2021-09-09T19:25:00"/>
    <d v="1899-12-30T03:15:00"/>
    <n v="92.307692304385839"/>
    <s v="UNPLANNED"/>
    <x v="1"/>
    <d v="1899-12-30T16:10:00"/>
    <x v="1"/>
  </r>
  <r>
    <n v="1521"/>
    <x v="4"/>
    <n v="15115271778601"/>
    <x v="338"/>
    <d v="2021-09-09T21:50:00"/>
    <d v="1899-12-30T02:05:00"/>
    <n v="144.00000000134111"/>
    <s v="UNPLANNED"/>
    <x v="0"/>
    <d v="1899-12-30T19:45:00"/>
    <x v="1"/>
  </r>
  <r>
    <n v="1522"/>
    <x v="4"/>
    <n v="15115271766713"/>
    <x v="338"/>
    <d v="2021-09-09T21:50:00"/>
    <d v="1899-12-30T02:05:00"/>
    <n v="144.00000000134111"/>
    <s v="UNPLANNED"/>
    <x v="1"/>
    <d v="1899-12-30T19:45:00"/>
    <x v="1"/>
  </r>
  <r>
    <n v="1523"/>
    <x v="4"/>
    <n v="15115271747901"/>
    <x v="338"/>
    <d v="2021-09-09T21:50:00"/>
    <d v="1899-12-30T02:05:00"/>
    <n v="144.00000000134111"/>
    <s v="UNPLANNED"/>
    <x v="1"/>
    <d v="1899-12-30T19:45:00"/>
    <x v="1"/>
  </r>
  <r>
    <n v="1524"/>
    <x v="12"/>
    <n v="14115271710816"/>
    <x v="338"/>
    <d v="2021-09-09T21:50:00"/>
    <d v="1899-12-30T02:05:00"/>
    <n v="144.00000000134111"/>
    <s v="UNPLANNED"/>
    <x v="1"/>
    <d v="1899-12-30T19:45:00"/>
    <x v="1"/>
  </r>
  <r>
    <n v="1525"/>
    <x v="10"/>
    <n v="11115271542604"/>
    <x v="338"/>
    <d v="2021-09-09T21:50:00"/>
    <d v="1899-12-30T02:05:00"/>
    <n v="144.00000000134111"/>
    <s v="UNPLANNED"/>
    <x v="0"/>
    <d v="1899-12-30T19:45:00"/>
    <x v="1"/>
  </r>
  <r>
    <n v="1526"/>
    <x v="11"/>
    <n v="10115271449901"/>
    <x v="338"/>
    <d v="2021-09-09T21:50:00"/>
    <d v="1899-12-30T02:05:00"/>
    <n v="144.00000000134111"/>
    <s v="UNPLANNED"/>
    <x v="0"/>
    <d v="1899-12-30T19:45:00"/>
    <x v="1"/>
  </r>
  <r>
    <n v="1527"/>
    <x v="14"/>
    <n v="1115270114700"/>
    <x v="338"/>
    <d v="2021-09-09T21:50:00"/>
    <d v="1899-12-30T02:05:00"/>
    <n v="144.00000000134111"/>
    <s v="UNPLANNED"/>
    <x v="0"/>
    <d v="1899-12-30T19:45:00"/>
    <x v="1"/>
  </r>
  <r>
    <n v="1528"/>
    <x v="14"/>
    <n v="1115270075300"/>
    <x v="338"/>
    <d v="2021-09-09T21:50:00"/>
    <d v="1899-12-30T02:05:00"/>
    <n v="144.00000000134111"/>
    <s v="UNPLANNED"/>
    <x v="0"/>
    <d v="1899-12-30T19:45:00"/>
    <x v="1"/>
  </r>
  <r>
    <n v="1529"/>
    <x v="13"/>
    <n v="3115270310509"/>
    <x v="339"/>
    <d v="2021-09-09T23:20:00"/>
    <d v="1899-12-30T00:50:00"/>
    <n v="360.00000003352761"/>
    <s v="UNPLANNED"/>
    <x v="2"/>
    <d v="1899-12-30T22:30:00"/>
    <x v="2"/>
  </r>
  <r>
    <n v="1530"/>
    <x v="13"/>
    <n v="3115270396000"/>
    <x v="340"/>
    <d v="2021-09-10T01:30:00"/>
    <d v="1899-12-30T01:45:00"/>
    <n v="171.42857143427341"/>
    <s v="UNPLANNED"/>
    <x v="0"/>
    <d v="1899-12-30T23:45:00"/>
    <x v="2"/>
  </r>
  <r>
    <n v="1531"/>
    <x v="14"/>
    <n v="1115270141100"/>
    <x v="340"/>
    <d v="2021-09-10T01:30:00"/>
    <d v="1899-12-30T01:45:00"/>
    <n v="171.42857143427341"/>
    <s v="UNPLANNED"/>
    <x v="0"/>
    <d v="1899-12-30T23:45:00"/>
    <x v="2"/>
  </r>
  <r>
    <n v="1532"/>
    <x v="11"/>
    <n v="10115271963400"/>
    <x v="341"/>
    <d v="2021-09-10T10:25:00"/>
    <d v="1899-12-30T01:55:00"/>
    <n v="156.52173911934341"/>
    <s v="UNPLANNED"/>
    <x v="2"/>
    <d v="1899-12-30T08:30:00"/>
    <x v="0"/>
  </r>
  <r>
    <n v="1533"/>
    <x v="7"/>
    <n v="7115271802909"/>
    <x v="341"/>
    <d v="2021-09-10T10:25:00"/>
    <d v="1899-12-30T01:55:00"/>
    <n v="156.52173911934341"/>
    <s v="UNPLANNED"/>
    <x v="1"/>
    <d v="1899-12-30T08:30:00"/>
    <x v="0"/>
  </r>
  <r>
    <n v="1534"/>
    <x v="14"/>
    <n v="1115270147200"/>
    <x v="341"/>
    <d v="2021-09-10T10:25:00"/>
    <d v="1899-12-30T01:55:00"/>
    <n v="156.52173911934341"/>
    <s v="UNPLANNED"/>
    <x v="0"/>
    <d v="1899-12-30T08:30:00"/>
    <x v="0"/>
  </r>
  <r>
    <n v="1535"/>
    <x v="12"/>
    <n v="14115271672401"/>
    <x v="342"/>
    <d v="2021-09-10T13:50:00"/>
    <d v="1899-12-30T02:50:00"/>
    <n v="105.88235294190156"/>
    <s v="UNPLANNED"/>
    <x v="0"/>
    <d v="1899-12-30T11:00:00"/>
    <x v="0"/>
  </r>
  <r>
    <n v="1536"/>
    <x v="2"/>
    <n v="12115271561331"/>
    <x v="342"/>
    <d v="2021-09-10T13:50:00"/>
    <d v="1899-12-30T02:50:00"/>
    <n v="105.88235294190156"/>
    <s v="UNPLANNED"/>
    <x v="1"/>
    <d v="1899-12-30T11:00:00"/>
    <x v="0"/>
  </r>
  <r>
    <n v="1537"/>
    <x v="11"/>
    <n v="10115271958201"/>
    <x v="342"/>
    <d v="2021-09-10T13:50:00"/>
    <d v="1899-12-30T02:50:00"/>
    <n v="105.88235294190156"/>
    <s v="UNPLANNED"/>
    <x v="0"/>
    <d v="1899-12-30T11:00:00"/>
    <x v="0"/>
  </r>
  <r>
    <n v="1538"/>
    <x v="11"/>
    <n v="10115271439601"/>
    <x v="342"/>
    <d v="2021-09-10T13:50:00"/>
    <d v="1899-12-30T02:50:00"/>
    <n v="105.88235294190156"/>
    <s v="UNPLANNED"/>
    <x v="1"/>
    <d v="1899-12-30T11:00:00"/>
    <x v="0"/>
  </r>
  <r>
    <n v="1539"/>
    <x v="3"/>
    <n v="8115271841402"/>
    <x v="342"/>
    <d v="2021-09-10T13:50:00"/>
    <d v="1899-12-30T02:50:00"/>
    <n v="105.88235294190156"/>
    <s v="UNPLANNED"/>
    <x v="1"/>
    <d v="1899-12-30T11:00:00"/>
    <x v="0"/>
  </r>
  <r>
    <n v="1540"/>
    <x v="7"/>
    <n v="7115271792410"/>
    <x v="342"/>
    <d v="2021-09-10T13:50:00"/>
    <d v="1899-12-30T02:50:00"/>
    <n v="105.88235294190156"/>
    <s v="UNPLANNED"/>
    <x v="1"/>
    <d v="1899-12-30T11:00:00"/>
    <x v="0"/>
  </r>
  <r>
    <n v="1541"/>
    <x v="1"/>
    <n v="6115271745000"/>
    <x v="342"/>
    <d v="2021-09-10T13:50:00"/>
    <d v="1899-12-30T02:50:00"/>
    <n v="105.88235294190156"/>
    <s v="UNPLANNED"/>
    <x v="1"/>
    <d v="1899-12-30T11:00:00"/>
    <x v="0"/>
  </r>
  <r>
    <n v="1542"/>
    <x v="13"/>
    <n v="3115270306801"/>
    <x v="342"/>
    <d v="2021-09-10T13:50:00"/>
    <d v="1899-12-30T02:50:00"/>
    <n v="105.88235294190156"/>
    <s v="UNPLANNED"/>
    <x v="6"/>
    <d v="1899-12-30T11:00:00"/>
    <x v="0"/>
  </r>
  <r>
    <n v="1543"/>
    <x v="1"/>
    <n v="6115271725410"/>
    <x v="343"/>
    <d v="2021-09-10T21:40:00"/>
    <d v="1899-12-30T01:55:00"/>
    <n v="156.52173911934341"/>
    <s v="UNPLANNED"/>
    <x v="1"/>
    <d v="1899-12-30T19:45:00"/>
    <x v="1"/>
  </r>
  <r>
    <n v="1544"/>
    <x v="13"/>
    <n v="3115270396400"/>
    <x v="343"/>
    <d v="2021-09-10T21:40:00"/>
    <d v="1899-12-30T01:55:00"/>
    <n v="156.52173911934341"/>
    <s v="UNPLANNED"/>
    <x v="1"/>
    <d v="1899-12-30T19:45:00"/>
    <x v="1"/>
  </r>
  <r>
    <n v="1545"/>
    <x v="14"/>
    <n v="1115270135600"/>
    <x v="343"/>
    <d v="2021-09-10T21:40:00"/>
    <d v="1899-12-30T01:55:00"/>
    <n v="156.52173911934341"/>
    <s v="UNPLANNED"/>
    <x v="0"/>
    <d v="1899-12-30T19:45:00"/>
    <x v="1"/>
  </r>
  <r>
    <n v="1546"/>
    <x v="10"/>
    <n v="11115271550504"/>
    <x v="344"/>
    <d v="2021-09-10T23:30:00"/>
    <d v="1899-12-30T00:40:00"/>
    <n v="450.00000006548362"/>
    <s v="UNPLANNED"/>
    <x v="0"/>
    <d v="1899-12-30T22:50:00"/>
    <x v="2"/>
  </r>
  <r>
    <n v="1547"/>
    <x v="1"/>
    <n v="6115271740819"/>
    <x v="345"/>
    <d v="2021-09-11T10:00:00"/>
    <d v="1899-12-30T01:34:00"/>
    <n v="191.489361718254"/>
    <s v="UNPLANNED"/>
    <x v="1"/>
    <d v="1899-12-30T08:26:00"/>
    <x v="0"/>
  </r>
  <r>
    <n v="1548"/>
    <x v="1"/>
    <n v="6115271740818"/>
    <x v="345"/>
    <d v="2021-09-11T10:00:00"/>
    <d v="1899-12-30T01:34:00"/>
    <n v="191.489361718254"/>
    <s v="UNPLANNED"/>
    <x v="2"/>
    <d v="1899-12-30T08:26:00"/>
    <x v="0"/>
  </r>
  <r>
    <n v="1549"/>
    <x v="1"/>
    <n v="6115271740810"/>
    <x v="345"/>
    <d v="2021-09-11T10:00:00"/>
    <d v="1899-12-30T01:34:00"/>
    <n v="191.489361718254"/>
    <s v="UNPLANNED"/>
    <x v="1"/>
    <d v="1899-12-30T08:26:00"/>
    <x v="0"/>
  </r>
  <r>
    <n v="1550"/>
    <x v="16"/>
    <n v="27115270571708"/>
    <x v="346"/>
    <d v="2021-09-11T11:55:00"/>
    <d v="1899-12-30T00:30:00"/>
    <n v="599.99999993015081"/>
    <s v="UNPLANNED"/>
    <x v="1"/>
    <d v="1899-12-30T11:25:00"/>
    <x v="0"/>
  </r>
  <r>
    <n v="1551"/>
    <x v="16"/>
    <n v="27115270571707"/>
    <x v="346"/>
    <d v="2021-09-11T13:55:00"/>
    <d v="1899-12-30T02:30:00"/>
    <n v="120.00000000279397"/>
    <s v="UNPLANNED"/>
    <x v="1"/>
    <d v="1899-12-30T11:25:00"/>
    <x v="0"/>
  </r>
  <r>
    <n v="1552"/>
    <x v="16"/>
    <n v="27115270571700"/>
    <x v="346"/>
    <d v="2021-09-11T13:55:00"/>
    <d v="1899-12-30T02:30:00"/>
    <n v="120.00000000279397"/>
    <s v="UNPLANNED"/>
    <x v="1"/>
    <d v="1899-12-30T11:25:00"/>
    <x v="0"/>
  </r>
  <r>
    <n v="1553"/>
    <x v="10"/>
    <n v="11115271542609"/>
    <x v="347"/>
    <d v="2021-09-11T20:25:00"/>
    <d v="1899-12-30T02:40:00"/>
    <n v="112.50000000163709"/>
    <s v="UNPLANNED"/>
    <x v="0"/>
    <d v="1899-12-30T17:45:00"/>
    <x v="1"/>
  </r>
  <r>
    <n v="1554"/>
    <x v="10"/>
    <n v="11115271542606"/>
    <x v="347"/>
    <d v="2021-09-11T20:25:00"/>
    <d v="1899-12-30T02:40:00"/>
    <n v="112.50000000163709"/>
    <s v="UNPLANNED"/>
    <x v="0"/>
    <d v="1899-12-30T17:45:00"/>
    <x v="1"/>
  </r>
  <r>
    <n v="1555"/>
    <x v="10"/>
    <n v="11115271542605"/>
    <x v="347"/>
    <d v="2021-09-11T20:25:00"/>
    <d v="1899-12-30T02:40:00"/>
    <n v="112.50000000163709"/>
    <s v="UNPLANNED"/>
    <x v="2"/>
    <d v="1899-12-30T17:45:00"/>
    <x v="1"/>
  </r>
  <r>
    <n v="1556"/>
    <x v="11"/>
    <n v="10115271958901"/>
    <x v="347"/>
    <d v="2021-09-11T20:25:00"/>
    <d v="1899-12-30T02:40:00"/>
    <n v="112.50000000163709"/>
    <s v="UNPLANNED"/>
    <x v="2"/>
    <d v="1899-12-30T17:45:00"/>
    <x v="1"/>
  </r>
  <r>
    <n v="1557"/>
    <x v="11"/>
    <n v="10115271958901"/>
    <x v="347"/>
    <d v="2021-09-11T20:25:00"/>
    <d v="1899-12-30T02:40:00"/>
    <n v="112.50000000163709"/>
    <s v="UNPLANNED"/>
    <x v="0"/>
    <d v="1899-12-30T17:45:00"/>
    <x v="1"/>
  </r>
  <r>
    <n v="1558"/>
    <x v="11"/>
    <n v="10115271958900"/>
    <x v="347"/>
    <d v="2021-09-11T20:25:00"/>
    <d v="1899-12-30T02:40:00"/>
    <n v="112.50000000163709"/>
    <s v="UNPLANNED"/>
    <x v="0"/>
    <d v="1899-12-30T17:45:00"/>
    <x v="1"/>
  </r>
  <r>
    <n v="1559"/>
    <x v="1"/>
    <n v="6115271743202"/>
    <x v="347"/>
    <d v="2021-09-11T20:25:00"/>
    <d v="1899-12-30T02:40:00"/>
    <n v="112.50000000163709"/>
    <s v="UNPLANNED"/>
    <x v="0"/>
    <d v="1899-12-30T17:45:00"/>
    <x v="1"/>
  </r>
  <r>
    <n v="1560"/>
    <x v="1"/>
    <n v="6115271743202"/>
    <x v="347"/>
    <d v="2021-09-11T20:25:00"/>
    <d v="1899-12-30T02:40:00"/>
    <n v="112.50000000163709"/>
    <s v="UNPLANNED"/>
    <x v="1"/>
    <d v="1899-12-30T17:45:00"/>
    <x v="1"/>
  </r>
  <r>
    <n v="1561"/>
    <x v="1"/>
    <n v="6115271743201"/>
    <x v="347"/>
    <d v="2021-09-11T20:25:00"/>
    <d v="1899-12-30T02:40:00"/>
    <n v="112.50000000163709"/>
    <s v="UNPLANNED"/>
    <x v="0"/>
    <d v="1899-12-30T17:45:00"/>
    <x v="1"/>
  </r>
  <r>
    <n v="1562"/>
    <x v="13"/>
    <n v="3115270350703"/>
    <x v="347"/>
    <d v="2021-09-11T20:25:00"/>
    <d v="1899-12-30T02:40:00"/>
    <n v="112.50000000163709"/>
    <s v="UNPLANNED"/>
    <x v="0"/>
    <d v="1899-12-30T17:45:00"/>
    <x v="1"/>
  </r>
  <r>
    <n v="1563"/>
    <x v="13"/>
    <n v="3115270350701"/>
    <x v="347"/>
    <d v="2021-09-11T20:25:00"/>
    <d v="1899-12-30T02:40:00"/>
    <n v="112.50000000163709"/>
    <s v="UNPLANNED"/>
    <x v="0"/>
    <d v="1899-12-30T17:45:00"/>
    <x v="1"/>
  </r>
  <r>
    <n v="1564"/>
    <x v="13"/>
    <n v="3115270350700"/>
    <x v="347"/>
    <d v="2021-09-11T20:25:00"/>
    <d v="1899-12-30T02:40:00"/>
    <n v="112.50000000163709"/>
    <s v="UNPLANNED"/>
    <x v="1"/>
    <d v="1899-12-30T17:45:00"/>
    <x v="1"/>
  </r>
  <r>
    <n v="1565"/>
    <x v="7"/>
    <n v="7115271774717"/>
    <x v="348"/>
    <d v="2021-09-11T23:40:00"/>
    <d v="1899-12-30T03:10:00"/>
    <n v="94.736842104682694"/>
    <s v="UNPLANNED"/>
    <x v="0"/>
    <d v="1899-12-30T20:30:00"/>
    <x v="1"/>
  </r>
  <r>
    <n v="1566"/>
    <x v="7"/>
    <n v="7115271774713"/>
    <x v="348"/>
    <d v="2021-09-11T23:40:00"/>
    <d v="1899-12-30T03:10:00"/>
    <n v="94.736842104682694"/>
    <s v="UNPLANNED"/>
    <x v="2"/>
    <d v="1899-12-30T20:30:00"/>
    <x v="1"/>
  </r>
  <r>
    <n v="1567"/>
    <x v="1"/>
    <n v="6115271749100"/>
    <x v="349"/>
    <d v="2021-09-12T10:40:00"/>
    <d v="1899-12-30T02:10:00"/>
    <n v="138.46153845657875"/>
    <s v="UNPLANNED"/>
    <x v="1"/>
    <d v="1899-12-30T08:30:00"/>
    <x v="0"/>
  </r>
  <r>
    <n v="1568"/>
    <x v="13"/>
    <n v="3115270315800"/>
    <x v="349"/>
    <d v="2021-09-12T10:40:00"/>
    <d v="1899-12-30T02:10:00"/>
    <n v="138.46153845657875"/>
    <s v="UNPLANNED"/>
    <x v="1"/>
    <d v="1899-12-30T08:30:00"/>
    <x v="0"/>
  </r>
  <r>
    <n v="1569"/>
    <x v="13"/>
    <n v="3115270308000"/>
    <x v="349"/>
    <d v="2021-09-12T10:40:00"/>
    <d v="1899-12-30T02:10:00"/>
    <n v="138.46153845657875"/>
    <s v="UNPLANNED"/>
    <x v="1"/>
    <d v="1899-12-30T08:30:00"/>
    <x v="0"/>
  </r>
  <r>
    <n v="1570"/>
    <x v="14"/>
    <n v="1115270001800"/>
    <x v="350"/>
    <d v="2021-09-12T13:30:00"/>
    <d v="1899-12-30T00:30:00"/>
    <n v="599.99999993015081"/>
    <s v="UNPLANNED"/>
    <x v="1"/>
    <d v="1899-12-30T13:00:00"/>
    <x v="0"/>
  </r>
  <r>
    <n v="1571"/>
    <x v="11"/>
    <n v="10115271963500"/>
    <x v="351"/>
    <d v="2021-09-12T16:40:00"/>
    <d v="1899-12-30T01:40:00"/>
    <n v="179.99999999790452"/>
    <s v="UNPLANNED"/>
    <x v="1"/>
    <d v="1899-12-30T15:00:00"/>
    <x v="1"/>
  </r>
  <r>
    <n v="1572"/>
    <x v="1"/>
    <n v="6115271735307"/>
    <x v="351"/>
    <d v="2021-09-12T16:40:00"/>
    <d v="1899-12-30T01:40:00"/>
    <n v="179.99999999790452"/>
    <s v="UNPLANNED"/>
    <x v="0"/>
    <d v="1899-12-30T15:00:00"/>
    <x v="1"/>
  </r>
  <r>
    <n v="1573"/>
    <x v="14"/>
    <n v="1115270143300"/>
    <x v="351"/>
    <d v="2021-09-12T16:40:00"/>
    <d v="1899-12-30T01:40:00"/>
    <n v="179.99999999790452"/>
    <s v="UNPLANNED"/>
    <x v="0"/>
    <d v="1899-12-30T15:00:00"/>
    <x v="1"/>
  </r>
  <r>
    <n v="1574"/>
    <x v="3"/>
    <n v="8115271810101"/>
    <x v="352"/>
    <d v="2021-09-12T19:00:00"/>
    <d v="1899-12-30T02:00:00"/>
    <n v="150.00000000873115"/>
    <s v="UNPLANNED"/>
    <x v="2"/>
    <d v="1899-12-30T17:00:00"/>
    <x v="1"/>
  </r>
  <r>
    <n v="1575"/>
    <x v="7"/>
    <n v="7115271774601"/>
    <x v="352"/>
    <d v="2021-09-12T19:00:00"/>
    <d v="1899-12-30T02:00:00"/>
    <n v="150.00000000873115"/>
    <s v="UNPLANNED"/>
    <x v="0"/>
    <d v="1899-12-30T17:00:00"/>
    <x v="1"/>
  </r>
  <r>
    <n v="1576"/>
    <x v="8"/>
    <n v="4115270845300"/>
    <x v="352"/>
    <d v="2021-09-12T19:00:00"/>
    <d v="1899-12-30T02:00:00"/>
    <n v="150.00000000873115"/>
    <s v="UNPLANNED"/>
    <x v="1"/>
    <d v="1899-12-30T17:00:00"/>
    <x v="1"/>
  </r>
  <r>
    <n v="1577"/>
    <x v="4"/>
    <n v="15115271771700"/>
    <x v="353"/>
    <d v="2021-09-12T21:35:00"/>
    <d v="1899-12-30T02:05:00"/>
    <n v="144.00000000134111"/>
    <s v="UNPLANNED"/>
    <x v="0"/>
    <d v="1899-12-30T19:30:00"/>
    <x v="1"/>
  </r>
  <r>
    <n v="1578"/>
    <x v="4"/>
    <n v="15115271743705"/>
    <x v="353"/>
    <d v="2021-09-12T21:35:00"/>
    <d v="1899-12-30T02:05:00"/>
    <n v="144.00000000134111"/>
    <s v="UNPLANNED"/>
    <x v="2"/>
    <d v="1899-12-30T19:30:00"/>
    <x v="1"/>
  </r>
  <r>
    <n v="1579"/>
    <x v="7"/>
    <n v="7115271774419"/>
    <x v="353"/>
    <d v="2021-09-12T21:35:00"/>
    <d v="1899-12-30T02:05:00"/>
    <n v="144.00000000134111"/>
    <s v="UNPLANNED"/>
    <x v="2"/>
    <d v="1899-12-30T19:30:00"/>
    <x v="1"/>
  </r>
  <r>
    <n v="1580"/>
    <x v="6"/>
    <n v="9115271903904"/>
    <x v="354"/>
    <d v="2021-09-13T11:30:00"/>
    <d v="1899-12-30T02:00:00"/>
    <n v="150.00000000873115"/>
    <s v="UNPLANNED"/>
    <x v="0"/>
    <d v="1899-12-30T09:30:00"/>
    <x v="0"/>
  </r>
  <r>
    <n v="1581"/>
    <x v="6"/>
    <n v="9115271903900"/>
    <x v="354"/>
    <d v="2021-09-13T11:30:00"/>
    <d v="1899-12-30T02:00:00"/>
    <n v="150.00000000873115"/>
    <s v="UNPLANNED"/>
    <x v="0"/>
    <d v="1899-12-30T09:30:00"/>
    <x v="0"/>
  </r>
  <r>
    <n v="1582"/>
    <x v="7"/>
    <n v="7115271771007"/>
    <x v="354"/>
    <d v="2021-09-13T11:30:00"/>
    <d v="1899-12-30T02:00:00"/>
    <n v="150.00000000873115"/>
    <s v="UNPLANNED"/>
    <x v="0"/>
    <d v="1899-12-30T09:30:00"/>
    <x v="0"/>
  </r>
  <r>
    <n v="1583"/>
    <x v="7"/>
    <n v="7115271771002"/>
    <x v="354"/>
    <d v="2021-09-13T11:30:00"/>
    <d v="1899-12-30T02:00:00"/>
    <n v="150.00000000873115"/>
    <s v="UNPLANNED"/>
    <x v="0"/>
    <d v="1899-12-30T09:30:00"/>
    <x v="0"/>
  </r>
  <r>
    <n v="1584"/>
    <x v="9"/>
    <n v="2115270250401"/>
    <x v="354"/>
    <d v="2021-09-13T11:30:00"/>
    <d v="1899-12-30T02:00:00"/>
    <n v="150.00000000873115"/>
    <s v="UNPLANNED"/>
    <x v="1"/>
    <d v="1899-12-30T09:30:00"/>
    <x v="0"/>
  </r>
  <r>
    <n v="1585"/>
    <x v="9"/>
    <n v="2115270250400"/>
    <x v="354"/>
    <d v="2021-09-13T11:30:00"/>
    <d v="1899-12-30T02:00:00"/>
    <n v="150.00000000873115"/>
    <s v="UNPLANNED"/>
    <x v="2"/>
    <d v="1899-12-30T09:30:00"/>
    <x v="0"/>
  </r>
  <r>
    <n v="1586"/>
    <x v="12"/>
    <n v="14115271672417"/>
    <x v="355"/>
    <d v="2021-09-13T14:00:00"/>
    <d v="1899-12-30T01:55:00"/>
    <n v="156.52173911934341"/>
    <s v="UNPLANNED"/>
    <x v="1"/>
    <d v="1899-12-30T12:05:00"/>
    <x v="0"/>
  </r>
  <r>
    <n v="1587"/>
    <x v="12"/>
    <n v="14115271672410"/>
    <x v="355"/>
    <d v="2021-09-13T14:00:00"/>
    <d v="1899-12-30T01:55:00"/>
    <n v="156.52173911934341"/>
    <s v="UNPLANNED"/>
    <x v="1"/>
    <d v="1899-12-30T12:05:00"/>
    <x v="0"/>
  </r>
  <r>
    <n v="1588"/>
    <x v="13"/>
    <n v="3115270382405"/>
    <x v="355"/>
    <d v="2021-09-13T14:00:00"/>
    <d v="1899-12-30T01:55:00"/>
    <n v="156.52173911934341"/>
    <s v="UNPLANNED"/>
    <x v="1"/>
    <d v="1899-12-30T12:05:00"/>
    <x v="0"/>
  </r>
  <r>
    <n v="1589"/>
    <x v="13"/>
    <n v="3115270382400"/>
    <x v="355"/>
    <d v="2021-09-13T14:00:00"/>
    <d v="1899-12-30T01:55:00"/>
    <n v="156.52173911934341"/>
    <s v="UNPLANNED"/>
    <x v="6"/>
    <d v="1899-12-30T12:05:00"/>
    <x v="0"/>
  </r>
  <r>
    <n v="1590"/>
    <x v="13"/>
    <n v="3115270324503"/>
    <x v="355"/>
    <d v="2021-09-13T14:00:00"/>
    <d v="1899-12-30T01:55:00"/>
    <n v="156.52173911934341"/>
    <s v="UNPLANNED"/>
    <x v="0"/>
    <d v="1899-12-30T12:05:00"/>
    <x v="0"/>
  </r>
  <r>
    <n v="1591"/>
    <x v="13"/>
    <n v="3115270324502"/>
    <x v="355"/>
    <d v="2021-09-13T14:00:00"/>
    <d v="1899-12-30T01:55:00"/>
    <n v="156.52173911934341"/>
    <s v="UNPLANNED"/>
    <x v="0"/>
    <d v="1899-12-30T12:05:00"/>
    <x v="0"/>
  </r>
  <r>
    <n v="1592"/>
    <x v="13"/>
    <n v="3115270324409"/>
    <x v="356"/>
    <d v="2021-09-13T20:25:00"/>
    <d v="1899-12-30T00:45:00"/>
    <n v="400"/>
    <s v="UNPLANNED"/>
    <x v="1"/>
    <d v="1899-12-30T19:40:00"/>
    <x v="1"/>
  </r>
  <r>
    <n v="1593"/>
    <x v="13"/>
    <n v="3115270324405"/>
    <x v="356"/>
    <d v="2021-09-13T20:25:00"/>
    <d v="1899-12-30T00:45:00"/>
    <n v="400"/>
    <s v="UNPLANNED"/>
    <x v="0"/>
    <d v="1899-12-30T19:40:00"/>
    <x v="1"/>
  </r>
  <r>
    <n v="1594"/>
    <x v="13"/>
    <n v="3115270324401"/>
    <x v="356"/>
    <d v="2021-09-13T20:25:00"/>
    <d v="1899-12-30T00:45:00"/>
    <n v="400"/>
    <s v="UNPLANNED"/>
    <x v="0"/>
    <d v="1899-12-30T19:40:00"/>
    <x v="1"/>
  </r>
  <r>
    <n v="1595"/>
    <x v="7"/>
    <n v="7115271802208"/>
    <x v="357"/>
    <d v="2021-09-13T21:50:00"/>
    <d v="1899-12-30T00:35:00"/>
    <n v="514.28571430282022"/>
    <s v="UNPLANNED"/>
    <x v="1"/>
    <d v="1899-12-30T21:15:00"/>
    <x v="1"/>
  </r>
  <r>
    <n v="1596"/>
    <x v="7"/>
    <n v="7115271802208"/>
    <x v="357"/>
    <d v="2021-09-13T21:50:00"/>
    <d v="1899-12-30T00:35:00"/>
    <n v="514.28571430282022"/>
    <s v="UNPLANNED"/>
    <x v="6"/>
    <d v="1899-12-30T21:15:00"/>
    <x v="1"/>
  </r>
  <r>
    <n v="1597"/>
    <x v="7"/>
    <n v="7115271802204"/>
    <x v="357"/>
    <d v="2021-09-13T21:50:00"/>
    <d v="1899-12-30T00:35:00"/>
    <n v="514.28571430282022"/>
    <s v="UNPLANNED"/>
    <x v="1"/>
    <d v="1899-12-30T21:15:00"/>
    <x v="1"/>
  </r>
  <r>
    <n v="1598"/>
    <x v="13"/>
    <n v="3115270350307"/>
    <x v="358"/>
    <d v="2021-09-13T23:15:00"/>
    <d v="1899-12-30T00:45:00"/>
    <n v="400"/>
    <s v="UNPLANNED"/>
    <x v="1"/>
    <d v="1899-12-30T22:30:00"/>
    <x v="2"/>
  </r>
  <r>
    <n v="1599"/>
    <x v="13"/>
    <n v="3115270350300"/>
    <x v="358"/>
    <d v="2021-09-13T23:15:00"/>
    <d v="1899-12-30T00:45:00"/>
    <n v="400"/>
    <s v="UNPLANNED"/>
    <x v="6"/>
    <d v="1899-12-30T22:30:00"/>
    <x v="2"/>
  </r>
  <r>
    <n v="1600"/>
    <x v="11"/>
    <n v="10115271964012"/>
    <x v="359"/>
    <d v="2021-09-14T01:45:00"/>
    <d v="1899-12-30T01:25:00"/>
    <n v="211.76470589685451"/>
    <s v="UNPLANNED"/>
    <x v="0"/>
    <d v="1899-12-30T00:20:00"/>
    <x v="2"/>
  </r>
  <r>
    <n v="1601"/>
    <x v="11"/>
    <n v="10115271964010"/>
    <x v="359"/>
    <d v="2021-09-14T01:45:00"/>
    <d v="1899-12-30T01:25:00"/>
    <n v="211.76470589685451"/>
    <s v="UNPLANNED"/>
    <x v="1"/>
    <d v="1899-12-30T00:20:00"/>
    <x v="2"/>
  </r>
  <r>
    <n v="1602"/>
    <x v="11"/>
    <n v="10115271964002"/>
    <x v="359"/>
    <d v="2021-09-14T01:45:00"/>
    <d v="1899-12-30T01:25:00"/>
    <n v="211.76470589685451"/>
    <s v="UNPLANNED"/>
    <x v="0"/>
    <d v="1899-12-30T00:20:00"/>
    <x v="2"/>
  </r>
  <r>
    <n v="1603"/>
    <x v="11"/>
    <n v="10115271964001"/>
    <x v="359"/>
    <d v="2021-09-14T01:45:00"/>
    <d v="1899-12-30T01:25:00"/>
    <n v="211.76470589685451"/>
    <s v="UNPLANNED"/>
    <x v="1"/>
    <d v="1899-12-30T00:20:00"/>
    <x v="2"/>
  </r>
  <r>
    <n v="1604"/>
    <x v="11"/>
    <n v="10115271964000"/>
    <x v="359"/>
    <d v="2021-09-14T01:45:00"/>
    <d v="1899-12-30T01:25:00"/>
    <n v="211.76470589685451"/>
    <s v="UNPLANNED"/>
    <x v="1"/>
    <d v="1899-12-30T00:20:00"/>
    <x v="2"/>
  </r>
  <r>
    <n v="1605"/>
    <x v="7"/>
    <n v="7115271799228"/>
    <x v="359"/>
    <d v="2021-09-14T01:45:00"/>
    <d v="1899-12-30T01:25:00"/>
    <n v="211.76470589685451"/>
    <s v="UNPLANNED"/>
    <x v="1"/>
    <d v="1899-12-30T00:20:00"/>
    <x v="2"/>
  </r>
  <r>
    <n v="1606"/>
    <x v="7"/>
    <n v="7115271799227"/>
    <x v="359"/>
    <d v="2021-09-14T01:45:00"/>
    <d v="1899-12-30T01:25:00"/>
    <n v="211.76470589685451"/>
    <s v="UNPLANNED"/>
    <x v="2"/>
    <d v="1899-12-30T00:20:00"/>
    <x v="2"/>
  </r>
  <r>
    <n v="1607"/>
    <x v="7"/>
    <n v="7115271799226"/>
    <x v="359"/>
    <d v="2021-09-14T01:45:00"/>
    <d v="1899-12-30T01:25:00"/>
    <n v="211.76470589685451"/>
    <s v="UNPLANNED"/>
    <x v="1"/>
    <d v="1899-12-30T00:20:00"/>
    <x v="2"/>
  </r>
  <r>
    <n v="1608"/>
    <x v="7"/>
    <n v="7115271799216"/>
    <x v="359"/>
    <d v="2021-09-14T01:45:00"/>
    <d v="1899-12-30T01:25:00"/>
    <n v="211.76470589685451"/>
    <s v="UNPLANNED"/>
    <x v="1"/>
    <d v="1899-12-30T00:20:00"/>
    <x v="2"/>
  </r>
  <r>
    <n v="1609"/>
    <x v="10"/>
    <n v="11115271547014"/>
    <x v="360"/>
    <d v="2021-09-14T13:00:00"/>
    <d v="1899-12-30T00:30:00"/>
    <n v="600.00000013969839"/>
    <s v="UNPLANNED"/>
    <x v="1"/>
    <d v="1899-12-30T12:30:00"/>
    <x v="0"/>
  </r>
  <r>
    <n v="1610"/>
    <x v="10"/>
    <n v="11115271547012"/>
    <x v="360"/>
    <d v="2021-09-14T13:00:00"/>
    <d v="1899-12-30T00:30:00"/>
    <n v="600.00000013969839"/>
    <s v="UNPLANNED"/>
    <x v="1"/>
    <d v="1899-12-30T12:30:00"/>
    <x v="0"/>
  </r>
  <r>
    <n v="1611"/>
    <x v="10"/>
    <n v="11115271547004"/>
    <x v="360"/>
    <d v="2021-09-14T13:00:00"/>
    <d v="1899-12-30T00:30:00"/>
    <n v="600.00000013969839"/>
    <s v="UNPLANNED"/>
    <x v="0"/>
    <d v="1899-12-30T12:30:00"/>
    <x v="0"/>
  </r>
  <r>
    <n v="1612"/>
    <x v="10"/>
    <n v="11115271547003"/>
    <x v="360"/>
    <d v="2021-09-14T13:00:00"/>
    <d v="1899-12-30T00:30:00"/>
    <n v="600.00000013969839"/>
    <s v="UNPLANNED"/>
    <x v="0"/>
    <d v="1899-12-30T12:30:00"/>
    <x v="0"/>
  </r>
  <r>
    <n v="1613"/>
    <x v="10"/>
    <n v="11115271547002"/>
    <x v="360"/>
    <d v="2021-09-14T13:00:00"/>
    <d v="1899-12-30T00:30:00"/>
    <n v="600.00000013969839"/>
    <s v="UNPLANNED"/>
    <x v="0"/>
    <d v="1899-12-30T12:30:00"/>
    <x v="0"/>
  </r>
  <r>
    <n v="1614"/>
    <x v="10"/>
    <n v="11115271536201"/>
    <x v="361"/>
    <d v="2021-09-15T10:00:00"/>
    <d v="1899-12-30T01:30:00"/>
    <n v="200"/>
    <s v="UNPLANNED"/>
    <x v="0"/>
    <d v="1899-12-30T08:30:00"/>
    <x v="0"/>
  </r>
  <r>
    <n v="1615"/>
    <x v="10"/>
    <n v="11115271536200"/>
    <x v="361"/>
    <d v="2021-09-15T10:00:00"/>
    <d v="1899-12-30T01:30:00"/>
    <n v="200"/>
    <s v="UNPLANNED"/>
    <x v="0"/>
    <d v="1899-12-30T08:30:00"/>
    <x v="0"/>
  </r>
  <r>
    <n v="1616"/>
    <x v="14"/>
    <n v="1115270027801"/>
    <x v="361"/>
    <d v="2021-09-15T10:00:00"/>
    <d v="1899-12-30T01:30:00"/>
    <n v="200"/>
    <s v="UNPLANNED"/>
    <x v="0"/>
    <d v="1899-12-30T08:30:00"/>
    <x v="0"/>
  </r>
  <r>
    <n v="1617"/>
    <x v="14"/>
    <n v="1115270027800"/>
    <x v="361"/>
    <d v="2021-09-15T10:00:00"/>
    <d v="1899-12-30T01:30:00"/>
    <n v="200"/>
    <s v="UNPLANNED"/>
    <x v="0"/>
    <d v="1899-12-30T08:30:00"/>
    <x v="0"/>
  </r>
  <r>
    <n v="1618"/>
    <x v="4"/>
    <n v="15115271745851"/>
    <x v="362"/>
    <d v="2021-09-15T11:45:00"/>
    <d v="1899-12-30T01:15:00"/>
    <n v="239.99999998882413"/>
    <s v="UNPLANNED"/>
    <x v="0"/>
    <d v="1899-12-30T10:30:00"/>
    <x v="0"/>
  </r>
  <r>
    <n v="1619"/>
    <x v="4"/>
    <n v="15115271745850"/>
    <x v="362"/>
    <d v="2021-09-15T11:45:00"/>
    <d v="1899-12-30T01:15:00"/>
    <n v="239.99999998882413"/>
    <s v="UNPLANNED"/>
    <x v="6"/>
    <d v="1899-12-30T10:30:00"/>
    <x v="0"/>
  </r>
  <r>
    <n v="1620"/>
    <x v="4"/>
    <n v="15115271572971"/>
    <x v="362"/>
    <d v="2021-09-15T11:45:00"/>
    <d v="1899-12-30T01:15:00"/>
    <n v="239.99999998882413"/>
    <s v="UNPLANNED"/>
    <x v="0"/>
    <d v="1899-12-30T10:30:00"/>
    <x v="0"/>
  </r>
  <r>
    <n v="1621"/>
    <x v="4"/>
    <n v="15115271572970"/>
    <x v="362"/>
    <d v="2021-09-15T11:45:00"/>
    <d v="1899-12-30T01:15:00"/>
    <n v="239.99999998882413"/>
    <s v="UNPLANNED"/>
    <x v="0"/>
    <d v="1899-12-30T10:30:00"/>
    <x v="0"/>
  </r>
  <r>
    <n v="1622"/>
    <x v="9"/>
    <n v="2115270192701"/>
    <x v="363"/>
    <d v="2021-09-15T14:35:00"/>
    <d v="1899-12-30T01:35:00"/>
    <n v="189.47368419891703"/>
    <s v="UNPLANNED"/>
    <x v="1"/>
    <d v="1899-12-30T13:00:00"/>
    <x v="0"/>
  </r>
  <r>
    <n v="1623"/>
    <x v="9"/>
    <n v="2115270192700"/>
    <x v="363"/>
    <d v="2021-09-15T14:35:00"/>
    <d v="1899-12-30T01:35:00"/>
    <n v="189.47368419891703"/>
    <s v="UNPLANNED"/>
    <x v="1"/>
    <d v="1899-12-30T13:00:00"/>
    <x v="0"/>
  </r>
  <r>
    <n v="1624"/>
    <x v="14"/>
    <n v="1115270146802"/>
    <x v="363"/>
    <d v="2021-09-15T14:35:00"/>
    <d v="1899-12-30T01:35:00"/>
    <n v="189.47368419891703"/>
    <s v="UNPLANNED"/>
    <x v="1"/>
    <d v="1899-12-30T13:00:00"/>
    <x v="0"/>
  </r>
  <r>
    <n v="1625"/>
    <x v="14"/>
    <n v="1115270146801"/>
    <x v="363"/>
    <d v="2021-09-15T14:35:00"/>
    <d v="1899-12-30T01:35:00"/>
    <n v="189.47368419891703"/>
    <s v="UNPLANNED"/>
    <x v="0"/>
    <d v="1899-12-30T13:00:00"/>
    <x v="0"/>
  </r>
  <r>
    <n v="1626"/>
    <x v="5"/>
    <n v="13115271590302"/>
    <x v="364"/>
    <d v="2021-09-15T19:25:00"/>
    <d v="1899-12-30T01:35:00"/>
    <n v="189.47368419891703"/>
    <s v="UNPLANNED"/>
    <x v="0"/>
    <d v="1899-12-30T17:50:00"/>
    <x v="1"/>
  </r>
  <r>
    <n v="1627"/>
    <x v="5"/>
    <n v="13115271590300"/>
    <x v="364"/>
    <d v="2021-09-15T19:25:00"/>
    <d v="1899-12-30T01:35:00"/>
    <n v="189.47368419891703"/>
    <s v="UNPLANNED"/>
    <x v="0"/>
    <d v="1899-12-30T17:50:00"/>
    <x v="1"/>
  </r>
  <r>
    <n v="1628"/>
    <x v="10"/>
    <n v="11115271542303"/>
    <x v="364"/>
    <d v="2021-09-15T19:25:00"/>
    <d v="1899-12-30T01:35:00"/>
    <n v="189.47368419891703"/>
    <s v="UNPLANNED"/>
    <x v="0"/>
    <d v="1899-12-30T17:50:00"/>
    <x v="1"/>
  </r>
  <r>
    <n v="1629"/>
    <x v="10"/>
    <n v="11115271542302"/>
    <x v="364"/>
    <d v="2021-09-15T19:25:00"/>
    <d v="1899-12-30T01:35:00"/>
    <n v="189.47368419891703"/>
    <s v="UNPLANNED"/>
    <x v="0"/>
    <d v="1899-12-30T17:50:00"/>
    <x v="1"/>
  </r>
  <r>
    <n v="1630"/>
    <x v="13"/>
    <n v="3115270350001"/>
    <x v="364"/>
    <d v="2021-09-15T19:25:00"/>
    <d v="1899-12-30T01:35:00"/>
    <n v="189.47368419891703"/>
    <s v="UNPLANNED"/>
    <x v="1"/>
    <d v="1899-12-30T17:50:00"/>
    <x v="1"/>
  </r>
  <r>
    <n v="1631"/>
    <x v="13"/>
    <n v="3115270350000"/>
    <x v="364"/>
    <d v="2021-09-15T19:25:00"/>
    <d v="1899-12-30T01:35:00"/>
    <n v="189.47368419891703"/>
    <s v="UNPLANNED"/>
    <x v="0"/>
    <d v="1899-12-30T17:50:00"/>
    <x v="1"/>
  </r>
  <r>
    <n v="1632"/>
    <x v="5"/>
    <n v="13115271592303"/>
    <x v="365"/>
    <d v="2021-09-16T13:35:00"/>
    <d v="1899-12-30T03:05:00"/>
    <n v="97.297297299746361"/>
    <s v="UNPLANNED"/>
    <x v="1"/>
    <d v="1899-12-30T10:30:00"/>
    <x v="0"/>
  </r>
  <r>
    <n v="1633"/>
    <x v="2"/>
    <n v="12115271569206"/>
    <x v="365"/>
    <d v="2021-09-16T13:35:00"/>
    <d v="1899-12-30T03:05:00"/>
    <n v="97.297297299746361"/>
    <s v="UNPLANNED"/>
    <x v="0"/>
    <d v="1899-12-30T10:30:00"/>
    <x v="0"/>
  </r>
  <r>
    <n v="1634"/>
    <x v="3"/>
    <n v="8115271809905"/>
    <x v="365"/>
    <d v="2021-09-16T13:35:00"/>
    <d v="1899-12-30T03:05:00"/>
    <n v="97.297297299746361"/>
    <s v="UNPLANNED"/>
    <x v="1"/>
    <d v="1899-12-30T10:30:00"/>
    <x v="0"/>
  </r>
  <r>
    <n v="1635"/>
    <x v="3"/>
    <n v="8115271809904"/>
    <x v="365"/>
    <d v="2021-09-16T13:35:00"/>
    <d v="1899-12-30T03:05:00"/>
    <n v="97.297297299746361"/>
    <s v="UNPLANNED"/>
    <x v="0"/>
    <d v="1899-12-30T10:30:00"/>
    <x v="0"/>
  </r>
  <r>
    <n v="1636"/>
    <x v="0"/>
    <n v="5115271685518"/>
    <x v="365"/>
    <d v="2021-09-16T13:35:00"/>
    <d v="1899-12-30T03:05:00"/>
    <n v="97.297297299746361"/>
    <s v="UNPLANNED"/>
    <x v="0"/>
    <d v="1899-12-30T10:30:00"/>
    <x v="0"/>
  </r>
  <r>
    <n v="1637"/>
    <x v="0"/>
    <n v="5115271685517"/>
    <x v="365"/>
    <d v="2021-09-16T13:35:00"/>
    <d v="1899-12-30T03:05:00"/>
    <n v="97.297297299746361"/>
    <s v="UNPLANNED"/>
    <x v="0"/>
    <d v="1899-12-30T10:30:00"/>
    <x v="0"/>
  </r>
  <r>
    <n v="1638"/>
    <x v="14"/>
    <n v="1115270019001"/>
    <x v="365"/>
    <d v="2021-09-16T13:35:00"/>
    <d v="1899-12-30T03:05:00"/>
    <n v="97.297297299746361"/>
    <s v="UNPLANNED"/>
    <x v="0"/>
    <d v="1899-12-30T10:30:00"/>
    <x v="0"/>
  </r>
  <r>
    <n v="1639"/>
    <x v="14"/>
    <n v="1115270019000"/>
    <x v="365"/>
    <d v="2021-09-16T13:35:00"/>
    <d v="1899-12-30T03:05:00"/>
    <n v="97.297297299746361"/>
    <s v="UNPLANNED"/>
    <x v="0"/>
    <d v="1899-12-30T10:30:00"/>
    <x v="0"/>
  </r>
  <r>
    <n v="1640"/>
    <x v="2"/>
    <n v="12115271569301"/>
    <x v="366"/>
    <d v="2021-09-16T18:05:00"/>
    <d v="1899-12-30T01:25:00"/>
    <n v="211.76470589685451"/>
    <s v="UNPLANNED"/>
    <x v="0"/>
    <d v="1899-12-30T16:40:00"/>
    <x v="1"/>
  </r>
  <r>
    <n v="1641"/>
    <x v="2"/>
    <n v="12115271569300"/>
    <x v="366"/>
    <d v="2021-09-16T18:05:00"/>
    <d v="1899-12-30T01:25:00"/>
    <n v="211.76470589685451"/>
    <s v="UNPLANNED"/>
    <x v="0"/>
    <d v="1899-12-30T16:40:00"/>
    <x v="1"/>
  </r>
  <r>
    <n v="1642"/>
    <x v="1"/>
    <n v="6115271743100"/>
    <x v="366"/>
    <d v="2021-09-16T18:05:00"/>
    <d v="1899-12-30T01:25:00"/>
    <n v="211.76470589685451"/>
    <s v="UNPLANNED"/>
    <x v="0"/>
    <d v="1899-12-30T16:40:00"/>
    <x v="1"/>
  </r>
  <r>
    <n v="1643"/>
    <x v="2"/>
    <n v="12115271571043"/>
    <x v="367"/>
    <d v="2021-09-16T20:25:00"/>
    <d v="1899-12-30T01:35:00"/>
    <n v="189.47368419891703"/>
    <s v="UNPLANNED"/>
    <x v="2"/>
    <d v="1899-12-30T18:50:00"/>
    <x v="1"/>
  </r>
  <r>
    <n v="1644"/>
    <x v="2"/>
    <n v="12115271571040"/>
    <x v="367"/>
    <d v="2021-09-16T20:25:00"/>
    <d v="1899-12-30T01:35:00"/>
    <n v="189.47368419891703"/>
    <s v="UNPLANNED"/>
    <x v="1"/>
    <d v="1899-12-30T18:50:00"/>
    <x v="1"/>
  </r>
  <r>
    <n v="1645"/>
    <x v="2"/>
    <n v="12115271561609"/>
    <x v="367"/>
    <d v="2021-09-16T20:25:00"/>
    <d v="1899-12-30T01:35:00"/>
    <n v="189.47368419891703"/>
    <s v="UNPLANNED"/>
    <x v="0"/>
    <d v="1899-12-30T18:50:00"/>
    <x v="1"/>
  </r>
  <r>
    <n v="1646"/>
    <x v="2"/>
    <n v="12115271561607"/>
    <x v="367"/>
    <d v="2021-09-16T20:25:00"/>
    <d v="1899-12-30T01:35:00"/>
    <n v="189.47368419891703"/>
    <s v="UNPLANNED"/>
    <x v="0"/>
    <d v="1899-12-30T18:50:00"/>
    <x v="1"/>
  </r>
  <r>
    <n v="1647"/>
    <x v="7"/>
    <n v="7115271771006"/>
    <x v="367"/>
    <d v="2021-09-16T20:25:00"/>
    <d v="1899-12-30T01:35:00"/>
    <n v="189.47368419891703"/>
    <s v="UNPLANNED"/>
    <x v="0"/>
    <d v="1899-12-30T18:50:00"/>
    <x v="1"/>
  </r>
  <r>
    <n v="1648"/>
    <x v="7"/>
    <n v="7115271771004"/>
    <x v="367"/>
    <d v="2021-09-16T20:25:00"/>
    <d v="1899-12-30T01:35:00"/>
    <n v="189.47368419891703"/>
    <s v="UNPLANNED"/>
    <x v="0"/>
    <d v="1899-12-30T18:50:00"/>
    <x v="1"/>
  </r>
  <r>
    <n v="1649"/>
    <x v="1"/>
    <n v="6115271742505"/>
    <x v="367"/>
    <d v="2021-09-16T20:25:00"/>
    <d v="1899-12-30T01:35:00"/>
    <n v="189.47368419891703"/>
    <s v="UNPLANNED"/>
    <x v="0"/>
    <d v="1899-12-30T18:50:00"/>
    <x v="1"/>
  </r>
  <r>
    <n v="1650"/>
    <x v="1"/>
    <n v="6115271742504"/>
    <x v="367"/>
    <d v="2021-09-16T20:25:00"/>
    <d v="1899-12-30T01:35:00"/>
    <n v="189.47368419891703"/>
    <s v="UNPLANNED"/>
    <x v="1"/>
    <d v="1899-12-30T18:50:00"/>
    <x v="1"/>
  </r>
  <r>
    <n v="1651"/>
    <x v="1"/>
    <n v="6115271733308"/>
    <x v="367"/>
    <d v="2021-09-16T20:25:00"/>
    <d v="1899-12-30T01:35:00"/>
    <n v="189.47368419891703"/>
    <s v="UNPLANNED"/>
    <x v="0"/>
    <d v="1899-12-30T18:50:00"/>
    <x v="1"/>
  </r>
  <r>
    <n v="1652"/>
    <x v="1"/>
    <n v="6115271733307"/>
    <x v="367"/>
    <d v="2021-09-16T20:25:00"/>
    <d v="1899-12-30T01:35:00"/>
    <n v="189.47368419891703"/>
    <s v="UNPLANNED"/>
    <x v="2"/>
    <d v="1899-12-30T18:50:00"/>
    <x v="1"/>
  </r>
  <r>
    <n v="1653"/>
    <x v="5"/>
    <n v="13115271534403"/>
    <x v="368"/>
    <d v="2021-09-17T12:05:00"/>
    <d v="1899-12-30T02:55:00"/>
    <n v="102.85714286056404"/>
    <s v="UNPLANNED"/>
    <x v="0"/>
    <d v="1899-12-30T09:10:00"/>
    <x v="0"/>
  </r>
  <r>
    <n v="1654"/>
    <x v="2"/>
    <n v="12115271561503"/>
    <x v="368"/>
    <d v="2021-09-17T12:05:00"/>
    <d v="1899-12-30T02:55:00"/>
    <n v="102.85714286056404"/>
    <s v="UNPLANNED"/>
    <x v="0"/>
    <d v="1899-12-30T09:10:00"/>
    <x v="0"/>
  </r>
  <r>
    <n v="1655"/>
    <x v="11"/>
    <n v="10115271962800"/>
    <x v="368"/>
    <d v="2021-09-17T12:05:00"/>
    <d v="1899-12-30T02:55:00"/>
    <n v="102.85714286056404"/>
    <s v="UNPLANNED"/>
    <x v="2"/>
    <d v="1899-12-30T09:10:00"/>
    <x v="0"/>
  </r>
  <r>
    <n v="1656"/>
    <x v="7"/>
    <n v="7115271774609"/>
    <x v="368"/>
    <d v="2021-09-17T12:05:00"/>
    <d v="1899-12-30T02:55:00"/>
    <n v="102.85714286056404"/>
    <s v="UNPLANNED"/>
    <x v="0"/>
    <d v="1899-12-30T09:10:00"/>
    <x v="0"/>
  </r>
  <r>
    <n v="1657"/>
    <x v="1"/>
    <n v="6115271720800"/>
    <x v="368"/>
    <d v="2021-09-17T12:05:00"/>
    <d v="1899-12-30T02:55:00"/>
    <n v="102.85714286056404"/>
    <s v="UNPLANNED"/>
    <x v="0"/>
    <d v="1899-12-30T09:10:00"/>
    <x v="0"/>
  </r>
  <r>
    <n v="1658"/>
    <x v="13"/>
    <n v="3115270437200"/>
    <x v="368"/>
    <d v="2021-09-17T12:05:00"/>
    <d v="1899-12-30T02:55:00"/>
    <n v="102.85714286056404"/>
    <s v="UNPLANNED"/>
    <x v="0"/>
    <d v="1899-12-30T09:10:00"/>
    <x v="0"/>
  </r>
  <r>
    <n v="1659"/>
    <x v="14"/>
    <n v="1115270131500"/>
    <x v="368"/>
    <d v="2021-09-17T12:05:00"/>
    <d v="1899-12-30T02:55:00"/>
    <n v="102.85714286056404"/>
    <s v="UNPLANNED"/>
    <x v="1"/>
    <d v="1899-12-30T09:10:00"/>
    <x v="0"/>
  </r>
  <r>
    <n v="1660"/>
    <x v="2"/>
    <n v="12115271559930"/>
    <x v="369"/>
    <d v="2021-09-17T13:55:00"/>
    <d v="1899-12-30T01:40:00"/>
    <n v="179.99999999790452"/>
    <s v="UNPLANNED"/>
    <x v="0"/>
    <d v="1899-12-30T12:15:00"/>
    <x v="0"/>
  </r>
  <r>
    <n v="1661"/>
    <x v="3"/>
    <n v="8115271808906"/>
    <x v="369"/>
    <d v="2021-09-17T13:55:00"/>
    <d v="1899-12-30T01:40:00"/>
    <n v="179.99999999790452"/>
    <s v="UNPLANNED"/>
    <x v="0"/>
    <d v="1899-12-30T12:15:00"/>
    <x v="0"/>
  </r>
  <r>
    <n v="1662"/>
    <x v="10"/>
    <n v="11115271505300"/>
    <x v="370"/>
    <d v="2021-09-17T17:40:00"/>
    <d v="1899-12-30T00:50:00"/>
    <n v="360.00000003352761"/>
    <s v="UNPLANNED"/>
    <x v="0"/>
    <d v="1899-12-30T16:50:00"/>
    <x v="1"/>
  </r>
  <r>
    <n v="1663"/>
    <x v="7"/>
    <n v="7115271786600"/>
    <x v="371"/>
    <d v="2021-09-17T21:00:00"/>
    <d v="1899-12-30T02:15:00"/>
    <n v="133.33333333333331"/>
    <s v="UNPLANNED"/>
    <x v="0"/>
    <d v="1899-12-30T18:45:00"/>
    <x v="1"/>
  </r>
  <r>
    <n v="1664"/>
    <x v="13"/>
    <n v="3115270349500"/>
    <x v="371"/>
    <d v="2021-09-17T21:00:00"/>
    <d v="1899-12-30T02:15:00"/>
    <n v="133.33333333333331"/>
    <s v="UNPLANNED"/>
    <x v="1"/>
    <d v="1899-12-30T18:45:00"/>
    <x v="1"/>
  </r>
  <r>
    <n v="1665"/>
    <x v="2"/>
    <n v="12115271560121"/>
    <x v="372"/>
    <d v="2021-09-18T01:40:00"/>
    <d v="1899-12-30T01:25:00"/>
    <n v="211.7647058707517"/>
    <s v="UNPLANNED"/>
    <x v="0"/>
    <d v="1899-12-30T00:15:00"/>
    <x v="2"/>
  </r>
  <r>
    <n v="1666"/>
    <x v="13"/>
    <n v="3115270306701"/>
    <x v="372"/>
    <d v="2021-09-18T01:40:00"/>
    <d v="1899-12-30T01:25:00"/>
    <n v="211.7647058707517"/>
    <s v="UNPLANNED"/>
    <x v="0"/>
    <d v="1899-12-30T00:15:00"/>
    <x v="2"/>
  </r>
  <r>
    <n v="1667"/>
    <x v="4"/>
    <n v="15115271771601"/>
    <x v="373"/>
    <d v="2021-09-18T10:56:00"/>
    <d v="1899-12-30T01:06:00"/>
    <n v="272.72727270418204"/>
    <s v="UNPLANNED"/>
    <x v="0"/>
    <d v="1899-12-30T09:50:00"/>
    <x v="0"/>
  </r>
  <r>
    <n v="1668"/>
    <x v="11"/>
    <n v="10115271963102"/>
    <x v="373"/>
    <d v="2021-09-18T10:56:00"/>
    <d v="1899-12-30T01:06:00"/>
    <n v="272.72727270418204"/>
    <s v="UNPLANNED"/>
    <x v="2"/>
    <d v="1899-12-30T09:50:00"/>
    <x v="0"/>
  </r>
  <r>
    <n v="1669"/>
    <x v="3"/>
    <n v="8115271816514"/>
    <x v="373"/>
    <d v="2021-09-18T10:56:00"/>
    <d v="1899-12-30T01:06:00"/>
    <n v="272.72727270418204"/>
    <s v="UNPLANNED"/>
    <x v="1"/>
    <d v="1899-12-30T09:50:00"/>
    <x v="0"/>
  </r>
  <r>
    <n v="1670"/>
    <x v="8"/>
    <n v="4115270854600"/>
    <x v="374"/>
    <d v="2021-09-18T13:50:00"/>
    <d v="1899-12-30T02:20:00"/>
    <n v="128.57142856608297"/>
    <s v="UNPLANNED"/>
    <x v="0"/>
    <d v="1899-12-30T11:30:00"/>
    <x v="0"/>
  </r>
  <r>
    <n v="1671"/>
    <x v="13"/>
    <n v="3115270393500"/>
    <x v="374"/>
    <d v="2021-09-18T13:50:00"/>
    <d v="1899-12-30T02:20:00"/>
    <n v="128.57142856608297"/>
    <s v="UNPLANNED"/>
    <x v="3"/>
    <d v="1899-12-30T11:30:00"/>
    <x v="0"/>
  </r>
  <r>
    <n v="1672"/>
    <x v="14"/>
    <n v="1115270126000"/>
    <x v="374"/>
    <d v="2021-09-18T13:50:00"/>
    <d v="1899-12-30T02:20:00"/>
    <n v="128.57142856608297"/>
    <s v="UNPLANNED"/>
    <x v="0"/>
    <d v="1899-12-30T11:30:00"/>
    <x v="0"/>
  </r>
  <r>
    <n v="1673"/>
    <x v="10"/>
    <n v="11115271542604"/>
    <x v="375"/>
    <d v="2021-09-18T16:15:00"/>
    <d v="1899-12-30T00:45:00"/>
    <n v="400"/>
    <s v="UNPLANNED"/>
    <x v="3"/>
    <d v="1899-12-30T15:30:00"/>
    <x v="1"/>
  </r>
  <r>
    <n v="1674"/>
    <x v="7"/>
    <n v="7115271801904"/>
    <x v="375"/>
    <d v="2021-09-18T16:15:00"/>
    <d v="1899-12-30T00:45:00"/>
    <n v="400"/>
    <s v="UNPLANNED"/>
    <x v="1"/>
    <d v="1899-12-30T15:30:00"/>
    <x v="1"/>
  </r>
  <r>
    <n v="1675"/>
    <x v="10"/>
    <n v="11115271559123"/>
    <x v="376"/>
    <d v="2021-09-18T21:50:00"/>
    <d v="1899-12-30T01:30:00"/>
    <n v="200"/>
    <s v="UNPLANNED"/>
    <x v="0"/>
    <d v="1899-12-30T20:20:00"/>
    <x v="1"/>
  </r>
  <r>
    <n v="1676"/>
    <x v="7"/>
    <n v="7115271774720"/>
    <x v="376"/>
    <d v="2021-09-18T21:50:00"/>
    <d v="1899-12-30T01:30:00"/>
    <n v="200"/>
    <s v="UNPLANNED"/>
    <x v="0"/>
    <d v="1899-12-30T20:20:00"/>
    <x v="1"/>
  </r>
  <r>
    <n v="1677"/>
    <x v="6"/>
    <n v="9115271960800"/>
    <x v="377"/>
    <d v="2021-09-19T01:20:00"/>
    <d v="1899-12-30T01:30:00"/>
    <n v="200"/>
    <s v="UNPLANNED"/>
    <x v="0"/>
    <d v="1899-12-30T23:50:00"/>
    <x v="2"/>
  </r>
  <r>
    <n v="1678"/>
    <x v="14"/>
    <n v="1115270087900"/>
    <x v="377"/>
    <d v="2021-09-19T01:20:00"/>
    <d v="1899-12-30T01:30:00"/>
    <n v="200"/>
    <s v="UNPLANNED"/>
    <x v="0"/>
    <d v="1899-12-30T23:50:00"/>
    <x v="2"/>
  </r>
  <r>
    <n v="1679"/>
    <x v="10"/>
    <n v="11115271507709"/>
    <x v="378"/>
    <d v="2021-09-19T11:15:00"/>
    <d v="1899-12-30T01:25:00"/>
    <n v="211.7647058707517"/>
    <s v="UNPLANNED"/>
    <x v="0"/>
    <d v="1899-12-30T09:50:00"/>
    <x v="0"/>
  </r>
  <r>
    <n v="1680"/>
    <x v="10"/>
    <n v="11115271507702"/>
    <x v="378"/>
    <d v="2021-09-19T11:15:00"/>
    <d v="1899-12-30T01:25:00"/>
    <n v="211.7647058707517"/>
    <s v="UNPLANNED"/>
    <x v="1"/>
    <d v="1899-12-30T09:50:00"/>
    <x v="0"/>
  </r>
  <r>
    <n v="1681"/>
    <x v="10"/>
    <n v="11115271507701"/>
    <x v="378"/>
    <d v="2021-09-19T11:15:00"/>
    <d v="1899-12-30T01:25:00"/>
    <n v="211.7647058707517"/>
    <s v="UNPLANNED"/>
    <x v="0"/>
    <d v="1899-12-30T09:50:00"/>
    <x v="0"/>
  </r>
  <r>
    <n v="1682"/>
    <x v="9"/>
    <n v="2115270254202"/>
    <x v="378"/>
    <d v="2021-09-19T11:15:00"/>
    <d v="1899-12-30T01:25:00"/>
    <n v="211.7647058707517"/>
    <s v="UNPLANNED"/>
    <x v="0"/>
    <d v="1899-12-30T09:50:00"/>
    <x v="0"/>
  </r>
  <r>
    <n v="1683"/>
    <x v="9"/>
    <n v="2115270254201"/>
    <x v="378"/>
    <d v="2021-09-19T11:15:00"/>
    <d v="1899-12-30T01:25:00"/>
    <n v="211.7647058707517"/>
    <s v="UNPLANNED"/>
    <x v="0"/>
    <d v="1899-12-30T09:50:00"/>
    <x v="0"/>
  </r>
  <r>
    <n v="1684"/>
    <x v="9"/>
    <n v="2115270254200"/>
    <x v="378"/>
    <d v="2021-09-19T11:15:00"/>
    <d v="1899-12-30T01:25:00"/>
    <n v="211.7647058707517"/>
    <s v="UNPLANNED"/>
    <x v="0"/>
    <d v="1899-12-30T09:50:00"/>
    <x v="0"/>
  </r>
  <r>
    <n v="1685"/>
    <x v="3"/>
    <n v="8115271809913"/>
    <x v="379"/>
    <d v="2021-09-19T13:50:00"/>
    <d v="1899-12-30T01:45:00"/>
    <n v="171.42857141716746"/>
    <s v="UNPLANNED"/>
    <x v="1"/>
    <d v="1899-12-30T12:05:00"/>
    <x v="0"/>
  </r>
  <r>
    <n v="1686"/>
    <x v="3"/>
    <n v="8115271809912"/>
    <x v="379"/>
    <d v="2021-09-19T13:50:00"/>
    <d v="1899-12-30T01:45:00"/>
    <n v="171.42857141716746"/>
    <s v="UNPLANNED"/>
    <x v="1"/>
    <d v="1899-12-30T12:05:00"/>
    <x v="0"/>
  </r>
  <r>
    <n v="1687"/>
    <x v="13"/>
    <n v="3115270350101"/>
    <x v="379"/>
    <d v="2021-09-19T13:50:00"/>
    <d v="1899-12-30T01:45:00"/>
    <n v="171.42857141716746"/>
    <s v="UNPLANNED"/>
    <x v="6"/>
    <d v="1899-12-30T12:05:00"/>
    <x v="0"/>
  </r>
  <r>
    <n v="1688"/>
    <x v="13"/>
    <n v="3115270350100"/>
    <x v="379"/>
    <d v="2021-09-19T13:50:00"/>
    <d v="1899-12-30T01:45:00"/>
    <n v="171.42857141716746"/>
    <s v="UNPLANNED"/>
    <x v="2"/>
    <d v="1899-12-30T12:05:00"/>
    <x v="0"/>
  </r>
  <r>
    <n v="1689"/>
    <x v="14"/>
    <n v="1115270122207"/>
    <x v="379"/>
    <d v="2021-09-19T13:50:00"/>
    <d v="1899-12-30T01:45:00"/>
    <n v="171.42857141716746"/>
    <s v="UNPLANNED"/>
    <x v="1"/>
    <d v="1899-12-30T12:05:00"/>
    <x v="0"/>
  </r>
  <r>
    <n v="1690"/>
    <x v="14"/>
    <n v="1115270122201"/>
    <x v="379"/>
    <d v="2021-09-19T13:50:00"/>
    <d v="1899-12-30T01:45:00"/>
    <n v="171.42857141716746"/>
    <s v="UNPLANNED"/>
    <x v="1"/>
    <d v="1899-12-30T12:05:00"/>
    <x v="0"/>
  </r>
  <r>
    <n v="1691"/>
    <x v="14"/>
    <n v="1115270122200"/>
    <x v="379"/>
    <d v="2021-09-19T13:50:00"/>
    <d v="1899-12-30T01:45:00"/>
    <n v="171.42857141716746"/>
    <s v="UNPLANNED"/>
    <x v="2"/>
    <d v="1899-12-30T12:05:00"/>
    <x v="0"/>
  </r>
  <r>
    <n v="1692"/>
    <x v="0"/>
    <n v="5115271677902"/>
    <x v="380"/>
    <d v="2021-09-19T19:45:00"/>
    <d v="1899-12-30T00:55:00"/>
    <n v="327.27272726580009"/>
    <s v="UNPLANNED"/>
    <x v="2"/>
    <d v="1899-12-30T18:50:00"/>
    <x v="1"/>
  </r>
  <r>
    <n v="1693"/>
    <x v="0"/>
    <n v="5115271677901"/>
    <x v="380"/>
    <d v="2021-09-19T19:45:00"/>
    <d v="1899-12-30T00:55:00"/>
    <n v="327.27272726580009"/>
    <s v="UNPLANNED"/>
    <x v="2"/>
    <d v="1899-12-30T18:50:00"/>
    <x v="1"/>
  </r>
  <r>
    <n v="1694"/>
    <x v="5"/>
    <n v="13115271590300"/>
    <x v="381"/>
    <d v="2021-09-20T12:10:00"/>
    <d v="1899-12-30T02:20:00"/>
    <n v="128.57142856608297"/>
    <s v="UNPLANNED"/>
    <x v="2"/>
    <d v="1899-12-30T09:50:00"/>
    <x v="0"/>
  </r>
  <r>
    <n v="1695"/>
    <x v="10"/>
    <n v="11115271542511"/>
    <x v="381"/>
    <d v="2021-09-20T12:10:00"/>
    <d v="1899-12-30T02:20:00"/>
    <n v="128.57142856608297"/>
    <s v="UNPLANNED"/>
    <x v="0"/>
    <d v="1899-12-30T09:50:00"/>
    <x v="0"/>
  </r>
  <r>
    <n v="1696"/>
    <x v="7"/>
    <n v="7115271779300"/>
    <x v="381"/>
    <d v="2021-09-20T12:10:00"/>
    <d v="1899-12-30T02:20:00"/>
    <n v="128.57142856608297"/>
    <s v="UNPLANNED"/>
    <x v="0"/>
    <d v="1899-12-30T09:50:00"/>
    <x v="0"/>
  </r>
  <r>
    <n v="1697"/>
    <x v="9"/>
    <n v="2115270291800"/>
    <x v="381"/>
    <d v="2021-09-20T12:10:00"/>
    <d v="1899-12-30T02:20:00"/>
    <n v="128.57142856608297"/>
    <s v="UNPLANNED"/>
    <x v="3"/>
    <d v="1899-12-30T09:50:00"/>
    <x v="0"/>
  </r>
  <r>
    <n v="1698"/>
    <x v="14"/>
    <n v="1115270183400"/>
    <x v="381"/>
    <d v="2021-09-20T12:10:00"/>
    <d v="1899-12-30T02:20:00"/>
    <n v="128.57142856608297"/>
    <s v="UNPLANNED"/>
    <x v="1"/>
    <d v="1899-12-30T09:50:00"/>
    <x v="0"/>
  </r>
  <r>
    <n v="1699"/>
    <x v="9"/>
    <n v="2115270299402"/>
    <x v="382"/>
    <d v="2021-09-20T14:00:00"/>
    <d v="1899-12-30T01:00:00"/>
    <n v="299.9999999650754"/>
    <s v="UNPLANNED"/>
    <x v="0"/>
    <d v="1899-12-30T13:00:00"/>
    <x v="0"/>
  </r>
  <r>
    <n v="1700"/>
    <x v="1"/>
    <n v="6115271727404"/>
    <x v="383"/>
    <d v="2021-09-20T16:25:00"/>
    <d v="1899-12-30T01:05:00"/>
    <n v="276.9230769131575"/>
    <s v="UNPLANNED"/>
    <x v="2"/>
    <d v="1899-12-30T15:20:00"/>
    <x v="1"/>
  </r>
  <r>
    <n v="1701"/>
    <x v="8"/>
    <n v="4115270829607"/>
    <x v="383"/>
    <d v="2021-09-20T16:25:00"/>
    <d v="1899-12-30T01:05:00"/>
    <n v="276.9230769131575"/>
    <s v="UNPLANNED"/>
    <x v="1"/>
    <d v="1899-12-30T15:20:00"/>
    <x v="1"/>
  </r>
  <r>
    <n v="1702"/>
    <x v="4"/>
    <n v="15115271771300"/>
    <x v="384"/>
    <d v="2021-09-20T19:45:00"/>
    <d v="1899-12-30T03:35:00"/>
    <n v="83.720930233011458"/>
    <s v="UNPLANNED"/>
    <x v="0"/>
    <d v="1899-12-30T16:10:00"/>
    <x v="1"/>
  </r>
  <r>
    <n v="1703"/>
    <x v="7"/>
    <n v="7115271774713"/>
    <x v="384"/>
    <d v="2021-09-20T19:45:00"/>
    <d v="1899-12-30T03:35:00"/>
    <n v="83.720930233011458"/>
    <s v="UNPLANNED"/>
    <x v="0"/>
    <d v="1899-12-30T16:10:00"/>
    <x v="1"/>
  </r>
  <r>
    <n v="1704"/>
    <x v="1"/>
    <n v="6115271720807"/>
    <x v="384"/>
    <d v="2021-09-20T19:45:00"/>
    <d v="1899-12-30T03:35:00"/>
    <n v="83.720930233011458"/>
    <s v="UNPLANNED"/>
    <x v="0"/>
    <d v="1899-12-30T16:10:00"/>
    <x v="1"/>
  </r>
  <r>
    <n v="1705"/>
    <x v="14"/>
    <n v="1115270086900"/>
    <x v="384"/>
    <d v="2021-09-20T19:45:00"/>
    <d v="1899-12-30T03:35:00"/>
    <n v="83.720930233011458"/>
    <s v="UNPLANNED"/>
    <x v="0"/>
    <d v="1899-12-30T16:10:00"/>
    <x v="1"/>
  </r>
  <r>
    <n v="1706"/>
    <x v="6"/>
    <n v="9115271947710"/>
    <x v="385"/>
    <d v="2021-09-21T12:10:00"/>
    <d v="1899-12-30T02:40:00"/>
    <n v="112.50000000163709"/>
    <s v="UNPLANNED"/>
    <x v="3"/>
    <d v="1899-12-30T09:30:00"/>
    <x v="0"/>
  </r>
  <r>
    <n v="1707"/>
    <x v="6"/>
    <n v="9115271947706"/>
    <x v="385"/>
    <d v="2021-09-21T12:10:00"/>
    <d v="1899-12-30T02:40:00"/>
    <n v="112.50000000163709"/>
    <s v="UNPLANNED"/>
    <x v="1"/>
    <d v="1899-12-30T09:30:00"/>
    <x v="0"/>
  </r>
  <r>
    <n v="1708"/>
    <x v="6"/>
    <n v="9115271947703"/>
    <x v="385"/>
    <d v="2021-09-21T12:10:00"/>
    <d v="1899-12-30T02:40:00"/>
    <n v="112.50000000163709"/>
    <s v="UNPLANNED"/>
    <x v="0"/>
    <d v="1899-12-30T09:30:00"/>
    <x v="0"/>
  </r>
  <r>
    <n v="1709"/>
    <x v="6"/>
    <n v="9115271947702"/>
    <x v="385"/>
    <d v="2021-09-21T12:10:00"/>
    <d v="1899-12-30T02:40:00"/>
    <n v="112.50000000163709"/>
    <s v="UNPLANNED"/>
    <x v="1"/>
    <d v="1899-12-30T09:30:00"/>
    <x v="0"/>
  </r>
  <r>
    <n v="1710"/>
    <x v="6"/>
    <n v="9115271947701"/>
    <x v="385"/>
    <d v="2021-09-21T12:10:00"/>
    <d v="1899-12-30T02:40:00"/>
    <n v="112.50000000163709"/>
    <s v="UNPLANNED"/>
    <x v="2"/>
    <d v="1899-12-30T09:30:00"/>
    <x v="0"/>
  </r>
  <r>
    <n v="1711"/>
    <x v="6"/>
    <n v="9115271947700"/>
    <x v="385"/>
    <d v="2021-09-21T12:10:00"/>
    <d v="1899-12-30T02:40:00"/>
    <n v="112.50000000163709"/>
    <s v="UNPLANNED"/>
    <x v="2"/>
    <d v="1899-12-30T09:30:00"/>
    <x v="0"/>
  </r>
  <r>
    <n v="1712"/>
    <x v="7"/>
    <n v="7115271791119"/>
    <x v="385"/>
    <d v="2021-09-21T12:10:00"/>
    <d v="1899-12-30T02:40:00"/>
    <n v="112.50000000163709"/>
    <s v="UNPLANNED"/>
    <x v="1"/>
    <d v="1899-12-30T09:30:00"/>
    <x v="0"/>
  </r>
  <r>
    <n v="1713"/>
    <x v="7"/>
    <n v="7115271791109"/>
    <x v="385"/>
    <d v="2021-09-21T12:10:00"/>
    <d v="1899-12-30T02:40:00"/>
    <n v="112.50000000163709"/>
    <s v="UNPLANNED"/>
    <x v="1"/>
    <d v="1899-12-30T09:30:00"/>
    <x v="0"/>
  </r>
  <r>
    <n v="1714"/>
    <x v="7"/>
    <n v="7115271791108"/>
    <x v="385"/>
    <d v="2021-09-21T12:10:00"/>
    <d v="1899-12-30T02:40:00"/>
    <n v="112.50000000163709"/>
    <s v="UNPLANNED"/>
    <x v="0"/>
    <d v="1899-12-30T09:30:00"/>
    <x v="0"/>
  </r>
  <r>
    <n v="1715"/>
    <x v="7"/>
    <n v="7115271791107"/>
    <x v="385"/>
    <d v="2021-09-21T12:10:00"/>
    <d v="1899-12-30T02:40:00"/>
    <n v="112.50000000163709"/>
    <s v="UNPLANNED"/>
    <x v="0"/>
    <d v="1899-12-30T09:30:00"/>
    <x v="0"/>
  </r>
  <r>
    <n v="1716"/>
    <x v="7"/>
    <n v="7115271791106"/>
    <x v="385"/>
    <d v="2021-09-21T12:10:00"/>
    <d v="1899-12-30T02:40:00"/>
    <n v="112.50000000163709"/>
    <s v="UNPLANNED"/>
    <x v="0"/>
    <d v="1899-12-30T09:30:00"/>
    <x v="0"/>
  </r>
  <r>
    <n v="1717"/>
    <x v="9"/>
    <n v="2115270222210"/>
    <x v="385"/>
    <d v="2021-09-21T12:10:00"/>
    <d v="1899-12-30T02:40:00"/>
    <n v="112.50000000163709"/>
    <s v="UNPLANNED"/>
    <x v="1"/>
    <d v="1899-12-30T09:30:00"/>
    <x v="0"/>
  </r>
  <r>
    <n v="1718"/>
    <x v="9"/>
    <n v="2115270222203"/>
    <x v="385"/>
    <d v="2021-09-21T12:10:00"/>
    <d v="1899-12-30T02:40:00"/>
    <n v="112.50000000163709"/>
    <s v="UNPLANNED"/>
    <x v="1"/>
    <d v="1899-12-30T09:30:00"/>
    <x v="0"/>
  </r>
  <r>
    <n v="1719"/>
    <x v="9"/>
    <n v="2115270222202"/>
    <x v="385"/>
    <d v="2021-09-21T12:10:00"/>
    <d v="1899-12-30T02:40:00"/>
    <n v="112.50000000163709"/>
    <s v="UNPLANNED"/>
    <x v="0"/>
    <d v="1899-12-30T09:30:00"/>
    <x v="0"/>
  </r>
  <r>
    <n v="1720"/>
    <x v="9"/>
    <n v="2115270222201"/>
    <x v="385"/>
    <d v="2021-09-21T12:10:00"/>
    <d v="1899-12-30T02:40:00"/>
    <n v="112.50000000163709"/>
    <s v="UNPLANNED"/>
    <x v="0"/>
    <d v="1899-12-30T09:30:00"/>
    <x v="0"/>
  </r>
  <r>
    <n v="1721"/>
    <x v="9"/>
    <n v="2115270222200"/>
    <x v="385"/>
    <d v="2021-09-21T12:10:00"/>
    <d v="1899-12-30T02:40:00"/>
    <n v="112.50000000163709"/>
    <s v="UNPLANNED"/>
    <x v="0"/>
    <d v="1899-12-30T09:30:00"/>
    <x v="0"/>
  </r>
  <r>
    <n v="1722"/>
    <x v="5"/>
    <n v="13115271611901"/>
    <x v="386"/>
    <d v="2021-09-22T13:40:00"/>
    <d v="1899-12-30T04:40:00"/>
    <n v="64.285714285447"/>
    <s v="UNPLANNED"/>
    <x v="1"/>
    <d v="1899-12-30T09:00:00"/>
    <x v="0"/>
  </r>
  <r>
    <n v="1723"/>
    <x v="5"/>
    <n v="13115271611900"/>
    <x v="386"/>
    <d v="2021-09-22T13:40:00"/>
    <d v="1899-12-30T04:40:00"/>
    <n v="64.285714285447"/>
    <s v="UNPLANNED"/>
    <x v="0"/>
    <d v="1899-12-30T09:00:00"/>
    <x v="0"/>
  </r>
  <r>
    <n v="1724"/>
    <x v="3"/>
    <n v="8115271865706"/>
    <x v="386"/>
    <d v="2021-09-22T13:40:00"/>
    <d v="1899-12-30T04:40:00"/>
    <n v="64.285714285447"/>
    <s v="UNPLANNED"/>
    <x v="2"/>
    <d v="1899-12-30T09:00:00"/>
    <x v="0"/>
  </r>
  <r>
    <n v="1725"/>
    <x v="3"/>
    <n v="8115271865703"/>
    <x v="386"/>
    <d v="2021-09-22T13:40:00"/>
    <d v="1899-12-30T04:40:00"/>
    <n v="64.285714285447"/>
    <s v="UNPLANNED"/>
    <x v="1"/>
    <d v="1899-12-30T09:00:00"/>
    <x v="0"/>
  </r>
  <r>
    <n v="1726"/>
    <x v="0"/>
    <n v="5115271270007"/>
    <x v="386"/>
    <d v="2021-09-22T13:40:00"/>
    <d v="1899-12-30T04:40:00"/>
    <n v="64.285714285447"/>
    <s v="UNPLANNED"/>
    <x v="2"/>
    <d v="1899-12-30T09:00:00"/>
    <x v="0"/>
  </r>
  <r>
    <n v="1727"/>
    <x v="0"/>
    <n v="5115271270002"/>
    <x v="386"/>
    <d v="2021-09-22T13:40:00"/>
    <d v="1899-12-30T04:40:00"/>
    <n v="64.285714285447"/>
    <s v="UNPLANNED"/>
    <x v="1"/>
    <d v="1899-12-30T09:00:00"/>
    <x v="0"/>
  </r>
  <r>
    <n v="1728"/>
    <x v="13"/>
    <n v="3115270392901"/>
    <x v="386"/>
    <d v="2021-09-22T13:40:00"/>
    <d v="1899-12-30T04:40:00"/>
    <n v="64.285714285447"/>
    <s v="UNPLANNED"/>
    <x v="1"/>
    <d v="1899-12-30T09:00:00"/>
    <x v="0"/>
  </r>
  <r>
    <n v="1729"/>
    <x v="13"/>
    <n v="3115270392900"/>
    <x v="386"/>
    <d v="2021-09-22T13:40:00"/>
    <d v="1899-12-30T04:40:00"/>
    <n v="64.285714285447"/>
    <s v="UNPLANNED"/>
    <x v="0"/>
    <d v="1899-12-30T09:00:00"/>
    <x v="0"/>
  </r>
  <r>
    <n v="1730"/>
    <x v="9"/>
    <n v="2115270291801"/>
    <x v="386"/>
    <d v="2021-09-22T13:40:00"/>
    <d v="1899-12-30T04:40:00"/>
    <n v="64.285714285447"/>
    <s v="UNPLANNED"/>
    <x v="1"/>
    <d v="1899-12-30T09:00:00"/>
    <x v="0"/>
  </r>
  <r>
    <n v="1731"/>
    <x v="9"/>
    <n v="2115270291800"/>
    <x v="386"/>
    <d v="2021-09-22T13:40:00"/>
    <d v="1899-12-30T04:40:00"/>
    <n v="64.285714285447"/>
    <s v="UNPLANNED"/>
    <x v="0"/>
    <d v="1899-12-30T09:00:00"/>
    <x v="0"/>
  </r>
  <r>
    <n v="1732"/>
    <x v="7"/>
    <n v="7115271758605"/>
    <x v="387"/>
    <d v="2021-09-22T18:45:00"/>
    <d v="1899-12-30T03:45:00"/>
    <n v="80"/>
    <s v="UNPLANNED"/>
    <x v="0"/>
    <d v="1899-12-30T15:00:00"/>
    <x v="1"/>
  </r>
  <r>
    <n v="1733"/>
    <x v="7"/>
    <n v="7115271758601"/>
    <x v="387"/>
    <d v="2021-09-22T18:45:00"/>
    <d v="1899-12-30T03:45:00"/>
    <n v="80"/>
    <s v="UNPLANNED"/>
    <x v="2"/>
    <d v="1899-12-30T15:00:00"/>
    <x v="1"/>
  </r>
  <r>
    <n v="1734"/>
    <x v="1"/>
    <n v="6115271720705"/>
    <x v="387"/>
    <d v="2021-09-22T18:45:00"/>
    <d v="1899-12-30T03:45:00"/>
    <n v="80"/>
    <s v="UNPLANNED"/>
    <x v="1"/>
    <d v="1899-12-30T15:00:00"/>
    <x v="1"/>
  </r>
  <r>
    <n v="1735"/>
    <x v="1"/>
    <n v="6115271720702"/>
    <x v="387"/>
    <d v="2021-09-22T18:45:00"/>
    <d v="1899-12-30T03:45:00"/>
    <n v="80"/>
    <s v="UNPLANNED"/>
    <x v="0"/>
    <d v="1899-12-30T15:00:00"/>
    <x v="1"/>
  </r>
  <r>
    <n v="1736"/>
    <x v="2"/>
    <n v="12115271573212"/>
    <x v="388"/>
    <d v="2021-09-22T20:50:00"/>
    <d v="1899-12-30T01:35:00"/>
    <n v="189.47368421981375"/>
    <s v="UNPLANNED"/>
    <x v="6"/>
    <d v="1899-12-30T19:15:00"/>
    <x v="1"/>
  </r>
  <r>
    <n v="1737"/>
    <x v="2"/>
    <n v="12115271573210"/>
    <x v="388"/>
    <d v="2021-09-22T20:50:00"/>
    <d v="1899-12-30T01:35:00"/>
    <n v="189.47368421981375"/>
    <s v="UNPLANNED"/>
    <x v="1"/>
    <d v="1899-12-30T19:15:00"/>
    <x v="1"/>
  </r>
  <r>
    <n v="1738"/>
    <x v="9"/>
    <n v="2115270292601"/>
    <x v="388"/>
    <d v="2021-09-22T20:50:00"/>
    <d v="1899-12-30T01:35:00"/>
    <n v="189.47368421981375"/>
    <s v="UNPLANNED"/>
    <x v="1"/>
    <d v="1899-12-30T19:15:00"/>
    <x v="1"/>
  </r>
  <r>
    <n v="1739"/>
    <x v="9"/>
    <n v="2115270292600"/>
    <x v="388"/>
    <d v="2021-09-22T20:50:00"/>
    <d v="1899-12-30T01:35:00"/>
    <n v="189.47368421981375"/>
    <s v="UNPLANNED"/>
    <x v="1"/>
    <d v="1899-12-30T19:15:00"/>
    <x v="1"/>
  </r>
  <r>
    <n v="1740"/>
    <x v="4"/>
    <n v="15115271771603"/>
    <x v="389"/>
    <d v="2021-09-23T14:00:00"/>
    <d v="1899-12-30T06:10:00"/>
    <n v="48.648648648495588"/>
    <s v="UNPLANNED"/>
    <x v="0"/>
    <d v="1899-12-30T07:50:00"/>
    <x v="0"/>
  </r>
  <r>
    <n v="1741"/>
    <x v="4"/>
    <n v="15115271771601"/>
    <x v="389"/>
    <d v="2021-09-23T14:00:00"/>
    <d v="1899-12-30T06:10:00"/>
    <n v="48.648648648495588"/>
    <s v="UNPLANNED"/>
    <x v="1"/>
    <d v="1899-12-30T07:50:00"/>
    <x v="0"/>
  </r>
  <r>
    <n v="1742"/>
    <x v="2"/>
    <n v="12115271565412"/>
    <x v="389"/>
    <d v="2021-09-23T14:00:00"/>
    <d v="1899-12-30T06:10:00"/>
    <n v="48.648648648495588"/>
    <s v="UNPLANNED"/>
    <x v="0"/>
    <d v="1899-12-30T07:50:00"/>
    <x v="0"/>
  </r>
  <r>
    <n v="1743"/>
    <x v="2"/>
    <n v="12115271565411"/>
    <x v="389"/>
    <d v="2021-09-23T14:00:00"/>
    <d v="1899-12-30T06:10:00"/>
    <n v="48.648648648495588"/>
    <s v="UNPLANNED"/>
    <x v="1"/>
    <d v="1899-12-30T07:50:00"/>
    <x v="0"/>
  </r>
  <r>
    <n v="1744"/>
    <x v="11"/>
    <n v="10115271432901"/>
    <x v="389"/>
    <d v="2021-09-23T14:00:00"/>
    <d v="1899-12-30T06:10:00"/>
    <n v="48.648648648495588"/>
    <s v="UNPLANNED"/>
    <x v="1"/>
    <d v="1899-12-30T07:50:00"/>
    <x v="0"/>
  </r>
  <r>
    <n v="1745"/>
    <x v="11"/>
    <n v="10115271432900"/>
    <x v="389"/>
    <d v="2021-09-23T14:00:00"/>
    <d v="1899-12-30T06:10:00"/>
    <n v="48.648648648495588"/>
    <s v="UNPLANNED"/>
    <x v="0"/>
    <d v="1899-12-30T07:50:00"/>
    <x v="0"/>
  </r>
  <r>
    <n v="1746"/>
    <x v="1"/>
    <n v="6115271706301"/>
    <x v="389"/>
    <d v="2021-09-23T14:00:00"/>
    <d v="1899-12-30T06:10:00"/>
    <n v="48.648648648495588"/>
    <s v="UNPLANNED"/>
    <x v="1"/>
    <d v="1899-12-30T07:50:00"/>
    <x v="0"/>
  </r>
  <r>
    <n v="1747"/>
    <x v="1"/>
    <n v="6115271706300"/>
    <x v="389"/>
    <d v="2021-09-23T14:00:00"/>
    <d v="1899-12-30T06:10:00"/>
    <n v="48.648648648495588"/>
    <s v="UNPLANNED"/>
    <x v="1"/>
    <d v="1899-12-30T07:50:00"/>
    <x v="0"/>
  </r>
  <r>
    <n v="1748"/>
    <x v="12"/>
    <n v="14115271672308"/>
    <x v="390"/>
    <d v="2021-09-23T18:45:00"/>
    <d v="1899-12-30T03:00:00"/>
    <n v="100"/>
    <s v="UNPLANNED"/>
    <x v="0"/>
    <d v="1899-12-30T15:45:00"/>
    <x v="1"/>
  </r>
  <r>
    <n v="1749"/>
    <x v="5"/>
    <n v="13115271590606"/>
    <x v="390"/>
    <d v="2021-09-23T18:45:00"/>
    <d v="1899-12-30T03:00:00"/>
    <n v="100"/>
    <s v="UNPLANNED"/>
    <x v="0"/>
    <d v="1899-12-30T15:45:00"/>
    <x v="1"/>
  </r>
  <r>
    <n v="1750"/>
    <x v="5"/>
    <n v="13115271590601"/>
    <x v="390"/>
    <d v="2021-09-23T18:45:00"/>
    <d v="1899-12-30T03:00:00"/>
    <n v="100"/>
    <s v="UNPLANNED"/>
    <x v="1"/>
    <d v="1899-12-30T15:45:00"/>
    <x v="1"/>
  </r>
  <r>
    <n v="1751"/>
    <x v="2"/>
    <n v="12115271561608"/>
    <x v="390"/>
    <d v="2021-09-23T18:45:00"/>
    <d v="1899-12-30T03:00:00"/>
    <n v="100"/>
    <s v="UNPLANNED"/>
    <x v="1"/>
    <d v="1899-12-30T15:45:00"/>
    <x v="1"/>
  </r>
  <r>
    <n v="1752"/>
    <x v="2"/>
    <n v="12115271561604"/>
    <x v="390"/>
    <d v="2021-09-23T18:45:00"/>
    <d v="1899-12-30T03:00:00"/>
    <n v="100"/>
    <s v="UNPLANNED"/>
    <x v="1"/>
    <d v="1899-12-30T15:45:00"/>
    <x v="1"/>
  </r>
  <r>
    <n v="1753"/>
    <x v="10"/>
    <n v="11115271487706"/>
    <x v="390"/>
    <d v="2021-09-23T18:45:00"/>
    <d v="1899-12-30T03:00:00"/>
    <n v="100"/>
    <s v="UNPLANNED"/>
    <x v="1"/>
    <d v="1899-12-30T15:45:00"/>
    <x v="1"/>
  </r>
  <r>
    <n v="1754"/>
    <x v="10"/>
    <n v="11115271487700"/>
    <x v="390"/>
    <d v="2021-09-23T18:45:00"/>
    <d v="1899-12-30T03:00:00"/>
    <n v="100"/>
    <s v="UNPLANNED"/>
    <x v="2"/>
    <d v="1899-12-30T15:45:00"/>
    <x v="1"/>
  </r>
  <r>
    <n v="1755"/>
    <x v="7"/>
    <n v="7115271760601"/>
    <x v="390"/>
    <d v="2021-09-23T18:45:00"/>
    <d v="1899-12-30T03:00:00"/>
    <n v="100"/>
    <s v="UNPLANNED"/>
    <x v="1"/>
    <d v="1899-12-30T15:45:00"/>
    <x v="1"/>
  </r>
  <r>
    <n v="1756"/>
    <x v="7"/>
    <n v="7115271760600"/>
    <x v="390"/>
    <d v="2021-09-23T18:45:00"/>
    <d v="1899-12-30T03:00:00"/>
    <n v="100"/>
    <s v="UNPLANNED"/>
    <x v="1"/>
    <d v="1899-12-30T15:45:00"/>
    <x v="1"/>
  </r>
  <r>
    <n v="1757"/>
    <x v="1"/>
    <n v="6115271736401"/>
    <x v="390"/>
    <d v="2021-09-23T18:45:00"/>
    <d v="1899-12-30T03:00:00"/>
    <n v="100"/>
    <s v="UNPLANNED"/>
    <x v="1"/>
    <d v="1899-12-30T15:45:00"/>
    <x v="1"/>
  </r>
  <r>
    <n v="1758"/>
    <x v="1"/>
    <n v="6115271736400"/>
    <x v="390"/>
    <d v="2021-09-23T18:45:00"/>
    <d v="1899-12-30T03:00:00"/>
    <n v="100"/>
    <s v="UNPLANNED"/>
    <x v="1"/>
    <d v="1899-12-30T15:45:00"/>
    <x v="1"/>
  </r>
  <r>
    <n v="1759"/>
    <x v="14"/>
    <n v="1115270143101"/>
    <x v="390"/>
    <d v="2021-09-23T18:45:00"/>
    <d v="1899-12-30T03:00:00"/>
    <n v="100"/>
    <s v="UNPLANNED"/>
    <x v="1"/>
    <d v="1899-12-30T15:45:00"/>
    <x v="1"/>
  </r>
  <r>
    <n v="1760"/>
    <x v="14"/>
    <n v="1115270143100"/>
    <x v="390"/>
    <d v="2021-09-23T18:45:00"/>
    <d v="1899-12-30T03:00:00"/>
    <n v="100"/>
    <s v="UNPLANNED"/>
    <x v="0"/>
    <d v="1899-12-30T15:45:00"/>
    <x v="1"/>
  </r>
  <r>
    <n v="1761"/>
    <x v="12"/>
    <n v="14115271672401"/>
    <x v="391"/>
    <d v="2021-09-23T21:40:00"/>
    <d v="1899-12-30T01:40:00"/>
    <n v="179.99999999790452"/>
    <s v="UNPLANNED"/>
    <x v="0"/>
    <d v="1899-12-30T20:00:00"/>
    <x v="1"/>
  </r>
  <r>
    <n v="1762"/>
    <x v="1"/>
    <n v="6115271731602"/>
    <x v="391"/>
    <d v="2021-09-23T21:40:00"/>
    <d v="1899-12-30T01:40:00"/>
    <n v="179.99999999790452"/>
    <s v="UNPLANNED"/>
    <x v="0"/>
    <d v="1899-12-30T20:00:00"/>
    <x v="1"/>
  </r>
  <r>
    <n v="1763"/>
    <x v="13"/>
    <n v="3115270436204"/>
    <x v="392"/>
    <d v="2021-09-24T10:15:00"/>
    <d v="1899-12-30T01:25:00"/>
    <n v="211.7647058707517"/>
    <s v="UNPLANNED"/>
    <x v="0"/>
    <d v="1899-12-30T08:50:00"/>
    <x v="0"/>
  </r>
  <r>
    <n v="1764"/>
    <x v="13"/>
    <n v="3115270436202"/>
    <x v="392"/>
    <d v="2021-09-24T10:15:00"/>
    <d v="1899-12-30T01:25:00"/>
    <n v="211.7647058707517"/>
    <s v="UNPLANNED"/>
    <x v="1"/>
    <d v="1899-12-30T08:50:00"/>
    <x v="0"/>
  </r>
  <r>
    <n v="1765"/>
    <x v="9"/>
    <n v="2115270291901"/>
    <x v="392"/>
    <d v="2021-09-24T10:15:00"/>
    <d v="1899-12-30T01:25:00"/>
    <n v="211.7647058707517"/>
    <s v="UNPLANNED"/>
    <x v="1"/>
    <d v="1899-12-30T08:50:00"/>
    <x v="0"/>
  </r>
  <r>
    <n v="1766"/>
    <x v="9"/>
    <n v="2115270291900"/>
    <x v="392"/>
    <d v="2021-09-24T10:15:00"/>
    <d v="1899-12-30T01:25:00"/>
    <n v="211.7647058707517"/>
    <s v="UNPLANNED"/>
    <x v="0"/>
    <d v="1899-12-30T08:50:00"/>
    <x v="0"/>
  </r>
  <r>
    <n v="1767"/>
    <x v="2"/>
    <n v="12115271571027"/>
    <x v="393"/>
    <d v="2021-09-24T15:00:00"/>
    <d v="1899-12-30T04:30:00"/>
    <n v="66.666666666666657"/>
    <s v="UNPLANNED"/>
    <x v="0"/>
    <d v="1899-12-30T10:30:00"/>
    <x v="0"/>
  </r>
  <r>
    <n v="1768"/>
    <x v="2"/>
    <n v="12115271571020"/>
    <x v="393"/>
    <d v="2021-09-24T15:00:00"/>
    <d v="1899-12-30T04:30:00"/>
    <n v="66.666666666666657"/>
    <s v="UNPLANNED"/>
    <x v="1"/>
    <d v="1899-12-30T10:30:00"/>
    <x v="0"/>
  </r>
  <r>
    <n v="1769"/>
    <x v="3"/>
    <n v="8115271829306"/>
    <x v="393"/>
    <d v="2021-09-24T15:00:00"/>
    <d v="1899-12-30T04:30:00"/>
    <n v="66.666666666666657"/>
    <s v="UNPLANNED"/>
    <x v="1"/>
    <d v="1899-12-30T10:30:00"/>
    <x v="0"/>
  </r>
  <r>
    <n v="1770"/>
    <x v="3"/>
    <n v="8115271829304"/>
    <x v="393"/>
    <d v="2021-09-24T15:00:00"/>
    <d v="1899-12-30T04:30:00"/>
    <n v="66.666666666666657"/>
    <s v="UNPLANNED"/>
    <x v="0"/>
    <d v="1899-12-30T10:30:00"/>
    <x v="0"/>
  </r>
  <r>
    <n v="1771"/>
    <x v="7"/>
    <n v="7115271774709"/>
    <x v="393"/>
    <d v="2021-09-24T15:00:00"/>
    <d v="1899-12-30T04:30:00"/>
    <n v="66.666666666666657"/>
    <s v="UNPLANNED"/>
    <x v="0"/>
    <d v="1899-12-30T10:30:00"/>
    <x v="0"/>
  </r>
  <r>
    <n v="1772"/>
    <x v="7"/>
    <n v="7115271774706"/>
    <x v="393"/>
    <d v="2021-09-24T15:00:00"/>
    <d v="1899-12-30T04:30:00"/>
    <n v="66.666666666666657"/>
    <s v="UNPLANNED"/>
    <x v="0"/>
    <d v="1899-12-30T10:30:00"/>
    <x v="0"/>
  </r>
  <r>
    <n v="1773"/>
    <x v="7"/>
    <n v="7115271774705"/>
    <x v="393"/>
    <d v="2021-09-24T15:00:00"/>
    <d v="1899-12-30T04:30:00"/>
    <n v="66.666666666666657"/>
    <s v="UNPLANNED"/>
    <x v="0"/>
    <d v="1899-12-30T10:30:00"/>
    <x v="0"/>
  </r>
  <r>
    <n v="1774"/>
    <x v="0"/>
    <n v="5115271679129"/>
    <x v="393"/>
    <d v="2021-09-24T15:00:00"/>
    <d v="1899-12-30T04:30:00"/>
    <n v="66.666666666666657"/>
    <s v="UNPLANNED"/>
    <x v="0"/>
    <d v="1899-12-30T10:30:00"/>
    <x v="0"/>
  </r>
  <r>
    <n v="1775"/>
    <x v="0"/>
    <n v="5115271679128"/>
    <x v="393"/>
    <d v="2021-09-24T15:00:00"/>
    <d v="1899-12-30T04:30:00"/>
    <n v="66.666666666666657"/>
    <s v="UNPLANNED"/>
    <x v="2"/>
    <d v="1899-12-30T10:30:00"/>
    <x v="0"/>
  </r>
  <r>
    <n v="1776"/>
    <x v="0"/>
    <n v="5115271679121"/>
    <x v="393"/>
    <d v="2021-09-24T15:00:00"/>
    <d v="1899-12-30T04:30:00"/>
    <n v="66.666666666666657"/>
    <s v="UNPLANNED"/>
    <x v="0"/>
    <d v="1899-12-30T10:30:00"/>
    <x v="0"/>
  </r>
  <r>
    <n v="1777"/>
    <x v="9"/>
    <n v="2115270233402"/>
    <x v="393"/>
    <d v="2021-09-24T15:00:00"/>
    <d v="1899-12-30T04:30:00"/>
    <n v="66.666666666666657"/>
    <s v="UNPLANNED"/>
    <x v="0"/>
    <d v="1899-12-30T10:30:00"/>
    <x v="0"/>
  </r>
  <r>
    <n v="1778"/>
    <x v="9"/>
    <n v="2115270233401"/>
    <x v="393"/>
    <d v="2021-09-24T15:00:00"/>
    <d v="1899-12-30T04:30:00"/>
    <n v="66.666666666666657"/>
    <s v="UNPLANNED"/>
    <x v="0"/>
    <d v="1899-12-30T10:30:00"/>
    <x v="0"/>
  </r>
  <r>
    <n v="1779"/>
    <x v="14"/>
    <n v="1115270112901"/>
    <x v="393"/>
    <d v="2021-09-24T15:00:00"/>
    <d v="1899-12-30T04:30:00"/>
    <n v="66.666666666666657"/>
    <s v="UNPLANNED"/>
    <x v="0"/>
    <d v="1899-12-30T10:30:00"/>
    <x v="0"/>
  </r>
  <r>
    <n v="1780"/>
    <x v="14"/>
    <n v="1115270112900"/>
    <x v="393"/>
    <d v="2021-09-24T15:00:00"/>
    <d v="1899-12-30T04:30:00"/>
    <n v="66.666666666666657"/>
    <s v="UNPLANNED"/>
    <x v="0"/>
    <d v="1899-12-30T10:30:00"/>
    <x v="0"/>
  </r>
  <r>
    <n v="1781"/>
    <x v="14"/>
    <n v="1115270118008"/>
    <x v="394"/>
    <d v="2021-09-24T17:55:00"/>
    <d v="1899-12-30T01:05:00"/>
    <n v="276.9230769131575"/>
    <s v="UNPLANNED"/>
    <x v="0"/>
    <d v="1899-12-30T16:50:00"/>
    <x v="1"/>
  </r>
  <r>
    <n v="1782"/>
    <x v="14"/>
    <n v="1115270118000"/>
    <x v="394"/>
    <d v="2021-09-24T17:55:00"/>
    <d v="1899-12-30T01:05:00"/>
    <n v="276.9230769131575"/>
    <s v="UNPLANNED"/>
    <x v="0"/>
    <d v="1899-12-30T16:50:00"/>
    <x v="1"/>
  </r>
  <r>
    <n v="1783"/>
    <x v="10"/>
    <n v="11115271542302"/>
    <x v="395"/>
    <d v="2021-09-24T19:00:00"/>
    <d v="1899-12-30T00:50:00"/>
    <n v="360.00000003352761"/>
    <s v="UNPLANNED"/>
    <x v="0"/>
    <d v="1899-12-30T18:10:00"/>
    <x v="1"/>
  </r>
  <r>
    <n v="1784"/>
    <x v="11"/>
    <n v="10115271964000"/>
    <x v="395"/>
    <d v="2021-09-24T19:00:00"/>
    <d v="1899-12-30T00:50:00"/>
    <n v="360.00000003352761"/>
    <s v="UNPLANNED"/>
    <x v="0"/>
    <d v="1899-12-30T18:10:00"/>
    <x v="1"/>
  </r>
  <r>
    <n v="1785"/>
    <x v="3"/>
    <n v="8115271810106"/>
    <x v="395"/>
    <d v="2021-09-24T19:00:00"/>
    <d v="1899-12-30T00:50:00"/>
    <n v="360.00000003352761"/>
    <s v="UNPLANNED"/>
    <x v="0"/>
    <d v="1899-12-30T18:10:00"/>
    <x v="1"/>
  </r>
  <r>
    <n v="1786"/>
    <x v="4"/>
    <n v="15115271744000"/>
    <x v="396"/>
    <d v="2021-09-25T13:50:00"/>
    <d v="1899-12-30T03:50:00"/>
    <n v="78.260869563236795"/>
    <s v="UNPLANNED"/>
    <x v="3"/>
    <d v="1899-12-30T10:00:00"/>
    <x v="0"/>
  </r>
  <r>
    <n v="1787"/>
    <x v="12"/>
    <n v="14115271672607"/>
    <x v="396"/>
    <d v="2021-09-25T13:50:00"/>
    <d v="1899-12-30T03:50:00"/>
    <n v="78.260869563236795"/>
    <s v="UNPLANNED"/>
    <x v="6"/>
    <d v="1899-12-30T10:00:00"/>
    <x v="0"/>
  </r>
  <r>
    <n v="1788"/>
    <x v="12"/>
    <n v="14115271672601"/>
    <x v="396"/>
    <d v="2021-09-25T13:50:00"/>
    <d v="1899-12-30T03:50:00"/>
    <n v="78.260869563236795"/>
    <s v="UNPLANNED"/>
    <x v="0"/>
    <d v="1899-12-30T10:00:00"/>
    <x v="0"/>
  </r>
  <r>
    <n v="1789"/>
    <x v="11"/>
    <n v="10115271450803"/>
    <x v="396"/>
    <d v="2021-09-25T13:50:00"/>
    <d v="1899-12-30T03:50:00"/>
    <n v="78.260869563236795"/>
    <s v="UNPLANNED"/>
    <x v="0"/>
    <d v="1899-12-30T10:00:00"/>
    <x v="0"/>
  </r>
  <r>
    <n v="1790"/>
    <x v="11"/>
    <n v="10115271450800"/>
    <x v="396"/>
    <d v="2021-09-25T13:50:00"/>
    <d v="1899-12-30T03:50:00"/>
    <n v="78.260869563236795"/>
    <s v="UNPLANNED"/>
    <x v="0"/>
    <d v="1899-12-30T10:00:00"/>
    <x v="0"/>
  </r>
  <r>
    <n v="1791"/>
    <x v="11"/>
    <n v="10115271434008"/>
    <x v="396"/>
    <d v="2021-09-25T13:50:00"/>
    <d v="1899-12-30T03:50:00"/>
    <n v="78.260869563236795"/>
    <s v="UNPLANNED"/>
    <x v="1"/>
    <d v="1899-12-30T10:00:00"/>
    <x v="0"/>
  </r>
  <r>
    <n v="1792"/>
    <x v="11"/>
    <n v="10115271434006"/>
    <x v="396"/>
    <d v="2021-09-25T13:50:00"/>
    <d v="1899-12-30T03:50:00"/>
    <n v="78.260869563236795"/>
    <s v="UNPLANNED"/>
    <x v="0"/>
    <d v="1899-12-30T10:00:00"/>
    <x v="0"/>
  </r>
  <r>
    <n v="1793"/>
    <x v="7"/>
    <n v="7115271768109"/>
    <x v="396"/>
    <d v="2021-09-25T13:50:00"/>
    <d v="1899-12-30T03:50:00"/>
    <n v="78.260869563236795"/>
    <s v="UNPLANNED"/>
    <x v="3"/>
    <d v="1899-12-30T10:00:00"/>
    <x v="0"/>
  </r>
  <r>
    <n v="1794"/>
    <x v="7"/>
    <n v="7115271768107"/>
    <x v="396"/>
    <d v="2021-09-25T13:50:00"/>
    <d v="1899-12-30T03:50:00"/>
    <n v="78.260869563236795"/>
    <s v="UNPLANNED"/>
    <x v="0"/>
    <d v="1899-12-30T10:00:00"/>
    <x v="0"/>
  </r>
  <r>
    <n v="1795"/>
    <x v="1"/>
    <n v="6115271723708"/>
    <x v="396"/>
    <d v="2021-09-25T13:50:00"/>
    <d v="1899-12-30T03:50:00"/>
    <n v="78.260869563236795"/>
    <s v="UNPLANNED"/>
    <x v="0"/>
    <d v="1899-12-30T10:00:00"/>
    <x v="0"/>
  </r>
  <r>
    <n v="1796"/>
    <x v="1"/>
    <n v="6115271723701"/>
    <x v="396"/>
    <d v="2021-09-25T13:50:00"/>
    <d v="1899-12-30T03:50:00"/>
    <n v="78.260869563236795"/>
    <s v="UNPLANNED"/>
    <x v="0"/>
    <d v="1899-12-30T10:00:00"/>
    <x v="0"/>
  </r>
  <r>
    <n v="1797"/>
    <x v="8"/>
    <n v="4115270858005"/>
    <x v="396"/>
    <d v="2021-09-25T13:50:00"/>
    <d v="1899-12-30T03:50:00"/>
    <n v="78.260869563236795"/>
    <s v="UNPLANNED"/>
    <x v="0"/>
    <d v="1899-12-30T10:00:00"/>
    <x v="0"/>
  </r>
  <r>
    <n v="1798"/>
    <x v="8"/>
    <n v="4115270858001"/>
    <x v="396"/>
    <d v="2021-09-25T13:50:00"/>
    <d v="1899-12-30T03:50:00"/>
    <n v="78.260869563236795"/>
    <s v="UNPLANNED"/>
    <x v="2"/>
    <d v="1899-12-30T10:00:00"/>
    <x v="0"/>
  </r>
  <r>
    <n v="1799"/>
    <x v="13"/>
    <n v="3115270391305"/>
    <x v="396"/>
    <d v="2021-09-25T13:50:00"/>
    <d v="1899-12-30T03:50:00"/>
    <n v="78.260869563236795"/>
    <s v="UNPLANNED"/>
    <x v="0"/>
    <d v="1899-12-30T10:00:00"/>
    <x v="0"/>
  </r>
  <r>
    <n v="1800"/>
    <x v="13"/>
    <n v="3115270391300"/>
    <x v="396"/>
    <d v="2021-09-25T13:50:00"/>
    <d v="1899-12-30T03:50:00"/>
    <n v="78.260869563236795"/>
    <s v="UNPLANNED"/>
    <x v="0"/>
    <d v="1899-12-30T10:00:00"/>
    <x v="0"/>
  </r>
  <r>
    <n v="1801"/>
    <x v="9"/>
    <n v="2115270166903"/>
    <x v="396"/>
    <d v="2021-09-25T13:50:00"/>
    <d v="1899-12-30T03:50:00"/>
    <n v="78.260869563236795"/>
    <s v="UNPLANNED"/>
    <x v="0"/>
    <d v="1899-12-30T10:00:00"/>
    <x v="0"/>
  </r>
  <r>
    <n v="1802"/>
    <x v="12"/>
    <n v="14115271672502"/>
    <x v="397"/>
    <d v="2021-09-25T20:40:00"/>
    <d v="1899-12-30T02:40:00"/>
    <n v="112.50000000163709"/>
    <s v="UNPLANNED"/>
    <x v="1"/>
    <d v="1899-12-30T18:00:00"/>
    <x v="1"/>
  </r>
  <r>
    <n v="1803"/>
    <x v="11"/>
    <n v="10115271450700"/>
    <x v="397"/>
    <d v="2021-09-25T20:40:00"/>
    <d v="1899-12-30T02:40:00"/>
    <n v="112.50000000163709"/>
    <s v="UNPLANNED"/>
    <x v="0"/>
    <d v="1899-12-30T18:00:00"/>
    <x v="1"/>
  </r>
  <r>
    <n v="1804"/>
    <x v="7"/>
    <n v="7115271765624"/>
    <x v="397"/>
    <d v="2021-09-25T20:40:00"/>
    <d v="1899-12-30T02:40:00"/>
    <n v="112.50000000163709"/>
    <s v="UNPLANNED"/>
    <x v="0"/>
    <d v="1899-12-30T18:00:00"/>
    <x v="1"/>
  </r>
  <r>
    <n v="1805"/>
    <x v="0"/>
    <n v="5115271295910"/>
    <x v="397"/>
    <d v="2021-09-25T20:40:00"/>
    <d v="1899-12-30T02:40:00"/>
    <n v="112.50000000163709"/>
    <s v="UNPLANNED"/>
    <x v="1"/>
    <d v="1899-12-30T18:00:00"/>
    <x v="1"/>
  </r>
  <r>
    <n v="1806"/>
    <x v="10"/>
    <n v="11115271489807"/>
    <x v="398"/>
    <d v="2021-09-26T01:50:00"/>
    <d v="1899-12-30T01:20:00"/>
    <n v="225.00000000327418"/>
    <s v="UNPLANNED"/>
    <x v="0"/>
    <d v="1899-12-30T00:30:00"/>
    <x v="2"/>
  </r>
  <r>
    <n v="1807"/>
    <x v="10"/>
    <n v="11115271489806"/>
    <x v="398"/>
    <d v="2021-09-26T01:50:00"/>
    <d v="1899-12-30T01:20:00"/>
    <n v="225.00000000327418"/>
    <s v="UNPLANNED"/>
    <x v="0"/>
    <d v="1899-12-30T00:30:00"/>
    <x v="2"/>
  </r>
  <r>
    <n v="1808"/>
    <x v="1"/>
    <n v="6115271749104"/>
    <x v="398"/>
    <d v="2021-09-26T01:50:00"/>
    <d v="1899-12-30T01:20:00"/>
    <n v="225.00000000327418"/>
    <s v="UNPLANNED"/>
    <x v="0"/>
    <d v="1899-12-30T00:30:00"/>
    <x v="2"/>
  </r>
  <r>
    <n v="1809"/>
    <x v="1"/>
    <n v="6115271749103"/>
    <x v="398"/>
    <d v="2021-09-26T01:50:00"/>
    <d v="1899-12-30T01:20:00"/>
    <n v="225.00000000327418"/>
    <s v="UNPLANNED"/>
    <x v="0"/>
    <d v="1899-12-30T00:30:00"/>
    <x v="2"/>
  </r>
  <r>
    <n v="1810"/>
    <x v="4"/>
    <n v="15115271759902"/>
    <x v="399"/>
    <d v="2021-09-26T12:50:00"/>
    <d v="1899-12-30T02:20:00"/>
    <n v="128.57142857570506"/>
    <s v="UNPLANNED"/>
    <x v="0"/>
    <d v="1899-12-30T10:30:00"/>
    <x v="0"/>
  </r>
  <r>
    <n v="1811"/>
    <x v="4"/>
    <n v="15115271569251"/>
    <x v="399"/>
    <d v="2021-09-26T12:50:00"/>
    <d v="1899-12-30T02:20:00"/>
    <n v="128.57142857570506"/>
    <s v="UNPLANNED"/>
    <x v="1"/>
    <d v="1899-12-30T10:30:00"/>
    <x v="0"/>
  </r>
  <r>
    <n v="1812"/>
    <x v="5"/>
    <n v="13115271591207"/>
    <x v="399"/>
    <d v="2021-09-26T12:50:00"/>
    <d v="1899-12-30T02:20:00"/>
    <n v="128.57142857570506"/>
    <s v="UNPLANNED"/>
    <x v="1"/>
    <d v="1899-12-30T10:30:00"/>
    <x v="0"/>
  </r>
  <r>
    <n v="1813"/>
    <x v="5"/>
    <n v="13115271591204"/>
    <x v="399"/>
    <d v="2021-09-26T12:50:00"/>
    <d v="1899-12-30T02:20:00"/>
    <n v="128.57142857570506"/>
    <s v="UNPLANNED"/>
    <x v="1"/>
    <d v="1899-12-30T10:30:00"/>
    <x v="0"/>
  </r>
  <r>
    <n v="1814"/>
    <x v="7"/>
    <n v="7115271766029"/>
    <x v="399"/>
    <d v="2021-09-26T12:50:00"/>
    <d v="1899-12-30T02:20:00"/>
    <n v="128.57142857570506"/>
    <s v="UNPLANNED"/>
    <x v="0"/>
    <d v="1899-12-30T10:30:00"/>
    <x v="0"/>
  </r>
  <r>
    <n v="1815"/>
    <x v="7"/>
    <n v="7115271766028"/>
    <x v="399"/>
    <d v="2021-09-26T12:50:00"/>
    <d v="1899-12-30T02:20:00"/>
    <n v="128.57142857570506"/>
    <s v="UNPLANNED"/>
    <x v="1"/>
    <d v="1899-12-30T10:30:00"/>
    <x v="0"/>
  </r>
  <r>
    <n v="1816"/>
    <x v="7"/>
    <n v="7115271766024"/>
    <x v="399"/>
    <d v="2021-09-26T12:50:00"/>
    <d v="1899-12-30T02:20:00"/>
    <n v="128.57142857570506"/>
    <s v="UNPLANNED"/>
    <x v="0"/>
    <d v="1899-12-30T10:30:00"/>
    <x v="0"/>
  </r>
  <r>
    <n v="1817"/>
    <x v="7"/>
    <n v="7115271766019"/>
    <x v="399"/>
    <d v="2021-09-26T12:50:00"/>
    <d v="1899-12-30T02:20:00"/>
    <n v="128.57142857570506"/>
    <s v="UNPLANNED"/>
    <x v="0"/>
    <d v="1899-12-30T10:30:00"/>
    <x v="0"/>
  </r>
  <r>
    <n v="1818"/>
    <x v="7"/>
    <n v="7115271766010"/>
    <x v="399"/>
    <d v="2021-09-26T12:50:00"/>
    <d v="1899-12-30T02:20:00"/>
    <n v="128.57142857570506"/>
    <s v="UNPLANNED"/>
    <x v="0"/>
    <d v="1899-12-30T10:30:00"/>
    <x v="0"/>
  </r>
  <r>
    <n v="1819"/>
    <x v="0"/>
    <n v="5115270974209"/>
    <x v="399"/>
    <d v="2021-09-26T12:50:00"/>
    <d v="1899-12-30T02:20:00"/>
    <n v="128.57142857570506"/>
    <s v="UNPLANNED"/>
    <x v="0"/>
    <d v="1899-12-30T10:30:00"/>
    <x v="0"/>
  </r>
  <r>
    <n v="1820"/>
    <x v="0"/>
    <n v="5115270974205"/>
    <x v="399"/>
    <d v="2021-09-26T12:50:00"/>
    <d v="1899-12-30T02:20:00"/>
    <n v="128.57142857570506"/>
    <s v="UNPLANNED"/>
    <x v="0"/>
    <d v="1899-12-30T10:30:00"/>
    <x v="0"/>
  </r>
  <r>
    <n v="1821"/>
    <x v="14"/>
    <n v="1115270087207"/>
    <x v="399"/>
    <d v="2021-09-26T12:50:00"/>
    <d v="1899-12-30T02:20:00"/>
    <n v="128.57142857570506"/>
    <s v="UNPLANNED"/>
    <x v="1"/>
    <d v="1899-12-30T10:30:00"/>
    <x v="0"/>
  </r>
  <r>
    <n v="1822"/>
    <x v="14"/>
    <n v="1115270087200"/>
    <x v="399"/>
    <d v="2021-09-26T12:50:00"/>
    <d v="1899-12-30T02:20:00"/>
    <n v="128.57142857570506"/>
    <s v="UNPLANNED"/>
    <x v="6"/>
    <d v="1899-12-30T10:30:00"/>
    <x v="0"/>
  </r>
  <r>
    <n v="1823"/>
    <x v="14"/>
    <n v="1115271094101"/>
    <x v="400"/>
    <d v="2021-09-26T19:10:00"/>
    <d v="1899-12-30T03:20:00"/>
    <n v="89.999999998952262"/>
    <s v="UNPLANNED"/>
    <x v="0"/>
    <d v="1899-12-30T15:50:00"/>
    <x v="1"/>
  </r>
  <r>
    <n v="1824"/>
    <x v="7"/>
    <n v="7115271806296"/>
    <x v="401"/>
    <d v="2021-09-26T20:15:00"/>
    <d v="1899-12-30T01:00:00"/>
    <n v="300.0000000174623"/>
    <s v="UNPLANNED"/>
    <x v="0"/>
    <d v="1899-12-30T19:15:00"/>
    <x v="1"/>
  </r>
  <r>
    <n v="1825"/>
    <x v="9"/>
    <n v="2115270228806"/>
    <x v="401"/>
    <d v="2021-09-26T20:15:00"/>
    <d v="1899-12-30T01:00:00"/>
    <n v="300.0000000174623"/>
    <s v="UNPLANNED"/>
    <x v="0"/>
    <d v="1899-12-30T19:15:00"/>
    <x v="1"/>
  </r>
  <r>
    <n v="1826"/>
    <x v="11"/>
    <n v="10115271959105"/>
    <x v="402"/>
    <d v="2021-09-27T09:25:00"/>
    <d v="1899-12-30T00:55:00"/>
    <n v="327.27272726580009"/>
    <s v="UNPLANNED"/>
    <x v="0"/>
    <d v="1899-12-30T08:30:00"/>
    <x v="0"/>
  </r>
  <r>
    <n v="1827"/>
    <x v="11"/>
    <n v="10115271959100"/>
    <x v="402"/>
    <d v="2021-09-27T09:25:00"/>
    <d v="1899-12-30T00:55:00"/>
    <n v="327.27272726580009"/>
    <s v="UNPLANNED"/>
    <x v="0"/>
    <d v="1899-12-30T08:30:00"/>
    <x v="0"/>
  </r>
  <r>
    <n v="1828"/>
    <x v="0"/>
    <n v="5115270973802"/>
    <x v="402"/>
    <d v="2021-09-27T09:25:00"/>
    <d v="1899-12-30T00:55:00"/>
    <n v="327.27272726580009"/>
    <s v="UNPLANNED"/>
    <x v="0"/>
    <d v="1899-12-30T08:30:00"/>
    <x v="0"/>
  </r>
  <r>
    <n v="1829"/>
    <x v="0"/>
    <n v="5115270973801"/>
    <x v="402"/>
    <d v="2021-09-27T09:25:00"/>
    <d v="1899-12-30T00:55:00"/>
    <n v="327.27272726580009"/>
    <s v="UNPLANNED"/>
    <x v="0"/>
    <d v="1899-12-30T08:30:00"/>
    <x v="0"/>
  </r>
  <r>
    <n v="1830"/>
    <x v="7"/>
    <n v="7115271797901"/>
    <x v="403"/>
    <d v="2021-09-27T13:45:00"/>
    <d v="1899-12-30T02:30:00"/>
    <n v="120.00000000279397"/>
    <s v="UNPLANNED"/>
    <x v="1"/>
    <d v="1899-12-30T11:15:00"/>
    <x v="0"/>
  </r>
  <r>
    <n v="1831"/>
    <x v="7"/>
    <n v="7115271797900"/>
    <x v="403"/>
    <d v="2021-09-27T13:45:00"/>
    <d v="1899-12-30T02:30:00"/>
    <n v="120.00000000279397"/>
    <s v="UNPLANNED"/>
    <x v="1"/>
    <d v="1899-12-30T11:15:00"/>
    <x v="0"/>
  </r>
  <r>
    <n v="1832"/>
    <x v="13"/>
    <n v="3115270306609"/>
    <x v="403"/>
    <d v="2021-09-27T13:45:00"/>
    <d v="1899-12-30T02:30:00"/>
    <n v="120.00000000279397"/>
    <s v="UNPLANNED"/>
    <x v="0"/>
    <d v="1899-12-30T11:15:00"/>
    <x v="0"/>
  </r>
  <r>
    <n v="1833"/>
    <x v="13"/>
    <n v="3115270306601"/>
    <x v="403"/>
    <d v="2021-09-27T13:45:00"/>
    <d v="1899-12-30T02:30:00"/>
    <n v="120.00000000279397"/>
    <s v="UNPLANNED"/>
    <x v="0"/>
    <d v="1899-12-30T11:15:00"/>
    <x v="0"/>
  </r>
  <r>
    <n v="1834"/>
    <x v="4"/>
    <n v="15115271791208"/>
    <x v="404"/>
    <d v="2021-09-27T19:30:00"/>
    <d v="1899-12-30T01:20:00"/>
    <n v="225.00000000327418"/>
    <s v="UNPLANNED"/>
    <x v="0"/>
    <d v="1899-12-30T18:10:00"/>
    <x v="1"/>
  </r>
  <r>
    <n v="1835"/>
    <x v="4"/>
    <n v="15115271791206"/>
    <x v="404"/>
    <d v="2021-09-27T19:30:00"/>
    <d v="1899-12-30T01:20:00"/>
    <n v="225.00000000327418"/>
    <s v="UNPLANNED"/>
    <x v="1"/>
    <d v="1899-12-30T18:10:00"/>
    <x v="1"/>
  </r>
  <r>
    <n v="1836"/>
    <x v="9"/>
    <n v="2115270217802"/>
    <x v="404"/>
    <d v="2021-09-27T19:30:00"/>
    <d v="1899-12-30T01:20:00"/>
    <n v="225.00000000327418"/>
    <s v="UNPLANNED"/>
    <x v="1"/>
    <d v="1899-12-30T18:10:00"/>
    <x v="1"/>
  </r>
  <r>
    <n v="1837"/>
    <x v="9"/>
    <n v="2115270217800"/>
    <x v="404"/>
    <d v="2021-09-27T19:30:00"/>
    <d v="1899-12-30T01:20:00"/>
    <n v="225.00000000327418"/>
    <s v="UNPLANNED"/>
    <x v="1"/>
    <d v="1899-12-30T18:10:00"/>
    <x v="1"/>
  </r>
  <r>
    <n v="1838"/>
    <x v="5"/>
    <n v="13115271591310"/>
    <x v="405"/>
    <d v="2021-09-27T22:00:00"/>
    <d v="1899-12-30T01:40:00"/>
    <n v="179.99999999790452"/>
    <s v="UNPLANNED"/>
    <x v="0"/>
    <d v="1899-12-30T20:20:00"/>
    <x v="1"/>
  </r>
  <r>
    <n v="1839"/>
    <x v="5"/>
    <n v="13115271591302"/>
    <x v="405"/>
    <d v="2021-09-27T22:00:00"/>
    <d v="1899-12-30T01:40:00"/>
    <n v="179.99999999790452"/>
    <s v="UNPLANNED"/>
    <x v="1"/>
    <d v="1899-12-30T20:20:00"/>
    <x v="1"/>
  </r>
  <r>
    <n v="1840"/>
    <x v="5"/>
    <n v="13115271591300"/>
    <x v="405"/>
    <d v="2021-09-27T22:00:00"/>
    <d v="1899-12-30T01:40:00"/>
    <n v="179.99999999790452"/>
    <s v="UNPLANNED"/>
    <x v="1"/>
    <d v="1899-12-30T20:20:00"/>
    <x v="1"/>
  </r>
  <r>
    <n v="1841"/>
    <x v="13"/>
    <n v="3115270339904"/>
    <x v="405"/>
    <d v="2021-09-27T22:00:00"/>
    <d v="1899-12-30T01:40:00"/>
    <n v="179.99999999790452"/>
    <s v="UNPLANNED"/>
    <x v="1"/>
    <d v="1899-12-30T20:20:00"/>
    <x v="1"/>
  </r>
  <r>
    <n v="1842"/>
    <x v="13"/>
    <n v="3115270339900"/>
    <x v="405"/>
    <d v="2021-09-27T22:00:00"/>
    <d v="1899-12-30T01:40:00"/>
    <n v="179.99999999790452"/>
    <s v="UNPLANNED"/>
    <x v="1"/>
    <d v="1899-12-30T20:20:00"/>
    <x v="1"/>
  </r>
  <r>
    <n v="1843"/>
    <x v="10"/>
    <n v="11115271489700"/>
    <x v="406"/>
    <d v="2021-09-28T00:50:00"/>
    <d v="1899-12-30T02:20:00"/>
    <n v="128.57142857570506"/>
    <s v="UNPLANNED"/>
    <x v="1"/>
    <d v="1899-12-30T22:30:00"/>
    <x v="2"/>
  </r>
  <r>
    <n v="1844"/>
    <x v="6"/>
    <n v="9115271909215"/>
    <x v="406"/>
    <d v="2021-09-28T00:50:00"/>
    <d v="1899-12-30T02:20:00"/>
    <n v="128.57142857570506"/>
    <s v="UNPLANNED"/>
    <x v="1"/>
    <d v="1899-12-30T22:30:00"/>
    <x v="2"/>
  </r>
  <r>
    <n v="1845"/>
    <x v="6"/>
    <n v="9115271909205"/>
    <x v="406"/>
    <d v="2021-09-28T00:50:00"/>
    <d v="1899-12-30T02:20:00"/>
    <n v="128.57142857570506"/>
    <s v="UNPLANNED"/>
    <x v="0"/>
    <d v="1899-12-30T22:30:00"/>
    <x v="2"/>
  </r>
  <r>
    <n v="1846"/>
    <x v="13"/>
    <n v="3115270305711"/>
    <x v="406"/>
    <d v="2021-09-28T00:50:00"/>
    <d v="1899-12-30T02:20:00"/>
    <n v="128.57142857570506"/>
    <s v="UNPLANNED"/>
    <x v="0"/>
    <d v="1899-12-30T22:30:00"/>
    <x v="2"/>
  </r>
  <r>
    <n v="1847"/>
    <x v="13"/>
    <n v="3115270305709"/>
    <x v="406"/>
    <d v="2021-09-28T00:50:00"/>
    <d v="1899-12-30T02:20:00"/>
    <n v="128.57142857570506"/>
    <s v="UNPLANNED"/>
    <x v="0"/>
    <d v="1899-12-30T22:30:00"/>
    <x v="2"/>
  </r>
  <r>
    <n v="1848"/>
    <x v="13"/>
    <n v="3115270305701"/>
    <x v="406"/>
    <d v="2021-09-28T00:50:00"/>
    <d v="1899-12-30T02:20:00"/>
    <n v="128.57142857570506"/>
    <s v="UNPLANNED"/>
    <x v="0"/>
    <d v="1899-12-30T22:30:00"/>
    <x v="2"/>
  </r>
  <r>
    <n v="1849"/>
    <x v="1"/>
    <n v="6115271733509"/>
    <x v="407"/>
    <d v="2021-09-28T21:30:00"/>
    <d v="1899-12-30T02:30:00"/>
    <n v="119.99999999441206"/>
    <s v="UNPLANNED"/>
    <x v="0"/>
    <d v="1899-12-30T19:00:00"/>
    <x v="1"/>
  </r>
  <r>
    <n v="1850"/>
    <x v="1"/>
    <n v="6115271733505"/>
    <x v="407"/>
    <d v="2021-09-28T21:30:00"/>
    <d v="1899-12-30T02:30:00"/>
    <n v="119.99999999441206"/>
    <s v="UNPLANNED"/>
    <x v="0"/>
    <d v="1899-12-30T19:00:00"/>
    <x v="1"/>
  </r>
  <r>
    <n v="1851"/>
    <x v="1"/>
    <n v="6115271733504"/>
    <x v="407"/>
    <d v="2021-09-28T21:30:00"/>
    <d v="1899-12-30T02:30:00"/>
    <n v="119.99999999441206"/>
    <s v="UNPLANNED"/>
    <x v="1"/>
    <d v="1899-12-30T19:00:00"/>
    <x v="1"/>
  </r>
  <r>
    <n v="1852"/>
    <x v="1"/>
    <n v="6115271733503"/>
    <x v="407"/>
    <d v="2021-09-28T21:30:00"/>
    <d v="1899-12-30T02:30:00"/>
    <n v="119.99999999441206"/>
    <s v="UNPLANNED"/>
    <x v="0"/>
    <d v="1899-12-30T19:00:00"/>
    <x v="1"/>
  </r>
  <r>
    <n v="1853"/>
    <x v="1"/>
    <n v="6115271720617"/>
    <x v="407"/>
    <d v="2021-09-28T21:30:00"/>
    <d v="1899-12-30T02:30:00"/>
    <n v="119.99999999441206"/>
    <s v="UNPLANNED"/>
    <x v="0"/>
    <d v="1899-12-30T19:00:00"/>
    <x v="1"/>
  </r>
  <r>
    <n v="1854"/>
    <x v="1"/>
    <n v="6115271720608"/>
    <x v="407"/>
    <d v="2021-09-28T21:30:00"/>
    <d v="1899-12-30T02:30:00"/>
    <n v="119.99999999441206"/>
    <s v="UNPLANNED"/>
    <x v="1"/>
    <d v="1899-12-30T19:00:00"/>
    <x v="1"/>
  </r>
  <r>
    <n v="1855"/>
    <x v="1"/>
    <n v="6115271720607"/>
    <x v="407"/>
    <d v="2021-09-28T21:30:00"/>
    <d v="1899-12-30T02:30:00"/>
    <n v="119.99999999441206"/>
    <s v="UNPLANNED"/>
    <x v="1"/>
    <d v="1899-12-30T19:00:00"/>
    <x v="1"/>
  </r>
  <r>
    <n v="1856"/>
    <x v="13"/>
    <n v="3115270318310"/>
    <x v="407"/>
    <d v="2021-09-28T21:30:00"/>
    <d v="1899-12-30T02:30:00"/>
    <n v="119.99999999441206"/>
    <s v="UNPLANNED"/>
    <x v="1"/>
    <d v="1899-12-30T19:00:00"/>
    <x v="1"/>
  </r>
  <r>
    <n v="1857"/>
    <x v="13"/>
    <n v="3115270318301"/>
    <x v="407"/>
    <d v="2021-09-28T21:30:00"/>
    <d v="1899-12-30T02:30:00"/>
    <n v="119.99999999441206"/>
    <s v="UNPLANNED"/>
    <x v="1"/>
    <d v="1899-12-30T19:00:00"/>
    <x v="1"/>
  </r>
  <r>
    <n v="1858"/>
    <x v="13"/>
    <n v="3115270318300"/>
    <x v="407"/>
    <d v="2021-09-28T21:30:00"/>
    <d v="1899-12-30T02:30:00"/>
    <n v="119.99999999441206"/>
    <s v="UNPLANNED"/>
    <x v="1"/>
    <d v="1899-12-30T19:00:00"/>
    <x v="1"/>
  </r>
  <r>
    <n v="1859"/>
    <x v="9"/>
    <n v="2115270291611"/>
    <x v="407"/>
    <d v="2021-09-28T21:30:00"/>
    <d v="1899-12-30T02:30:00"/>
    <n v="119.99999999441206"/>
    <s v="UNPLANNED"/>
    <x v="0"/>
    <d v="1899-12-30T19:00:00"/>
    <x v="1"/>
  </r>
  <r>
    <n v="1860"/>
    <x v="9"/>
    <n v="2115270291602"/>
    <x v="407"/>
    <d v="2021-09-28T21:30:00"/>
    <d v="1899-12-30T02:30:00"/>
    <n v="119.99999999441206"/>
    <s v="UNPLANNED"/>
    <x v="0"/>
    <d v="1899-12-30T19:00:00"/>
    <x v="1"/>
  </r>
  <r>
    <n v="1861"/>
    <x v="9"/>
    <n v="2115270291601"/>
    <x v="407"/>
    <d v="2021-09-28T21:30:00"/>
    <d v="1899-12-30T02:30:00"/>
    <n v="119.99999999441206"/>
    <s v="UNPLANNED"/>
    <x v="1"/>
    <d v="1899-12-30T19:00:00"/>
    <x v="1"/>
  </r>
  <r>
    <n v="1862"/>
    <x v="1"/>
    <n v="6115271720609"/>
    <x v="408"/>
    <d v="2021-09-28T23:40:00"/>
    <d v="1899-12-30T01:40:00"/>
    <n v="179.99999999790452"/>
    <s v="UNPLANNED"/>
    <x v="1"/>
    <d v="1899-12-30T22:00:00"/>
    <x v="1"/>
  </r>
  <r>
    <n v="1863"/>
    <x v="1"/>
    <n v="6115271720605"/>
    <x v="408"/>
    <d v="2021-09-28T23:40:00"/>
    <d v="1899-12-30T01:40:00"/>
    <n v="179.99999999790452"/>
    <s v="UNPLANNED"/>
    <x v="1"/>
    <d v="1899-12-30T22:00:00"/>
    <x v="1"/>
  </r>
  <r>
    <n v="1864"/>
    <x v="9"/>
    <n v="2115270291208"/>
    <x v="408"/>
    <d v="2021-09-28T23:40:00"/>
    <d v="1899-12-30T01:40:00"/>
    <n v="179.99999999790452"/>
    <s v="UNPLANNED"/>
    <x v="0"/>
    <d v="1899-12-30T22:00:00"/>
    <x v="1"/>
  </r>
  <r>
    <n v="1865"/>
    <x v="9"/>
    <n v="2115270291205"/>
    <x v="408"/>
    <d v="2021-09-28T23:40:00"/>
    <d v="1899-12-30T01:40:00"/>
    <n v="179.99999999790452"/>
    <s v="UNPLANNED"/>
    <x v="0"/>
    <d v="1899-12-30T22:00:00"/>
    <x v="1"/>
  </r>
  <r>
    <n v="1866"/>
    <x v="9"/>
    <n v="2115270291202"/>
    <x v="408"/>
    <d v="2021-09-28T23:40:00"/>
    <d v="1899-12-30T01:40:00"/>
    <n v="179.99999999790452"/>
    <s v="UNPLANNED"/>
    <x v="0"/>
    <d v="1899-12-30T22:00:00"/>
    <x v="1"/>
  </r>
  <r>
    <n v="1867"/>
    <x v="12"/>
    <n v="14115271675316"/>
    <x v="409"/>
    <d v="2021-09-29T01:50:00"/>
    <d v="1899-12-30T01:00:00"/>
    <n v="299.9999999650754"/>
    <s v="UNPLANNED"/>
    <x v="0"/>
    <d v="1899-12-30T00:50:00"/>
    <x v="2"/>
  </r>
  <r>
    <n v="1868"/>
    <x v="11"/>
    <n v="10115271959502"/>
    <x v="410"/>
    <d v="2021-09-29T11:50:00"/>
    <d v="1899-12-30T02:30:00"/>
    <n v="120.00000000279397"/>
    <s v="UNPLANNED"/>
    <x v="0"/>
    <d v="1899-12-30T09:20:00"/>
    <x v="0"/>
  </r>
  <r>
    <n v="1869"/>
    <x v="7"/>
    <n v="7115271754001"/>
    <x v="410"/>
    <d v="2021-09-29T11:50:00"/>
    <d v="1899-12-30T02:30:00"/>
    <n v="120.00000000279397"/>
    <s v="UNPLANNED"/>
    <x v="1"/>
    <d v="1899-12-30T09:20:00"/>
    <x v="0"/>
  </r>
  <r>
    <n v="1870"/>
    <x v="1"/>
    <n v="6115271723022"/>
    <x v="410"/>
    <d v="2021-09-29T11:50:00"/>
    <d v="1899-12-30T02:30:00"/>
    <n v="120.00000000279397"/>
    <s v="UNPLANNED"/>
    <x v="1"/>
    <d v="1899-12-30T09:20:00"/>
    <x v="0"/>
  </r>
  <r>
    <n v="1871"/>
    <x v="4"/>
    <n v="15115271743402"/>
    <x v="411"/>
    <d v="2021-09-29T14:00:00"/>
    <d v="1899-12-30T01:30:00"/>
    <n v="200"/>
    <s v="UNPLANNED"/>
    <x v="1"/>
    <d v="1899-12-30T12:30:00"/>
    <x v="0"/>
  </r>
  <r>
    <n v="1872"/>
    <x v="11"/>
    <n v="10115271450702"/>
    <x v="411"/>
    <d v="2021-09-29T14:00:00"/>
    <d v="1899-12-30T01:30:00"/>
    <n v="200"/>
    <s v="UNPLANNED"/>
    <x v="1"/>
    <d v="1899-12-30T12:30:00"/>
    <x v="0"/>
  </r>
  <r>
    <n v="1873"/>
    <x v="14"/>
    <n v="1115270130500"/>
    <x v="411"/>
    <d v="2021-09-29T14:00:00"/>
    <d v="1899-12-30T01:30:00"/>
    <n v="200"/>
    <s v="UNPLANNED"/>
    <x v="0"/>
    <d v="1899-12-30T12:30:00"/>
    <x v="0"/>
  </r>
  <r>
    <n v="1874"/>
    <x v="4"/>
    <n v="15115271791208"/>
    <x v="412"/>
    <d v="2021-09-29T16:00:00"/>
    <d v="1899-12-30T01:25:00"/>
    <n v="211.76470589685451"/>
    <s v="UNPLANNED"/>
    <x v="0"/>
    <d v="1899-12-30T14:35:00"/>
    <x v="1"/>
  </r>
  <r>
    <n v="1875"/>
    <x v="13"/>
    <n v="3115270319100"/>
    <x v="412"/>
    <d v="2021-09-29T16:00:00"/>
    <d v="1899-12-30T01:25:00"/>
    <n v="211.76470589685451"/>
    <s v="UNPLANNED"/>
    <x v="1"/>
    <d v="1899-12-30T14:35:00"/>
    <x v="1"/>
  </r>
  <r>
    <n v="1876"/>
    <x v="12"/>
    <n v="14115271672409"/>
    <x v="413"/>
    <d v="2021-09-29T19:10:00"/>
    <d v="1899-12-30T03:20:00"/>
    <n v="89.999999998952262"/>
    <s v="UNPLANNED"/>
    <x v="0"/>
    <d v="1899-12-30T15:50:00"/>
    <x v="1"/>
  </r>
  <r>
    <n v="1877"/>
    <x v="6"/>
    <n v="9115271911100"/>
    <x v="414"/>
    <d v="2021-09-29T19:55:00"/>
    <d v="1899-12-30T01:05:00"/>
    <n v="276.9230769131575"/>
    <s v="UNPLANNED"/>
    <x v="1"/>
    <d v="1899-12-30T18:50:00"/>
    <x v="1"/>
  </r>
  <r>
    <n v="1878"/>
    <x v="13"/>
    <n v="3115270349700"/>
    <x v="414"/>
    <d v="2021-09-29T19:55:00"/>
    <d v="1899-12-30T01:05:00"/>
    <n v="276.9230769131575"/>
    <s v="UNPLANNED"/>
    <x v="0"/>
    <d v="1899-12-30T18:50:00"/>
    <x v="1"/>
  </r>
  <r>
    <n v="1879"/>
    <x v="14"/>
    <n v="1115270088300"/>
    <x v="414"/>
    <d v="2021-09-29T19:55:00"/>
    <d v="1899-12-30T01:05:00"/>
    <n v="276.9230769131575"/>
    <s v="UNPLANNED"/>
    <x v="0"/>
    <d v="1899-12-30T18:50:00"/>
    <x v="1"/>
  </r>
  <r>
    <n v="1880"/>
    <x v="1"/>
    <n v="6115271720809"/>
    <x v="415"/>
    <d v="2021-09-30T11:30:00"/>
    <d v="1899-12-30T03:00:00"/>
    <n v="100"/>
    <s v="UNPLANNED"/>
    <x v="0"/>
    <d v="1899-12-30T08:30:00"/>
    <x v="0"/>
  </r>
  <r>
    <n v="1881"/>
    <x v="1"/>
    <n v="6115271720802"/>
    <x v="415"/>
    <d v="2021-09-30T11:30:00"/>
    <d v="1899-12-30T03:00:00"/>
    <n v="100"/>
    <s v="UNPLANNED"/>
    <x v="0"/>
    <d v="1899-12-30T08:30:00"/>
    <x v="0"/>
  </r>
  <r>
    <n v="1882"/>
    <x v="1"/>
    <n v="6115271720802"/>
    <x v="415"/>
    <d v="2021-09-30T11:30:00"/>
    <d v="1899-12-30T03:00:00"/>
    <n v="100"/>
    <s v="UNPLANNED"/>
    <x v="0"/>
    <d v="1899-12-30T08:30:00"/>
    <x v="0"/>
  </r>
  <r>
    <n v="1883"/>
    <x v="1"/>
    <n v="6115271720801"/>
    <x v="415"/>
    <d v="2021-09-30T11:30:00"/>
    <d v="1899-12-30T03:00:00"/>
    <n v="100"/>
    <s v="UNPLANNED"/>
    <x v="0"/>
    <d v="1899-12-30T08:30:00"/>
    <x v="0"/>
  </r>
  <r>
    <n v="1884"/>
    <x v="2"/>
    <n v="12115271566607"/>
    <x v="416"/>
    <d v="2021-09-30T20:50:00"/>
    <d v="1899-12-30T02:50:00"/>
    <n v="105.88235294190156"/>
    <s v="UNPLANNED"/>
    <x v="0"/>
    <d v="1899-12-30T18:00:00"/>
    <x v="1"/>
  </r>
  <r>
    <n v="1885"/>
    <x v="2"/>
    <n v="12115271566607"/>
    <x v="416"/>
    <d v="2021-09-30T20:50:00"/>
    <d v="1899-12-30T02:50:00"/>
    <n v="105.88235294190156"/>
    <s v="UNPLANNED"/>
    <x v="1"/>
    <d v="1899-12-30T18:00:00"/>
    <x v="1"/>
  </r>
  <r>
    <n v="1886"/>
    <x v="2"/>
    <n v="12115271566606"/>
    <x v="416"/>
    <d v="2021-09-30T20:50:00"/>
    <d v="1899-12-30T02:50:00"/>
    <n v="105.88235294190156"/>
    <s v="UNPLANNED"/>
    <x v="1"/>
    <d v="1899-12-30T18:00:00"/>
    <x v="1"/>
  </r>
  <r>
    <n v="1887"/>
    <x v="13"/>
    <n v="3115270407908"/>
    <x v="416"/>
    <d v="2021-09-30T20:50:00"/>
    <d v="1899-12-30T02:50:00"/>
    <n v="105.88235294190156"/>
    <s v="UNPLANNED"/>
    <x v="1"/>
    <d v="1899-12-30T18:00:00"/>
    <x v="1"/>
  </r>
  <r>
    <n v="1888"/>
    <x v="13"/>
    <n v="3115270407901"/>
    <x v="416"/>
    <d v="2021-09-30T20:50:00"/>
    <d v="1899-12-30T02:50:00"/>
    <n v="105.88235294190156"/>
    <s v="UNPLANNED"/>
    <x v="1"/>
    <d v="1899-12-30T18:00:00"/>
    <x v="1"/>
  </r>
  <r>
    <n v="1889"/>
    <x v="13"/>
    <n v="3115270407900"/>
    <x v="416"/>
    <d v="2021-09-30T20:50:00"/>
    <d v="1899-12-30T02:50:00"/>
    <n v="105.88235294190156"/>
    <s v="UNPLANNED"/>
    <x v="0"/>
    <d v="1899-12-30T18:00:00"/>
    <x v="1"/>
  </r>
  <r>
    <n v="1890"/>
    <x v="7"/>
    <n v="7115271760309"/>
    <x v="417"/>
    <d v="2021-09-30T21:35:00"/>
    <d v="1899-12-30T00:30:00"/>
    <n v="599.99999993015081"/>
    <s v="UNPLANNED"/>
    <x v="1"/>
    <d v="1899-12-30T21:05:00"/>
    <x v="1"/>
  </r>
  <r>
    <n v="1891"/>
    <x v="7"/>
    <n v="7115271760308"/>
    <x v="417"/>
    <d v="2021-09-30T21:35:00"/>
    <d v="1899-12-30T00:30:00"/>
    <n v="599.99999993015081"/>
    <s v="UNPLANNED"/>
    <x v="1"/>
    <d v="1899-12-30T21:05:00"/>
    <x v="1"/>
  </r>
  <r>
    <n v="1892"/>
    <x v="7"/>
    <n v="7115271760306"/>
    <x v="417"/>
    <d v="2021-09-30T21:35:00"/>
    <d v="1899-12-30T00:30:00"/>
    <n v="599.99999993015081"/>
    <s v="UNPLANNED"/>
    <x v="1"/>
    <d v="1899-12-30T21:05:00"/>
    <x v="1"/>
  </r>
  <r>
    <n v="1893"/>
    <x v="13"/>
    <n v="3115270318900"/>
    <x v="295"/>
    <d v="2021-08-30T22:10:00"/>
    <d v="1899-12-30T02:20:00"/>
    <n v="128.57142857570506"/>
    <s v="UNPLANNED"/>
    <x v="1"/>
    <d v="1899-12-30T19:50:00"/>
    <x v="1"/>
  </r>
  <r>
    <n v="1894"/>
    <x v="5"/>
    <n v="13115271590312"/>
    <x v="418"/>
    <d v="2021-10-01T12:50:00"/>
    <d v="1899-12-30T03:35:00"/>
    <n v="83.720930233011458"/>
    <s v="UNPLANNED"/>
    <x v="1"/>
    <d v="1899-12-30T09:15:00"/>
    <x v="0"/>
  </r>
  <r>
    <n v="1895"/>
    <x v="10"/>
    <n v="11115271542501"/>
    <x v="418"/>
    <d v="2021-10-01T12:50:00"/>
    <d v="1899-12-30T03:35:00"/>
    <n v="83.720930233011458"/>
    <s v="UNPLANNED"/>
    <x v="0"/>
    <d v="1899-12-30T09:15:00"/>
    <x v="0"/>
  </r>
  <r>
    <n v="1896"/>
    <x v="7"/>
    <n v="7115271774700"/>
    <x v="418"/>
    <d v="2021-10-01T12:50:00"/>
    <d v="1899-12-30T03:35:00"/>
    <n v="83.720930233011458"/>
    <s v="UNPLANNED"/>
    <x v="0"/>
    <d v="1899-12-30T09:15:00"/>
    <x v="0"/>
  </r>
  <r>
    <n v="1897"/>
    <x v="13"/>
    <n v="3115270393400"/>
    <x v="418"/>
    <d v="2021-10-01T12:50:00"/>
    <d v="1899-12-30T03:35:00"/>
    <n v="83.720930233011458"/>
    <s v="UNPLANNED"/>
    <x v="1"/>
    <d v="1899-12-30T09:15:00"/>
    <x v="0"/>
  </r>
  <r>
    <n v="1898"/>
    <x v="13"/>
    <n v="3115270341100"/>
    <x v="418"/>
    <d v="2021-10-01T12:50:00"/>
    <d v="1899-12-30T03:35:00"/>
    <n v="83.720930233011458"/>
    <s v="UNPLANNED"/>
    <x v="0"/>
    <d v="1899-12-30T09:15:00"/>
    <x v="0"/>
  </r>
  <r>
    <n v="1899"/>
    <x v="1"/>
    <n v="6115271734904"/>
    <x v="419"/>
    <d v="2021-10-01T13:40:00"/>
    <d v="1899-12-30T00:40:00"/>
    <n v="449.99999994761311"/>
    <s v="UNPLANNED"/>
    <x v="1"/>
    <d v="1899-12-30T13:00:00"/>
    <x v="0"/>
  </r>
  <r>
    <n v="1900"/>
    <x v="10"/>
    <n v="11115271482507"/>
    <x v="420"/>
    <d v="2021-10-01T17:25:00"/>
    <d v="1899-12-30T02:05:00"/>
    <n v="144.00000000134111"/>
    <s v="UNPLANNED"/>
    <x v="0"/>
    <d v="1899-12-30T15:20:00"/>
    <x v="1"/>
  </r>
  <r>
    <n v="1901"/>
    <x v="3"/>
    <n v="8115271875600"/>
    <x v="420"/>
    <d v="2021-10-01T17:25:00"/>
    <d v="1899-12-30T02:05:00"/>
    <n v="144.00000000134111"/>
    <s v="UNPLANNED"/>
    <x v="1"/>
    <d v="1899-12-30T15:20:00"/>
    <x v="1"/>
  </r>
  <r>
    <n v="1902"/>
    <x v="7"/>
    <n v="7115271774600"/>
    <x v="420"/>
    <d v="2021-10-01T17:25:00"/>
    <d v="1899-12-30T02:05:00"/>
    <n v="144.00000000134111"/>
    <s v="UNPLANNED"/>
    <x v="1"/>
    <d v="1899-12-30T15:20:00"/>
    <x v="1"/>
  </r>
  <r>
    <n v="1903"/>
    <x v="13"/>
    <n v="3115270366201"/>
    <x v="420"/>
    <d v="2021-10-01T17:25:00"/>
    <d v="1899-12-30T02:05:00"/>
    <n v="144.00000000134111"/>
    <s v="UNPLANNED"/>
    <x v="1"/>
    <d v="1899-12-30T15:20:00"/>
    <x v="1"/>
  </r>
  <r>
    <n v="1904"/>
    <x v="3"/>
    <n v="8115271878000"/>
    <x v="421"/>
    <d v="2021-10-01T20:30:00"/>
    <d v="1899-12-30T02:50:00"/>
    <n v="105.88235294190156"/>
    <s v="UNPLANNED"/>
    <x v="0"/>
    <d v="1899-12-30T17:40:00"/>
    <x v="1"/>
  </r>
  <r>
    <n v="1905"/>
    <x v="1"/>
    <n v="6115271720801"/>
    <x v="421"/>
    <d v="2021-10-01T20:30:00"/>
    <d v="1899-12-30T02:50:00"/>
    <n v="105.88235294190156"/>
    <s v="UNPLANNED"/>
    <x v="0"/>
    <d v="1899-12-30T17:40:00"/>
    <x v="1"/>
  </r>
  <r>
    <n v="1906"/>
    <x v="5"/>
    <n v="13115271590501"/>
    <x v="422"/>
    <d v="2021-10-02T00:50:00"/>
    <d v="1899-12-30T02:20:00"/>
    <n v="128.57142857570506"/>
    <s v="UNPLANNED"/>
    <x v="0"/>
    <d v="1899-12-30T22:30:00"/>
    <x v="2"/>
  </r>
  <r>
    <n v="1907"/>
    <x v="9"/>
    <n v="2115270217700"/>
    <x v="422"/>
    <d v="2021-10-02T00:50:00"/>
    <d v="1899-12-30T02:20:00"/>
    <n v="128.57142857570506"/>
    <s v="UNPLANNED"/>
    <x v="0"/>
    <d v="1899-12-30T22:30:00"/>
    <x v="2"/>
  </r>
  <r>
    <n v="1908"/>
    <x v="14"/>
    <n v="1115270042600"/>
    <x v="422"/>
    <d v="2021-10-02T00:50:00"/>
    <d v="1899-12-30T02:20:00"/>
    <n v="128.57142857570506"/>
    <s v="UNPLANNED"/>
    <x v="1"/>
    <d v="1899-12-30T22:30:00"/>
    <x v="2"/>
  </r>
  <r>
    <n v="1909"/>
    <x v="10"/>
    <n v="11115271542304"/>
    <x v="423"/>
    <d v="2021-10-02T12:15:00"/>
    <d v="1899-12-30T02:25:00"/>
    <n v="124.1379310334861"/>
    <s v="UNPLANNED"/>
    <x v="0"/>
    <d v="1899-12-30T09:50:00"/>
    <x v="0"/>
  </r>
  <r>
    <n v="1910"/>
    <x v="10"/>
    <n v="11115271542300"/>
    <x v="423"/>
    <d v="2021-10-02T12:15:00"/>
    <d v="1899-12-30T02:25:00"/>
    <n v="124.1379310334861"/>
    <s v="UNPLANNED"/>
    <x v="0"/>
    <d v="1899-12-30T09:50:00"/>
    <x v="0"/>
  </r>
  <r>
    <n v="1911"/>
    <x v="7"/>
    <n v="7115271776103"/>
    <x v="423"/>
    <d v="2021-10-02T12:15:00"/>
    <d v="1899-12-30T02:25:00"/>
    <n v="124.1379310334861"/>
    <s v="UNPLANNED"/>
    <x v="0"/>
    <d v="1899-12-30T09:50:00"/>
    <x v="0"/>
  </r>
  <r>
    <n v="1912"/>
    <x v="7"/>
    <n v="7115271776101"/>
    <x v="423"/>
    <d v="2021-10-02T12:15:00"/>
    <d v="1899-12-30T02:25:00"/>
    <n v="124.1379310334861"/>
    <s v="UNPLANNED"/>
    <x v="0"/>
    <d v="1899-12-30T09:50:00"/>
    <x v="0"/>
  </r>
  <r>
    <n v="1913"/>
    <x v="9"/>
    <n v="2115270229100"/>
    <x v="423"/>
    <d v="2021-10-02T12:15:00"/>
    <d v="1899-12-30T02:25:00"/>
    <n v="124.1379310334861"/>
    <s v="UNPLANNED"/>
    <x v="0"/>
    <d v="1899-12-30T09:50:00"/>
    <x v="0"/>
  </r>
  <r>
    <n v="1914"/>
    <x v="4"/>
    <n v="15115271543605"/>
    <x v="424"/>
    <d v="2021-10-02T13:20:00"/>
    <d v="1899-12-30T00:40:00"/>
    <n v="450.00000006548362"/>
    <s v="UNPLANNED"/>
    <x v="0"/>
    <d v="1899-12-30T12:40:00"/>
    <x v="0"/>
  </r>
  <r>
    <n v="1915"/>
    <x v="4"/>
    <n v="15115271543601"/>
    <x v="424"/>
    <d v="2021-10-02T13:20:00"/>
    <d v="1899-12-30T00:40:00"/>
    <n v="450.00000006548362"/>
    <s v="UNPLANNED"/>
    <x v="0"/>
    <d v="1899-12-30T12:40:00"/>
    <x v="0"/>
  </r>
  <r>
    <n v="1916"/>
    <x v="12"/>
    <n v="14115271672359"/>
    <x v="425"/>
    <d v="2021-10-02T17:15:00"/>
    <d v="1899-12-30T01:55:00"/>
    <n v="156.52173913360375"/>
    <s v="UNPLANNED"/>
    <x v="0"/>
    <d v="1899-12-30T15:20:00"/>
    <x v="1"/>
  </r>
  <r>
    <n v="1917"/>
    <x v="12"/>
    <n v="14115271672356"/>
    <x v="425"/>
    <d v="2021-10-02T17:15:00"/>
    <d v="1899-12-30T01:55:00"/>
    <n v="156.52173913360375"/>
    <s v="UNPLANNED"/>
    <x v="0"/>
    <d v="1899-12-30T15:20:00"/>
    <x v="1"/>
  </r>
  <r>
    <n v="1918"/>
    <x v="12"/>
    <n v="14115271672351"/>
    <x v="425"/>
    <d v="2021-10-02T17:15:00"/>
    <d v="1899-12-30T01:55:00"/>
    <n v="156.52173913360375"/>
    <s v="UNPLANNED"/>
    <x v="1"/>
    <d v="1899-12-30T15:20:00"/>
    <x v="1"/>
  </r>
  <r>
    <n v="1919"/>
    <x v="11"/>
    <n v="10115271963608"/>
    <x v="425"/>
    <d v="2021-10-02T17:15:00"/>
    <d v="1899-12-30T01:55:00"/>
    <n v="156.52173913360375"/>
    <s v="UNPLANNED"/>
    <x v="0"/>
    <d v="1899-12-30T15:20:00"/>
    <x v="1"/>
  </r>
  <r>
    <n v="1920"/>
    <x v="11"/>
    <n v="10115271963600"/>
    <x v="425"/>
    <d v="2021-10-02T17:15:00"/>
    <d v="1899-12-30T01:55:00"/>
    <n v="156.52173913360375"/>
    <s v="UNPLANNED"/>
    <x v="1"/>
    <d v="1899-12-30T15:20:00"/>
    <x v="1"/>
  </r>
  <r>
    <n v="1921"/>
    <x v="11"/>
    <n v="10115271432907"/>
    <x v="425"/>
    <d v="2021-10-02T17:15:00"/>
    <d v="1899-12-30T01:55:00"/>
    <n v="156.52173913360375"/>
    <s v="UNPLANNED"/>
    <x v="2"/>
    <d v="1899-12-30T15:20:00"/>
    <x v="1"/>
  </r>
  <r>
    <n v="1922"/>
    <x v="11"/>
    <n v="10115271432900"/>
    <x v="425"/>
    <d v="2021-10-02T17:15:00"/>
    <d v="1899-12-30T01:55:00"/>
    <n v="156.52173913360375"/>
    <s v="UNPLANNED"/>
    <x v="1"/>
    <d v="1899-12-30T15:20:00"/>
    <x v="1"/>
  </r>
  <r>
    <n v="1923"/>
    <x v="3"/>
    <n v="8115271887306"/>
    <x v="425"/>
    <d v="2021-10-02T17:15:00"/>
    <d v="1899-12-30T01:55:00"/>
    <n v="156.52173913360375"/>
    <s v="UNPLANNED"/>
    <x v="0"/>
    <d v="1899-12-30T15:20:00"/>
    <x v="1"/>
  </r>
  <r>
    <n v="1924"/>
    <x v="3"/>
    <n v="8115271887302"/>
    <x v="425"/>
    <d v="2021-10-02T17:15:00"/>
    <d v="1899-12-30T01:55:00"/>
    <n v="156.52173913360375"/>
    <s v="UNPLANNED"/>
    <x v="0"/>
    <d v="1899-12-30T15:20:00"/>
    <x v="1"/>
  </r>
  <r>
    <n v="1925"/>
    <x v="3"/>
    <n v="8115271877703"/>
    <x v="426"/>
    <d v="2021-10-02T20:20:00"/>
    <d v="1899-12-30T02:20:00"/>
    <n v="128.57142857570506"/>
    <s v="UNPLANNED"/>
    <x v="1"/>
    <d v="1899-12-30T18:00:00"/>
    <x v="1"/>
  </r>
  <r>
    <n v="1926"/>
    <x v="3"/>
    <n v="8115271877701"/>
    <x v="426"/>
    <d v="2021-10-02T20:20:00"/>
    <d v="1899-12-30T02:20:00"/>
    <n v="128.57142857570506"/>
    <s v="UNPLANNED"/>
    <x v="2"/>
    <d v="1899-12-30T18:00:00"/>
    <x v="1"/>
  </r>
  <r>
    <n v="1927"/>
    <x v="1"/>
    <n v="6115271744705"/>
    <x v="426"/>
    <d v="2021-10-02T20:20:00"/>
    <d v="1899-12-30T02:20:00"/>
    <n v="128.57142857570506"/>
    <s v="UNPLANNED"/>
    <x v="6"/>
    <d v="1899-12-30T18:00:00"/>
    <x v="1"/>
  </r>
  <r>
    <n v="1928"/>
    <x v="1"/>
    <n v="6115271744700"/>
    <x v="426"/>
    <d v="2021-10-02T20:20:00"/>
    <d v="1899-12-30T02:20:00"/>
    <n v="128.57142857570506"/>
    <s v="UNPLANNED"/>
    <x v="1"/>
    <d v="1899-12-30T18:00:00"/>
    <x v="1"/>
  </r>
  <r>
    <n v="1929"/>
    <x v="14"/>
    <n v="1115270110700"/>
    <x v="427"/>
    <d v="2021-10-03T01:30:00"/>
    <d v="1899-12-30T00:40:00"/>
    <n v="449.99999994761311"/>
    <s v="UNPLANNED"/>
    <x v="1"/>
    <d v="1899-12-30T00:50:00"/>
    <x v="2"/>
  </r>
  <r>
    <n v="1930"/>
    <x v="4"/>
    <n v="15115271743802"/>
    <x v="428"/>
    <d v="2021-10-03T12:40:00"/>
    <d v="1899-12-30T04:00:00"/>
    <n v="74.999999997817213"/>
    <s v="UNPLANNED"/>
    <x v="1"/>
    <d v="1899-12-30T08:40:00"/>
    <x v="0"/>
  </r>
  <r>
    <n v="1931"/>
    <x v="4"/>
    <n v="15115271743801"/>
    <x v="428"/>
    <d v="2021-10-03T12:40:00"/>
    <d v="1899-12-30T04:00:00"/>
    <n v="74.999999997817213"/>
    <s v="UNPLANNED"/>
    <x v="0"/>
    <d v="1899-12-30T08:40:00"/>
    <x v="0"/>
  </r>
  <r>
    <n v="1932"/>
    <x v="10"/>
    <n v="11115271526104"/>
    <x v="428"/>
    <d v="2021-10-03T12:40:00"/>
    <d v="1899-12-30T04:00:00"/>
    <n v="74.999999997817213"/>
    <s v="UNPLANNED"/>
    <x v="0"/>
    <d v="1899-12-30T08:40:00"/>
    <x v="0"/>
  </r>
  <r>
    <n v="1933"/>
    <x v="10"/>
    <n v="11115271526100"/>
    <x v="428"/>
    <d v="2021-10-03T12:40:00"/>
    <d v="1899-12-30T04:00:00"/>
    <n v="74.999999997817213"/>
    <s v="UNPLANNED"/>
    <x v="1"/>
    <d v="1899-12-30T08:40:00"/>
    <x v="0"/>
  </r>
  <r>
    <n v="1934"/>
    <x v="14"/>
    <n v="1115270141704"/>
    <x v="428"/>
    <d v="2021-10-03T12:40:00"/>
    <d v="1899-12-30T04:00:00"/>
    <n v="74.999999997817213"/>
    <s v="UNPLANNED"/>
    <x v="0"/>
    <d v="1899-12-30T08:40:00"/>
    <x v="0"/>
  </r>
  <r>
    <n v="1935"/>
    <x v="14"/>
    <n v="1115270141700"/>
    <x v="428"/>
    <d v="2021-10-03T12:40:00"/>
    <d v="1899-12-30T04:00:00"/>
    <n v="74.999999997817213"/>
    <s v="UNPLANNED"/>
    <x v="1"/>
    <d v="1899-12-30T08:40:00"/>
    <x v="0"/>
  </r>
  <r>
    <n v="1936"/>
    <x v="14"/>
    <n v="1115270067001"/>
    <x v="428"/>
    <d v="2021-10-03T12:40:00"/>
    <d v="1899-12-30T04:00:00"/>
    <n v="74.999999997817213"/>
    <s v="UNPLANNED"/>
    <x v="1"/>
    <d v="1899-12-30T08:40:00"/>
    <x v="0"/>
  </r>
  <r>
    <n v="1937"/>
    <x v="12"/>
    <n v="14115271673701"/>
    <x v="429"/>
    <d v="2021-10-03T19:00:00"/>
    <d v="1899-12-30T03:35:00"/>
    <n v="83.720930233011458"/>
    <s v="UNPLANNED"/>
    <x v="1"/>
    <d v="1899-12-30T15:25:00"/>
    <x v="1"/>
  </r>
  <r>
    <n v="1938"/>
    <x v="13"/>
    <n v="3115270366406"/>
    <x v="429"/>
    <d v="2021-10-03T19:00:00"/>
    <d v="1899-12-30T03:35:00"/>
    <n v="83.720930233011458"/>
    <s v="UNPLANNED"/>
    <x v="2"/>
    <d v="1899-12-30T15:25:00"/>
    <x v="1"/>
  </r>
  <r>
    <n v="1939"/>
    <x v="13"/>
    <n v="3115270366401"/>
    <x v="429"/>
    <d v="2021-10-03T19:00:00"/>
    <d v="1899-12-30T03:35:00"/>
    <n v="83.720930233011458"/>
    <s v="UNPLANNED"/>
    <x v="1"/>
    <d v="1899-12-30T15:25:00"/>
    <x v="1"/>
  </r>
  <r>
    <n v="1940"/>
    <x v="13"/>
    <n v="3115270341006"/>
    <x v="429"/>
    <d v="2021-10-03T19:00:00"/>
    <d v="1899-12-30T03:35:00"/>
    <n v="83.720930233011458"/>
    <s v="UNPLANNED"/>
    <x v="0"/>
    <d v="1899-12-30T15:25:00"/>
    <x v="1"/>
  </r>
  <r>
    <n v="1941"/>
    <x v="13"/>
    <n v="3115270341003"/>
    <x v="429"/>
    <d v="2021-10-03T19:00:00"/>
    <d v="1899-12-30T03:35:00"/>
    <n v="83.720930233011458"/>
    <s v="UNPLANNED"/>
    <x v="1"/>
    <d v="1899-12-30T15:25:00"/>
    <x v="1"/>
  </r>
  <r>
    <n v="1942"/>
    <x v="2"/>
    <n v="12115271569207"/>
    <x v="430"/>
    <d v="2021-10-03T21:30:00"/>
    <d v="1899-12-30T01:30:00"/>
    <n v="200"/>
    <s v="UNPLANNED"/>
    <x v="1"/>
    <d v="1899-12-30T20:00:00"/>
    <x v="1"/>
  </r>
  <r>
    <n v="1943"/>
    <x v="7"/>
    <n v="7115271768104"/>
    <x v="430"/>
    <d v="2021-10-03T21:30:00"/>
    <d v="1899-12-30T01:30:00"/>
    <n v="200"/>
    <s v="UNPLANNED"/>
    <x v="1"/>
    <d v="1899-12-30T20:00:00"/>
    <x v="1"/>
  </r>
  <r>
    <n v="1944"/>
    <x v="3"/>
    <n v="8115271838505"/>
    <x v="431"/>
    <d v="2021-10-04T02:45:00"/>
    <d v="1899-12-30T02:15:00"/>
    <n v="133.33333333333331"/>
    <s v="UNPLANNED"/>
    <x v="0"/>
    <d v="1899-12-30T00:30:00"/>
    <x v="2"/>
  </r>
  <r>
    <n v="1945"/>
    <x v="3"/>
    <n v="8115271838504"/>
    <x v="431"/>
    <d v="2021-10-04T02:45:00"/>
    <d v="1899-12-30T02:15:00"/>
    <n v="133.33333333333331"/>
    <s v="UNPLANNED"/>
    <x v="0"/>
    <d v="1899-12-30T00:30:00"/>
    <x v="2"/>
  </r>
  <r>
    <n v="1946"/>
    <x v="7"/>
    <n v="7115271766018"/>
    <x v="431"/>
    <d v="2021-10-04T02:45:00"/>
    <d v="1899-12-30T02:15:00"/>
    <n v="133.33333333333331"/>
    <s v="UNPLANNED"/>
    <x v="0"/>
    <d v="1899-12-30T00:30:00"/>
    <x v="2"/>
  </r>
  <r>
    <n v="1947"/>
    <x v="7"/>
    <n v="7115271766012"/>
    <x v="431"/>
    <d v="2021-10-04T02:45:00"/>
    <d v="1899-12-30T02:15:00"/>
    <n v="133.33333333333331"/>
    <s v="UNPLANNED"/>
    <x v="1"/>
    <d v="1899-12-30T00:30:00"/>
    <x v="2"/>
  </r>
  <r>
    <n v="1948"/>
    <x v="13"/>
    <n v="3115270306606"/>
    <x v="431"/>
    <d v="2021-10-04T02:45:00"/>
    <d v="1899-12-30T02:15:00"/>
    <n v="133.33333333333331"/>
    <s v="UNPLANNED"/>
    <x v="0"/>
    <d v="1899-12-30T00:30:00"/>
    <x v="2"/>
  </r>
  <r>
    <n v="1949"/>
    <x v="13"/>
    <n v="3115270306605"/>
    <x v="431"/>
    <d v="2021-10-04T02:45:00"/>
    <d v="1899-12-30T02:15:00"/>
    <n v="133.33333333333331"/>
    <s v="UNPLANNED"/>
    <x v="1"/>
    <d v="1899-12-30T00:30:00"/>
    <x v="2"/>
  </r>
  <r>
    <n v="1950"/>
    <x v="12"/>
    <n v="14115271672409"/>
    <x v="432"/>
    <d v="2021-10-04T14:00:00"/>
    <d v="1899-12-30T04:15:00"/>
    <n v="70.588235293150888"/>
    <s v="UNPLANNED"/>
    <x v="1"/>
    <d v="1899-12-30T09:45:00"/>
    <x v="0"/>
  </r>
  <r>
    <n v="1951"/>
    <x v="12"/>
    <n v="14115271672406"/>
    <x v="432"/>
    <d v="2021-10-04T14:00:00"/>
    <d v="1899-12-30T04:15:00"/>
    <n v="70.588235293150888"/>
    <s v="UNPLANNED"/>
    <x v="2"/>
    <d v="1899-12-30T09:45:00"/>
    <x v="0"/>
  </r>
  <r>
    <n v="1952"/>
    <x v="12"/>
    <n v="14115271672401"/>
    <x v="432"/>
    <d v="2021-10-04T14:00:00"/>
    <d v="1899-12-30T04:15:00"/>
    <n v="70.588235293150888"/>
    <s v="UNPLANNED"/>
    <x v="1"/>
    <d v="1899-12-30T09:45:00"/>
    <x v="0"/>
  </r>
  <r>
    <n v="1953"/>
    <x v="3"/>
    <n v="8115270613203"/>
    <x v="432"/>
    <d v="2021-10-04T14:00:00"/>
    <d v="1899-12-30T04:15:00"/>
    <n v="70.588235293150888"/>
    <s v="UNPLANNED"/>
    <x v="1"/>
    <d v="1899-12-30T09:45:00"/>
    <x v="0"/>
  </r>
  <r>
    <n v="1954"/>
    <x v="3"/>
    <n v="8115270613201"/>
    <x v="432"/>
    <d v="2021-10-04T14:00:00"/>
    <d v="1899-12-30T04:15:00"/>
    <n v="70.588235293150888"/>
    <s v="UNPLANNED"/>
    <x v="0"/>
    <d v="1899-12-30T09:45:00"/>
    <x v="0"/>
  </r>
  <r>
    <n v="1955"/>
    <x v="3"/>
    <n v="8115270613200"/>
    <x v="432"/>
    <d v="2021-10-04T14:00:00"/>
    <d v="1899-12-30T04:15:00"/>
    <n v="70.588235293150888"/>
    <s v="UNPLANNED"/>
    <x v="0"/>
    <d v="1899-12-30T09:45:00"/>
    <x v="0"/>
  </r>
  <r>
    <n v="1956"/>
    <x v="13"/>
    <n v="3115270409107"/>
    <x v="432"/>
    <d v="2021-10-04T14:00:00"/>
    <d v="1899-12-30T04:15:00"/>
    <n v="70.588235293150888"/>
    <s v="UNPLANNED"/>
    <x v="1"/>
    <d v="1899-12-30T09:45:00"/>
    <x v="0"/>
  </r>
  <r>
    <n v="1957"/>
    <x v="13"/>
    <n v="3115270409103"/>
    <x v="432"/>
    <d v="2021-10-04T14:00:00"/>
    <d v="1899-12-30T04:15:00"/>
    <n v="70.588235293150888"/>
    <s v="UNPLANNED"/>
    <x v="2"/>
    <d v="1899-12-30T09:45:00"/>
    <x v="0"/>
  </r>
  <r>
    <n v="1958"/>
    <x v="13"/>
    <n v="3115270409100"/>
    <x v="432"/>
    <d v="2021-10-04T14:00:00"/>
    <d v="1899-12-30T04:15:00"/>
    <n v="70.588235293150888"/>
    <s v="UNPLANNED"/>
    <x v="2"/>
    <d v="1899-12-30T09:45:00"/>
    <x v="0"/>
  </r>
  <r>
    <n v="1959"/>
    <x v="13"/>
    <n v="3115270340709"/>
    <x v="432"/>
    <d v="2021-10-04T14:00:00"/>
    <d v="1899-12-30T04:15:00"/>
    <n v="70.588235293150888"/>
    <s v="UNPLANNED"/>
    <x v="0"/>
    <d v="1899-12-30T09:45:00"/>
    <x v="0"/>
  </r>
  <r>
    <n v="1960"/>
    <x v="13"/>
    <n v="3115270340700"/>
    <x v="432"/>
    <d v="2021-10-04T14:00:00"/>
    <d v="1899-12-30T04:15:00"/>
    <n v="70.588235293150888"/>
    <s v="UNPLANNED"/>
    <x v="0"/>
    <d v="1899-12-30T09:45:00"/>
    <x v="0"/>
  </r>
  <r>
    <n v="1961"/>
    <x v="14"/>
    <n v="1115270130304"/>
    <x v="432"/>
    <d v="2021-10-04T14:00:00"/>
    <d v="1899-12-30T04:15:00"/>
    <n v="70.588235293150888"/>
    <s v="UNPLANNED"/>
    <x v="0"/>
    <d v="1899-12-30T09:45:00"/>
    <x v="0"/>
  </r>
  <r>
    <n v="1962"/>
    <x v="14"/>
    <n v="1115270130300"/>
    <x v="432"/>
    <d v="2021-10-04T14:00:00"/>
    <d v="1899-12-30T04:15:00"/>
    <n v="70.588235293150888"/>
    <s v="UNPLANNED"/>
    <x v="1"/>
    <d v="1899-12-30T09:45:00"/>
    <x v="0"/>
  </r>
  <r>
    <n v="1963"/>
    <x v="5"/>
    <n v="13115271634409"/>
    <x v="433"/>
    <d v="2021-10-04T15:15:00"/>
    <d v="1899-12-30T00:29:00"/>
    <n v="620.68965516743049"/>
    <s v="UNPLANNED"/>
    <x v="1"/>
    <d v="1899-12-30T14:46:00"/>
    <x v="1"/>
  </r>
  <r>
    <n v="1964"/>
    <x v="5"/>
    <n v="13115271634407"/>
    <x v="433"/>
    <d v="2021-10-04T15:15:00"/>
    <d v="1899-12-30T00:29:00"/>
    <n v="620.68965516743049"/>
    <s v="UNPLANNED"/>
    <x v="0"/>
    <d v="1899-12-30T14:46:00"/>
    <x v="1"/>
  </r>
  <r>
    <n v="1965"/>
    <x v="5"/>
    <n v="13115271634400"/>
    <x v="433"/>
    <d v="2021-10-04T15:15:00"/>
    <d v="1899-12-30T00:29:00"/>
    <n v="620.68965516743049"/>
    <s v="UNPLANNED"/>
    <x v="0"/>
    <d v="1899-12-30T14:46:00"/>
    <x v="1"/>
  </r>
  <r>
    <n v="1966"/>
    <x v="7"/>
    <n v="7115271773617"/>
    <x v="434"/>
    <d v="2021-10-04T19:00:00"/>
    <d v="1899-12-30T02:30:00"/>
    <n v="120.00000000279397"/>
    <s v="UNPLANNED"/>
    <x v="2"/>
    <d v="1899-12-30T16:30:00"/>
    <x v="1"/>
  </r>
  <r>
    <n v="1967"/>
    <x v="13"/>
    <n v="3115270317004"/>
    <x v="434"/>
    <d v="2021-10-04T19:00:00"/>
    <d v="1899-12-30T02:30:00"/>
    <n v="120.00000000279397"/>
    <s v="UNPLANNED"/>
    <x v="0"/>
    <d v="1899-12-30T16:30:00"/>
    <x v="1"/>
  </r>
  <r>
    <n v="1968"/>
    <x v="13"/>
    <n v="3115270317000"/>
    <x v="434"/>
    <d v="2021-10-04T19:00:00"/>
    <d v="1899-12-30T02:30:00"/>
    <n v="120.00000000279397"/>
    <s v="UNPLANNED"/>
    <x v="0"/>
    <d v="1899-12-30T16:30:00"/>
    <x v="1"/>
  </r>
  <r>
    <n v="1969"/>
    <x v="13"/>
    <n v="3115270308305"/>
    <x v="434"/>
    <d v="2021-10-04T19:00:00"/>
    <d v="1899-12-30T02:30:00"/>
    <n v="120.00000000279397"/>
    <s v="UNPLANNED"/>
    <x v="2"/>
    <d v="1899-12-30T16:30:00"/>
    <x v="1"/>
  </r>
  <r>
    <n v="1970"/>
    <x v="13"/>
    <n v="3115270308301"/>
    <x v="434"/>
    <d v="2021-10-04T19:00:00"/>
    <d v="1899-12-30T02:30:00"/>
    <n v="120.00000000279397"/>
    <s v="UNPLANNED"/>
    <x v="2"/>
    <d v="1899-12-30T16:30:00"/>
    <x v="1"/>
  </r>
  <r>
    <n v="1971"/>
    <x v="13"/>
    <n v="3115270308300"/>
    <x v="434"/>
    <d v="2021-10-04T19:00:00"/>
    <d v="1899-12-30T02:30:00"/>
    <n v="120.00000000279397"/>
    <s v="UNPLANNED"/>
    <x v="1"/>
    <d v="1899-12-30T16:30:00"/>
    <x v="1"/>
  </r>
  <r>
    <n v="1972"/>
    <x v="4"/>
    <n v="15115271743409"/>
    <x v="435"/>
    <d v="2021-10-05T05:00:00"/>
    <d v="1899-12-30T02:10:00"/>
    <n v="138.46153845657875"/>
    <s v="UNPLANNED"/>
    <x v="0"/>
    <d v="1899-12-30T02:50:00"/>
    <x v="2"/>
  </r>
  <r>
    <n v="1973"/>
    <x v="4"/>
    <n v="15115271743403"/>
    <x v="435"/>
    <d v="2021-10-05T05:00:00"/>
    <d v="1899-12-30T02:10:00"/>
    <n v="138.46153845657875"/>
    <s v="UNPLANNED"/>
    <x v="0"/>
    <d v="1899-12-30T02:50:00"/>
    <x v="2"/>
  </r>
  <r>
    <n v="1974"/>
    <x v="4"/>
    <n v="15115271743402"/>
    <x v="435"/>
    <d v="2021-10-05T05:00:00"/>
    <d v="1899-12-30T02:10:00"/>
    <n v="138.46153845657875"/>
    <s v="UNPLANNED"/>
    <x v="0"/>
    <d v="1899-12-30T02:50:00"/>
    <x v="2"/>
  </r>
  <r>
    <n v="1975"/>
    <x v="13"/>
    <n v="3115270340707"/>
    <x v="435"/>
    <d v="2021-10-05T05:00:00"/>
    <d v="1899-12-30T02:10:00"/>
    <n v="138.46153845657875"/>
    <s v="UNPLANNED"/>
    <x v="1"/>
    <d v="1899-12-30T02:50:00"/>
    <x v="2"/>
  </r>
  <r>
    <n v="1976"/>
    <x v="13"/>
    <n v="3115270340706"/>
    <x v="435"/>
    <d v="2021-10-05T05:00:00"/>
    <d v="1899-12-30T02:10:00"/>
    <n v="138.46153845657875"/>
    <s v="UNPLANNED"/>
    <x v="0"/>
    <d v="1899-12-30T02:50:00"/>
    <x v="2"/>
  </r>
  <r>
    <n v="1977"/>
    <x v="13"/>
    <n v="3115270340701"/>
    <x v="435"/>
    <d v="2021-10-05T05:00:00"/>
    <d v="1899-12-30T02:10:00"/>
    <n v="138.46153845657875"/>
    <s v="UNPLANNED"/>
    <x v="0"/>
    <d v="1899-12-30T02:50:00"/>
    <x v="2"/>
  </r>
  <r>
    <n v="1978"/>
    <x v="14"/>
    <n v="1115270130309"/>
    <x v="435"/>
    <d v="2021-10-05T05:00:00"/>
    <d v="1899-12-30T02:10:00"/>
    <n v="138.46153845657875"/>
    <s v="UNPLANNED"/>
    <x v="2"/>
    <d v="1899-12-30T02:50:00"/>
    <x v="2"/>
  </r>
  <r>
    <n v="1979"/>
    <x v="14"/>
    <n v="1115270130308"/>
    <x v="435"/>
    <d v="2021-10-05T05:00:00"/>
    <d v="1899-12-30T02:10:00"/>
    <n v="138.46153845657875"/>
    <s v="UNPLANNED"/>
    <x v="0"/>
    <d v="1899-12-30T02:50:00"/>
    <x v="2"/>
  </r>
  <r>
    <n v="1980"/>
    <x v="3"/>
    <n v="8115271838503"/>
    <x v="436"/>
    <d v="2021-10-05T12:30:00"/>
    <d v="1899-12-30T01:30:00"/>
    <n v="200"/>
    <s v="UNPLANNED"/>
    <x v="0"/>
    <d v="1899-12-30T11:00:00"/>
    <x v="0"/>
  </r>
  <r>
    <n v="1981"/>
    <x v="3"/>
    <n v="8115271838502"/>
    <x v="436"/>
    <d v="2021-10-05T12:30:00"/>
    <d v="1899-12-30T01:30:00"/>
    <n v="200"/>
    <s v="UNPLANNED"/>
    <x v="6"/>
    <d v="1899-12-30T11:00:00"/>
    <x v="0"/>
  </r>
  <r>
    <n v="1982"/>
    <x v="3"/>
    <n v="8115271820303"/>
    <x v="436"/>
    <d v="2021-10-05T12:30:00"/>
    <d v="1899-12-30T01:30:00"/>
    <n v="200"/>
    <s v="UNPLANNED"/>
    <x v="1"/>
    <d v="1899-12-30T11:00:00"/>
    <x v="0"/>
  </r>
  <r>
    <n v="1983"/>
    <x v="3"/>
    <n v="8115271820302"/>
    <x v="436"/>
    <d v="2021-10-05T12:30:00"/>
    <d v="1899-12-30T01:30:00"/>
    <n v="200"/>
    <s v="UNPLANNED"/>
    <x v="1"/>
    <d v="1899-12-30T11:00:00"/>
    <x v="0"/>
  </r>
  <r>
    <n v="1984"/>
    <x v="3"/>
    <n v="8115271820302"/>
    <x v="436"/>
    <d v="2021-10-05T12:30:00"/>
    <d v="1899-12-30T01:30:00"/>
    <n v="200"/>
    <s v="UNPLANNED"/>
    <x v="1"/>
    <d v="1899-12-30T11:00:00"/>
    <x v="0"/>
  </r>
  <r>
    <n v="1985"/>
    <x v="3"/>
    <n v="8115271820301"/>
    <x v="436"/>
    <d v="2021-10-05T12:30:00"/>
    <d v="1899-12-30T01:30:00"/>
    <n v="200"/>
    <s v="UNPLANNED"/>
    <x v="1"/>
    <d v="1899-12-30T11:00:00"/>
    <x v="0"/>
  </r>
  <r>
    <n v="1986"/>
    <x v="7"/>
    <n v="7115271766019"/>
    <x v="436"/>
    <d v="2021-10-05T12:30:00"/>
    <d v="1899-12-30T01:30:00"/>
    <n v="200"/>
    <s v="UNPLANNED"/>
    <x v="1"/>
    <d v="1899-12-30T11:00:00"/>
    <x v="0"/>
  </r>
  <r>
    <n v="1987"/>
    <x v="7"/>
    <n v="7115271766014"/>
    <x v="436"/>
    <d v="2021-10-05T12:30:00"/>
    <d v="1899-12-30T01:30:00"/>
    <n v="200"/>
    <s v="UNPLANNED"/>
    <x v="1"/>
    <d v="1899-12-30T11:00:00"/>
    <x v="0"/>
  </r>
  <r>
    <n v="1988"/>
    <x v="7"/>
    <n v="7115271766013"/>
    <x v="436"/>
    <d v="2021-10-05T12:30:00"/>
    <d v="1899-12-30T01:30:00"/>
    <n v="200"/>
    <s v="UNPLANNED"/>
    <x v="1"/>
    <d v="1899-12-30T11:00:00"/>
    <x v="0"/>
  </r>
  <r>
    <n v="1989"/>
    <x v="13"/>
    <n v="3115270306609"/>
    <x v="436"/>
    <d v="2021-10-05T12:30:00"/>
    <d v="1899-12-30T01:30:00"/>
    <n v="200"/>
    <s v="UNPLANNED"/>
    <x v="6"/>
    <d v="1899-12-30T11:00:00"/>
    <x v="0"/>
  </r>
  <r>
    <n v="1990"/>
    <x v="13"/>
    <n v="3115270306608"/>
    <x v="436"/>
    <d v="2021-10-05T12:30:00"/>
    <d v="1899-12-30T01:30:00"/>
    <n v="200"/>
    <s v="UNPLANNED"/>
    <x v="0"/>
    <d v="1899-12-30T11:00:00"/>
    <x v="0"/>
  </r>
  <r>
    <n v="1991"/>
    <x v="13"/>
    <n v="3115270306605"/>
    <x v="436"/>
    <d v="2021-10-05T12:30:00"/>
    <d v="1899-12-30T01:30:00"/>
    <n v="200"/>
    <s v="UNPLANNED"/>
    <x v="6"/>
    <d v="1899-12-30T11:00:00"/>
    <x v="0"/>
  </r>
  <r>
    <n v="1992"/>
    <x v="4"/>
    <n v="15115271743405"/>
    <x v="437"/>
    <d v="2021-10-06T05:00:00"/>
    <d v="1899-12-30T02:10:00"/>
    <n v="138.46153845657875"/>
    <s v="UNPLANNED"/>
    <x v="1"/>
    <d v="1899-12-30T02:50:00"/>
    <x v="2"/>
  </r>
  <r>
    <n v="1993"/>
    <x v="4"/>
    <n v="15115271743402"/>
    <x v="437"/>
    <d v="2021-10-06T05:00:00"/>
    <d v="1899-12-30T02:10:00"/>
    <n v="138.46153845657875"/>
    <s v="UNPLANNED"/>
    <x v="2"/>
    <d v="1899-12-30T02:50:00"/>
    <x v="2"/>
  </r>
  <r>
    <n v="1994"/>
    <x v="10"/>
    <n v="11115271542701"/>
    <x v="437"/>
    <d v="2021-10-06T05:00:00"/>
    <d v="1899-12-30T02:10:00"/>
    <n v="138.46153845657875"/>
    <s v="UNPLANNED"/>
    <x v="1"/>
    <d v="1899-12-30T02:50:00"/>
    <x v="2"/>
  </r>
  <r>
    <n v="1995"/>
    <x v="10"/>
    <n v="11115271542700"/>
    <x v="437"/>
    <d v="2021-10-06T05:00:00"/>
    <d v="1899-12-30T02:10:00"/>
    <n v="138.46153845657875"/>
    <s v="UNPLANNED"/>
    <x v="1"/>
    <d v="1899-12-30T02:50:00"/>
    <x v="2"/>
  </r>
  <r>
    <n v="1996"/>
    <x v="14"/>
    <n v="1115270141502"/>
    <x v="437"/>
    <d v="2021-10-06T05:00:00"/>
    <d v="1899-12-30T02:10:00"/>
    <n v="138.46153845657875"/>
    <s v="UNPLANNED"/>
    <x v="1"/>
    <d v="1899-12-30T02:50:00"/>
    <x v="2"/>
  </r>
  <r>
    <n v="1997"/>
    <x v="14"/>
    <n v="1115270141501"/>
    <x v="437"/>
    <d v="2021-10-06T05:00:00"/>
    <d v="1899-12-30T02:10:00"/>
    <n v="138.46153845657875"/>
    <s v="UNPLANNED"/>
    <x v="1"/>
    <d v="1899-12-30T02:50:00"/>
    <x v="2"/>
  </r>
  <r>
    <n v="1998"/>
    <x v="1"/>
    <n v="6115271705708"/>
    <x v="438"/>
    <d v="2021-10-06T10:15:00"/>
    <d v="1899-12-30T01:25:00"/>
    <n v="211.7647058707517"/>
    <s v="UNPLANNED"/>
    <x v="0"/>
    <d v="1899-12-30T08:50:00"/>
    <x v="0"/>
  </r>
  <r>
    <n v="1999"/>
    <x v="1"/>
    <n v="6115271705704"/>
    <x v="438"/>
    <d v="2021-10-06T10:15:00"/>
    <d v="1899-12-30T01:25:00"/>
    <n v="211.7647058707517"/>
    <s v="UNPLANNED"/>
    <x v="0"/>
    <d v="1899-12-30T08:50:00"/>
    <x v="0"/>
  </r>
  <r>
    <n v="2000"/>
    <x v="1"/>
    <n v="6115271705700"/>
    <x v="438"/>
    <d v="2021-10-06T10:15:00"/>
    <d v="1899-12-30T01:25:00"/>
    <n v="211.7647058707517"/>
    <s v="UNPLANNED"/>
    <x v="1"/>
    <d v="1899-12-30T08:50:00"/>
    <x v="0"/>
  </r>
  <r>
    <n v="2001"/>
    <x v="14"/>
    <n v="1115270067209"/>
    <x v="438"/>
    <d v="2021-10-06T10:15:00"/>
    <d v="1899-12-30T01:25:00"/>
    <n v="211.7647058707517"/>
    <s v="UNPLANNED"/>
    <x v="0"/>
    <d v="1899-12-30T08:50:00"/>
    <x v="0"/>
  </r>
  <r>
    <n v="2002"/>
    <x v="14"/>
    <n v="1115270067200"/>
    <x v="438"/>
    <d v="2021-10-06T10:15:00"/>
    <d v="1899-12-30T01:25:00"/>
    <n v="211.7647058707517"/>
    <s v="UNPLANNED"/>
    <x v="0"/>
    <d v="1899-12-30T08:50:00"/>
    <x v="0"/>
  </r>
  <r>
    <n v="2003"/>
    <x v="3"/>
    <n v="8115271814919"/>
    <x v="439"/>
    <d v="2021-10-06T13:40:00"/>
    <d v="1899-12-30T02:40:00"/>
    <n v="112.50000000163709"/>
    <s v="UNPLANNED"/>
    <x v="0"/>
    <d v="1899-12-30T11:00:00"/>
    <x v="0"/>
  </r>
  <r>
    <n v="2004"/>
    <x v="3"/>
    <n v="8115271814916"/>
    <x v="439"/>
    <d v="2021-10-06T13:40:00"/>
    <d v="1899-12-30T02:40:00"/>
    <n v="112.50000000163709"/>
    <s v="UNPLANNED"/>
    <x v="1"/>
    <d v="1899-12-30T11:00:00"/>
    <x v="0"/>
  </r>
  <r>
    <n v="2005"/>
    <x v="13"/>
    <n v="3115270393402"/>
    <x v="439"/>
    <d v="2021-10-06T13:40:00"/>
    <d v="1899-12-30T02:40:00"/>
    <n v="112.50000000163709"/>
    <s v="UNPLANNED"/>
    <x v="0"/>
    <d v="1899-12-30T11:00:00"/>
    <x v="0"/>
  </r>
  <r>
    <n v="2006"/>
    <x v="13"/>
    <n v="3115270393400"/>
    <x v="439"/>
    <d v="2021-10-06T13:40:00"/>
    <d v="1899-12-30T02:40:00"/>
    <n v="112.50000000163709"/>
    <s v="UNPLANNED"/>
    <x v="1"/>
    <d v="1899-12-30T11:00:00"/>
    <x v="0"/>
  </r>
  <r>
    <n v="2007"/>
    <x v="9"/>
    <n v="2115270184807"/>
    <x v="439"/>
    <d v="2021-10-06T13:40:00"/>
    <d v="1899-12-30T02:40:00"/>
    <n v="112.50000000163709"/>
    <s v="UNPLANNED"/>
    <x v="0"/>
    <d v="1899-12-30T11:00:00"/>
    <x v="0"/>
  </r>
  <r>
    <n v="2008"/>
    <x v="9"/>
    <n v="2115270184803"/>
    <x v="439"/>
    <d v="2021-10-06T13:40:00"/>
    <d v="1899-12-30T02:40:00"/>
    <n v="112.50000000163709"/>
    <s v="UNPLANNED"/>
    <x v="0"/>
    <d v="1899-12-30T11:00:00"/>
    <x v="0"/>
  </r>
  <r>
    <n v="2009"/>
    <x v="9"/>
    <n v="2115270184800"/>
    <x v="439"/>
    <d v="2021-10-06T13:40:00"/>
    <d v="1899-12-30T02:40:00"/>
    <n v="112.50000000163709"/>
    <s v="UNPLANNED"/>
    <x v="0"/>
    <d v="1899-12-30T11:00:00"/>
    <x v="0"/>
  </r>
  <r>
    <n v="2010"/>
    <x v="10"/>
    <n v="11115271542604"/>
    <x v="440"/>
    <d v="2021-10-06T20:25:00"/>
    <d v="1899-12-30T01:15:00"/>
    <n v="239.99999998882413"/>
    <s v="UNPLANNED"/>
    <x v="0"/>
    <d v="1899-12-30T19:10:00"/>
    <x v="1"/>
  </r>
  <r>
    <n v="2011"/>
    <x v="9"/>
    <n v="2115270274900"/>
    <x v="440"/>
    <d v="2021-10-06T20:25:00"/>
    <d v="1899-12-30T01:15:00"/>
    <n v="239.99999998882413"/>
    <s v="UNPLANNED"/>
    <x v="0"/>
    <d v="1899-12-30T19:10:00"/>
    <x v="1"/>
  </r>
  <r>
    <n v="2012"/>
    <x v="2"/>
    <n v="12115271569824"/>
    <x v="441"/>
    <d v="2021-10-07T02:15:00"/>
    <d v="1899-12-30T01:45:00"/>
    <n v="171.42857143427341"/>
    <s v="UNPLANNED"/>
    <x v="0"/>
    <d v="1899-12-30T00:30:00"/>
    <x v="2"/>
  </r>
  <r>
    <n v="2013"/>
    <x v="2"/>
    <n v="12115271569822"/>
    <x v="441"/>
    <d v="2021-10-07T02:15:00"/>
    <d v="1899-12-30T01:45:00"/>
    <n v="171.42857143427341"/>
    <s v="UNPLANNED"/>
    <x v="1"/>
    <d v="1899-12-30T00:30:00"/>
    <x v="2"/>
  </r>
  <r>
    <n v="2014"/>
    <x v="14"/>
    <n v="1115270093201"/>
    <x v="441"/>
    <d v="2021-10-07T02:15:00"/>
    <d v="1899-12-30T01:45:00"/>
    <n v="171.42857143427341"/>
    <s v="UNPLANNED"/>
    <x v="0"/>
    <d v="1899-12-30T00:30:00"/>
    <x v="2"/>
  </r>
  <r>
    <n v="2015"/>
    <x v="14"/>
    <n v="1115270093200"/>
    <x v="441"/>
    <d v="2021-10-07T02:15:00"/>
    <d v="1899-12-30T01:45:00"/>
    <n v="171.42857143427341"/>
    <s v="UNPLANNED"/>
    <x v="6"/>
    <d v="1899-12-30T00:30:00"/>
    <x v="2"/>
  </r>
  <r>
    <n v="2016"/>
    <x v="12"/>
    <n v="14115271672409"/>
    <x v="442"/>
    <d v="2021-10-07T10:05:00"/>
    <d v="1899-12-30T01:20:00"/>
    <n v="225.00000000327418"/>
    <s v="UNPLANNED"/>
    <x v="1"/>
    <d v="1899-12-30T08:45:00"/>
    <x v="0"/>
  </r>
  <r>
    <n v="2017"/>
    <x v="12"/>
    <n v="14115271672408"/>
    <x v="442"/>
    <d v="2021-10-07T10:05:00"/>
    <d v="1899-12-30T01:20:00"/>
    <n v="225.00000000327418"/>
    <s v="UNPLANNED"/>
    <x v="1"/>
    <d v="1899-12-30T08:45:00"/>
    <x v="0"/>
  </r>
  <r>
    <n v="2018"/>
    <x v="7"/>
    <n v="7115271753901"/>
    <x v="442"/>
    <d v="2021-10-07T10:05:00"/>
    <d v="1899-12-30T01:20:00"/>
    <n v="225.00000000327418"/>
    <s v="UNPLANNED"/>
    <x v="0"/>
    <d v="1899-12-30T08:45:00"/>
    <x v="0"/>
  </r>
  <r>
    <n v="2019"/>
    <x v="7"/>
    <n v="7115271753900"/>
    <x v="442"/>
    <d v="2021-10-07T10:05:00"/>
    <d v="1899-12-30T01:20:00"/>
    <n v="225.00000000327418"/>
    <s v="UNPLANNED"/>
    <x v="1"/>
    <d v="1899-12-30T08:45:00"/>
    <x v="0"/>
  </r>
  <r>
    <n v="2020"/>
    <x v="6"/>
    <n v="9115271953101"/>
    <x v="443"/>
    <d v="2021-10-07T18:00:00"/>
    <d v="1899-12-30T01:30:00"/>
    <n v="200"/>
    <s v="UNPLANNED"/>
    <x v="0"/>
    <d v="1899-12-30T16:30:00"/>
    <x v="1"/>
  </r>
  <r>
    <n v="2021"/>
    <x v="6"/>
    <n v="9115271953100"/>
    <x v="443"/>
    <d v="2021-10-07T18:00:00"/>
    <d v="1899-12-30T01:30:00"/>
    <n v="200"/>
    <s v="UNPLANNED"/>
    <x v="0"/>
    <d v="1899-12-30T16:30:00"/>
    <x v="1"/>
  </r>
  <r>
    <n v="2022"/>
    <x v="7"/>
    <n v="7115271768106"/>
    <x v="443"/>
    <d v="2021-10-07T18:00:00"/>
    <d v="1899-12-30T01:30:00"/>
    <n v="200"/>
    <s v="UNPLANNED"/>
    <x v="0"/>
    <d v="1899-12-30T16:30:00"/>
    <x v="1"/>
  </r>
  <r>
    <n v="2023"/>
    <x v="7"/>
    <n v="7115271768105"/>
    <x v="443"/>
    <d v="2021-10-07T18:00:00"/>
    <d v="1899-12-30T01:30:00"/>
    <n v="200"/>
    <s v="UNPLANNED"/>
    <x v="0"/>
    <d v="1899-12-30T16:30:00"/>
    <x v="1"/>
  </r>
  <r>
    <n v="2024"/>
    <x v="4"/>
    <n v="15115271782108"/>
    <x v="444"/>
    <d v="2021-10-07T21:25:00"/>
    <d v="1899-12-30T02:25:00"/>
    <n v="124.1379310334861"/>
    <s v="UNPLANNED"/>
    <x v="1"/>
    <d v="1899-12-30T19:00:00"/>
    <x v="1"/>
  </r>
  <r>
    <n v="2025"/>
    <x v="4"/>
    <n v="15115271782107"/>
    <x v="444"/>
    <d v="2021-10-07T21:25:00"/>
    <d v="1899-12-30T02:25:00"/>
    <n v="124.1379310334861"/>
    <s v="UNPLANNED"/>
    <x v="0"/>
    <d v="1899-12-30T19:00:00"/>
    <x v="1"/>
  </r>
  <r>
    <n v="2026"/>
    <x v="4"/>
    <n v="15115271782103"/>
    <x v="444"/>
    <d v="2021-10-07T21:25:00"/>
    <d v="1899-12-30T02:25:00"/>
    <n v="124.1379310334861"/>
    <s v="UNPLANNED"/>
    <x v="0"/>
    <d v="1899-12-30T19:00:00"/>
    <x v="1"/>
  </r>
  <r>
    <n v="2027"/>
    <x v="0"/>
    <n v="5115271276701"/>
    <x v="444"/>
    <d v="2021-10-07T21:25:00"/>
    <d v="1899-12-30T02:25:00"/>
    <n v="124.1379310334861"/>
    <s v="UNPLANNED"/>
    <x v="0"/>
    <d v="1899-12-30T19:00:00"/>
    <x v="1"/>
  </r>
  <r>
    <n v="2028"/>
    <x v="0"/>
    <n v="5115271276700"/>
    <x v="444"/>
    <d v="2021-10-07T21:25:00"/>
    <d v="1899-12-30T02:25:00"/>
    <n v="124.1379310334861"/>
    <s v="UNPLANNED"/>
    <x v="0"/>
    <d v="1899-12-30T19:00:00"/>
    <x v="1"/>
  </r>
  <r>
    <n v="2029"/>
    <x v="14"/>
    <n v="1115270127201"/>
    <x v="444"/>
    <d v="2021-10-07T21:25:00"/>
    <d v="1899-12-30T02:25:00"/>
    <n v="124.1379310334861"/>
    <s v="UNPLANNED"/>
    <x v="0"/>
    <d v="1899-12-30T19:00:00"/>
    <x v="1"/>
  </r>
  <r>
    <n v="2030"/>
    <x v="14"/>
    <n v="1115270127200"/>
    <x v="444"/>
    <d v="2021-10-07T21:25:00"/>
    <d v="1899-12-30T02:25:00"/>
    <n v="124.1379310334861"/>
    <s v="UNPLANNED"/>
    <x v="0"/>
    <d v="1899-12-30T19:00:00"/>
    <x v="1"/>
  </r>
  <r>
    <n v="2031"/>
    <x v="8"/>
    <n v="4115270858306"/>
    <x v="445"/>
    <d v="2021-10-08T10:40:00"/>
    <d v="1899-12-30T01:05:00"/>
    <n v="276.9230769131575"/>
    <s v="UNPLANNED"/>
    <x v="0"/>
    <d v="1899-12-30T09:35:00"/>
    <x v="0"/>
  </r>
  <r>
    <n v="2032"/>
    <x v="8"/>
    <n v="4115270858305"/>
    <x v="445"/>
    <d v="2021-10-08T10:40:00"/>
    <d v="1899-12-30T01:05:00"/>
    <n v="276.9230769131575"/>
    <s v="UNPLANNED"/>
    <x v="0"/>
    <d v="1899-12-30T09:35:00"/>
    <x v="0"/>
  </r>
  <r>
    <n v="2033"/>
    <x v="13"/>
    <n v="3115270366207"/>
    <x v="445"/>
    <d v="2021-10-08T10:40:00"/>
    <d v="1899-12-30T01:05:00"/>
    <n v="276.9230769131575"/>
    <s v="UNPLANNED"/>
    <x v="0"/>
    <d v="1899-12-30T09:35:00"/>
    <x v="0"/>
  </r>
  <r>
    <n v="2034"/>
    <x v="13"/>
    <n v="3115270366201"/>
    <x v="445"/>
    <d v="2021-10-08T10:40:00"/>
    <d v="1899-12-30T01:05:00"/>
    <n v="276.9230769131575"/>
    <s v="UNPLANNED"/>
    <x v="1"/>
    <d v="1899-12-30T09:35:00"/>
    <x v="0"/>
  </r>
  <r>
    <n v="2035"/>
    <x v="7"/>
    <n v="7115271801701"/>
    <x v="446"/>
    <d v="2021-10-08T12:45:00"/>
    <d v="1899-12-30T01:45:00"/>
    <n v="171.42857143427341"/>
    <s v="UNPLANNED"/>
    <x v="0"/>
    <d v="1899-12-30T11:00:00"/>
    <x v="0"/>
  </r>
  <r>
    <n v="2036"/>
    <x v="7"/>
    <n v="7115271801700"/>
    <x v="446"/>
    <d v="2021-10-08T12:45:00"/>
    <d v="1899-12-30T01:45:00"/>
    <n v="171.42857143427341"/>
    <s v="UNPLANNED"/>
    <x v="0"/>
    <d v="1899-12-30T11:00:00"/>
    <x v="0"/>
  </r>
  <r>
    <n v="2037"/>
    <x v="1"/>
    <n v="6115271715302"/>
    <x v="446"/>
    <d v="2021-10-08T12:45:00"/>
    <d v="1899-12-30T01:45:00"/>
    <n v="171.42857143427341"/>
    <s v="UNPLANNED"/>
    <x v="1"/>
    <d v="1899-12-30T11:00:00"/>
    <x v="0"/>
  </r>
  <r>
    <n v="2038"/>
    <x v="1"/>
    <n v="6115271715301"/>
    <x v="446"/>
    <d v="2021-10-08T12:45:00"/>
    <d v="1899-12-30T01:45:00"/>
    <n v="171.42857143427341"/>
    <s v="UNPLANNED"/>
    <x v="2"/>
    <d v="1899-12-30T11:00:00"/>
    <x v="0"/>
  </r>
  <r>
    <n v="2039"/>
    <x v="2"/>
    <n v="12115271575327"/>
    <x v="447"/>
    <d v="2021-10-08T18:40:00"/>
    <d v="1899-12-30T02:40:00"/>
    <n v="112.49999999427018"/>
    <s v="UNPLANNED"/>
    <x v="0"/>
    <d v="1899-12-30T16:00:00"/>
    <x v="1"/>
  </r>
  <r>
    <n v="2040"/>
    <x v="2"/>
    <n v="12115271575320"/>
    <x v="447"/>
    <d v="2021-10-08T18:40:00"/>
    <d v="1899-12-30T02:40:00"/>
    <n v="112.49999999427018"/>
    <s v="UNPLANNED"/>
    <x v="0"/>
    <d v="1899-12-30T16:00:00"/>
    <x v="1"/>
  </r>
  <r>
    <n v="2041"/>
    <x v="7"/>
    <n v="7115271774603"/>
    <x v="447"/>
    <d v="2021-10-08T18:40:00"/>
    <d v="1899-12-30T02:40:00"/>
    <n v="112.49999999427018"/>
    <s v="UNPLANNED"/>
    <x v="1"/>
    <d v="1899-12-30T16:00:00"/>
    <x v="1"/>
  </r>
  <r>
    <n v="2042"/>
    <x v="7"/>
    <n v="7115271774601"/>
    <x v="447"/>
    <d v="2021-10-08T18:40:00"/>
    <d v="1899-12-30T02:40:00"/>
    <n v="112.49999999427018"/>
    <s v="UNPLANNED"/>
    <x v="0"/>
    <d v="1899-12-30T16:00:00"/>
    <x v="1"/>
  </r>
  <r>
    <n v="2043"/>
    <x v="13"/>
    <n v="3115270333001"/>
    <x v="447"/>
    <d v="2021-10-08T18:40:00"/>
    <d v="1899-12-30T02:40:00"/>
    <n v="112.49999999427018"/>
    <s v="UNPLANNED"/>
    <x v="2"/>
    <d v="1899-12-30T16:00:00"/>
    <x v="1"/>
  </r>
  <r>
    <n v="2044"/>
    <x v="13"/>
    <n v="3115270333000"/>
    <x v="447"/>
    <d v="2021-10-08T18:40:00"/>
    <d v="1899-12-30T02:40:00"/>
    <n v="112.49999999427018"/>
    <s v="UNPLANNED"/>
    <x v="0"/>
    <d v="1899-12-30T16:00:00"/>
    <x v="1"/>
  </r>
  <r>
    <n v="2045"/>
    <x v="9"/>
    <n v="2115270159202"/>
    <x v="447"/>
    <d v="2021-10-08T18:40:00"/>
    <d v="1899-12-30T02:40:00"/>
    <n v="112.49999999427018"/>
    <s v="UNPLANNED"/>
    <x v="1"/>
    <d v="1899-12-30T16:00:00"/>
    <x v="1"/>
  </r>
  <r>
    <n v="2046"/>
    <x v="9"/>
    <n v="2115270159200"/>
    <x v="447"/>
    <d v="2021-10-08T18:40:00"/>
    <d v="1899-12-30T02:40:00"/>
    <n v="112.49999999427018"/>
    <s v="UNPLANNED"/>
    <x v="0"/>
    <d v="1899-12-30T16:00:00"/>
    <x v="1"/>
  </r>
  <r>
    <n v="2047"/>
    <x v="13"/>
    <n v="3115270333608"/>
    <x v="448"/>
    <d v="2021-10-08T20:15:00"/>
    <d v="1899-12-30T00:40:00"/>
    <n v="449.99999994761311"/>
    <s v="UNPLANNED"/>
    <x v="0"/>
    <d v="1899-12-30T19:35:00"/>
    <x v="1"/>
  </r>
  <r>
    <n v="2048"/>
    <x v="13"/>
    <n v="3115270333600"/>
    <x v="448"/>
    <d v="2021-10-08T20:15:00"/>
    <d v="1899-12-30T00:40:00"/>
    <n v="449.99999994761311"/>
    <s v="UNPLANNED"/>
    <x v="0"/>
    <d v="1899-12-30T19:35:00"/>
    <x v="1"/>
  </r>
  <r>
    <n v="2049"/>
    <x v="2"/>
    <n v="12115271573406"/>
    <x v="449"/>
    <d v="2021-10-08T21:40:00"/>
    <d v="1899-12-30T01:10:00"/>
    <n v="257.14285711292177"/>
    <s v="UNPLANNED"/>
    <x v="2"/>
    <d v="1899-12-30T20:30:00"/>
    <x v="1"/>
  </r>
  <r>
    <n v="2050"/>
    <x v="1"/>
    <n v="6115271690510"/>
    <x v="450"/>
    <d v="2021-10-09T05:15:00"/>
    <d v="1899-12-30T04:45:00"/>
    <n v="63.157894737616061"/>
    <s v="UNPLANNED"/>
    <x v="0"/>
    <d v="1899-12-30T00:30:00"/>
    <x v="2"/>
  </r>
  <r>
    <n v="2051"/>
    <x v="4"/>
    <n v="15115271743901"/>
    <x v="451"/>
    <d v="2021-10-09T13:50:00"/>
    <d v="1899-12-30T05:50:00"/>
    <n v="51.428571428742487"/>
    <s v="UNPLANNED"/>
    <x v="0"/>
    <d v="1899-12-30T08:00:00"/>
    <x v="0"/>
  </r>
  <r>
    <n v="2052"/>
    <x v="12"/>
    <n v="14115271675351"/>
    <x v="451"/>
    <d v="2021-10-09T13:50:00"/>
    <d v="1899-12-30T05:50:00"/>
    <n v="51.428571428742487"/>
    <s v="UNPLANNED"/>
    <x v="0"/>
    <d v="1899-12-30T08:00:00"/>
    <x v="0"/>
  </r>
  <r>
    <n v="2053"/>
    <x v="12"/>
    <n v="14115271672412"/>
    <x v="451"/>
    <d v="2021-10-09T13:50:00"/>
    <d v="1899-12-30T05:50:00"/>
    <n v="51.428571428742487"/>
    <s v="UNPLANNED"/>
    <x v="2"/>
    <d v="1899-12-30T08:00:00"/>
    <x v="0"/>
  </r>
  <r>
    <n v="2054"/>
    <x v="10"/>
    <n v="11115271550801"/>
    <x v="451"/>
    <d v="2021-10-09T13:50:00"/>
    <d v="1899-12-30T05:50:00"/>
    <n v="51.428571428742487"/>
    <s v="UNPLANNED"/>
    <x v="1"/>
    <d v="1899-12-30T08:00:00"/>
    <x v="0"/>
  </r>
  <r>
    <n v="2055"/>
    <x v="1"/>
    <n v="6115271715400"/>
    <x v="451"/>
    <d v="2021-10-09T13:50:00"/>
    <d v="1899-12-30T05:50:00"/>
    <n v="51.428571428742487"/>
    <s v="UNPLANNED"/>
    <x v="0"/>
    <d v="1899-12-30T08:00:00"/>
    <x v="0"/>
  </r>
  <r>
    <n v="2056"/>
    <x v="1"/>
    <n v="6115271701000"/>
    <x v="451"/>
    <d v="2021-10-09T13:50:00"/>
    <d v="1899-12-30T05:50:00"/>
    <n v="51.428571428742487"/>
    <s v="UNPLANNED"/>
    <x v="0"/>
    <d v="1899-12-30T08:00:00"/>
    <x v="0"/>
  </r>
  <r>
    <n v="2057"/>
    <x v="1"/>
    <n v="6115271690404"/>
    <x v="451"/>
    <d v="2021-10-09T13:50:00"/>
    <d v="1899-12-30T05:50:00"/>
    <n v="51.428571428742487"/>
    <s v="UNPLANNED"/>
    <x v="0"/>
    <d v="1899-12-30T08:00:00"/>
    <x v="0"/>
  </r>
  <r>
    <n v="2058"/>
    <x v="8"/>
    <n v="4115271221501"/>
    <x v="451"/>
    <d v="2021-10-09T13:50:00"/>
    <d v="1899-12-30T05:50:00"/>
    <n v="51.428571428742487"/>
    <s v="UNPLANNED"/>
    <x v="1"/>
    <d v="1899-12-30T08:00:00"/>
    <x v="0"/>
  </r>
  <r>
    <n v="2059"/>
    <x v="13"/>
    <n v="3115270349700"/>
    <x v="451"/>
    <d v="2021-10-09T13:50:00"/>
    <d v="1899-12-30T05:50:00"/>
    <n v="51.428571428742487"/>
    <s v="UNPLANNED"/>
    <x v="0"/>
    <d v="1899-12-30T08:00:00"/>
    <x v="0"/>
  </r>
  <r>
    <n v="2060"/>
    <x v="13"/>
    <n v="3115270340501"/>
    <x v="451"/>
    <d v="2021-10-09T13:50:00"/>
    <d v="1899-12-30T05:50:00"/>
    <n v="51.428571428742487"/>
    <s v="UNPLANNED"/>
    <x v="0"/>
    <d v="1899-12-30T08:00:00"/>
    <x v="0"/>
  </r>
  <r>
    <n v="2061"/>
    <x v="9"/>
    <n v="2115270274800"/>
    <x v="451"/>
    <d v="2021-10-09T13:50:00"/>
    <d v="1899-12-30T05:50:00"/>
    <n v="51.428571428742487"/>
    <s v="UNPLANNED"/>
    <x v="0"/>
    <d v="1899-12-30T08:00:00"/>
    <x v="0"/>
  </r>
  <r>
    <n v="2062"/>
    <x v="9"/>
    <n v="2115270241700"/>
    <x v="451"/>
    <d v="2021-10-09T13:50:00"/>
    <d v="1899-12-30T05:50:00"/>
    <n v="51.428571428742487"/>
    <s v="UNPLANNED"/>
    <x v="0"/>
    <d v="1899-12-30T08:00:00"/>
    <x v="0"/>
  </r>
  <r>
    <n v="2063"/>
    <x v="13"/>
    <n v="3115270392900"/>
    <x v="452"/>
    <d v="2021-10-09T19:20:00"/>
    <d v="1899-12-30T00:50:00"/>
    <n v="360.00000003352761"/>
    <s v="UNPLANNED"/>
    <x v="3"/>
    <d v="1899-12-30T18:30:00"/>
    <x v="1"/>
  </r>
  <r>
    <n v="2064"/>
    <x v="11"/>
    <n v="10115270972300"/>
    <x v="453"/>
    <d v="2021-10-09T22:05:00"/>
    <d v="1899-12-30T02:15:00"/>
    <n v="133.33333333333331"/>
    <s v="UNPLANNED"/>
    <x v="0"/>
    <d v="1899-12-30T19:50:00"/>
    <x v="1"/>
  </r>
  <r>
    <n v="2065"/>
    <x v="1"/>
    <n v="6115271738604"/>
    <x v="453"/>
    <d v="2021-10-09T21:05:00"/>
    <d v="1899-12-30T01:15:00"/>
    <n v="240.00000002235174"/>
    <s v="UNPLANNED"/>
    <x v="3"/>
    <d v="1899-12-30T19:50:00"/>
    <x v="1"/>
  </r>
  <r>
    <n v="2066"/>
    <x v="6"/>
    <n v="9115271944600"/>
    <x v="453"/>
    <d v="2021-10-09T22:05:00"/>
    <d v="1899-12-30T02:15:00"/>
    <n v="133.33333333333331"/>
    <s v="UNPLANNED"/>
    <x v="0"/>
    <d v="1899-12-30T19:50:00"/>
    <x v="1"/>
  </r>
  <r>
    <n v="2067"/>
    <x v="13"/>
    <n v="3115270411900"/>
    <x v="453"/>
    <d v="2021-10-09T22:05:00"/>
    <d v="1899-12-30T02:15:00"/>
    <n v="133.33333333333331"/>
    <s v="UNPLANNED"/>
    <x v="1"/>
    <d v="1899-12-30T19:50:00"/>
    <x v="1"/>
  </r>
  <r>
    <n v="2068"/>
    <x v="14"/>
    <n v="1115270141500"/>
    <x v="453"/>
    <d v="2021-10-09T22:05:00"/>
    <d v="1899-12-30T02:15:00"/>
    <n v="133.33333333333331"/>
    <s v="UNPLANNED"/>
    <x v="0"/>
    <d v="1899-12-30T19:50:00"/>
    <x v="1"/>
  </r>
  <r>
    <n v="2069"/>
    <x v="13"/>
    <n v="3115270349800"/>
    <x v="454"/>
    <d v="2021-10-10T00:30:00"/>
    <d v="1899-12-30T02:00:00"/>
    <n v="149.99999999563443"/>
    <s v="UNPLANNED"/>
    <x v="0"/>
    <d v="1899-12-30T22:30:00"/>
    <x v="2"/>
  </r>
  <r>
    <n v="2070"/>
    <x v="4"/>
    <n v="15115271798314"/>
    <x v="455"/>
    <d v="2021-10-10T12:40:00"/>
    <d v="1899-12-30T04:00:00"/>
    <n v="74.999999997817213"/>
    <s v="UNPLANNED"/>
    <x v="0"/>
    <d v="1899-12-30T08:40:00"/>
    <x v="0"/>
  </r>
  <r>
    <n v="2071"/>
    <x v="2"/>
    <n v="12115271565300"/>
    <x v="455"/>
    <d v="2021-10-10T12:40:00"/>
    <d v="1899-12-30T04:00:00"/>
    <n v="74.999999997817213"/>
    <s v="UNPLANNED"/>
    <x v="1"/>
    <d v="1899-12-30T08:40:00"/>
    <x v="0"/>
  </r>
  <r>
    <n v="2072"/>
    <x v="7"/>
    <n v="7115271768104"/>
    <x v="455"/>
    <d v="2021-10-10T12:40:00"/>
    <d v="1899-12-30T04:00:00"/>
    <n v="74.999999997817213"/>
    <s v="UNPLANNED"/>
    <x v="0"/>
    <d v="1899-12-30T08:40:00"/>
    <x v="0"/>
  </r>
  <r>
    <n v="2073"/>
    <x v="1"/>
    <n v="6115271690609"/>
    <x v="455"/>
    <d v="2021-10-10T12:40:00"/>
    <d v="1899-12-30T04:00:00"/>
    <n v="74.999999997817213"/>
    <s v="UNPLANNED"/>
    <x v="0"/>
    <d v="1899-12-30T08:40:00"/>
    <x v="0"/>
  </r>
  <r>
    <n v="2074"/>
    <x v="0"/>
    <n v="5115270974501"/>
    <x v="455"/>
    <d v="2021-10-10T12:40:00"/>
    <d v="1899-12-30T04:00:00"/>
    <n v="74.999999997817213"/>
    <s v="UNPLANNED"/>
    <x v="0"/>
    <d v="1899-12-30T08:40:00"/>
    <x v="0"/>
  </r>
  <r>
    <n v="2075"/>
    <x v="14"/>
    <n v="1115270067300"/>
    <x v="455"/>
    <d v="2021-10-10T12:40:00"/>
    <d v="1899-12-30T04:00:00"/>
    <n v="74.999999997817213"/>
    <s v="UNPLANNED"/>
    <x v="0"/>
    <d v="1899-12-30T08:40:00"/>
    <x v="0"/>
  </r>
  <r>
    <n v="2076"/>
    <x v="14"/>
    <n v="1115270048203"/>
    <x v="455"/>
    <d v="2021-10-10T12:40:00"/>
    <d v="1899-12-30T04:00:00"/>
    <n v="74.999999997817213"/>
    <s v="UNPLANNED"/>
    <x v="0"/>
    <d v="1899-12-30T08:40:00"/>
    <x v="0"/>
  </r>
  <r>
    <n v="2077"/>
    <x v="2"/>
    <n v="12115271569400"/>
    <x v="456"/>
    <d v="2021-10-10T18:30:00"/>
    <d v="1899-12-30T01:45:00"/>
    <n v="171.42857141716746"/>
    <s v="UNPLANNED"/>
    <x v="1"/>
    <d v="1899-12-30T16:45:00"/>
    <x v="1"/>
  </r>
  <r>
    <n v="2078"/>
    <x v="10"/>
    <n v="11115271519300"/>
    <x v="456"/>
    <d v="2021-10-10T18:30:00"/>
    <d v="1899-12-30T01:45:00"/>
    <n v="171.42857141716746"/>
    <s v="UNPLANNED"/>
    <x v="1"/>
    <d v="1899-12-30T16:45:00"/>
    <x v="1"/>
  </r>
  <r>
    <n v="2079"/>
    <x v="3"/>
    <n v="8115270614200"/>
    <x v="456"/>
    <d v="2021-10-10T18:30:00"/>
    <d v="1899-12-30T01:45:00"/>
    <n v="171.42857141716746"/>
    <s v="UNPLANNED"/>
    <x v="2"/>
    <d v="1899-12-30T16:45:00"/>
    <x v="1"/>
  </r>
  <r>
    <n v="2080"/>
    <x v="6"/>
    <n v="9115270646500"/>
    <x v="457"/>
    <d v="2021-10-10T22:00:00"/>
    <d v="1899-12-30T03:30:00"/>
    <n v="85.714285717136704"/>
    <s v="UNPLANNED"/>
    <x v="2"/>
    <d v="1899-12-30T18:30:00"/>
    <x v="1"/>
  </r>
  <r>
    <n v="2081"/>
    <x v="0"/>
    <n v="5115271056712"/>
    <x v="457"/>
    <d v="2021-10-10T22:00:00"/>
    <d v="1899-12-30T03:30:00"/>
    <n v="85.714285717136704"/>
    <s v="UNPLANNED"/>
    <x v="1"/>
    <d v="1899-12-30T18:30:00"/>
    <x v="1"/>
  </r>
  <r>
    <n v="2082"/>
    <x v="0"/>
    <n v="5115271056708"/>
    <x v="457"/>
    <d v="2021-10-10T22:00:00"/>
    <d v="1899-12-30T03:30:00"/>
    <n v="85.714285717136704"/>
    <s v="UNPLANNED"/>
    <x v="1"/>
    <d v="1899-12-30T18:30:00"/>
    <x v="1"/>
  </r>
  <r>
    <n v="2083"/>
    <x v="0"/>
    <n v="5115270974200"/>
    <x v="457"/>
    <d v="2021-10-10T22:00:00"/>
    <d v="1899-12-30T03:30:00"/>
    <n v="85.714285717136704"/>
    <s v="UNPLANNED"/>
    <x v="6"/>
    <d v="1899-12-30T18:30:00"/>
    <x v="1"/>
  </r>
  <r>
    <n v="2084"/>
    <x v="9"/>
    <n v="2115270154800"/>
    <x v="458"/>
    <d v="2021-10-10T22:00:00"/>
    <d v="1899-12-30T04:25:00"/>
    <n v="67.924528303378764"/>
    <s v="UNPLANNED"/>
    <x v="2"/>
    <d v="1899-12-30T17:35:00"/>
    <x v="1"/>
  </r>
  <r>
    <n v="2085"/>
    <x v="3"/>
    <n v="8115271838506"/>
    <x v="459"/>
    <d v="2021-10-11T00:30:00"/>
    <d v="1899-12-30T01:40:00"/>
    <n v="179.99999999790452"/>
    <s v="UNPLANNED"/>
    <x v="1"/>
    <d v="1899-12-30T22:50:00"/>
    <x v="2"/>
  </r>
  <r>
    <n v="2086"/>
    <x v="14"/>
    <n v="1115270039800"/>
    <x v="459"/>
    <d v="2021-10-11T00:30:00"/>
    <d v="1899-12-30T01:40:00"/>
    <n v="179.99999999790452"/>
    <s v="UNPLANNED"/>
    <x v="2"/>
    <d v="1899-12-30T22:50:00"/>
    <x v="2"/>
  </r>
  <r>
    <n v="2087"/>
    <x v="10"/>
    <n v="11115271554209"/>
    <x v="460"/>
    <d v="2021-10-11T12:15:00"/>
    <d v="1899-12-30T01:33:00"/>
    <n v="193.54838709822789"/>
    <s v="UNPLANNED"/>
    <x v="0"/>
    <d v="1899-12-30T10:42:00"/>
    <x v="0"/>
  </r>
  <r>
    <n v="2088"/>
    <x v="10"/>
    <n v="11115271554201"/>
    <x v="460"/>
    <d v="2021-10-11T12:15:00"/>
    <d v="1899-12-30T01:33:00"/>
    <n v="193.54838709822789"/>
    <s v="UNPLANNED"/>
    <x v="2"/>
    <d v="1899-12-30T10:42:00"/>
    <x v="0"/>
  </r>
  <r>
    <n v="2089"/>
    <x v="10"/>
    <n v="11115271554200"/>
    <x v="460"/>
    <d v="2021-10-11T12:15:00"/>
    <d v="1899-12-30T01:33:00"/>
    <n v="193.54838709822789"/>
    <s v="UNPLANNED"/>
    <x v="0"/>
    <d v="1899-12-30T10:42:00"/>
    <x v="0"/>
  </r>
  <r>
    <n v="2090"/>
    <x v="7"/>
    <n v="7115271789907"/>
    <x v="460"/>
    <d v="2021-10-11T12:15:00"/>
    <d v="1899-12-30T01:33:00"/>
    <n v="193.54838709822789"/>
    <s v="UNPLANNED"/>
    <x v="0"/>
    <d v="1899-12-30T10:42:00"/>
    <x v="0"/>
  </r>
  <r>
    <n v="2091"/>
    <x v="7"/>
    <n v="7115271789906"/>
    <x v="460"/>
    <d v="2021-10-11T12:15:00"/>
    <d v="1899-12-30T01:33:00"/>
    <n v="193.54838709822789"/>
    <s v="UNPLANNED"/>
    <x v="3"/>
    <d v="1899-12-30T10:42:00"/>
    <x v="0"/>
  </r>
  <r>
    <n v="2092"/>
    <x v="4"/>
    <n v="15115271798111"/>
    <x v="461"/>
    <d v="2021-10-11T16:50:00"/>
    <d v="1899-12-30T01:25:00"/>
    <n v="211.7647058707517"/>
    <s v="UNPLANNED"/>
    <x v="0"/>
    <d v="1899-12-30T15:25:00"/>
    <x v="1"/>
  </r>
  <r>
    <n v="2093"/>
    <x v="4"/>
    <n v="15115271798110"/>
    <x v="461"/>
    <d v="2021-10-11T16:50:00"/>
    <d v="1899-12-30T01:25:00"/>
    <n v="211.7647058707517"/>
    <s v="UNPLANNED"/>
    <x v="2"/>
    <d v="1899-12-30T15:25:00"/>
    <x v="1"/>
  </r>
  <r>
    <n v="2094"/>
    <x v="7"/>
    <n v="7115271790501"/>
    <x v="461"/>
    <d v="2021-10-11T16:50:00"/>
    <d v="1899-12-30T01:25:00"/>
    <n v="211.7647058707517"/>
    <s v="UNPLANNED"/>
    <x v="0"/>
    <d v="1899-12-30T15:25:00"/>
    <x v="1"/>
  </r>
  <r>
    <n v="2095"/>
    <x v="7"/>
    <n v="7115271790500"/>
    <x v="461"/>
    <d v="2021-10-11T16:50:00"/>
    <d v="1899-12-30T01:25:00"/>
    <n v="211.7647058707517"/>
    <s v="UNPLANNED"/>
    <x v="1"/>
    <d v="1899-12-30T15:25:00"/>
    <x v="1"/>
  </r>
  <r>
    <n v="2096"/>
    <x v="11"/>
    <n v="10115271416401"/>
    <x v="462"/>
    <d v="2021-10-11T21:35:00"/>
    <d v="1899-12-30T01:45:00"/>
    <n v="171.42857143427341"/>
    <s v="UNPLANNED"/>
    <x v="1"/>
    <d v="1899-12-30T19:50:00"/>
    <x v="1"/>
  </r>
  <r>
    <n v="2097"/>
    <x v="11"/>
    <n v="10115271416400"/>
    <x v="462"/>
    <d v="2021-10-11T21:35:00"/>
    <d v="1899-12-30T01:45:00"/>
    <n v="171.42857143427341"/>
    <s v="UNPLANNED"/>
    <x v="0"/>
    <d v="1899-12-30T19:50:00"/>
    <x v="1"/>
  </r>
  <r>
    <n v="2098"/>
    <x v="6"/>
    <n v="9115271949001"/>
    <x v="462"/>
    <d v="2021-10-11T21:35:00"/>
    <d v="1899-12-30T01:45:00"/>
    <n v="171.42857143427341"/>
    <s v="UNPLANNED"/>
    <x v="0"/>
    <d v="1899-12-30T19:50:00"/>
    <x v="1"/>
  </r>
  <r>
    <n v="2099"/>
    <x v="6"/>
    <n v="9115271949000"/>
    <x v="462"/>
    <d v="2021-10-11T21:35:00"/>
    <d v="1899-12-30T01:45:00"/>
    <n v="171.42857143427341"/>
    <s v="UNPLANNED"/>
    <x v="0"/>
    <d v="1899-12-30T19:50:00"/>
    <x v="1"/>
  </r>
  <r>
    <n v="2100"/>
    <x v="9"/>
    <n v="2115270278401"/>
    <x v="462"/>
    <d v="2021-10-11T21:35:00"/>
    <d v="1899-12-30T01:45:00"/>
    <n v="171.42857143427341"/>
    <s v="UNPLANNED"/>
    <x v="0"/>
    <d v="1899-12-30T19:50:00"/>
    <x v="1"/>
  </r>
  <r>
    <n v="2101"/>
    <x v="9"/>
    <n v="2115270278400"/>
    <x v="462"/>
    <d v="2021-10-11T21:35:00"/>
    <d v="1899-12-30T01:45:00"/>
    <n v="171.42857143427341"/>
    <s v="UNPLANNED"/>
    <x v="0"/>
    <d v="1899-12-30T19:50:00"/>
    <x v="1"/>
  </r>
  <r>
    <n v="2102"/>
    <x v="13"/>
    <n v="3115270366102"/>
    <x v="463"/>
    <d v="2021-10-12T00:10:00"/>
    <d v="1899-12-30T00:50:00"/>
    <n v="359.99999995809048"/>
    <s v="UNPLANNED"/>
    <x v="0"/>
    <d v="1899-12-30T23:20:00"/>
    <x v="2"/>
  </r>
  <r>
    <n v="2103"/>
    <x v="13"/>
    <n v="3115270366101"/>
    <x v="463"/>
    <d v="2021-10-12T00:10:00"/>
    <d v="1899-12-30T00:50:00"/>
    <n v="359.99999995809048"/>
    <s v="UNPLANNED"/>
    <x v="1"/>
    <d v="1899-12-30T23:20:00"/>
    <x v="2"/>
  </r>
  <r>
    <n v="2104"/>
    <x v="7"/>
    <n v="7115271774604"/>
    <x v="464"/>
    <d v="2021-10-12T09:20:00"/>
    <d v="1899-12-30T00:50:00"/>
    <n v="359.99999995809048"/>
    <s v="UNPLANNED"/>
    <x v="0"/>
    <d v="1899-12-30T08:30:00"/>
    <x v="0"/>
  </r>
  <r>
    <n v="2105"/>
    <x v="7"/>
    <n v="7115271774603"/>
    <x v="464"/>
    <d v="2021-10-12T09:20:00"/>
    <d v="1899-12-30T00:50:00"/>
    <n v="359.99999995809048"/>
    <s v="UNPLANNED"/>
    <x v="0"/>
    <d v="1899-12-30T08:30:00"/>
    <x v="0"/>
  </r>
  <r>
    <n v="2106"/>
    <x v="2"/>
    <n v="12115271563912"/>
    <x v="465"/>
    <d v="2021-10-12T12:00:00"/>
    <d v="1899-12-30T02:30:00"/>
    <n v="120.00000000279397"/>
    <s v="UNPLANNED"/>
    <x v="2"/>
    <d v="1899-12-30T09:30:00"/>
    <x v="0"/>
  </r>
  <r>
    <n v="2107"/>
    <x v="2"/>
    <n v="12115271563911"/>
    <x v="465"/>
    <d v="2021-10-12T12:00:00"/>
    <d v="1899-12-30T02:30:00"/>
    <n v="120.00000000279397"/>
    <s v="UNPLANNED"/>
    <x v="1"/>
    <d v="1899-12-30T09:30:00"/>
    <x v="0"/>
  </r>
  <r>
    <n v="2108"/>
    <x v="11"/>
    <n v="10115271478603"/>
    <x v="465"/>
    <d v="2021-10-12T12:00:00"/>
    <d v="1899-12-30T02:30:00"/>
    <n v="120.00000000279397"/>
    <s v="UNPLANNED"/>
    <x v="2"/>
    <d v="1899-12-30T09:30:00"/>
    <x v="0"/>
  </r>
  <r>
    <n v="2109"/>
    <x v="11"/>
    <n v="10115271478602"/>
    <x v="465"/>
    <d v="2021-10-12T12:00:00"/>
    <d v="1899-12-30T02:30:00"/>
    <n v="120.00000000279397"/>
    <s v="UNPLANNED"/>
    <x v="1"/>
    <d v="1899-12-30T09:30:00"/>
    <x v="0"/>
  </r>
  <r>
    <n v="2110"/>
    <x v="0"/>
    <n v="5115271685519"/>
    <x v="466"/>
    <d v="2021-10-12T21:00:00"/>
    <d v="1899-12-30T06:00:00"/>
    <n v="50"/>
    <s v="UNPLANNED"/>
    <x v="1"/>
    <d v="1899-12-30T15:00:00"/>
    <x v="1"/>
  </r>
  <r>
    <n v="2111"/>
    <x v="0"/>
    <n v="5115271685511"/>
    <x v="466"/>
    <d v="2021-10-12T21:00:00"/>
    <d v="1899-12-30T06:00:00"/>
    <n v="50"/>
    <s v="UNPLANNED"/>
    <x v="1"/>
    <d v="1899-12-30T15:00:00"/>
    <x v="1"/>
  </r>
  <r>
    <n v="2112"/>
    <x v="0"/>
    <n v="5115271259109"/>
    <x v="466"/>
    <d v="2021-10-12T21:00:00"/>
    <d v="1899-12-30T06:00:00"/>
    <n v="50"/>
    <s v="UNPLANNED"/>
    <x v="1"/>
    <d v="1899-12-30T15:00:00"/>
    <x v="1"/>
  </r>
  <r>
    <n v="2113"/>
    <x v="0"/>
    <n v="5115271259107"/>
    <x v="466"/>
    <d v="2021-10-12T21:00:00"/>
    <d v="1899-12-30T06:00:00"/>
    <n v="50"/>
    <s v="UNPLANNED"/>
    <x v="0"/>
    <d v="1899-12-30T15:00:00"/>
    <x v="1"/>
  </r>
  <r>
    <n v="2114"/>
    <x v="0"/>
    <n v="5115271259100"/>
    <x v="466"/>
    <d v="2021-10-12T21:00:00"/>
    <d v="1899-12-30T06:00:00"/>
    <n v="50"/>
    <s v="UNPLANNED"/>
    <x v="0"/>
    <d v="1899-12-30T15:00:00"/>
    <x v="1"/>
  </r>
  <r>
    <n v="2115"/>
    <x v="9"/>
    <n v="2115270274408"/>
    <x v="466"/>
    <d v="2021-10-12T21:00:00"/>
    <d v="1899-12-30T06:00:00"/>
    <n v="50"/>
    <s v="UNPLANNED"/>
    <x v="0"/>
    <d v="1899-12-30T15:00:00"/>
    <x v="1"/>
  </r>
  <r>
    <n v="2116"/>
    <x v="9"/>
    <n v="2115270274406"/>
    <x v="466"/>
    <d v="2021-10-12T21:00:00"/>
    <d v="1899-12-30T06:00:00"/>
    <n v="50"/>
    <s v="UNPLANNED"/>
    <x v="3"/>
    <d v="1899-12-30T15:00:00"/>
    <x v="1"/>
  </r>
  <r>
    <n v="2117"/>
    <x v="9"/>
    <n v="2115270274400"/>
    <x v="466"/>
    <d v="2021-10-12T21:00:00"/>
    <d v="1899-12-30T06:00:00"/>
    <n v="50"/>
    <s v="UNPLANNED"/>
    <x v="1"/>
    <d v="1899-12-30T15:00:00"/>
    <x v="1"/>
  </r>
  <r>
    <n v="2118"/>
    <x v="1"/>
    <n v="6115271723706"/>
    <x v="467"/>
    <d v="2021-10-12T23:45:00"/>
    <d v="1899-12-30T01:10:00"/>
    <n v="257.14285711292177"/>
    <s v="UNPLANNED"/>
    <x v="2"/>
    <d v="1899-12-30T22:35:00"/>
    <x v="2"/>
  </r>
  <r>
    <n v="2119"/>
    <x v="1"/>
    <n v="6115271723702"/>
    <x v="467"/>
    <d v="2021-10-12T23:45:00"/>
    <d v="1899-12-30T01:10:00"/>
    <n v="257.14285711292177"/>
    <s v="UNPLANNED"/>
    <x v="1"/>
    <d v="1899-12-30T22:35:00"/>
    <x v="2"/>
  </r>
  <r>
    <n v="2120"/>
    <x v="2"/>
    <n v="12115271581103"/>
    <x v="468"/>
    <d v="2021-10-13T10:30:00"/>
    <d v="1899-12-30T01:50:00"/>
    <n v="163.63636363290004"/>
    <s v="UNPLANNED"/>
    <x v="2"/>
    <d v="1899-12-30T08:40:00"/>
    <x v="0"/>
  </r>
  <r>
    <n v="2121"/>
    <x v="14"/>
    <n v="1115270086900"/>
    <x v="468"/>
    <d v="2021-10-13T10:30:00"/>
    <d v="1899-12-30T01:50:00"/>
    <n v="163.63636363290004"/>
    <s v="UNPLANNED"/>
    <x v="1"/>
    <d v="1899-12-30T08:40:00"/>
    <x v="0"/>
  </r>
  <r>
    <n v="2122"/>
    <x v="12"/>
    <n v="14115271769005"/>
    <x v="469"/>
    <d v="2021-10-13T14:05:00"/>
    <d v="1899-12-30T01:45:00"/>
    <n v="171.42857143427341"/>
    <s v="UNPLANNED"/>
    <x v="2"/>
    <d v="1899-12-30T12:20:00"/>
    <x v="0"/>
  </r>
  <r>
    <n v="2123"/>
    <x v="7"/>
    <n v="7115271766300"/>
    <x v="469"/>
    <d v="2021-10-13T14:05:00"/>
    <d v="1899-12-30T01:45:00"/>
    <n v="171.42857143427341"/>
    <s v="UNPLANNED"/>
    <x v="1"/>
    <d v="1899-12-30T12:20:00"/>
    <x v="0"/>
  </r>
  <r>
    <n v="2124"/>
    <x v="7"/>
    <n v="7115271757300"/>
    <x v="469"/>
    <d v="2021-10-13T14:05:00"/>
    <d v="1899-12-30T01:45:00"/>
    <n v="171.42857143427341"/>
    <s v="UNPLANNED"/>
    <x v="0"/>
    <d v="1899-12-30T12:20:00"/>
    <x v="0"/>
  </r>
  <r>
    <n v="2125"/>
    <x v="1"/>
    <n v="6115271691208"/>
    <x v="469"/>
    <d v="2021-10-13T14:05:00"/>
    <d v="1899-12-30T01:45:00"/>
    <n v="171.42857143427341"/>
    <s v="UNPLANNED"/>
    <x v="1"/>
    <d v="1899-12-30T12:20:00"/>
    <x v="0"/>
  </r>
  <r>
    <n v="2126"/>
    <x v="13"/>
    <n v="3115270340000"/>
    <x v="469"/>
    <d v="2021-10-13T14:05:00"/>
    <d v="1899-12-30T01:45:00"/>
    <n v="171.42857143427341"/>
    <s v="UNPLANNED"/>
    <x v="0"/>
    <d v="1899-12-30T12:20:00"/>
    <x v="0"/>
  </r>
  <r>
    <n v="2127"/>
    <x v="12"/>
    <n v="14115271672410"/>
    <x v="470"/>
    <d v="2021-10-13T17:50:00"/>
    <d v="1899-12-30T01:10:00"/>
    <n v="257.14285715141011"/>
    <s v="UNPLANNED"/>
    <x v="1"/>
    <d v="1899-12-30T16:40:00"/>
    <x v="1"/>
  </r>
  <r>
    <n v="2128"/>
    <x v="7"/>
    <n v="7115271753810"/>
    <x v="470"/>
    <d v="2021-10-13T17:50:00"/>
    <d v="1899-12-30T01:10:00"/>
    <n v="257.14285715141011"/>
    <s v="UNPLANNED"/>
    <x v="0"/>
    <d v="1899-12-30T16:40:00"/>
    <x v="1"/>
  </r>
  <r>
    <n v="2129"/>
    <x v="11"/>
    <n v="10115271477400"/>
    <x v="471"/>
    <d v="2021-10-13T20:15:00"/>
    <d v="1899-12-30T01:15:00"/>
    <n v="239.99999998882413"/>
    <s v="UNPLANNED"/>
    <x v="1"/>
    <d v="1899-12-30T19:00:00"/>
    <x v="1"/>
  </r>
  <r>
    <n v="2130"/>
    <x v="13"/>
    <n v="3115270306604"/>
    <x v="471"/>
    <d v="2021-10-13T20:15:00"/>
    <d v="1899-12-30T01:15:00"/>
    <n v="239.99999998882413"/>
    <s v="UNPLANNED"/>
    <x v="1"/>
    <d v="1899-12-30T19:00:00"/>
    <x v="1"/>
  </r>
  <r>
    <n v="2131"/>
    <x v="9"/>
    <n v="2115270217600"/>
    <x v="472"/>
    <d v="2021-10-14T11:05:00"/>
    <d v="1899-12-30T00:40:00"/>
    <n v="450.00000006548362"/>
    <s v="UNPLANNED"/>
    <x v="6"/>
    <d v="1899-12-30T10:25:00"/>
    <x v="0"/>
  </r>
  <r>
    <n v="2132"/>
    <x v="13"/>
    <n v="3115270373504"/>
    <x v="473"/>
    <d v="2021-10-14T17:50:00"/>
    <d v="1899-12-30T02:05:00"/>
    <n v="144.00000000134111"/>
    <s v="UNPLANNED"/>
    <x v="0"/>
    <d v="1899-12-30T15:45:00"/>
    <x v="1"/>
  </r>
  <r>
    <n v="2133"/>
    <x v="13"/>
    <n v="3115270350200"/>
    <x v="473"/>
    <d v="2021-10-14T17:50:00"/>
    <d v="1899-12-30T02:05:00"/>
    <n v="144.00000000134111"/>
    <s v="UNPLANNED"/>
    <x v="1"/>
    <d v="1899-12-30T15:45:00"/>
    <x v="1"/>
  </r>
  <r>
    <n v="2134"/>
    <x v="9"/>
    <n v="2115270297600"/>
    <x v="473"/>
    <d v="2021-10-14T17:50:00"/>
    <d v="1899-12-30T02:05:00"/>
    <n v="144.00000000134111"/>
    <s v="UNPLANNED"/>
    <x v="1"/>
    <d v="1899-12-30T15:45:00"/>
    <x v="1"/>
  </r>
  <r>
    <n v="2135"/>
    <x v="10"/>
    <n v="11115271557901"/>
    <x v="474"/>
    <d v="2021-10-14T21:25:00"/>
    <d v="1899-12-30T03:15:00"/>
    <n v="92.307692309345541"/>
    <s v="UNPLANNED"/>
    <x v="0"/>
    <d v="1899-12-30T18:10:00"/>
    <x v="1"/>
  </r>
  <r>
    <n v="2136"/>
    <x v="11"/>
    <n v="10115271958500"/>
    <x v="474"/>
    <d v="2021-10-14T21:25:00"/>
    <d v="1899-12-30T03:15:00"/>
    <n v="92.307692309345541"/>
    <s v="UNPLANNED"/>
    <x v="1"/>
    <d v="1899-12-30T18:10:00"/>
    <x v="1"/>
  </r>
  <r>
    <n v="2137"/>
    <x v="1"/>
    <n v="6115271697600"/>
    <x v="474"/>
    <d v="2021-10-14T21:25:00"/>
    <d v="1899-12-30T03:15:00"/>
    <n v="92.307692309345541"/>
    <s v="UNPLANNED"/>
    <x v="1"/>
    <d v="1899-12-30T18:10:00"/>
    <x v="1"/>
  </r>
  <r>
    <n v="2138"/>
    <x v="3"/>
    <n v="8115271877101"/>
    <x v="475"/>
    <d v="2021-10-14T23:10:00"/>
    <d v="1899-12-30T00:55:00"/>
    <n v="327.27272726580009"/>
    <s v="UNPLANNED"/>
    <x v="1"/>
    <d v="1899-12-30T22:15:00"/>
    <x v="2"/>
  </r>
  <r>
    <n v="2139"/>
    <x v="12"/>
    <n v="14115271672403"/>
    <x v="476"/>
    <d v="2021-10-15T10:05:00"/>
    <d v="1899-12-30T01:50:00"/>
    <n v="163.63636363290004"/>
    <s v="UNPLANNED"/>
    <x v="1"/>
    <d v="1899-12-30T08:15:00"/>
    <x v="0"/>
  </r>
  <r>
    <n v="2140"/>
    <x v="11"/>
    <n v="10115271478303"/>
    <x v="476"/>
    <d v="2021-10-15T10:05:00"/>
    <d v="1899-12-30T01:50:00"/>
    <n v="163.63636363290004"/>
    <s v="UNPLANNED"/>
    <x v="0"/>
    <d v="1899-12-30T08:15:00"/>
    <x v="0"/>
  </r>
  <r>
    <n v="2141"/>
    <x v="7"/>
    <n v="7115271793801"/>
    <x v="476"/>
    <d v="2021-10-15T10:05:00"/>
    <d v="1899-12-30T01:50:00"/>
    <n v="163.63636363290004"/>
    <s v="UNPLANNED"/>
    <x v="0"/>
    <d v="1899-12-30T08:15:00"/>
    <x v="0"/>
  </r>
  <r>
    <n v="2142"/>
    <x v="3"/>
    <n v="8115271820800"/>
    <x v="477"/>
    <d v="2021-10-15T13:00:00"/>
    <d v="1899-12-30T02:45:00"/>
    <n v="109.09090909552721"/>
    <s v="UNPLANNED"/>
    <x v="1"/>
    <d v="1899-12-30T10:15:00"/>
    <x v="0"/>
  </r>
  <r>
    <n v="2143"/>
    <x v="3"/>
    <n v="8115270613300"/>
    <x v="477"/>
    <d v="2021-10-15T13:00:00"/>
    <d v="1899-12-30T02:45:00"/>
    <n v="109.09090909552721"/>
    <s v="UNPLANNED"/>
    <x v="2"/>
    <d v="1899-12-30T10:15:00"/>
    <x v="0"/>
  </r>
  <r>
    <n v="2144"/>
    <x v="7"/>
    <n v="7115271786412"/>
    <x v="477"/>
    <d v="2021-10-15T13:00:00"/>
    <d v="1899-12-30T02:45:00"/>
    <n v="109.09090909552721"/>
    <s v="UNPLANNED"/>
    <x v="1"/>
    <d v="1899-12-30T10:15:00"/>
    <x v="0"/>
  </r>
  <r>
    <n v="2145"/>
    <x v="7"/>
    <n v="7115271756400"/>
    <x v="477"/>
    <d v="2021-10-15T13:00:00"/>
    <d v="1899-12-30T02:45:00"/>
    <n v="109.09090909552721"/>
    <s v="UNPLANNED"/>
    <x v="1"/>
    <d v="1899-12-30T10:15:00"/>
    <x v="0"/>
  </r>
  <r>
    <n v="2146"/>
    <x v="13"/>
    <n v="3115270350001"/>
    <x v="477"/>
    <d v="2021-10-15T13:00:00"/>
    <d v="1899-12-30T02:45:00"/>
    <n v="109.09090909552721"/>
    <s v="UNPLANNED"/>
    <x v="1"/>
    <d v="1899-12-30T10:15:00"/>
    <x v="0"/>
  </r>
  <r>
    <n v="2147"/>
    <x v="14"/>
    <n v="1115270058701"/>
    <x v="477"/>
    <d v="2021-10-15T13:00:00"/>
    <d v="1899-12-30T02:45:00"/>
    <n v="109.09090909552721"/>
    <s v="UNPLANNED"/>
    <x v="1"/>
    <d v="1899-12-30T10:15:00"/>
    <x v="0"/>
  </r>
  <r>
    <n v="2148"/>
    <x v="3"/>
    <n v="8115271827600"/>
    <x v="478"/>
    <d v="2021-10-15T18:25:00"/>
    <d v="1899-12-30T01:15:00"/>
    <n v="240.00000002235174"/>
    <s v="UNPLANNED"/>
    <x v="1"/>
    <d v="1899-12-30T17:10:00"/>
    <x v="1"/>
  </r>
  <r>
    <n v="2149"/>
    <x v="1"/>
    <n v="6115271740100"/>
    <x v="478"/>
    <d v="2021-10-15T18:25:00"/>
    <d v="1899-12-30T01:15:00"/>
    <n v="240.00000002235174"/>
    <s v="UNPLANNED"/>
    <x v="1"/>
    <d v="1899-12-30T17:10:00"/>
    <x v="1"/>
  </r>
  <r>
    <n v="2150"/>
    <x v="13"/>
    <n v="3115270311200"/>
    <x v="479"/>
    <d v="2021-10-15T20:32:00"/>
    <d v="1899-12-30T00:42:00"/>
    <n v="428.57142856430113"/>
    <s v="UNPLANNED"/>
    <x v="1"/>
    <d v="1899-12-30T19:50:00"/>
    <x v="1"/>
  </r>
  <r>
    <n v="2151"/>
    <x v="10"/>
    <n v="11115271542506"/>
    <x v="480"/>
    <d v="2021-10-15T22:35:00"/>
    <d v="1899-12-30T01:45:00"/>
    <n v="171.42857143427341"/>
    <s v="UNPLANNED"/>
    <x v="0"/>
    <d v="1899-12-30T20:50:00"/>
    <x v="1"/>
  </r>
  <r>
    <n v="2152"/>
    <x v="3"/>
    <n v="8115271841000"/>
    <x v="480"/>
    <d v="2021-10-15T22:35:00"/>
    <d v="1899-12-30T01:45:00"/>
    <n v="171.42857143427341"/>
    <s v="UNPLANNED"/>
    <x v="0"/>
    <d v="1899-12-30T20:50:00"/>
    <x v="1"/>
  </r>
  <r>
    <n v="2153"/>
    <x v="11"/>
    <n v="10115271958300"/>
    <x v="481"/>
    <d v="2021-10-16T00:40:00"/>
    <d v="1899-12-30T01:25:00"/>
    <n v="211.7647058707517"/>
    <s v="UNPLANNED"/>
    <x v="0"/>
    <d v="1899-12-30T23:15:00"/>
    <x v="2"/>
  </r>
  <r>
    <n v="2154"/>
    <x v="1"/>
    <n v="6115271753111"/>
    <x v="481"/>
    <d v="2021-10-16T00:40:00"/>
    <d v="1899-12-30T01:25:00"/>
    <n v="211.7647058707517"/>
    <s v="UNPLANNED"/>
    <x v="0"/>
    <d v="1899-12-30T23:15:00"/>
    <x v="2"/>
  </r>
  <r>
    <n v="2155"/>
    <x v="4"/>
    <n v="15115271743900"/>
    <x v="482"/>
    <d v="2021-10-16T13:15:00"/>
    <d v="1899-12-30T03:40:00"/>
    <n v="81.818181816450021"/>
    <s v="UNPLANNED"/>
    <x v="0"/>
    <d v="1899-12-30T09:35:00"/>
    <x v="0"/>
  </r>
  <r>
    <n v="2156"/>
    <x v="12"/>
    <n v="14115271672406"/>
    <x v="482"/>
    <d v="2021-10-16T13:15:00"/>
    <d v="1899-12-30T03:40:00"/>
    <n v="81.818181816450021"/>
    <s v="UNPLANNED"/>
    <x v="0"/>
    <d v="1899-12-30T09:35:00"/>
    <x v="0"/>
  </r>
  <r>
    <n v="2157"/>
    <x v="6"/>
    <n v="9115270624000"/>
    <x v="482"/>
    <d v="2021-10-16T13:15:00"/>
    <d v="1899-12-30T03:40:00"/>
    <n v="81.818181816450021"/>
    <s v="UNPLANNED"/>
    <x v="1"/>
    <d v="1899-12-30T09:35:00"/>
    <x v="0"/>
  </r>
  <r>
    <n v="2158"/>
    <x v="1"/>
    <n v="6115271739100"/>
    <x v="482"/>
    <d v="2021-10-16T13:15:00"/>
    <d v="1899-12-30T03:40:00"/>
    <n v="81.818181816450021"/>
    <s v="UNPLANNED"/>
    <x v="1"/>
    <d v="1899-12-30T09:35:00"/>
    <x v="0"/>
  </r>
  <r>
    <n v="2159"/>
    <x v="14"/>
    <n v="1115270079800"/>
    <x v="482"/>
    <d v="2021-10-16T13:15:00"/>
    <d v="1899-12-30T03:40:00"/>
    <n v="81.818181816450021"/>
    <s v="UNPLANNED"/>
    <x v="0"/>
    <d v="1899-12-30T09:35:00"/>
    <x v="0"/>
  </r>
  <r>
    <n v="2160"/>
    <x v="12"/>
    <n v="14115271672402"/>
    <x v="483"/>
    <d v="2021-10-16T18:10:00"/>
    <d v="1899-12-30T02:30:00"/>
    <n v="120.00000000279397"/>
    <s v="UNPLANNED"/>
    <x v="0"/>
    <d v="1899-12-30T15:40:00"/>
    <x v="1"/>
  </r>
  <r>
    <n v="2161"/>
    <x v="10"/>
    <n v="11115271553900"/>
    <x v="483"/>
    <d v="2021-10-16T18:10:00"/>
    <d v="1899-12-30T02:30:00"/>
    <n v="120.00000000279397"/>
    <s v="UNPLANNED"/>
    <x v="0"/>
    <d v="1899-12-30T15:40:00"/>
    <x v="1"/>
  </r>
  <r>
    <n v="2162"/>
    <x v="3"/>
    <n v="8115271842000"/>
    <x v="483"/>
    <d v="2021-10-16T18:10:00"/>
    <d v="1899-12-30T02:30:00"/>
    <n v="120.00000000279397"/>
    <s v="UNPLANNED"/>
    <x v="0"/>
    <d v="1899-12-30T15:40:00"/>
    <x v="1"/>
  </r>
  <r>
    <n v="2163"/>
    <x v="12"/>
    <n v="14115271689610"/>
    <x v="484"/>
    <d v="2021-10-17T11:20:00"/>
    <d v="1899-12-30T02:40:00"/>
    <n v="112.50000000163709"/>
    <s v="UNPLANNED"/>
    <x v="0"/>
    <d v="1899-12-30T08:40:00"/>
    <x v="0"/>
  </r>
  <r>
    <n v="2164"/>
    <x v="11"/>
    <n v="10115271959001"/>
    <x v="484"/>
    <d v="2021-10-17T11:20:00"/>
    <d v="1899-12-30T02:40:00"/>
    <n v="112.50000000163709"/>
    <s v="UNPLANNED"/>
    <x v="0"/>
    <d v="1899-12-30T08:40:00"/>
    <x v="0"/>
  </r>
  <r>
    <n v="2165"/>
    <x v="7"/>
    <n v="7115271777003"/>
    <x v="484"/>
    <d v="2021-10-17T11:20:00"/>
    <d v="1899-12-30T02:40:00"/>
    <n v="112.50000000163709"/>
    <s v="UNPLANNED"/>
    <x v="2"/>
    <d v="1899-12-30T08:40:00"/>
    <x v="0"/>
  </r>
  <r>
    <n v="2166"/>
    <x v="1"/>
    <n v="6115271745600"/>
    <x v="484"/>
    <d v="2021-10-17T11:20:00"/>
    <d v="1899-12-30T02:40:00"/>
    <n v="112.50000000163709"/>
    <s v="UNPLANNED"/>
    <x v="0"/>
    <d v="1899-12-30T08:40:00"/>
    <x v="0"/>
  </r>
  <r>
    <n v="2167"/>
    <x v="7"/>
    <n v="7115271766800"/>
    <x v="485"/>
    <d v="2021-10-17T14:00:00"/>
    <d v="1899-12-30T01:30:00"/>
    <n v="200"/>
    <s v="UNPLANNED"/>
    <x v="0"/>
    <d v="1899-12-30T12:30:00"/>
    <x v="0"/>
  </r>
  <r>
    <n v="2168"/>
    <x v="1"/>
    <n v="6115271701000"/>
    <x v="485"/>
    <d v="2021-10-17T14:00:00"/>
    <d v="1899-12-30T01:30:00"/>
    <n v="200"/>
    <s v="UNPLANNED"/>
    <x v="0"/>
    <d v="1899-12-30T12:30:00"/>
    <x v="0"/>
  </r>
  <r>
    <n v="2169"/>
    <x v="13"/>
    <n v="3115270308900"/>
    <x v="486"/>
    <d v="2021-10-17T17:15:00"/>
    <d v="1899-12-30T01:05:00"/>
    <n v="276.9230769131575"/>
    <s v="UNPLANNED"/>
    <x v="1"/>
    <d v="1899-12-30T16:10:00"/>
    <x v="1"/>
  </r>
  <r>
    <n v="2170"/>
    <x v="14"/>
    <n v="1115270088400"/>
    <x v="486"/>
    <d v="2021-10-17T17:15:00"/>
    <d v="1899-12-30T01:05:00"/>
    <n v="276.9230769131575"/>
    <s v="UNPLANNED"/>
    <x v="0"/>
    <d v="1899-12-30T16:10:00"/>
    <x v="1"/>
  </r>
  <r>
    <n v="2171"/>
    <x v="2"/>
    <n v="12115271560120"/>
    <x v="487"/>
    <d v="2021-10-17T20:15:00"/>
    <d v="1899-12-30T02:30:00"/>
    <n v="120.00000000279397"/>
    <s v="UNPLANNED"/>
    <x v="0"/>
    <d v="1899-12-30T17:45:00"/>
    <x v="1"/>
  </r>
  <r>
    <n v="2172"/>
    <x v="7"/>
    <n v="7115271767806"/>
    <x v="487"/>
    <d v="2021-10-17T20:15:00"/>
    <d v="1899-12-30T02:30:00"/>
    <n v="120.00000000279397"/>
    <s v="UNPLANNED"/>
    <x v="0"/>
    <d v="1899-12-30T17:45:00"/>
    <x v="1"/>
  </r>
  <r>
    <n v="2173"/>
    <x v="1"/>
    <n v="6115271741400"/>
    <x v="487"/>
    <d v="2021-10-17T20:15:00"/>
    <d v="1899-12-30T02:30:00"/>
    <n v="120.00000000279397"/>
    <s v="UNPLANNED"/>
    <x v="0"/>
    <d v="1899-12-30T17:45:00"/>
    <x v="1"/>
  </r>
  <r>
    <n v="2174"/>
    <x v="14"/>
    <n v="1115270070900"/>
    <x v="487"/>
    <d v="2021-10-17T20:15:00"/>
    <d v="1899-12-30T02:30:00"/>
    <n v="120.00000000279397"/>
    <s v="UNPLANNED"/>
    <x v="1"/>
    <d v="1899-12-30T17:45:00"/>
    <x v="1"/>
  </r>
  <r>
    <n v="2175"/>
    <x v="11"/>
    <n v="10115271959500"/>
    <x v="488"/>
    <d v="2021-10-17T22:00:00"/>
    <d v="1899-12-30T00:50:00"/>
    <n v="360.00000003352761"/>
    <s v="UNPLANNED"/>
    <x v="0"/>
    <d v="1899-12-30T21:10:00"/>
    <x v="1"/>
  </r>
  <r>
    <n v="2176"/>
    <x v="10"/>
    <n v="11115271542700"/>
    <x v="489"/>
    <d v="2021-10-18T01:15:00"/>
    <d v="1899-12-30T01:45:00"/>
    <n v="171.42857141716746"/>
    <s v="UNPLANNED"/>
    <x v="0"/>
    <d v="1899-12-30T23:30:00"/>
    <x v="2"/>
  </r>
  <r>
    <n v="2177"/>
    <x v="1"/>
    <n v="6115271690603"/>
    <x v="489"/>
    <d v="2021-10-18T01:15:00"/>
    <d v="1899-12-30T01:45:00"/>
    <n v="171.42857141716746"/>
    <s v="UNPLANNED"/>
    <x v="0"/>
    <d v="1899-12-30T23:30:00"/>
    <x v="2"/>
  </r>
  <r>
    <n v="2178"/>
    <x v="5"/>
    <n v="13115271590601"/>
    <x v="490"/>
    <d v="2021-10-18T12:30:00"/>
    <d v="1899-12-30T02:45:00"/>
    <n v="109.09090908860001"/>
    <s v="UNPLANNED"/>
    <x v="2"/>
    <d v="1899-12-30T09:45:00"/>
    <x v="0"/>
  </r>
  <r>
    <n v="2179"/>
    <x v="2"/>
    <n v="12115271571051"/>
    <x v="490"/>
    <d v="2021-10-18T12:30:00"/>
    <d v="1899-12-30T02:45:00"/>
    <n v="109.09090908860001"/>
    <s v="UNPLANNED"/>
    <x v="0"/>
    <d v="1899-12-30T09:45:00"/>
    <x v="0"/>
  </r>
  <r>
    <n v="2180"/>
    <x v="11"/>
    <n v="10115271958900"/>
    <x v="490"/>
    <d v="2021-10-18T12:30:00"/>
    <d v="1899-12-30T02:45:00"/>
    <n v="109.09090908860001"/>
    <s v="UNPLANNED"/>
    <x v="0"/>
    <d v="1899-12-30T09:45:00"/>
    <x v="0"/>
  </r>
  <r>
    <n v="2181"/>
    <x v="3"/>
    <n v="8115271856800"/>
    <x v="490"/>
    <d v="2021-10-18T12:30:00"/>
    <d v="1899-12-30T02:45:00"/>
    <n v="109.09090908860001"/>
    <s v="UNPLANNED"/>
    <x v="0"/>
    <d v="1899-12-30T09:45:00"/>
    <x v="0"/>
  </r>
  <r>
    <n v="2182"/>
    <x v="13"/>
    <n v="3115270318803"/>
    <x v="491"/>
    <d v="2021-10-19T02:00:00"/>
    <d v="1899-12-30T01:20:00"/>
    <n v="225.00000000327418"/>
    <s v="UNPLANNED"/>
    <x v="0"/>
    <d v="1899-12-30T00:40:00"/>
    <x v="2"/>
  </r>
  <r>
    <n v="2183"/>
    <x v="7"/>
    <n v="7115271794200"/>
    <x v="492"/>
    <d v="2021-10-19T13:30:00"/>
    <d v="1899-12-30T04:00:00"/>
    <n v="75.000000001091394"/>
    <s v="UNPLANNED"/>
    <x v="0"/>
    <d v="1899-12-30T09:30:00"/>
    <x v="0"/>
  </r>
  <r>
    <n v="2184"/>
    <x v="8"/>
    <n v="4115270854201"/>
    <x v="492"/>
    <d v="2021-10-19T13:35:00"/>
    <d v="1899-12-30T04:05:00"/>
    <n v="73.469387757545746"/>
    <s v="UNPLANNED"/>
    <x v="0"/>
    <d v="1899-12-30T09:30:00"/>
    <x v="0"/>
  </r>
  <r>
    <n v="2185"/>
    <x v="9"/>
    <n v="2115270303000"/>
    <x v="493"/>
    <d v="2021-10-19T23:06:00"/>
    <d v="1899-12-30T00:46:00"/>
    <n v="391.30434779835855"/>
    <s v="UNPLANNED"/>
    <x v="0"/>
    <d v="1899-12-30T22:20:00"/>
    <x v="2"/>
  </r>
  <r>
    <n v="2186"/>
    <x v="5"/>
    <n v="13115271634400"/>
    <x v="494"/>
    <d v="2021-10-20T12:50:00"/>
    <d v="1899-12-30T02:50:00"/>
    <n v="105.88235294190156"/>
    <s v="UNPLANNED"/>
    <x v="0"/>
    <d v="1899-12-30T10:00:00"/>
    <x v="0"/>
  </r>
  <r>
    <n v="2187"/>
    <x v="11"/>
    <n v="10115271419500"/>
    <x v="494"/>
    <d v="2021-10-20T12:50:00"/>
    <d v="1899-12-30T02:50:00"/>
    <n v="105.88235294190156"/>
    <s v="UNPLANNED"/>
    <x v="1"/>
    <d v="1899-12-30T10:00:00"/>
    <x v="0"/>
  </r>
  <r>
    <n v="2188"/>
    <x v="7"/>
    <n v="7115271799205"/>
    <x v="494"/>
    <d v="2021-10-20T12:50:00"/>
    <d v="1899-12-30T02:50:00"/>
    <n v="105.88235294190156"/>
    <s v="UNPLANNED"/>
    <x v="0"/>
    <d v="1899-12-30T10:00:00"/>
    <x v="0"/>
  </r>
  <r>
    <n v="2189"/>
    <x v="14"/>
    <n v="1115270056000"/>
    <x v="494"/>
    <d v="2021-10-20T12:50:00"/>
    <d v="1899-12-30T02:50:00"/>
    <n v="105.88235294190156"/>
    <s v="UNPLANNED"/>
    <x v="3"/>
    <d v="1899-12-30T10:00:00"/>
    <x v="0"/>
  </r>
  <r>
    <n v="2190"/>
    <x v="2"/>
    <n v="12115271572900"/>
    <x v="495"/>
    <d v="2021-10-20T18:00:00"/>
    <d v="1899-12-30T02:25:00"/>
    <n v="124.1379310334861"/>
    <s v="UNPLANNED"/>
    <x v="0"/>
    <d v="1899-12-30T15:35:00"/>
    <x v="1"/>
  </r>
  <r>
    <n v="2191"/>
    <x v="2"/>
    <n v="12115271562009"/>
    <x v="495"/>
    <d v="2021-10-20T18:00:00"/>
    <d v="1899-12-30T02:25:00"/>
    <n v="124.1379310334861"/>
    <s v="UNPLANNED"/>
    <x v="0"/>
    <d v="1899-12-30T15:35:00"/>
    <x v="1"/>
  </r>
  <r>
    <n v="2192"/>
    <x v="7"/>
    <n v="7115271767803"/>
    <x v="496"/>
    <d v="2021-10-21T12:25:00"/>
    <d v="1899-12-30T03:10:00"/>
    <n v="94.736842104682694"/>
    <s v="UNPLANNED"/>
    <x v="0"/>
    <d v="1899-12-30T09:15:00"/>
    <x v="0"/>
  </r>
  <r>
    <n v="2193"/>
    <x v="1"/>
    <n v="6115271721101"/>
    <x v="496"/>
    <d v="2021-10-21T12:25:00"/>
    <d v="1899-12-30T03:10:00"/>
    <n v="94.736842104682694"/>
    <s v="UNPLANNED"/>
    <x v="1"/>
    <d v="1899-12-30T09:15:00"/>
    <x v="0"/>
  </r>
  <r>
    <n v="2194"/>
    <x v="13"/>
    <n v="3115270349600"/>
    <x v="496"/>
    <d v="2021-10-21T12:25:00"/>
    <d v="1899-12-30T03:10:00"/>
    <n v="94.736842104682694"/>
    <s v="UNPLANNED"/>
    <x v="3"/>
    <d v="1899-12-30T09:15:00"/>
    <x v="0"/>
  </r>
  <r>
    <n v="2195"/>
    <x v="9"/>
    <n v="2115270273700"/>
    <x v="496"/>
    <d v="2021-10-21T12:25:00"/>
    <d v="1899-12-30T03:10:00"/>
    <n v="94.736842104682694"/>
    <s v="UNPLANNED"/>
    <x v="6"/>
    <d v="1899-12-30T09:15:00"/>
    <x v="0"/>
  </r>
  <r>
    <n v="2196"/>
    <x v="12"/>
    <n v="14115271690705"/>
    <x v="497"/>
    <d v="2021-10-21T17:15:00"/>
    <d v="1899-12-30T01:50:00"/>
    <n v="163.63636363290004"/>
    <s v="UNPLANNED"/>
    <x v="0"/>
    <d v="1899-12-30T15:25:00"/>
    <x v="1"/>
  </r>
  <r>
    <n v="2197"/>
    <x v="2"/>
    <n v="12115271561606"/>
    <x v="497"/>
    <d v="2021-10-21T17:15:00"/>
    <d v="1899-12-30T01:50:00"/>
    <n v="163.63636363290004"/>
    <s v="UNPLANNED"/>
    <x v="0"/>
    <d v="1899-12-30T15:25:00"/>
    <x v="1"/>
  </r>
  <r>
    <n v="2198"/>
    <x v="11"/>
    <n v="10115271733703"/>
    <x v="497"/>
    <d v="2021-10-21T17:15:00"/>
    <d v="1899-12-30T01:50:00"/>
    <n v="163.63636363290004"/>
    <s v="UNPLANNED"/>
    <x v="1"/>
    <d v="1899-12-30T15:25:00"/>
    <x v="1"/>
  </r>
  <r>
    <n v="2199"/>
    <x v="9"/>
    <n v="2115270274300"/>
    <x v="497"/>
    <d v="2021-10-21T17:15:00"/>
    <d v="1899-12-30T01:50:00"/>
    <n v="163.63636363290004"/>
    <s v="UNPLANNED"/>
    <x v="0"/>
    <d v="1899-12-30T15:25:00"/>
    <x v="1"/>
  </r>
  <r>
    <n v="2200"/>
    <x v="2"/>
    <n v="12115271560129"/>
    <x v="498"/>
    <d v="2021-10-21T21:05:00"/>
    <d v="1899-12-30T00:55:00"/>
    <n v="327.27272732814481"/>
    <s v="UNPLANNED"/>
    <x v="0"/>
    <d v="1899-12-30T20:10:00"/>
    <x v="1"/>
  </r>
  <r>
    <n v="2201"/>
    <x v="10"/>
    <n v="11115271506703"/>
    <x v="499"/>
    <d v="2021-10-21T21:50:00"/>
    <d v="1899-12-30T00:35:00"/>
    <n v="514.28571430282022"/>
    <s v="UNPLANNED"/>
    <x v="0"/>
    <d v="1899-12-30T21:15:00"/>
    <x v="1"/>
  </r>
  <r>
    <n v="2202"/>
    <x v="6"/>
    <n v="9115271952500"/>
    <x v="500"/>
    <d v="2021-10-21T23:40:00"/>
    <d v="1899-12-30T01:20:00"/>
    <n v="225.00000000327418"/>
    <s v="UNPLANNED"/>
    <x v="6"/>
    <d v="1899-12-30T22:20:00"/>
    <x v="2"/>
  </r>
  <r>
    <n v="2203"/>
    <x v="10"/>
    <n v="11115271542604"/>
    <x v="501"/>
    <d v="2021-10-22T12:00:00"/>
    <d v="1899-12-30T01:15:00"/>
    <n v="239.99999998882413"/>
    <s v="UNPLANNED"/>
    <x v="0"/>
    <d v="1899-12-30T10:45:00"/>
    <x v="0"/>
  </r>
  <r>
    <n v="2204"/>
    <x v="13"/>
    <n v="3115270349500"/>
    <x v="501"/>
    <d v="2021-10-22T12:00:00"/>
    <d v="1899-12-30T01:15:00"/>
    <n v="239.99999998882413"/>
    <s v="UNPLANNED"/>
    <x v="1"/>
    <d v="1899-12-30T10:45:00"/>
    <x v="0"/>
  </r>
  <r>
    <n v="2205"/>
    <x v="12"/>
    <n v="14115271690219"/>
    <x v="502"/>
    <d v="2021-10-22T14:10:00"/>
    <d v="1899-12-30T02:00:00"/>
    <n v="149.99999999563443"/>
    <s v="UNPLANNED"/>
    <x v="0"/>
    <d v="1899-12-30T12:10:00"/>
    <x v="0"/>
  </r>
  <r>
    <n v="2206"/>
    <x v="2"/>
    <n v="12115271569207"/>
    <x v="502"/>
    <d v="2021-10-22T14:10:00"/>
    <d v="1899-12-30T02:00:00"/>
    <n v="149.99999999563443"/>
    <s v="UNPLANNED"/>
    <x v="0"/>
    <d v="1899-12-30T12:10:00"/>
    <x v="0"/>
  </r>
  <r>
    <n v="2207"/>
    <x v="14"/>
    <n v="1115270095500"/>
    <x v="502"/>
    <d v="2021-10-22T14:10:00"/>
    <d v="1899-12-30T02:00:00"/>
    <n v="149.99999999563443"/>
    <s v="UNPLANNED"/>
    <x v="0"/>
    <d v="1899-12-30T12:10:00"/>
    <x v="0"/>
  </r>
  <r>
    <n v="2208"/>
    <x v="17"/>
    <n v="46115273094116"/>
    <x v="503"/>
    <d v="2021-10-22T20:10:00"/>
    <d v="1899-12-30T01:35:00"/>
    <n v="189.47368419891703"/>
    <s v="UNPLANNED"/>
    <x v="1"/>
    <d v="1899-12-30T18:35:00"/>
    <x v="1"/>
  </r>
  <r>
    <n v="2209"/>
    <x v="9"/>
    <n v="2115270158700"/>
    <x v="503"/>
    <d v="2021-10-22T20:10:00"/>
    <d v="1899-12-30T01:35:00"/>
    <n v="189.47368419891703"/>
    <s v="UNPLANNED"/>
    <x v="0"/>
    <d v="1899-12-30T18:35:00"/>
    <x v="1"/>
  </r>
  <r>
    <n v="2210"/>
    <x v="14"/>
    <n v="1115270067300"/>
    <x v="504"/>
    <d v="2021-10-22T21:40:00"/>
    <d v="1899-12-30T00:50:00"/>
    <n v="359.99999995809048"/>
    <s v="UNPLANNED"/>
    <x v="0"/>
    <d v="1899-12-30T20:50:00"/>
    <x v="1"/>
  </r>
  <r>
    <n v="2211"/>
    <x v="12"/>
    <n v="14115271679700"/>
    <x v="505"/>
    <d v="2021-10-23T13:00:00"/>
    <d v="1899-12-30T03:20:00"/>
    <n v="90.000000003667083"/>
    <s v="UNPLANNED"/>
    <x v="0"/>
    <d v="1899-12-30T09:40:00"/>
    <x v="0"/>
  </r>
  <r>
    <n v="2212"/>
    <x v="2"/>
    <n v="12115271561607"/>
    <x v="505"/>
    <d v="2021-10-23T13:00:00"/>
    <d v="1899-12-30T03:20:00"/>
    <n v="90.000000003667083"/>
    <s v="UNPLANNED"/>
    <x v="0"/>
    <d v="1899-12-30T09:40:00"/>
    <x v="0"/>
  </r>
  <r>
    <n v="2213"/>
    <x v="10"/>
    <n v="11115271483100"/>
    <x v="505"/>
    <d v="2021-10-23T13:00:00"/>
    <d v="1899-12-30T03:20:00"/>
    <n v="90.000000003667083"/>
    <s v="UNPLANNED"/>
    <x v="1"/>
    <d v="1899-12-30T09:40:00"/>
    <x v="0"/>
  </r>
  <r>
    <n v="2214"/>
    <x v="11"/>
    <n v="10115271433000"/>
    <x v="505"/>
    <d v="2021-10-23T13:00:00"/>
    <d v="1899-12-30T03:20:00"/>
    <n v="90.000000003667083"/>
    <s v="UNPLANNED"/>
    <x v="1"/>
    <d v="1899-12-30T09:40:00"/>
    <x v="0"/>
  </r>
  <r>
    <n v="2215"/>
    <x v="14"/>
    <n v="1115270066100"/>
    <x v="505"/>
    <d v="2021-10-23T13:00:00"/>
    <d v="1899-12-30T03:20:00"/>
    <n v="90.000000003667083"/>
    <s v="UNPLANNED"/>
    <x v="1"/>
    <d v="1899-12-30T09:40:00"/>
    <x v="0"/>
  </r>
  <r>
    <n v="2216"/>
    <x v="1"/>
    <n v="6115271751640"/>
    <x v="506"/>
    <d v="2021-10-23T18:20:00"/>
    <d v="1899-12-30T01:20:00"/>
    <n v="225.00000000327418"/>
    <s v="UNPLANNED"/>
    <x v="0"/>
    <d v="1899-12-30T17:00:00"/>
    <x v="1"/>
  </r>
  <r>
    <n v="2217"/>
    <x v="11"/>
    <n v="10115271433901"/>
    <x v="507"/>
    <d v="2021-10-23T22:15:00"/>
    <d v="1899-12-30T02:40:00"/>
    <n v="112.49999999427018"/>
    <s v="UNPLANNED"/>
    <x v="0"/>
    <d v="1899-12-30T19:35:00"/>
    <x v="1"/>
  </r>
  <r>
    <n v="2218"/>
    <x v="0"/>
    <n v="5115270974102"/>
    <x v="507"/>
    <d v="2021-10-23T22:15:00"/>
    <d v="1899-12-30T02:40:00"/>
    <n v="112.49999999427018"/>
    <s v="UNPLANNED"/>
    <x v="0"/>
    <d v="1899-12-30T19:35:00"/>
    <x v="1"/>
  </r>
  <r>
    <n v="2219"/>
    <x v="8"/>
    <n v="4115270844600"/>
    <x v="507"/>
    <d v="2021-10-23T22:15:00"/>
    <d v="1899-12-30T02:40:00"/>
    <n v="112.49999999427018"/>
    <s v="UNPLANNED"/>
    <x v="0"/>
    <d v="1899-12-30T19:35:00"/>
    <x v="1"/>
  </r>
  <r>
    <n v="2220"/>
    <x v="4"/>
    <n v="15115271785818"/>
    <x v="508"/>
    <d v="2021-10-24T13:45:00"/>
    <d v="1899-12-30T01:55:00"/>
    <n v="156.52173913360375"/>
    <s v="UNPLANNED"/>
    <x v="0"/>
    <d v="1899-12-30T11:50:00"/>
    <x v="0"/>
  </r>
  <r>
    <n v="2221"/>
    <x v="5"/>
    <n v="13115271592301"/>
    <x v="508"/>
    <d v="2021-10-24T13:45:00"/>
    <d v="1899-12-30T01:55:00"/>
    <n v="156.52173913360375"/>
    <s v="UNPLANNED"/>
    <x v="0"/>
    <d v="1899-12-30T11:50:00"/>
    <x v="0"/>
  </r>
  <r>
    <n v="2222"/>
    <x v="2"/>
    <n v="12115271567404"/>
    <x v="508"/>
    <d v="2021-10-24T13:45:00"/>
    <d v="1899-12-30T01:55:00"/>
    <n v="156.52173913360375"/>
    <s v="UNPLANNED"/>
    <x v="0"/>
    <d v="1899-12-30T11:50:00"/>
    <x v="0"/>
  </r>
  <r>
    <n v="2223"/>
    <x v="9"/>
    <n v="2115270294800"/>
    <x v="508"/>
    <d v="2021-10-24T13:45:00"/>
    <d v="1899-12-30T01:55:00"/>
    <n v="156.52173913360375"/>
    <s v="UNPLANNED"/>
    <x v="0"/>
    <d v="1899-12-30T11:50:00"/>
    <x v="0"/>
  </r>
  <r>
    <n v="2224"/>
    <x v="11"/>
    <n v="10115271964700"/>
    <x v="509"/>
    <d v="2021-10-24T16:25:00"/>
    <d v="1899-12-30T00:35:00"/>
    <n v="514.28571414886687"/>
    <s v="UNPLANNED"/>
    <x v="1"/>
    <d v="1899-12-30T15:50:00"/>
    <x v="1"/>
  </r>
  <r>
    <n v="2225"/>
    <x v="13"/>
    <n v="3115270318501"/>
    <x v="510"/>
    <d v="2021-10-24T20:30:00"/>
    <d v="1899-12-30T01:35:00"/>
    <n v="189.47368421981375"/>
    <s v="UNPLANNED"/>
    <x v="1"/>
    <d v="1899-12-30T18:55:00"/>
    <x v="1"/>
  </r>
  <r>
    <n v="2226"/>
    <x v="9"/>
    <n v="2115270283300"/>
    <x v="510"/>
    <d v="2021-10-24T20:30:00"/>
    <d v="1899-12-30T01:35:00"/>
    <n v="189.47368421981375"/>
    <s v="UNPLANNED"/>
    <x v="1"/>
    <d v="1899-12-30T18:55:00"/>
    <x v="1"/>
  </r>
  <r>
    <n v="2227"/>
    <x v="6"/>
    <n v="9115271930300"/>
    <x v="511"/>
    <d v="2021-10-25T09:50:00"/>
    <d v="1899-12-30T01:05:00"/>
    <n v="276.92307695779488"/>
    <s v="UNPLANNED"/>
    <x v="1"/>
    <d v="1899-12-30T08:45:00"/>
    <x v="0"/>
  </r>
  <r>
    <n v="2228"/>
    <x v="9"/>
    <n v="2115270282200"/>
    <x v="512"/>
    <d v="2021-10-25T13:40:00"/>
    <d v="1899-12-30T00:35:00"/>
    <n v="514.28571430282022"/>
    <s v="UNPLANNED"/>
    <x v="1"/>
    <d v="1899-12-30T13:05:00"/>
    <x v="0"/>
  </r>
  <r>
    <n v="2229"/>
    <x v="2"/>
    <n v="12115271561608"/>
    <x v="513"/>
    <d v="2021-10-25T17:30:00"/>
    <d v="1899-12-30T01:40:00"/>
    <n v="179.99999999790452"/>
    <s v="UNPLANNED"/>
    <x v="1"/>
    <d v="1899-12-30T15:50:00"/>
    <x v="1"/>
  </r>
  <r>
    <n v="2230"/>
    <x v="7"/>
    <n v="7115271754002"/>
    <x v="513"/>
    <d v="2021-10-25T17:30:00"/>
    <d v="1899-12-30T01:40:00"/>
    <n v="179.99999999790452"/>
    <s v="UNPLANNED"/>
    <x v="1"/>
    <d v="1899-12-30T15:50:00"/>
    <x v="1"/>
  </r>
  <r>
    <n v="2231"/>
    <x v="1"/>
    <n v="6115271736302"/>
    <x v="513"/>
    <d v="2021-10-25T17:30:00"/>
    <d v="1899-12-30T01:40:00"/>
    <n v="179.99999999790452"/>
    <s v="UNPLANNED"/>
    <x v="1"/>
    <d v="1899-12-30T15:50:00"/>
    <x v="1"/>
  </r>
  <r>
    <n v="2232"/>
    <x v="13"/>
    <n v="3115270379903"/>
    <x v="513"/>
    <d v="2021-10-25T17:30:00"/>
    <d v="1899-12-30T01:40:00"/>
    <n v="179.99999999790452"/>
    <s v="UNPLANNED"/>
    <x v="1"/>
    <d v="1899-12-30T15:50:00"/>
    <x v="1"/>
  </r>
  <r>
    <n v="2233"/>
    <x v="13"/>
    <n v="3115270355901"/>
    <x v="513"/>
    <d v="2021-10-25T17:30:00"/>
    <d v="1899-12-30T01:40:00"/>
    <n v="179.99999999790452"/>
    <s v="UNPLANNED"/>
    <x v="0"/>
    <d v="1899-12-30T15:50:00"/>
    <x v="1"/>
  </r>
  <r>
    <n v="2234"/>
    <x v="12"/>
    <n v="14115271687633"/>
    <x v="514"/>
    <d v="2021-10-26T13:00:00"/>
    <d v="1899-12-30T02:20:00"/>
    <n v="128.57142857570506"/>
    <s v="UNPLANNED"/>
    <x v="0"/>
    <d v="1899-12-30T10:40:00"/>
    <x v="0"/>
  </r>
  <r>
    <n v="2235"/>
    <x v="7"/>
    <n v="7115271771600"/>
    <x v="514"/>
    <d v="2021-10-26T13:00:00"/>
    <d v="1899-12-30T02:20:00"/>
    <n v="128.57142857570506"/>
    <s v="UNPLANNED"/>
    <x v="0"/>
    <d v="1899-12-30T10:40:00"/>
    <x v="0"/>
  </r>
  <r>
    <n v="2236"/>
    <x v="5"/>
    <n v="13115271590508"/>
    <x v="515"/>
    <d v="2021-10-26T16:30:00"/>
    <d v="1899-12-30T00:45:00"/>
    <n v="400"/>
    <s v="UNPLANNED"/>
    <x v="0"/>
    <d v="1899-12-30T15:45:00"/>
    <x v="1"/>
  </r>
  <r>
    <n v="2237"/>
    <x v="13"/>
    <n v="3115270310505"/>
    <x v="516"/>
    <d v="2021-10-26T18:00:00"/>
    <d v="1899-12-30T00:30:00"/>
    <n v="599.99999993015081"/>
    <s v="UNPLANNED"/>
    <x v="0"/>
    <d v="1899-12-30T17:30:00"/>
    <x v="1"/>
  </r>
  <r>
    <n v="2238"/>
    <x v="11"/>
    <n v="10115271967801"/>
    <x v="517"/>
    <d v="2021-10-26T20:00:00"/>
    <d v="1899-12-30T01:30:00"/>
    <n v="200"/>
    <s v="UNPLANNED"/>
    <x v="1"/>
    <d v="1899-12-30T18:30:00"/>
    <x v="1"/>
  </r>
  <r>
    <n v="2239"/>
    <x v="13"/>
    <n v="3115270343200"/>
    <x v="517"/>
    <d v="2021-10-26T20:00:00"/>
    <d v="1899-12-30T01:30:00"/>
    <n v="200"/>
    <s v="UNPLANNED"/>
    <x v="0"/>
    <d v="1899-12-30T18:30:00"/>
    <x v="1"/>
  </r>
  <r>
    <n v="2240"/>
    <x v="5"/>
    <n v="13115271422301"/>
    <x v="518"/>
    <d v="2021-10-27T01:00:00"/>
    <d v="1899-12-30T02:00:00"/>
    <n v="150.00000000873115"/>
    <s v="UNPLANNED"/>
    <x v="1"/>
    <d v="1899-12-30T23:00:00"/>
    <x v="2"/>
  </r>
  <r>
    <n v="2241"/>
    <x v="13"/>
    <n v="3115270349400"/>
    <x v="518"/>
    <d v="2021-10-27T01:00:00"/>
    <d v="1899-12-30T02:00:00"/>
    <n v="150.00000000873115"/>
    <s v="UNPLANNED"/>
    <x v="1"/>
    <d v="1899-12-30T23:00:00"/>
    <x v="2"/>
  </r>
  <r>
    <n v="2242"/>
    <x v="10"/>
    <n v="11115271542606"/>
    <x v="519"/>
    <d v="2021-10-27T12:50:00"/>
    <d v="1899-12-30T02:45:00"/>
    <n v="109.09090909552721"/>
    <s v="UNPLANNED"/>
    <x v="1"/>
    <d v="1899-12-30T10:05:00"/>
    <x v="0"/>
  </r>
  <r>
    <n v="2243"/>
    <x v="3"/>
    <n v="8115270613301"/>
    <x v="519"/>
    <d v="2021-10-27T12:50:00"/>
    <d v="1899-12-30T02:45:00"/>
    <n v="109.09090909552721"/>
    <s v="UNPLANNED"/>
    <x v="1"/>
    <d v="1899-12-30T10:05:00"/>
    <x v="0"/>
  </r>
  <r>
    <n v="2244"/>
    <x v="7"/>
    <n v="7115271760200"/>
    <x v="519"/>
    <d v="2021-10-27T12:50:00"/>
    <d v="1899-12-30T02:45:00"/>
    <n v="109.09090909552721"/>
    <s v="UNPLANNED"/>
    <x v="0"/>
    <d v="1899-12-30T10:05:00"/>
    <x v="0"/>
  </r>
  <r>
    <n v="2245"/>
    <x v="9"/>
    <n v="2115270250100"/>
    <x v="519"/>
    <d v="2021-10-27T12:50:00"/>
    <d v="1899-12-30T02:45:00"/>
    <n v="109.09090909552721"/>
    <s v="UNPLANNED"/>
    <x v="0"/>
    <d v="1899-12-30T10:05:00"/>
    <x v="0"/>
  </r>
  <r>
    <n v="2246"/>
    <x v="4"/>
    <n v="15115271781001"/>
    <x v="520"/>
    <d v="2021-10-27T14:00:00"/>
    <d v="1899-12-30T00:40:00"/>
    <n v="449.99999994761311"/>
    <s v="UNPLANNED"/>
    <x v="1"/>
    <d v="1899-12-30T13:20:00"/>
    <x v="0"/>
  </r>
  <r>
    <n v="2247"/>
    <x v="18"/>
    <n v="44115271796624"/>
    <x v="521"/>
    <d v="2021-10-27T18:50:00"/>
    <d v="1899-12-30T02:55:00"/>
    <n v="102.85714286056404"/>
    <s v="UNPLANNED"/>
    <x v="0"/>
    <d v="1899-12-30T15:55:00"/>
    <x v="1"/>
  </r>
  <r>
    <n v="2248"/>
    <x v="2"/>
    <n v="12115271569402"/>
    <x v="521"/>
    <d v="2021-10-27T18:50:00"/>
    <d v="1899-12-30T02:55:00"/>
    <n v="102.85714286056404"/>
    <s v="UNPLANNED"/>
    <x v="0"/>
    <d v="1899-12-30T15:55:00"/>
    <x v="1"/>
  </r>
  <r>
    <n v="2249"/>
    <x v="7"/>
    <n v="7115271767804"/>
    <x v="521"/>
    <d v="2021-10-27T18:50:00"/>
    <d v="1899-12-30T02:55:00"/>
    <n v="102.85714286056404"/>
    <s v="UNPLANNED"/>
    <x v="1"/>
    <d v="1899-12-30T15:55:00"/>
    <x v="1"/>
  </r>
  <r>
    <n v="2250"/>
    <x v="13"/>
    <n v="3115270817004"/>
    <x v="521"/>
    <d v="2021-10-27T18:50:00"/>
    <d v="1899-12-30T02:55:00"/>
    <n v="102.85714286056404"/>
    <s v="UNPLANNED"/>
    <x v="1"/>
    <d v="1899-12-30T15:55:00"/>
    <x v="1"/>
  </r>
  <r>
    <n v="2251"/>
    <x v="13"/>
    <n v="3115270392600"/>
    <x v="522"/>
    <d v="2021-10-27T21:45:00"/>
    <d v="1899-12-30T02:30:00"/>
    <n v="120.00000000279397"/>
    <s v="UNPLANNED"/>
    <x v="0"/>
    <d v="1899-12-30T19:15:00"/>
    <x v="1"/>
  </r>
  <r>
    <n v="2252"/>
    <x v="9"/>
    <n v="2115270292302"/>
    <x v="522"/>
    <d v="2021-10-27T21:45:00"/>
    <d v="1899-12-30T02:30:00"/>
    <n v="120.00000000279397"/>
    <s v="UNPLANNED"/>
    <x v="0"/>
    <d v="1899-12-30T19:15:00"/>
    <x v="1"/>
  </r>
  <r>
    <n v="2253"/>
    <x v="14"/>
    <n v="1115270060100"/>
    <x v="522"/>
    <d v="2021-10-27T21:45:00"/>
    <d v="1899-12-30T02:30:00"/>
    <n v="120.00000000279397"/>
    <s v="UNPLANNED"/>
    <x v="1"/>
    <d v="1899-12-30T19:15:00"/>
    <x v="1"/>
  </r>
  <r>
    <n v="2254"/>
    <x v="7"/>
    <n v="7115271767300"/>
    <x v="523"/>
    <d v="2021-10-28T11:00:00"/>
    <d v="1899-12-30T02:00:00"/>
    <n v="149.99999999563443"/>
    <s v="UNPLANNED"/>
    <x v="0"/>
    <d v="1899-12-30T09:00:00"/>
    <x v="0"/>
  </r>
  <r>
    <n v="2255"/>
    <x v="14"/>
    <n v="1115270127500"/>
    <x v="523"/>
    <d v="2021-10-28T11:00:00"/>
    <d v="1899-12-30T02:00:00"/>
    <n v="149.99999999563443"/>
    <s v="UNPLANNED"/>
    <x v="0"/>
    <d v="1899-12-30T09:00:00"/>
    <x v="0"/>
  </r>
  <r>
    <n v="2256"/>
    <x v="2"/>
    <n v="12115271560130"/>
    <x v="524"/>
    <d v="2021-10-28T12:25:00"/>
    <d v="1899-12-30T00:55:00"/>
    <n v="327.27272726580009"/>
    <s v="UNPLANNED"/>
    <x v="0"/>
    <d v="1899-12-30T11:30:00"/>
    <x v="0"/>
  </r>
  <r>
    <n v="2257"/>
    <x v="7"/>
    <n v="7115271767606"/>
    <x v="525"/>
    <d v="2021-10-28T13:55:00"/>
    <d v="1899-12-30T00:50:00"/>
    <n v="360.00000003352761"/>
    <s v="UNPLANNED"/>
    <x v="1"/>
    <d v="1899-12-30T13:05:00"/>
    <x v="0"/>
  </r>
  <r>
    <n v="2258"/>
    <x v="13"/>
    <n v="3115270350300"/>
    <x v="526"/>
    <d v="2021-10-28T16:00:00"/>
    <d v="1899-12-30T00:40:00"/>
    <n v="450.00000006548362"/>
    <s v="UNPLANNED"/>
    <x v="1"/>
    <d v="1899-12-30T15:20:00"/>
    <x v="1"/>
  </r>
  <r>
    <n v="2259"/>
    <x v="12"/>
    <n v="14115271672351"/>
    <x v="527"/>
    <d v="2021-10-29T10:50:00"/>
    <d v="1899-12-30T01:10:00"/>
    <n v="257.14285715141011"/>
    <s v="UNPLANNED"/>
    <x v="0"/>
    <d v="1899-12-30T09:40:00"/>
    <x v="0"/>
  </r>
  <r>
    <n v="2260"/>
    <x v="11"/>
    <n v="10115271455800"/>
    <x v="528"/>
    <d v="2021-10-29T13:59:00"/>
    <d v="1899-12-30T01:53:00"/>
    <n v="159.2920353959326"/>
    <s v="UNPLANNED"/>
    <x v="1"/>
    <d v="1899-12-30T12:06:00"/>
    <x v="0"/>
  </r>
  <r>
    <n v="2261"/>
    <x v="14"/>
    <n v="1115270121700"/>
    <x v="528"/>
    <d v="2021-10-29T13:59:00"/>
    <d v="1899-12-30T01:53:00"/>
    <n v="159.2920353959326"/>
    <s v="UNPLANNED"/>
    <x v="1"/>
    <d v="1899-12-30T12:06:00"/>
    <x v="0"/>
  </r>
  <r>
    <n v="2262"/>
    <x v="13"/>
    <n v="3115270421200"/>
    <x v="529"/>
    <d v="2021-10-29T17:20:00"/>
    <d v="1899-12-30T00:40:00"/>
    <n v="450.00000006548362"/>
    <s v="UNPLANNED"/>
    <x v="0"/>
    <d v="1899-12-30T16:40:00"/>
    <x v="1"/>
  </r>
  <r>
    <n v="2263"/>
    <x v="1"/>
    <n v="6115271750914"/>
    <x v="530"/>
    <d v="2021-10-29T19:35:00"/>
    <d v="1899-12-30T00:45:00"/>
    <n v="400"/>
    <s v="UNPLANNED"/>
    <x v="0"/>
    <d v="1899-12-30T18:50:00"/>
    <x v="1"/>
  </r>
  <r>
    <n v="2264"/>
    <x v="3"/>
    <n v="8115270613400"/>
    <x v="531"/>
    <d v="2021-10-30T11:20:00"/>
    <d v="1899-12-30T02:00:00"/>
    <n v="150.00000000873115"/>
    <s v="UNPLANNED"/>
    <x v="0"/>
    <d v="1899-12-30T09:20:00"/>
    <x v="0"/>
  </r>
  <r>
    <n v="2265"/>
    <x v="7"/>
    <n v="7115271760700"/>
    <x v="531"/>
    <d v="2021-10-30T11:20:00"/>
    <d v="1899-12-30T02:00:00"/>
    <n v="150.00000000873115"/>
    <s v="UNPLANNED"/>
    <x v="1"/>
    <d v="1899-12-30T09:20:00"/>
    <x v="0"/>
  </r>
  <r>
    <n v="2266"/>
    <x v="13"/>
    <n v="3115270391000"/>
    <x v="531"/>
    <d v="2021-10-30T11:20:00"/>
    <d v="1899-12-30T02:00:00"/>
    <n v="150.00000000873115"/>
    <s v="UNPLANNED"/>
    <x v="1"/>
    <d v="1899-12-30T09:20:00"/>
    <x v="0"/>
  </r>
  <r>
    <n v="2267"/>
    <x v="9"/>
    <n v="2115270274902"/>
    <x v="531"/>
    <d v="2021-10-30T11:20:00"/>
    <d v="1899-12-30T02:00:00"/>
    <n v="150.00000000873115"/>
    <s v="UNPLANNED"/>
    <x v="1"/>
    <d v="1899-12-30T09:20:00"/>
    <x v="0"/>
  </r>
  <r>
    <n v="2268"/>
    <x v="4"/>
    <n v="15115271797851"/>
    <x v="532"/>
    <d v="2021-10-30T14:00:00"/>
    <d v="1899-12-30T01:20:00"/>
    <n v="225.00000000327418"/>
    <s v="UNPLANNED"/>
    <x v="0"/>
    <d v="1899-12-30T12:40:00"/>
    <x v="0"/>
  </r>
  <r>
    <n v="2269"/>
    <x v="13"/>
    <n v="3115270350601"/>
    <x v="533"/>
    <d v="2021-10-30T18:30:00"/>
    <d v="1899-12-30T00:45:00"/>
    <n v="400"/>
    <s v="UNPLANNED"/>
    <x v="0"/>
    <d v="1899-12-30T17:45:00"/>
    <x v="1"/>
  </r>
  <r>
    <n v="2270"/>
    <x v="12"/>
    <n v="14115271693311"/>
    <x v="534"/>
    <d v="2021-10-31T11:00:00"/>
    <d v="1899-12-30T01:30:00"/>
    <n v="200"/>
    <s v="UNPLANNED"/>
    <x v="0"/>
    <d v="1899-12-30T09:30:00"/>
    <x v="0"/>
  </r>
  <r>
    <n v="2271"/>
    <x v="7"/>
    <n v="7115271768101"/>
    <x v="534"/>
    <d v="2021-10-31T11:00:00"/>
    <d v="1899-12-30T01:30:00"/>
    <n v="200"/>
    <s v="UNPLANNED"/>
    <x v="1"/>
    <d v="1899-12-30T09:30:00"/>
    <x v="0"/>
  </r>
  <r>
    <n v="2272"/>
    <x v="1"/>
    <n v="6115271715000"/>
    <x v="534"/>
    <d v="2021-10-31T11:00:00"/>
    <d v="1899-12-30T01:30:00"/>
    <n v="200"/>
    <s v="UNPLANNED"/>
    <x v="0"/>
    <d v="1899-12-30T09:30:00"/>
    <x v="0"/>
  </r>
  <r>
    <n v="2273"/>
    <x v="7"/>
    <n v="7115271783402"/>
    <x v="535"/>
    <d v="2021-10-31T17:10:00"/>
    <d v="1899-12-30T01:25:00"/>
    <n v="211.7647058707517"/>
    <s v="UNPLANNED"/>
    <x v="0"/>
    <d v="1899-12-30T15:45:00"/>
    <x v="1"/>
  </r>
  <r>
    <n v="2274"/>
    <x v="10"/>
    <n v="11115271542511"/>
    <x v="536"/>
    <d v="2021-10-31T22:35:00"/>
    <d v="1899-12-30T01:20:00"/>
    <n v="225.00000000327418"/>
    <s v="UNPLANNED"/>
    <x v="0"/>
    <d v="1899-12-30T21:15:00"/>
    <x v="1"/>
  </r>
  <r>
    <n v="2275"/>
    <x v="2"/>
    <n v="12115271573005"/>
    <x v="537"/>
    <d v="2021-11-01T01:50:00"/>
    <d v="1899-12-30T02:20:00"/>
    <n v="128.57142856608297"/>
    <s v="UNPLANNED"/>
    <x v="1"/>
    <d v="1899-12-30T23:30:00"/>
    <x v="2"/>
  </r>
  <r>
    <n v="2276"/>
    <x v="13"/>
    <n v="3115270391900"/>
    <x v="537"/>
    <d v="2021-11-01T01:50:00"/>
    <d v="1899-12-30T02:20:00"/>
    <n v="128.57142856608297"/>
    <s v="UNPLANNED"/>
    <x v="0"/>
    <d v="1899-12-30T23:30:00"/>
    <x v="2"/>
  </r>
  <r>
    <n v="2277"/>
    <x v="14"/>
    <n v="1115270074001"/>
    <x v="537"/>
    <d v="2021-11-01T01:50:00"/>
    <d v="1899-12-30T02:20:00"/>
    <n v="128.57142856608297"/>
    <s v="UNPLANNED"/>
    <x v="0"/>
    <d v="1899-12-30T23:30:00"/>
    <x v="2"/>
  </r>
  <r>
    <n v="2278"/>
    <x v="11"/>
    <n v="10115271455804"/>
    <x v="538"/>
    <d v="2021-11-01T12:05:00"/>
    <d v="1899-12-30T01:35:00"/>
    <n v="189.47368421981375"/>
    <s v="UNPLANNED"/>
    <x v="1"/>
    <d v="1899-12-30T10:30:00"/>
    <x v="0"/>
  </r>
  <r>
    <n v="2279"/>
    <x v="14"/>
    <n v="1115270142100"/>
    <x v="538"/>
    <d v="2021-11-01T12:05:00"/>
    <d v="1899-12-30T01:35:00"/>
    <n v="189.47368421981375"/>
    <s v="UNPLANNED"/>
    <x v="1"/>
    <d v="1899-12-30T10:30:00"/>
    <x v="0"/>
  </r>
  <r>
    <n v="2280"/>
    <x v="5"/>
    <n v="13115271590600"/>
    <x v="539"/>
    <d v="2021-11-01T13:40:00"/>
    <d v="1899-12-30T00:35:00"/>
    <n v="514.28571430282022"/>
    <s v="UNPLANNED"/>
    <x v="0"/>
    <d v="1899-12-30T13:05:00"/>
    <x v="0"/>
  </r>
  <r>
    <n v="2281"/>
    <x v="13"/>
    <n v="3115270349900"/>
    <x v="540"/>
    <d v="2021-11-01T15:30:00"/>
    <d v="1899-12-30T00:30:00"/>
    <n v="599.99999993015081"/>
    <s v="UNPLANNED"/>
    <x v="1"/>
    <d v="1899-12-30T15:00:00"/>
    <x v="1"/>
  </r>
  <r>
    <n v="2282"/>
    <x v="5"/>
    <n v="13115271606015"/>
    <x v="541"/>
    <d v="2021-11-01T18:00:00"/>
    <d v="1899-12-30T01:35:00"/>
    <n v="189.47368421981375"/>
    <s v="UNPLANNED"/>
    <x v="1"/>
    <d v="1899-12-30T16:25:00"/>
    <x v="1"/>
  </r>
  <r>
    <n v="2283"/>
    <x v="3"/>
    <n v="8115271820500"/>
    <x v="541"/>
    <d v="2021-11-01T18:00:00"/>
    <d v="1899-12-30T01:35:00"/>
    <n v="189.47368421981375"/>
    <s v="UNPLANNED"/>
    <x v="1"/>
    <d v="1899-12-30T16:25:00"/>
    <x v="1"/>
  </r>
  <r>
    <n v="2284"/>
    <x v="13"/>
    <n v="3115270308900"/>
    <x v="541"/>
    <d v="2021-11-01T18:00:00"/>
    <d v="1899-12-30T01:35:00"/>
    <n v="189.47368421981375"/>
    <s v="UNPLANNED"/>
    <x v="1"/>
    <d v="1899-12-30T16:25:00"/>
    <x v="1"/>
  </r>
  <r>
    <n v="2285"/>
    <x v="7"/>
    <n v="7115271790500"/>
    <x v="542"/>
    <d v="2021-11-01T22:05:00"/>
    <d v="1899-12-30T00:50:00"/>
    <n v="359.99999995809048"/>
    <s v="UNPLANNED"/>
    <x v="0"/>
    <d v="1899-12-30T21:15:00"/>
    <x v="1"/>
  </r>
  <r>
    <n v="2286"/>
    <x v="1"/>
    <n v="6115271720824"/>
    <x v="543"/>
    <d v="2021-11-02T01:10:00"/>
    <d v="1899-12-30T01:30:00"/>
    <n v="200"/>
    <s v="UNPLANNED"/>
    <x v="0"/>
    <d v="1899-12-30T23:40:00"/>
    <x v="2"/>
  </r>
  <r>
    <n v="2287"/>
    <x v="14"/>
    <n v="1115270029200"/>
    <x v="543"/>
    <d v="2021-11-02T01:10:00"/>
    <d v="1899-12-30T01:30:00"/>
    <n v="200"/>
    <s v="UNPLANNED"/>
    <x v="1"/>
    <d v="1899-12-30T23:40:00"/>
    <x v="2"/>
  </r>
  <r>
    <n v="2288"/>
    <x v="14"/>
    <n v="1115270086800"/>
    <x v="544"/>
    <d v="2021-11-02T19:00:00"/>
    <d v="1899-12-30T01:20:00"/>
    <n v="225.00000000327418"/>
    <s v="UNPLANNED"/>
    <x v="0"/>
    <d v="1899-12-30T17:40:00"/>
    <x v="1"/>
  </r>
  <r>
    <n v="2289"/>
    <x v="12"/>
    <n v="14115271693502"/>
    <x v="545"/>
    <d v="2021-11-03T01:00:00"/>
    <d v="1899-12-30T02:30:00"/>
    <n v="120.00000000279397"/>
    <s v="UNPLANNED"/>
    <x v="1"/>
    <d v="1899-12-30T22:30:00"/>
    <x v="2"/>
  </r>
  <r>
    <n v="2290"/>
    <x v="10"/>
    <n v="11115271542501"/>
    <x v="545"/>
    <d v="2021-11-03T01:00:00"/>
    <d v="1899-12-30T02:30:00"/>
    <n v="120.00000000279397"/>
    <s v="UNPLANNED"/>
    <x v="1"/>
    <d v="1899-12-30T22:30:00"/>
    <x v="2"/>
  </r>
  <r>
    <n v="2291"/>
    <x v="4"/>
    <n v="15115271743402"/>
    <x v="546"/>
    <d v="2021-11-03T09:40:00"/>
    <d v="1899-12-30T00:55:00"/>
    <n v="327.27272726580009"/>
    <s v="UNPLANNED"/>
    <x v="1"/>
    <d v="1899-12-30T08:45:00"/>
    <x v="0"/>
  </r>
  <r>
    <n v="2292"/>
    <x v="7"/>
    <n v="7115271767805"/>
    <x v="547"/>
    <d v="2021-11-03T13:59:00"/>
    <d v="1899-12-30T00:54:00"/>
    <n v="333.33333334626838"/>
    <s v="UNPLANNED"/>
    <x v="1"/>
    <d v="1899-12-30T13:05:00"/>
    <x v="0"/>
  </r>
  <r>
    <n v="2293"/>
    <x v="5"/>
    <n v="13115271657300"/>
    <x v="548"/>
    <d v="2021-11-03T16:20:00"/>
    <d v="1899-12-30T00:45:00"/>
    <n v="400"/>
    <s v="UNPLANNED"/>
    <x v="0"/>
    <d v="1899-12-30T15:35:00"/>
    <x v="1"/>
  </r>
  <r>
    <n v="2294"/>
    <x v="13"/>
    <n v="3115270350001"/>
    <x v="548"/>
    <d v="2021-11-03T16:20:00"/>
    <d v="1899-12-30T00:45:00"/>
    <n v="400"/>
    <s v="UNPLANNED"/>
    <x v="1"/>
    <d v="1899-12-30T15:35:00"/>
    <x v="1"/>
  </r>
  <r>
    <n v="2295"/>
    <x v="12"/>
    <n v="14115271672501"/>
    <x v="549"/>
    <d v="2021-11-03T19:10:00"/>
    <d v="1899-12-30T03:25:00"/>
    <n v="87.804878049777741"/>
    <s v="UNPLANNED"/>
    <x v="0"/>
    <d v="1899-12-30T15:45:00"/>
    <x v="1"/>
  </r>
  <r>
    <n v="2296"/>
    <x v="1"/>
    <n v="6115271692800"/>
    <x v="550"/>
    <d v="2021-11-03T19:10:00"/>
    <d v="1899-12-30T01:25:00"/>
    <n v="211.76470589685451"/>
    <s v="UNPLANNED"/>
    <x v="0"/>
    <d v="1899-12-30T17:45:00"/>
    <x v="1"/>
  </r>
  <r>
    <n v="2297"/>
    <x v="5"/>
    <n v="13115271634902"/>
    <x v="551"/>
    <d v="2021-11-04T09:05:00"/>
    <d v="1899-12-30T00:35:00"/>
    <n v="514.28571430282022"/>
    <s v="UNPLANNED"/>
    <x v="1"/>
    <d v="1899-12-30T08:30:00"/>
    <x v="0"/>
  </r>
  <r>
    <n v="2298"/>
    <x v="3"/>
    <n v="8115271808103"/>
    <x v="552"/>
    <d v="2021-11-04T13:25:00"/>
    <d v="1899-12-30T01:20:00"/>
    <n v="224.99999997380655"/>
    <s v="UNPLANNED"/>
    <x v="0"/>
    <d v="1899-12-30T12:05:00"/>
    <x v="0"/>
  </r>
  <r>
    <n v="2299"/>
    <x v="13"/>
    <n v="3115270325400"/>
    <x v="552"/>
    <d v="2021-11-04T13:25:00"/>
    <d v="1899-12-30T01:20:00"/>
    <n v="224.99999997380655"/>
    <s v="UNPLANNED"/>
    <x v="0"/>
    <d v="1899-12-30T12:05:00"/>
    <x v="0"/>
  </r>
  <r>
    <n v="2300"/>
    <x v="4"/>
    <n v="15115271790400"/>
    <x v="553"/>
    <d v="2021-11-04T15:45:00"/>
    <d v="1899-12-30T02:05:00"/>
    <n v="144.00000000134111"/>
    <s v="UNPLANNED"/>
    <x v="0"/>
    <d v="1899-12-30T13:40:00"/>
    <x v="0"/>
  </r>
  <r>
    <n v="2301"/>
    <x v="4"/>
    <n v="15115271786504"/>
    <x v="554"/>
    <d v="2021-11-05T10:30:00"/>
    <d v="1899-12-30T02:00:00"/>
    <n v="149.99999999563443"/>
    <s v="UNPLANNED"/>
    <x v="0"/>
    <d v="1899-12-30T08:30:00"/>
    <x v="0"/>
  </r>
  <r>
    <n v="2302"/>
    <x v="10"/>
    <n v="11115271547400"/>
    <x v="554"/>
    <d v="2021-11-05T10:30:00"/>
    <d v="1899-12-30T02:00:00"/>
    <n v="149.99999999563443"/>
    <s v="UNPLANNED"/>
    <x v="0"/>
    <d v="1899-12-30T08:30:00"/>
    <x v="0"/>
  </r>
  <r>
    <n v="2303"/>
    <x v="7"/>
    <n v="7115271790302"/>
    <x v="555"/>
    <d v="2021-11-05T14:35:00"/>
    <d v="1899-12-30T02:00:00"/>
    <n v="149.99999999563443"/>
    <s v="UNPLANNED"/>
    <x v="0"/>
    <d v="1899-12-30T12:35:00"/>
    <x v="0"/>
  </r>
  <r>
    <n v="2304"/>
    <x v="11"/>
    <n v="10115271959300"/>
    <x v="556"/>
    <d v="2021-11-05T16:15:00"/>
    <d v="1899-12-30T01:00:00"/>
    <n v="299.9999999650754"/>
    <s v="UNPLANNED"/>
    <x v="0"/>
    <d v="1899-12-30T15:15:00"/>
    <x v="1"/>
  </r>
  <r>
    <n v="2305"/>
    <x v="12"/>
    <n v="14115271672502"/>
    <x v="557"/>
    <d v="2021-11-05T22:30:00"/>
    <d v="1899-12-30T04:00:00"/>
    <n v="75.000000001091394"/>
    <s v="UNPLANNED"/>
    <x v="0"/>
    <d v="1899-12-30T18:30:00"/>
    <x v="1"/>
  </r>
  <r>
    <n v="2306"/>
    <x v="10"/>
    <n v="11115271542800"/>
    <x v="558"/>
    <d v="2021-11-06T01:45:00"/>
    <d v="1899-12-30T01:55:00"/>
    <n v="156.52173913360375"/>
    <s v="UNPLANNED"/>
    <x v="0"/>
    <d v="1899-12-30T23:50:00"/>
    <x v="2"/>
  </r>
  <r>
    <n v="2307"/>
    <x v="14"/>
    <n v="1115270126400"/>
    <x v="558"/>
    <d v="2021-11-06T01:45:00"/>
    <d v="1899-12-30T01:55:00"/>
    <n v="156.52173913360375"/>
    <s v="UNPLANNED"/>
    <x v="0"/>
    <d v="1899-12-30T23:50:00"/>
    <x v="2"/>
  </r>
  <r>
    <n v="2308"/>
    <x v="1"/>
    <n v="6115271643602"/>
    <x v="559"/>
    <d v="2021-11-06T13:05:00"/>
    <d v="1899-12-30T01:00:00"/>
    <n v="299.9999999650754"/>
    <s v="UNPLANNED"/>
    <x v="1"/>
    <d v="1899-12-30T12:05:00"/>
    <x v="0"/>
  </r>
  <r>
    <n v="2309"/>
    <x v="14"/>
    <n v="1115270126500"/>
    <x v="560"/>
    <d v="2021-11-07T01:45:00"/>
    <d v="1899-12-30T00:35:00"/>
    <n v="514.28571430282022"/>
    <s v="UNPLANNED"/>
    <x v="1"/>
    <d v="1899-12-30T01:10:00"/>
    <x v="2"/>
  </r>
  <r>
    <n v="2310"/>
    <x v="12"/>
    <n v="14115271672406"/>
    <x v="561"/>
    <d v="2021-11-07T09:15:00"/>
    <d v="1899-12-30T00:56:00"/>
    <n v="321.42857146331784"/>
    <s v="UNPLANNED"/>
    <x v="1"/>
    <d v="1899-12-30T08:19:00"/>
    <x v="0"/>
  </r>
  <r>
    <n v="2311"/>
    <x v="17"/>
    <n v="46115273093400"/>
    <x v="562"/>
    <d v="2021-11-07T10:50:00"/>
    <d v="1899-12-30T01:00:00"/>
    <n v="299.9999999650754"/>
    <s v="UNPLANNED"/>
    <x v="2"/>
    <d v="1899-12-30T09:50:00"/>
    <x v="0"/>
  </r>
  <r>
    <n v="2312"/>
    <x v="14"/>
    <n v="1115270126500"/>
    <x v="562"/>
    <d v="2021-11-07T10:50:00"/>
    <d v="1899-12-30T01:00:00"/>
    <n v="299.9999999650754"/>
    <s v="UNPLANNED"/>
    <x v="0"/>
    <d v="1899-12-30T09:50:00"/>
    <x v="0"/>
  </r>
  <r>
    <n v="2313"/>
    <x v="13"/>
    <n v="3115270352801"/>
    <x v="563"/>
    <d v="2021-11-07T13:40:00"/>
    <d v="1899-12-30T01:00:00"/>
    <n v="300.0000000174623"/>
    <s v="UNPLANNED"/>
    <x v="0"/>
    <d v="1899-12-30T12:40:00"/>
    <x v="0"/>
  </r>
  <r>
    <n v="2314"/>
    <x v="12"/>
    <n v="14115271696029"/>
    <x v="564"/>
    <d v="2021-11-07T19:30:00"/>
    <d v="1899-12-30T02:45:00"/>
    <n v="109.09090908860001"/>
    <s v="UNPLANNED"/>
    <x v="6"/>
    <d v="1899-12-30T16:45:00"/>
    <x v="1"/>
  </r>
  <r>
    <n v="2315"/>
    <x v="2"/>
    <n v="12115271589005"/>
    <x v="564"/>
    <d v="2021-11-07T19:30:00"/>
    <d v="1899-12-30T02:45:00"/>
    <n v="109.09090908860001"/>
    <s v="UNPLANNED"/>
    <x v="2"/>
    <d v="1899-12-30T16:45:00"/>
    <x v="1"/>
  </r>
  <r>
    <n v="2316"/>
    <x v="10"/>
    <n v="11115271543100"/>
    <x v="564"/>
    <d v="2021-11-07T19:30:00"/>
    <d v="1899-12-30T02:45:00"/>
    <n v="109.09090908860001"/>
    <s v="UNPLANNED"/>
    <x v="1"/>
    <d v="1899-12-30T16:45:00"/>
    <x v="1"/>
  </r>
  <r>
    <n v="2317"/>
    <x v="7"/>
    <n v="7115271776600"/>
    <x v="564"/>
    <d v="2021-11-07T19:30:00"/>
    <d v="1899-12-30T02:45:00"/>
    <n v="109.09090908860001"/>
    <s v="UNPLANNED"/>
    <x v="0"/>
    <d v="1899-12-30T16:45:00"/>
    <x v="1"/>
  </r>
  <r>
    <n v="2318"/>
    <x v="1"/>
    <n v="6115271741300"/>
    <x v="564"/>
    <d v="2021-11-07T19:30:00"/>
    <d v="1899-12-30T02:45:00"/>
    <n v="109.09090908860001"/>
    <s v="UNPLANNED"/>
    <x v="0"/>
    <d v="1899-12-30T16:45:00"/>
    <x v="1"/>
  </r>
  <r>
    <n v="2319"/>
    <x v="5"/>
    <n v="13115271591204"/>
    <x v="565"/>
    <d v="2021-11-07T20:40:00"/>
    <d v="1899-12-30T00:40:00"/>
    <n v="450.00000006548362"/>
    <s v="UNPLANNED"/>
    <x v="1"/>
    <d v="1899-12-30T20:00:00"/>
    <x v="1"/>
  </r>
  <r>
    <n v="2320"/>
    <x v="7"/>
    <n v="7115271777700"/>
    <x v="566"/>
    <d v="2021-11-08T10:40:00"/>
    <d v="1899-12-30T01:20:00"/>
    <n v="225.00000000327418"/>
    <s v="UNPLANNED"/>
    <x v="1"/>
    <d v="1899-12-30T09:20:00"/>
    <x v="0"/>
  </r>
  <r>
    <n v="2321"/>
    <x v="6"/>
    <n v="9115271907201"/>
    <x v="567"/>
    <d v="2021-11-08T14:00:00"/>
    <d v="1899-12-30T02:10:00"/>
    <n v="138.46153845657875"/>
    <s v="UNPLANNED"/>
    <x v="0"/>
    <d v="1899-12-30T11:50:00"/>
    <x v="0"/>
  </r>
  <r>
    <n v="2322"/>
    <x v="13"/>
    <n v="3115270349700"/>
    <x v="567"/>
    <d v="2021-11-08T14:00:00"/>
    <d v="1899-12-30T02:10:00"/>
    <n v="138.46153845657875"/>
    <s v="UNPLANNED"/>
    <x v="1"/>
    <d v="1899-12-30T11:50:00"/>
    <x v="0"/>
  </r>
  <r>
    <n v="2323"/>
    <x v="14"/>
    <n v="1115270110800"/>
    <x v="567"/>
    <d v="2021-11-08T14:00:00"/>
    <d v="1899-12-30T02:10:00"/>
    <n v="138.46153845657875"/>
    <s v="UNPLANNED"/>
    <x v="1"/>
    <d v="1899-12-30T11:50:00"/>
    <x v="0"/>
  </r>
  <r>
    <n v="2324"/>
    <x v="2"/>
    <n v="12115271565600"/>
    <x v="568"/>
    <d v="2021-11-08T17:30:00"/>
    <d v="1899-12-30T00:55:00"/>
    <n v="327.27272726580009"/>
    <s v="UNPLANNED"/>
    <x v="1"/>
    <d v="1899-12-30T16:35:00"/>
    <x v="1"/>
  </r>
  <r>
    <n v="2325"/>
    <x v="5"/>
    <n v="13115271608200"/>
    <x v="569"/>
    <d v="2021-11-08T21:00:00"/>
    <d v="1899-12-30T01:45:00"/>
    <n v="171.42857143427341"/>
    <s v="UNPLANNED"/>
    <x v="0"/>
    <d v="1899-12-30T19:15:00"/>
    <x v="1"/>
  </r>
  <r>
    <n v="2326"/>
    <x v="14"/>
    <n v="1115270127200"/>
    <x v="569"/>
    <d v="2021-11-08T21:00:00"/>
    <d v="1899-12-30T01:45:00"/>
    <n v="171.42857143427341"/>
    <s v="UNPLANNED"/>
    <x v="0"/>
    <d v="1899-12-30T19:15:00"/>
    <x v="1"/>
  </r>
  <r>
    <n v="2327"/>
    <x v="7"/>
    <n v="7115271760308"/>
    <x v="570"/>
    <d v="2021-11-09T00:30:00"/>
    <d v="1899-12-30T01:15:00"/>
    <n v="239.99999998882413"/>
    <s v="UNPLANNED"/>
    <x v="1"/>
    <d v="1899-12-30T23:15:00"/>
    <x v="2"/>
  </r>
  <r>
    <n v="2328"/>
    <x v="12"/>
    <n v="14115271672404"/>
    <x v="571"/>
    <d v="2021-11-09T09:45:00"/>
    <d v="1899-12-30T02:00:00"/>
    <n v="149.99999999563443"/>
    <s v="UNPLANNED"/>
    <x v="1"/>
    <d v="1899-12-30T07:45:00"/>
    <x v="0"/>
  </r>
  <r>
    <n v="2329"/>
    <x v="7"/>
    <n v="7115271760400"/>
    <x v="571"/>
    <d v="2021-11-09T09:45:00"/>
    <d v="1899-12-30T02:00:00"/>
    <n v="149.99999999563443"/>
    <s v="UNPLANNED"/>
    <x v="0"/>
    <d v="1899-12-30T07:45:00"/>
    <x v="0"/>
  </r>
  <r>
    <n v="2330"/>
    <x v="1"/>
    <n v="6115271736401"/>
    <x v="571"/>
    <d v="2021-11-09T09:45:00"/>
    <d v="1899-12-30T02:00:00"/>
    <n v="149.99999999563443"/>
    <s v="UNPLANNED"/>
    <x v="1"/>
    <d v="1899-12-30T07:45:00"/>
    <x v="0"/>
  </r>
  <r>
    <n v="2331"/>
    <x v="8"/>
    <n v="4115270858601"/>
    <x v="572"/>
    <d v="2021-11-09T12:30:00"/>
    <d v="1899-12-30T01:15:00"/>
    <n v="239.99999998882413"/>
    <s v="UNPLANNED"/>
    <x v="2"/>
    <d v="1899-12-30T11:15:00"/>
    <x v="0"/>
  </r>
  <r>
    <n v="2332"/>
    <x v="4"/>
    <n v="15115271744002"/>
    <x v="573"/>
    <d v="2021-11-09T13:35:00"/>
    <d v="1899-12-30T00:35:00"/>
    <n v="514.28571430282022"/>
    <s v="UNPLANNED"/>
    <x v="1"/>
    <d v="1899-12-30T13:00:00"/>
    <x v="0"/>
  </r>
  <r>
    <n v="2333"/>
    <x v="5"/>
    <n v="13115271634400"/>
    <x v="574"/>
    <d v="2021-11-09T19:00:00"/>
    <d v="1899-12-30T03:00:00"/>
    <n v="100"/>
    <s v="UNPLANNED"/>
    <x v="1"/>
    <d v="1899-12-30T16:00:00"/>
    <x v="1"/>
  </r>
  <r>
    <n v="2334"/>
    <x v="7"/>
    <n v="7115271768101"/>
    <x v="574"/>
    <d v="2021-11-09T19:00:00"/>
    <d v="1899-12-30T03:00:00"/>
    <n v="100"/>
    <s v="UNPLANNED"/>
    <x v="1"/>
    <d v="1899-12-30T16:00:00"/>
    <x v="1"/>
  </r>
  <r>
    <n v="2335"/>
    <x v="13"/>
    <n v="3115270339600"/>
    <x v="574"/>
    <d v="2021-11-09T19:00:00"/>
    <d v="1899-12-30T03:00:00"/>
    <n v="100"/>
    <s v="UNPLANNED"/>
    <x v="1"/>
    <d v="1899-12-30T16:00:00"/>
    <x v="1"/>
  </r>
  <r>
    <n v="2336"/>
    <x v="2"/>
    <n v="12115271572100"/>
    <x v="575"/>
    <d v="2021-11-10T14:00:00"/>
    <d v="1899-12-30T04:30:00"/>
    <n v="66.666666666666657"/>
    <s v="UNPLANNED"/>
    <x v="0"/>
    <d v="1899-12-30T09:30:00"/>
    <x v="0"/>
  </r>
  <r>
    <n v="2337"/>
    <x v="3"/>
    <n v="8115271809912"/>
    <x v="575"/>
    <d v="2021-11-10T14:00:00"/>
    <d v="1899-12-30T04:30:00"/>
    <n v="66.666666666666657"/>
    <s v="UNPLANNED"/>
    <x v="0"/>
    <d v="1899-12-30T09:30:00"/>
    <x v="0"/>
  </r>
  <r>
    <n v="2338"/>
    <x v="7"/>
    <n v="7115271795900"/>
    <x v="575"/>
    <d v="2021-11-10T14:00:00"/>
    <d v="1899-12-30T04:30:00"/>
    <n v="66.666666666666657"/>
    <s v="UNPLANNED"/>
    <x v="0"/>
    <d v="1899-12-30T09:30:00"/>
    <x v="0"/>
  </r>
  <r>
    <n v="2339"/>
    <x v="1"/>
    <n v="6115271721101"/>
    <x v="575"/>
    <d v="2021-11-10T14:00:00"/>
    <d v="1899-12-30T04:30:00"/>
    <n v="66.666666666666657"/>
    <s v="UNPLANNED"/>
    <x v="1"/>
    <d v="1899-12-30T09:30:00"/>
    <x v="0"/>
  </r>
  <r>
    <n v="2340"/>
    <x v="11"/>
    <n v="10115271958210"/>
    <x v="576"/>
    <d v="2021-11-10T17:30:00"/>
    <d v="1899-12-30T02:15:00"/>
    <n v="133.33333333333331"/>
    <s v="UNPLANNED"/>
    <x v="1"/>
    <d v="1899-12-30T15:15:00"/>
    <x v="1"/>
  </r>
  <r>
    <n v="2341"/>
    <x v="11"/>
    <n v="10115271478802"/>
    <x v="576"/>
    <d v="2021-11-10T17:30:00"/>
    <d v="1899-12-30T02:15:00"/>
    <n v="133.33333333333331"/>
    <s v="UNPLANNED"/>
    <x v="0"/>
    <d v="1899-12-30T15:15:00"/>
    <x v="1"/>
  </r>
  <r>
    <n v="2342"/>
    <x v="5"/>
    <n v="13115271601400"/>
    <x v="577"/>
    <d v="2021-11-10T19:10:00"/>
    <d v="1899-12-30T00:45:00"/>
    <n v="400"/>
    <s v="UNPLANNED"/>
    <x v="0"/>
    <d v="1899-12-30T18:25:00"/>
    <x v="1"/>
  </r>
  <r>
    <n v="2343"/>
    <x v="1"/>
    <n v="6115271723702"/>
    <x v="578"/>
    <d v="2021-11-10T23:05:00"/>
    <d v="1899-12-30T01:15:00"/>
    <n v="239.99999998882413"/>
    <s v="UNPLANNED"/>
    <x v="2"/>
    <d v="1899-12-30T21:50:00"/>
    <x v="1"/>
  </r>
  <r>
    <n v="2344"/>
    <x v="7"/>
    <n v="7115271753901"/>
    <x v="579"/>
    <d v="2021-11-11T21:35:00"/>
    <d v="1899-12-30T03:50:00"/>
    <n v="78.260869566801873"/>
    <s v="UNPLANNED"/>
    <x v="0"/>
    <d v="1899-12-30T17:45:00"/>
    <x v="1"/>
  </r>
  <r>
    <n v="2345"/>
    <x v="7"/>
    <n v="7115271753808"/>
    <x v="579"/>
    <d v="2021-11-11T21:35:00"/>
    <d v="1899-12-30T03:50:00"/>
    <n v="78.260869566801873"/>
    <s v="UNPLANNED"/>
    <x v="0"/>
    <d v="1899-12-30T17:45:00"/>
    <x v="1"/>
  </r>
  <r>
    <n v="2346"/>
    <x v="13"/>
    <n v="3115270320600"/>
    <x v="579"/>
    <d v="2021-11-11T21:35:00"/>
    <d v="1899-12-30T03:50:00"/>
    <n v="78.260869566801873"/>
    <s v="UNPLANNED"/>
    <x v="2"/>
    <d v="1899-12-30T17:45:00"/>
    <x v="1"/>
  </r>
  <r>
    <n v="2347"/>
    <x v="14"/>
    <n v="1115270096700"/>
    <x v="579"/>
    <d v="2021-11-11T21:35:00"/>
    <d v="1899-12-30T03:50:00"/>
    <n v="78.260869566801873"/>
    <s v="UNPLANNED"/>
    <x v="0"/>
    <d v="1899-12-30T17:45:00"/>
    <x v="1"/>
  </r>
  <r>
    <n v="2348"/>
    <x v="11"/>
    <n v="10115271964001"/>
    <x v="580"/>
    <d v="2021-11-12T14:44:00"/>
    <d v="1899-12-30T03:24:00"/>
    <n v="88.235294115532241"/>
    <s v="UNPLANNED"/>
    <x v="1"/>
    <d v="1899-12-30T11:20:00"/>
    <x v="0"/>
  </r>
  <r>
    <n v="2349"/>
    <x v="11"/>
    <n v="10115271959100"/>
    <x v="580"/>
    <d v="2021-11-12T14:44:00"/>
    <d v="1899-12-30T03:24:00"/>
    <n v="88.235294115532241"/>
    <s v="UNPLANNED"/>
    <x v="1"/>
    <d v="1899-12-30T11:20:00"/>
    <x v="0"/>
  </r>
  <r>
    <n v="2350"/>
    <x v="11"/>
    <n v="10115271479003"/>
    <x v="580"/>
    <d v="2021-11-12T14:44:00"/>
    <d v="1899-12-30T03:24:00"/>
    <n v="88.235294115532241"/>
    <s v="UNPLANNED"/>
    <x v="1"/>
    <d v="1899-12-30T11:20:00"/>
    <x v="0"/>
  </r>
  <r>
    <n v="2351"/>
    <x v="7"/>
    <n v="7115271768104"/>
    <x v="580"/>
    <d v="2021-11-12T14:44:00"/>
    <d v="1899-12-30T03:24:00"/>
    <n v="88.235294115532241"/>
    <s v="UNPLANNED"/>
    <x v="0"/>
    <d v="1899-12-30T11:20:00"/>
    <x v="0"/>
  </r>
  <r>
    <n v="2352"/>
    <x v="13"/>
    <n v="3115270308300"/>
    <x v="580"/>
    <d v="2021-11-12T14:44:00"/>
    <d v="1899-12-30T03:24:00"/>
    <n v="88.235294115532241"/>
    <s v="UNPLANNED"/>
    <x v="2"/>
    <d v="1899-12-30T11:20:00"/>
    <x v="0"/>
  </r>
  <r>
    <n v="2353"/>
    <x v="11"/>
    <n v="10115271464809"/>
    <x v="581"/>
    <d v="2021-11-12T20:10:00"/>
    <d v="1899-12-30T00:30:00"/>
    <n v="599.99999993015081"/>
    <s v="UNPLANNED"/>
    <x v="1"/>
    <d v="1899-12-30T19:40:00"/>
    <x v="1"/>
  </r>
  <r>
    <n v="2354"/>
    <x v="5"/>
    <n v="13115271590905"/>
    <x v="582"/>
    <d v="2021-11-13T12:15:00"/>
    <d v="1899-12-30T01:45:00"/>
    <n v="171.42857143427341"/>
    <s v="UNPLANNED"/>
    <x v="0"/>
    <d v="1899-12-30T10:30:00"/>
    <x v="0"/>
  </r>
  <r>
    <n v="2355"/>
    <x v="10"/>
    <n v="11115271542607"/>
    <x v="582"/>
    <d v="2021-11-13T12:15:00"/>
    <d v="1899-12-30T01:45:00"/>
    <n v="171.42857143427341"/>
    <s v="UNPLANNED"/>
    <x v="0"/>
    <d v="1899-12-30T10:30:00"/>
    <x v="0"/>
  </r>
  <r>
    <n v="2356"/>
    <x v="12"/>
    <n v="14115271672502"/>
    <x v="583"/>
    <d v="2021-11-13T13:50:00"/>
    <d v="1899-12-30T01:05:00"/>
    <n v="276.9230769131575"/>
    <s v="UNPLANNED"/>
    <x v="1"/>
    <d v="1899-12-30T12:45:00"/>
    <x v="0"/>
  </r>
  <r>
    <n v="2357"/>
    <x v="2"/>
    <n v="12115271572403"/>
    <x v="583"/>
    <d v="2021-11-13T13:50:00"/>
    <d v="1899-12-30T01:05:00"/>
    <n v="276.9230769131575"/>
    <s v="UNPLANNED"/>
    <x v="1"/>
    <d v="1899-12-30T12:45:00"/>
    <x v="0"/>
  </r>
  <r>
    <n v="2358"/>
    <x v="6"/>
    <n v="9115271952101"/>
    <x v="584"/>
    <d v="2021-11-13T19:50:00"/>
    <d v="1899-12-30T01:05:00"/>
    <n v="276.9230769131575"/>
    <s v="UNPLANNED"/>
    <x v="0"/>
    <d v="1899-12-30T18:45:00"/>
    <x v="1"/>
  </r>
  <r>
    <n v="2359"/>
    <x v="11"/>
    <n v="10115271964701"/>
    <x v="585"/>
    <d v="2021-11-13T20:55:00"/>
    <d v="1899-12-30T00:40:00"/>
    <n v="449.99999994761311"/>
    <s v="UNPLANNED"/>
    <x v="2"/>
    <d v="1899-12-30T20:15:00"/>
    <x v="1"/>
  </r>
  <r>
    <n v="2360"/>
    <x v="9"/>
    <n v="2115270274400"/>
    <x v="586"/>
    <d v="2021-11-14T14:10:00"/>
    <d v="1899-12-30T00:40:00"/>
    <n v="449.99999994761311"/>
    <s v="UNPLANNED"/>
    <x v="2"/>
    <d v="1899-12-30T13:30:00"/>
    <x v="0"/>
  </r>
  <r>
    <n v="2361"/>
    <x v="5"/>
    <n v="13115271590508"/>
    <x v="587"/>
    <d v="2021-11-14T19:40:00"/>
    <d v="1899-12-30T01:20:00"/>
    <n v="225.00000000327418"/>
    <s v="UNPLANNED"/>
    <x v="0"/>
    <d v="1899-12-30T18:20:00"/>
    <x v="1"/>
  </r>
  <r>
    <n v="2362"/>
    <x v="10"/>
    <n v="11115271542604"/>
    <x v="588"/>
    <d v="2021-11-14T19:40:00"/>
    <d v="1899-12-30T00:50:00"/>
    <n v="359.99999995809048"/>
    <s v="UNPLANNED"/>
    <x v="2"/>
    <d v="1899-12-30T18:50:00"/>
    <x v="1"/>
  </r>
  <r>
    <n v="2363"/>
    <x v="13"/>
    <n v="3115270316400"/>
    <x v="589"/>
    <d v="2021-11-14T19:40:00"/>
    <d v="1899-12-30T03:05:00"/>
    <n v="97.297297294235975"/>
    <s v="UNPLANNED"/>
    <x v="2"/>
    <d v="1899-12-30T16:35:00"/>
    <x v="1"/>
  </r>
  <r>
    <n v="2364"/>
    <x v="7"/>
    <n v="7115271754003"/>
    <x v="590"/>
    <d v="2021-11-15T01:40:00"/>
    <d v="1899-12-30T02:25:00"/>
    <n v="124.1379310334861"/>
    <s v="UNPLANNED"/>
    <x v="0"/>
    <d v="1899-12-30T23:15:00"/>
    <x v="2"/>
  </r>
  <r>
    <n v="2365"/>
    <x v="14"/>
    <n v="1115270142800"/>
    <x v="590"/>
    <d v="2021-11-15T01:40:00"/>
    <d v="1899-12-30T02:25:00"/>
    <n v="124.1379310334861"/>
    <s v="UNPLANNED"/>
    <x v="1"/>
    <d v="1899-12-30T23:15:00"/>
    <x v="2"/>
  </r>
  <r>
    <n v="2366"/>
    <x v="2"/>
    <n v="12115271571039"/>
    <x v="591"/>
    <d v="2021-11-15T11:22:00"/>
    <d v="1899-12-30T02:47:00"/>
    <n v="107.7844311380251"/>
    <s v="UNPLANNED"/>
    <x v="0"/>
    <d v="1899-12-30T08:35:00"/>
    <x v="0"/>
  </r>
  <r>
    <n v="2367"/>
    <x v="10"/>
    <n v="11115271543503"/>
    <x v="591"/>
    <d v="2021-11-15T11:22:00"/>
    <d v="1899-12-30T02:47:00"/>
    <n v="107.7844311380251"/>
    <s v="UNPLANNED"/>
    <x v="0"/>
    <d v="1899-12-30T08:35:00"/>
    <x v="0"/>
  </r>
  <r>
    <n v="2368"/>
    <x v="11"/>
    <n v="10115271964000"/>
    <x v="591"/>
    <d v="2021-11-15T11:22:00"/>
    <d v="1899-12-30T02:47:00"/>
    <n v="107.7844311380251"/>
    <s v="UNPLANNED"/>
    <x v="0"/>
    <d v="1899-12-30T08:35:00"/>
    <x v="0"/>
  </r>
  <r>
    <n v="2369"/>
    <x v="4"/>
    <n v="15115271771800"/>
    <x v="592"/>
    <d v="2021-11-15T13:00:00"/>
    <d v="1899-12-30T00:45:00"/>
    <n v="400"/>
    <s v="UNPLANNED"/>
    <x v="0"/>
    <d v="1899-12-30T12:15:00"/>
    <x v="0"/>
  </r>
  <r>
    <n v="2370"/>
    <x v="12"/>
    <n v="14115271672411"/>
    <x v="593"/>
    <d v="2021-11-15T17:40:00"/>
    <d v="1899-12-30T01:45:00"/>
    <n v="171.42857143427341"/>
    <s v="UNPLANNED"/>
    <x v="6"/>
    <d v="1899-12-30T15:55:00"/>
    <x v="1"/>
  </r>
  <r>
    <n v="2371"/>
    <x v="5"/>
    <n v="13115271612225"/>
    <x v="593"/>
    <d v="2021-11-15T17:40:00"/>
    <d v="1899-12-30T01:45:00"/>
    <n v="171.42857143427341"/>
    <s v="UNPLANNED"/>
    <x v="0"/>
    <d v="1899-12-30T15:55:00"/>
    <x v="1"/>
  </r>
  <r>
    <n v="2372"/>
    <x v="11"/>
    <n v="10115271959300"/>
    <x v="594"/>
    <d v="2021-11-15T21:50:00"/>
    <d v="1899-12-30T02:25:00"/>
    <n v="124.13793104245603"/>
    <s v="UNPLANNED"/>
    <x v="1"/>
    <d v="1899-12-30T19:25:00"/>
    <x v="1"/>
  </r>
  <r>
    <n v="2373"/>
    <x v="1"/>
    <n v="6115271741307"/>
    <x v="594"/>
    <d v="2021-11-15T21:50:00"/>
    <d v="1899-12-30T02:25:00"/>
    <n v="124.13793104245603"/>
    <s v="UNPLANNED"/>
    <x v="1"/>
    <d v="1899-12-30T19:25:00"/>
    <x v="1"/>
  </r>
  <r>
    <n v="2374"/>
    <x v="14"/>
    <n v="1115270127400"/>
    <x v="595"/>
    <d v="2021-11-15T23:50:00"/>
    <d v="1899-12-30T01:00:00"/>
    <n v="300.0000000174623"/>
    <s v="UNPLANNED"/>
    <x v="1"/>
    <d v="1899-12-30T22:50:00"/>
    <x v="2"/>
  </r>
  <r>
    <n v="2375"/>
    <x v="5"/>
    <n v="13115271590901"/>
    <x v="596"/>
    <d v="2021-11-17T12:00:00"/>
    <d v="1899-12-30T01:58:00"/>
    <n v="152.54237288526878"/>
    <s v="UNPLANNED"/>
    <x v="1"/>
    <d v="1899-12-30T10:02:00"/>
    <x v="0"/>
  </r>
  <r>
    <n v="2376"/>
    <x v="7"/>
    <n v="7115271757100"/>
    <x v="596"/>
    <d v="2021-11-17T12:00:00"/>
    <d v="1899-12-30T01:58:00"/>
    <n v="152.54237288526878"/>
    <s v="UNPLANNED"/>
    <x v="0"/>
    <d v="1899-12-30T10:02:00"/>
    <x v="0"/>
  </r>
  <r>
    <n v="2377"/>
    <x v="1"/>
    <n v="6115271723026"/>
    <x v="596"/>
    <d v="2021-11-17T12:00:00"/>
    <d v="1899-12-30T01:58:00"/>
    <n v="152.54237288526878"/>
    <s v="UNPLANNED"/>
    <x v="0"/>
    <d v="1899-12-30T10:02:00"/>
    <x v="0"/>
  </r>
  <r>
    <n v="2378"/>
    <x v="3"/>
    <n v="8115270613500"/>
    <x v="597"/>
    <d v="2021-11-17T19:00:00"/>
    <d v="1899-12-30T03:40:00"/>
    <n v="81.818181820346567"/>
    <s v="UNPLANNED"/>
    <x v="1"/>
    <d v="1899-12-30T15:20:00"/>
    <x v="1"/>
  </r>
  <r>
    <n v="2379"/>
    <x v="7"/>
    <n v="7115271779312"/>
    <x v="597"/>
    <d v="2021-11-17T19:00:00"/>
    <d v="1899-12-30T03:40:00"/>
    <n v="81.818181820346567"/>
    <s v="UNPLANNED"/>
    <x v="1"/>
    <d v="1899-12-30T15:20:00"/>
    <x v="1"/>
  </r>
  <r>
    <n v="2380"/>
    <x v="14"/>
    <n v="1115270074200"/>
    <x v="598"/>
    <d v="2021-11-18T00:40:00"/>
    <d v="1899-12-30T01:10:00"/>
    <n v="257.14285711292177"/>
    <s v="UNPLANNED"/>
    <x v="6"/>
    <d v="1899-12-30T23:30:00"/>
    <x v="2"/>
  </r>
  <r>
    <n v="2381"/>
    <x v="9"/>
    <n v="2115270212200"/>
    <x v="599"/>
    <d v="2021-11-18T17:00:00"/>
    <d v="1899-12-30T01:05:00"/>
    <n v="276.9230769131575"/>
    <s v="UNPLANNED"/>
    <x v="6"/>
    <d v="1899-12-30T15:55:00"/>
    <x v="1"/>
  </r>
  <r>
    <n v="2382"/>
    <x v="2"/>
    <n v="12115271573208"/>
    <x v="600"/>
    <d v="2021-11-18T21:00:00"/>
    <d v="1899-12-30T01:15:00"/>
    <n v="239.99999998882413"/>
    <s v="UNPLANNED"/>
    <x v="1"/>
    <d v="1899-12-30T19:45:00"/>
    <x v="1"/>
  </r>
  <r>
    <n v="2383"/>
    <x v="7"/>
    <n v="7115271808200"/>
    <x v="600"/>
    <d v="2021-11-18T21:00:00"/>
    <d v="1899-12-30T01:15:00"/>
    <n v="239.99999998882413"/>
    <s v="UNPLANNED"/>
    <x v="1"/>
    <d v="1899-12-30T19:45:00"/>
    <x v="1"/>
  </r>
  <r>
    <n v="2384"/>
    <x v="13"/>
    <n v="3115270392800"/>
    <x v="601"/>
    <d v="2021-11-19T10:15:00"/>
    <d v="1899-12-30T01:15:00"/>
    <n v="239.99999998882413"/>
    <s v="UNPLANNED"/>
    <x v="1"/>
    <d v="1899-12-30T09:00:00"/>
    <x v="0"/>
  </r>
  <r>
    <n v="2385"/>
    <x v="17"/>
    <n v="46115272424303"/>
    <x v="602"/>
    <d v="2021-11-19T13:10:00"/>
    <d v="1899-12-30T01:40:00"/>
    <n v="179.99999999790452"/>
    <s v="UNPLANNED"/>
    <x v="2"/>
    <d v="1899-12-30T11:30:00"/>
    <x v="0"/>
  </r>
  <r>
    <n v="2386"/>
    <x v="11"/>
    <n v="10115271967700"/>
    <x v="603"/>
    <d v="2021-11-19T13:10:00"/>
    <d v="1899-12-30T01:37:00"/>
    <n v="185.56701030571497"/>
    <s v="UNPLANNED"/>
    <x v="1"/>
    <d v="1899-12-30T11:33:00"/>
    <x v="0"/>
  </r>
  <r>
    <n v="2387"/>
    <x v="7"/>
    <n v="7115271777210"/>
    <x v="604"/>
    <d v="2021-11-19T16:30:00"/>
    <d v="1899-12-30T00:45:00"/>
    <n v="400"/>
    <s v="UNPLANNED"/>
    <x v="1"/>
    <d v="1899-12-30T15:45:00"/>
    <x v="1"/>
  </r>
  <r>
    <n v="2388"/>
    <x v="3"/>
    <n v="8115271820302"/>
    <x v="605"/>
    <d v="2021-11-19T19:30:00"/>
    <d v="1899-12-30T01:15:00"/>
    <n v="239.99999998882413"/>
    <s v="UNPLANNED"/>
    <x v="1"/>
    <d v="1899-12-30T18:15:00"/>
    <x v="1"/>
  </r>
  <r>
    <n v="2389"/>
    <x v="5"/>
    <n v="13115271590901"/>
    <x v="606"/>
    <d v="2021-11-19T21:25:00"/>
    <d v="1899-12-30T00:45:00"/>
    <n v="400"/>
    <s v="UNPLANNED"/>
    <x v="0"/>
    <d v="1899-12-30T20:40:00"/>
    <x v="1"/>
  </r>
  <r>
    <n v="2390"/>
    <x v="10"/>
    <n v="11115271549911"/>
    <x v="607"/>
    <d v="2021-11-20T01:40:00"/>
    <d v="1899-12-30T01:55:00"/>
    <n v="156.52173913360375"/>
    <s v="UNPLANNED"/>
    <x v="0"/>
    <d v="1899-12-30T23:45:00"/>
    <x v="2"/>
  </r>
  <r>
    <n v="2391"/>
    <x v="14"/>
    <n v="1115270096900"/>
    <x v="607"/>
    <d v="2021-11-20T01:40:00"/>
    <d v="1899-12-30T01:55:00"/>
    <n v="156.52173913360375"/>
    <s v="UNPLANNED"/>
    <x v="1"/>
    <d v="1899-12-30T23:45:00"/>
    <x v="2"/>
  </r>
  <r>
    <n v="2392"/>
    <x v="2"/>
    <n v="12115271560121"/>
    <x v="608"/>
    <d v="2021-11-20T12:30:00"/>
    <d v="1899-12-30T03:10:00"/>
    <n v="94.736842104682694"/>
    <s v="UNPLANNED"/>
    <x v="1"/>
    <d v="1899-12-30T09:20:00"/>
    <x v="0"/>
  </r>
  <r>
    <n v="2393"/>
    <x v="7"/>
    <n v="7115271783402"/>
    <x v="608"/>
    <d v="2021-11-20T12:30:00"/>
    <d v="1899-12-30T03:10:00"/>
    <n v="94.736842104682694"/>
    <s v="UNPLANNED"/>
    <x v="0"/>
    <d v="1899-12-30T09:20:00"/>
    <x v="0"/>
  </r>
  <r>
    <n v="2394"/>
    <x v="1"/>
    <n v="6115271717214"/>
    <x v="608"/>
    <d v="2021-11-20T12:30:00"/>
    <d v="1899-12-30T03:10:00"/>
    <n v="94.736842104682694"/>
    <s v="UNPLANNED"/>
    <x v="0"/>
    <d v="1899-12-30T09:20:00"/>
    <x v="0"/>
  </r>
  <r>
    <n v="2395"/>
    <x v="9"/>
    <n v="2115270222200"/>
    <x v="608"/>
    <d v="2021-11-20T12:30:00"/>
    <d v="1899-12-30T03:10:00"/>
    <n v="94.736842104682694"/>
    <s v="UNPLANNED"/>
    <x v="0"/>
    <d v="1899-12-30T09:20:00"/>
    <x v="0"/>
  </r>
  <r>
    <n v="2396"/>
    <x v="4"/>
    <n v="15115271743600"/>
    <x v="609"/>
    <d v="2021-11-20T14:34:00"/>
    <d v="1899-12-30T01:39:00"/>
    <n v="181.81818182203025"/>
    <s v="UNPLANNED"/>
    <x v="1"/>
    <d v="1899-12-30T12:55:00"/>
    <x v="0"/>
  </r>
  <r>
    <n v="2397"/>
    <x v="4"/>
    <n v="15115271794200"/>
    <x v="610"/>
    <d v="2021-11-20T20:25:00"/>
    <d v="1899-12-30T03:15:00"/>
    <n v="92.307692309345541"/>
    <s v="UNPLANNED"/>
    <x v="0"/>
    <d v="1899-12-30T17:10:00"/>
    <x v="1"/>
  </r>
  <r>
    <n v="2398"/>
    <x v="10"/>
    <n v="11115271542302"/>
    <x v="610"/>
    <d v="2021-11-20T20:25:00"/>
    <d v="1899-12-30T03:15:00"/>
    <n v="92.307692309345541"/>
    <s v="UNPLANNED"/>
    <x v="0"/>
    <d v="1899-12-30T17:10:00"/>
    <x v="1"/>
  </r>
  <r>
    <n v="2399"/>
    <x v="7"/>
    <n v="7115271760307"/>
    <x v="610"/>
    <d v="2021-11-20T20:25:00"/>
    <d v="1899-12-30T03:15:00"/>
    <n v="92.307692309345541"/>
    <s v="UNPLANNED"/>
    <x v="0"/>
    <d v="1899-12-30T17:10:00"/>
    <x v="1"/>
  </r>
  <r>
    <n v="2400"/>
    <x v="14"/>
    <n v="1115270156300"/>
    <x v="610"/>
    <d v="2021-11-20T20:25:00"/>
    <d v="1899-12-30T03:15:00"/>
    <n v="92.307692309345541"/>
    <s v="UNPLANNED"/>
    <x v="0"/>
    <d v="1899-12-30T17:10:00"/>
    <x v="1"/>
  </r>
  <r>
    <n v="2401"/>
    <x v="4"/>
    <n v="15115271794200"/>
    <x v="611"/>
    <d v="2021-11-21T12:50:00"/>
    <d v="1899-12-30T02:20:00"/>
    <n v="128.57142857570506"/>
    <s v="UNPLANNED"/>
    <x v="0"/>
    <d v="1899-12-30T10:30:00"/>
    <x v="0"/>
  </r>
  <r>
    <n v="2402"/>
    <x v="0"/>
    <n v="5115271279800"/>
    <x v="612"/>
    <d v="2021-11-21T12:50:00"/>
    <d v="1899-12-30T02:00:00"/>
    <n v="150.00000000873115"/>
    <s v="UNPLANNED"/>
    <x v="0"/>
    <d v="1899-12-30T10:50:00"/>
    <x v="0"/>
  </r>
  <r>
    <n v="2403"/>
    <x v="14"/>
    <n v="1115270009300"/>
    <x v="613"/>
    <d v="2021-11-21T18:35:00"/>
    <d v="1899-12-30T01:15:00"/>
    <n v="239.99999998882413"/>
    <s v="UNPLANNED"/>
    <x v="6"/>
    <d v="1899-12-30T17:20:00"/>
    <x v="1"/>
  </r>
  <r>
    <n v="2404"/>
    <x v="13"/>
    <n v="3115270392800"/>
    <x v="614"/>
    <d v="2021-11-22T00:15:00"/>
    <d v="1899-12-30T00:45:00"/>
    <n v="400"/>
    <s v="UNPLANNED"/>
    <x v="0"/>
    <d v="1899-12-30T23:30:00"/>
    <x v="2"/>
  </r>
  <r>
    <n v="2405"/>
    <x v="13"/>
    <n v="3115270393500"/>
    <x v="615"/>
    <d v="2021-11-22T10:00:00"/>
    <d v="1899-12-30T00:50:00"/>
    <n v="360.00000003352761"/>
    <s v="UNPLANNED"/>
    <x v="0"/>
    <d v="1899-12-30T09:10:00"/>
    <x v="0"/>
  </r>
  <r>
    <n v="2406"/>
    <x v="11"/>
    <n v="10115271453600"/>
    <x v="616"/>
    <d v="2021-11-22T18:45:00"/>
    <d v="1899-12-30T01:20:00"/>
    <n v="225.00000000327418"/>
    <s v="UNPLANNED"/>
    <x v="1"/>
    <d v="1899-12-30T17:25:00"/>
    <x v="1"/>
  </r>
  <r>
    <n v="2407"/>
    <x v="8"/>
    <n v="4115270826900"/>
    <x v="616"/>
    <d v="2021-11-22T18:45:00"/>
    <d v="1899-12-30T01:20:00"/>
    <n v="225.00000000327418"/>
    <s v="UNPLANNED"/>
    <x v="1"/>
    <d v="1899-12-30T17:25:00"/>
    <x v="1"/>
  </r>
  <r>
    <n v="2408"/>
    <x v="5"/>
    <n v="13115271590700"/>
    <x v="617"/>
    <d v="2021-11-22T21:40:00"/>
    <d v="1899-12-30T01:30:00"/>
    <n v="200"/>
    <s v="UNPLANNED"/>
    <x v="1"/>
    <d v="1899-12-30T20:10:00"/>
    <x v="1"/>
  </r>
  <r>
    <n v="2409"/>
    <x v="1"/>
    <n v="6115271722213"/>
    <x v="617"/>
    <d v="2021-11-22T21:40:00"/>
    <d v="1899-12-30T01:30:00"/>
    <n v="200"/>
    <s v="UNPLANNED"/>
    <x v="0"/>
    <d v="1899-12-30T20:10:00"/>
    <x v="1"/>
  </r>
  <r>
    <n v="2410"/>
    <x v="13"/>
    <n v="3115270340501"/>
    <x v="617"/>
    <d v="2021-11-22T21:40:00"/>
    <d v="1899-12-30T01:30:00"/>
    <n v="200"/>
    <s v="UNPLANNED"/>
    <x v="1"/>
    <d v="1899-12-30T20:10:00"/>
    <x v="1"/>
  </r>
  <r>
    <n v="2411"/>
    <x v="10"/>
    <n v="11115271071800"/>
    <x v="618"/>
    <d v="2021-11-23T11:12:00"/>
    <d v="1899-12-30T01:57:00"/>
    <n v="153.84615384064307"/>
    <s v="UNPLANNED"/>
    <x v="0"/>
    <d v="1899-12-30T09:15:00"/>
    <x v="0"/>
  </r>
  <r>
    <n v="2412"/>
    <x v="11"/>
    <n v="10115271453401"/>
    <x v="618"/>
    <d v="2021-11-23T11:12:00"/>
    <d v="1899-12-30T01:57:00"/>
    <n v="153.84615384064307"/>
    <s v="UNPLANNED"/>
    <x v="0"/>
    <d v="1899-12-30T09:15:00"/>
    <x v="0"/>
  </r>
  <r>
    <n v="2413"/>
    <x v="7"/>
    <n v="7115271757100"/>
    <x v="618"/>
    <d v="2021-11-23T11:12:00"/>
    <d v="1899-12-30T01:57:00"/>
    <n v="153.84615384064307"/>
    <s v="UNPLANNED"/>
    <x v="0"/>
    <d v="1899-12-30T09:15:00"/>
    <x v="0"/>
  </r>
  <r>
    <n v="2414"/>
    <x v="11"/>
    <n v="10115271453500"/>
    <x v="619"/>
    <d v="2021-11-23T13:00:00"/>
    <d v="1899-12-30T01:15:00"/>
    <n v="240.00000002235174"/>
    <s v="UNPLANNED"/>
    <x v="0"/>
    <d v="1899-12-30T11:45:00"/>
    <x v="0"/>
  </r>
  <r>
    <n v="2415"/>
    <x v="12"/>
    <n v="14115271672502"/>
    <x v="620"/>
    <d v="2021-11-23T22:00:00"/>
    <d v="1899-12-30T06:40:00"/>
    <n v="45.000000000654836"/>
    <s v="UNPLANNED"/>
    <x v="0"/>
    <d v="1899-12-30T15:20:00"/>
    <x v="1"/>
  </r>
  <r>
    <n v="2416"/>
    <x v="5"/>
    <n v="13115271590800"/>
    <x v="620"/>
    <d v="2021-11-23T22:00:00"/>
    <d v="1899-12-30T06:40:00"/>
    <n v="45.000000000654836"/>
    <s v="UNPLANNED"/>
    <x v="0"/>
    <d v="1899-12-30T15:20:00"/>
    <x v="1"/>
  </r>
  <r>
    <n v="2417"/>
    <x v="13"/>
    <n v="3115270347101"/>
    <x v="620"/>
    <d v="2021-11-23T22:00:00"/>
    <d v="1899-12-30T06:40:00"/>
    <n v="45.000000000654836"/>
    <s v="UNPLANNED"/>
    <x v="0"/>
    <d v="1899-12-30T15:20:00"/>
    <x v="1"/>
  </r>
  <r>
    <n v="2418"/>
    <x v="9"/>
    <n v="2115270250201"/>
    <x v="620"/>
    <d v="2021-11-23T22:00:00"/>
    <d v="1899-12-30T06:40:00"/>
    <n v="45.000000000654836"/>
    <s v="UNPLANNED"/>
    <x v="0"/>
    <d v="1899-12-30T15:20:00"/>
    <x v="1"/>
  </r>
  <r>
    <n v="2419"/>
    <x v="2"/>
    <n v="12115271574004"/>
    <x v="621"/>
    <d v="2021-11-24T13:30:00"/>
    <d v="1899-12-30T04:00:00"/>
    <n v="75.000000001091394"/>
    <s v="UNPLANNED"/>
    <x v="1"/>
    <d v="1899-12-30T09:30:00"/>
    <x v="0"/>
  </r>
  <r>
    <n v="2420"/>
    <x v="11"/>
    <n v="10115271967802"/>
    <x v="621"/>
    <d v="2021-11-24T13:30:00"/>
    <d v="1899-12-30T04:00:00"/>
    <n v="75.000000001091394"/>
    <s v="UNPLANNED"/>
    <x v="0"/>
    <d v="1899-12-30T09:30:00"/>
    <x v="0"/>
  </r>
  <r>
    <n v="2421"/>
    <x v="13"/>
    <n v="3115270447500"/>
    <x v="621"/>
    <d v="2021-11-24T13:30:00"/>
    <d v="1899-12-30T04:00:00"/>
    <n v="75.000000001091394"/>
    <s v="UNPLANNED"/>
    <x v="1"/>
    <d v="1899-12-30T09:30:00"/>
    <x v="0"/>
  </r>
  <r>
    <n v="2422"/>
    <x v="13"/>
    <n v="3115270343701"/>
    <x v="621"/>
    <d v="2021-11-24T13:30:00"/>
    <d v="1899-12-30T04:00:00"/>
    <n v="75.000000001091394"/>
    <s v="UNPLANNED"/>
    <x v="0"/>
    <d v="1899-12-30T09:30:00"/>
    <x v="0"/>
  </r>
  <r>
    <n v="2423"/>
    <x v="11"/>
    <n v="10115271959400"/>
    <x v="622"/>
    <d v="2021-11-24T21:35:00"/>
    <d v="1899-12-30T05:20:00"/>
    <n v="56.250000000818545"/>
    <s v="UNPLANNED"/>
    <x v="0"/>
    <d v="1899-12-30T16:15:00"/>
    <x v="1"/>
  </r>
  <r>
    <n v="2424"/>
    <x v="11"/>
    <n v="10115271454209"/>
    <x v="622"/>
    <d v="2021-11-24T21:35:00"/>
    <d v="1899-12-30T05:20:00"/>
    <n v="56.250000000818545"/>
    <s v="UNPLANNED"/>
    <x v="2"/>
    <d v="1899-12-30T16:15:00"/>
    <x v="1"/>
  </r>
  <r>
    <n v="2425"/>
    <x v="1"/>
    <n v="6115271703602"/>
    <x v="622"/>
    <d v="2021-11-24T21:35:00"/>
    <d v="1899-12-30T05:20:00"/>
    <n v="56.250000000818545"/>
    <s v="UNPLANNED"/>
    <x v="0"/>
    <d v="1899-12-30T16:15:00"/>
    <x v="1"/>
  </r>
  <r>
    <n v="2426"/>
    <x v="13"/>
    <n v="3115277040860"/>
    <x v="622"/>
    <d v="2021-11-24T21:35:00"/>
    <d v="1899-12-30T05:20:00"/>
    <n v="56.250000000818545"/>
    <s v="UNPLANNED"/>
    <x v="0"/>
    <d v="1899-12-30T16:15:00"/>
    <x v="1"/>
  </r>
  <r>
    <n v="2427"/>
    <x v="14"/>
    <n v="1115270127400"/>
    <x v="622"/>
    <d v="2021-11-24T21:35:00"/>
    <d v="1899-12-30T05:20:00"/>
    <n v="56.250000000818545"/>
    <s v="UNPLANNED"/>
    <x v="0"/>
    <d v="1899-12-30T16:15:00"/>
    <x v="1"/>
  </r>
  <r>
    <n v="2428"/>
    <x v="9"/>
    <n v="2115270274300"/>
    <x v="623"/>
    <d v="2021-11-25T10:15:00"/>
    <d v="1899-12-30T00:50:00"/>
    <n v="359.99999995809048"/>
    <s v="UNPLANNED"/>
    <x v="1"/>
    <d v="1899-12-30T09:25:00"/>
    <x v="0"/>
  </r>
  <r>
    <n v="2429"/>
    <x v="2"/>
    <n v="12115271573213"/>
    <x v="624"/>
    <d v="2021-11-25T12:37:00"/>
    <d v="1899-12-30T00:57:00"/>
    <n v="315.78947369968955"/>
    <s v="UNPLANNED"/>
    <x v="0"/>
    <d v="1899-12-30T11:40:00"/>
    <x v="0"/>
  </r>
  <r>
    <n v="2430"/>
    <x v="5"/>
    <n v="13115271591204"/>
    <x v="625"/>
    <d v="2021-11-25T19:00:00"/>
    <d v="1899-12-30T01:20:00"/>
    <n v="225.00000000327418"/>
    <s v="UNPLANNED"/>
    <x v="0"/>
    <d v="1899-12-30T17:40:00"/>
    <x v="1"/>
  </r>
  <r>
    <n v="2431"/>
    <x v="10"/>
    <n v="11115271542801"/>
    <x v="625"/>
    <d v="2021-11-25T19:00:00"/>
    <d v="1899-12-30T01:20:00"/>
    <n v="225.00000000327418"/>
    <s v="UNPLANNED"/>
    <x v="0"/>
    <d v="1899-12-30T17:40:00"/>
    <x v="1"/>
  </r>
  <r>
    <n v="2432"/>
    <x v="7"/>
    <n v="7115271767803"/>
    <x v="626"/>
    <d v="2021-11-25T21:20:00"/>
    <d v="1899-12-30T00:35:00"/>
    <n v="514.28571430282022"/>
    <s v="UNPLANNED"/>
    <x v="1"/>
    <d v="1899-12-30T20:45:00"/>
    <x v="1"/>
  </r>
  <r>
    <n v="2433"/>
    <x v="11"/>
    <n v="10115271454016"/>
    <x v="627"/>
    <d v="2021-11-25T23:50:00"/>
    <d v="1899-12-30T03:45:00"/>
    <n v="80"/>
    <s v="UNPLANNED"/>
    <x v="0"/>
    <d v="1899-12-30T20:05:00"/>
    <x v="1"/>
  </r>
  <r>
    <n v="2434"/>
    <x v="3"/>
    <n v="8115271820402"/>
    <x v="627"/>
    <d v="2021-11-25T23:50:00"/>
    <d v="1899-12-30T03:45:00"/>
    <n v="80"/>
    <s v="UNPLANNED"/>
    <x v="0"/>
    <d v="1899-12-30T20:05:00"/>
    <x v="1"/>
  </r>
  <r>
    <n v="2435"/>
    <x v="10"/>
    <n v="11115271543200"/>
    <x v="628"/>
    <d v="2021-11-26T13:00:00"/>
    <d v="1899-12-30T02:20:00"/>
    <n v="128.57142857570506"/>
    <s v="UNPLANNED"/>
    <x v="0"/>
    <d v="1899-12-30T10:40:00"/>
    <x v="0"/>
  </r>
  <r>
    <n v="2436"/>
    <x v="6"/>
    <n v="9115271907102"/>
    <x v="628"/>
    <d v="2021-11-26T13:00:00"/>
    <d v="1899-12-30T02:20:00"/>
    <n v="128.57142857570506"/>
    <s v="UNPLANNED"/>
    <x v="0"/>
    <d v="1899-12-30T10:40:00"/>
    <x v="0"/>
  </r>
  <r>
    <n v="2437"/>
    <x v="0"/>
    <n v="5115270974400"/>
    <x v="628"/>
    <d v="2021-11-26T13:00:00"/>
    <d v="1899-12-30T02:20:00"/>
    <n v="128.57142857570506"/>
    <s v="UNPLANNED"/>
    <x v="0"/>
    <d v="1899-12-30T10:40:00"/>
    <x v="0"/>
  </r>
  <r>
    <n v="2438"/>
    <x v="14"/>
    <n v="1115270141800"/>
    <x v="628"/>
    <d v="2021-11-26T13:00:00"/>
    <d v="1899-12-30T02:20:00"/>
    <n v="128.57142857570506"/>
    <s v="UNPLANNED"/>
    <x v="1"/>
    <d v="1899-12-30T10:40:00"/>
    <x v="0"/>
  </r>
  <r>
    <n v="2439"/>
    <x v="14"/>
    <n v="1115270093000"/>
    <x v="628"/>
    <d v="2021-11-26T13:00:00"/>
    <d v="1899-12-30T02:20:00"/>
    <n v="128.57142857570506"/>
    <s v="UNPLANNED"/>
    <x v="2"/>
    <d v="1899-12-30T10:40:00"/>
    <x v="0"/>
  </r>
  <r>
    <n v="2440"/>
    <x v="7"/>
    <n v="7115271768107"/>
    <x v="629"/>
    <d v="2021-11-26T20:00:00"/>
    <d v="1899-12-30T04:10:00"/>
    <n v="71.999999997653063"/>
    <s v="UNPLANNED"/>
    <x v="0"/>
    <d v="1899-12-30T15:50:00"/>
    <x v="1"/>
  </r>
  <r>
    <n v="2441"/>
    <x v="5"/>
    <n v="13115271608301"/>
    <x v="629"/>
    <d v="2021-11-26T22:00:00"/>
    <d v="1899-12-30T06:10:00"/>
    <n v="48.648648648495588"/>
    <s v="UNPLANNED"/>
    <x v="0"/>
    <d v="1899-12-30T15:50:00"/>
    <x v="1"/>
  </r>
  <r>
    <n v="2442"/>
    <x v="6"/>
    <n v="9115271907700"/>
    <x v="629"/>
    <d v="2021-11-26T22:00:00"/>
    <d v="1899-12-30T06:10:00"/>
    <n v="48.648648648495588"/>
    <s v="UNPLANNED"/>
    <x v="0"/>
    <d v="1899-12-30T15:50:00"/>
    <x v="1"/>
  </r>
  <r>
    <n v="2443"/>
    <x v="3"/>
    <n v="8115271820402"/>
    <x v="629"/>
    <d v="2021-11-26T22:00:00"/>
    <d v="1899-12-30T06:10:00"/>
    <n v="48.648648648495588"/>
    <s v="UNPLANNED"/>
    <x v="0"/>
    <d v="1899-12-30T15:50:00"/>
    <x v="1"/>
  </r>
  <r>
    <n v="2444"/>
    <x v="1"/>
    <n v="6115271710103"/>
    <x v="629"/>
    <d v="2021-11-26T22:00:00"/>
    <d v="1899-12-30T06:10:00"/>
    <n v="48.648648648495588"/>
    <s v="UNPLANNED"/>
    <x v="2"/>
    <d v="1899-12-30T15:50:00"/>
    <x v="1"/>
  </r>
  <r>
    <n v="2445"/>
    <x v="11"/>
    <n v="10115271434104"/>
    <x v="630"/>
    <d v="2021-11-27T11:50:00"/>
    <d v="1899-12-30T02:10:00"/>
    <n v="138.46153846773811"/>
    <s v="UNPLANNED"/>
    <x v="0"/>
    <d v="1899-12-30T09:40:00"/>
    <x v="0"/>
  </r>
  <r>
    <n v="2446"/>
    <x v="7"/>
    <n v="7115271767801"/>
    <x v="630"/>
    <d v="2021-11-27T11:50:00"/>
    <d v="1899-12-30T02:10:00"/>
    <n v="138.46153846773811"/>
    <s v="UNPLANNED"/>
    <x v="1"/>
    <d v="1899-12-30T09:40:00"/>
    <x v="0"/>
  </r>
  <r>
    <n v="2447"/>
    <x v="0"/>
    <n v="5115271668900"/>
    <x v="630"/>
    <d v="2021-11-27T11:50:00"/>
    <d v="1899-12-30T02:10:00"/>
    <n v="138.46153846773811"/>
    <s v="UNPLANNED"/>
    <x v="0"/>
    <d v="1899-12-30T09:40:00"/>
    <x v="0"/>
  </r>
  <r>
    <n v="2448"/>
    <x v="3"/>
    <n v="8115271820200"/>
    <x v="631"/>
    <d v="2021-11-27T13:50:00"/>
    <d v="1899-12-30T00:55:00"/>
    <n v="327.27272726580009"/>
    <s v="UNPLANNED"/>
    <x v="0"/>
    <d v="1899-12-30T12:55:00"/>
    <x v="0"/>
  </r>
  <r>
    <n v="2449"/>
    <x v="1"/>
    <n v="6115271733505"/>
    <x v="631"/>
    <d v="2021-11-27T13:50:00"/>
    <d v="1899-12-30T00:55:00"/>
    <n v="327.27272726580009"/>
    <s v="UNPLANNED"/>
    <x v="0"/>
    <d v="1899-12-30T12:55:00"/>
    <x v="0"/>
  </r>
  <r>
    <n v="2450"/>
    <x v="11"/>
    <n v="10115271445405"/>
    <x v="632"/>
    <d v="2021-11-27T21:40:00"/>
    <d v="1899-12-30T06:44:00"/>
    <n v="44.554455444748555"/>
    <s v="UNPLANNED"/>
    <x v="1"/>
    <d v="1899-12-30T14:56:00"/>
    <x v="1"/>
  </r>
  <r>
    <n v="2451"/>
    <x v="7"/>
    <n v="7115271790303"/>
    <x v="632"/>
    <d v="2021-11-27T21:40:00"/>
    <d v="1899-12-30T06:44:00"/>
    <n v="44.554455444748555"/>
    <s v="UNPLANNED"/>
    <x v="0"/>
    <d v="1899-12-30T14:56:00"/>
    <x v="1"/>
  </r>
  <r>
    <n v="2452"/>
    <x v="7"/>
    <n v="7115271786412"/>
    <x v="632"/>
    <d v="2021-11-27T21:40:00"/>
    <d v="1899-12-30T06:44:00"/>
    <n v="44.554455444748555"/>
    <s v="UNPLANNED"/>
    <x v="3"/>
    <d v="1899-12-30T14:56:00"/>
    <x v="1"/>
  </r>
  <r>
    <n v="2453"/>
    <x v="8"/>
    <n v="4115270867901"/>
    <x v="632"/>
    <d v="2021-11-27T21:40:00"/>
    <d v="1899-12-30T06:44:00"/>
    <n v="44.554455444748555"/>
    <s v="UNPLANNED"/>
    <x v="0"/>
    <d v="1899-12-30T14:56:00"/>
    <x v="1"/>
  </r>
  <r>
    <n v="2454"/>
    <x v="13"/>
    <n v="3115270340600"/>
    <x v="632"/>
    <d v="2021-11-27T21:40:00"/>
    <d v="1899-12-30T06:44:00"/>
    <n v="44.554455444748555"/>
    <s v="UNPLANNED"/>
    <x v="0"/>
    <d v="1899-12-30T14:56:00"/>
    <x v="1"/>
  </r>
  <r>
    <n v="2455"/>
    <x v="9"/>
    <n v="2115270274400"/>
    <x v="632"/>
    <d v="2021-11-27T21:40:00"/>
    <d v="1899-12-30T06:44:00"/>
    <n v="44.554455444748555"/>
    <s v="UNPLANNED"/>
    <x v="2"/>
    <d v="1899-12-30T14:56:00"/>
    <x v="1"/>
  </r>
  <r>
    <n v="2456"/>
    <x v="14"/>
    <n v="1115270151600"/>
    <x v="632"/>
    <d v="2021-11-27T21:40:00"/>
    <d v="1899-12-30T06:44:00"/>
    <n v="44.554455444748555"/>
    <s v="UNPLANNED"/>
    <x v="1"/>
    <d v="1899-12-30T14:56:00"/>
    <x v="1"/>
  </r>
  <r>
    <n v="2457"/>
    <x v="12"/>
    <n v="14115271675200"/>
    <x v="633"/>
    <d v="2021-11-28T00:50:00"/>
    <d v="1899-12-30T02:10:00"/>
    <n v="138.46153846773811"/>
    <s v="UNPLANNED"/>
    <x v="0"/>
    <d v="1899-12-30T22:40:00"/>
    <x v="2"/>
  </r>
  <r>
    <n v="2458"/>
    <x v="14"/>
    <n v="1115270098300"/>
    <x v="633"/>
    <d v="2021-11-28T00:50:00"/>
    <d v="1899-12-30T02:10:00"/>
    <n v="138.46153846773811"/>
    <s v="UNPLANNED"/>
    <x v="3"/>
    <d v="1899-12-30T22:40:00"/>
    <x v="2"/>
  </r>
  <r>
    <n v="2459"/>
    <x v="2"/>
    <n v="12115271574515"/>
    <x v="634"/>
    <d v="2021-11-28T09:55:00"/>
    <d v="1899-12-30T00:35:00"/>
    <n v="514.28571430282022"/>
    <s v="UNPLANNED"/>
    <x v="0"/>
    <d v="1899-12-30T09:20:00"/>
    <x v="0"/>
  </r>
  <r>
    <n v="2460"/>
    <x v="11"/>
    <n v="10115271454205"/>
    <x v="635"/>
    <d v="2021-11-28T14:20:00"/>
    <d v="1899-12-30T04:00:00"/>
    <n v="75.000000001091394"/>
    <s v="UNPLANNED"/>
    <x v="0"/>
    <d v="1899-12-30T10:20:00"/>
    <x v="0"/>
  </r>
  <r>
    <n v="2461"/>
    <x v="13"/>
    <n v="3115270350300"/>
    <x v="635"/>
    <d v="2021-11-28T14:20:00"/>
    <d v="1899-12-30T04:00:00"/>
    <n v="75.000000001091394"/>
    <s v="UNPLANNED"/>
    <x v="0"/>
    <d v="1899-12-30T10:20:00"/>
    <x v="0"/>
  </r>
  <r>
    <n v="2462"/>
    <x v="9"/>
    <n v="2115270274200"/>
    <x v="636"/>
    <d v="2021-11-28T18:20:00"/>
    <d v="1899-12-30T01:20:00"/>
    <n v="225.00000000327418"/>
    <s v="UNPLANNED"/>
    <x v="0"/>
    <d v="1899-12-30T17:00:00"/>
    <x v="1"/>
  </r>
  <r>
    <n v="2463"/>
    <x v="9"/>
    <n v="2115270267600"/>
    <x v="636"/>
    <d v="2021-11-28T18:20:00"/>
    <d v="1899-12-30T01:20:00"/>
    <n v="225.00000000327418"/>
    <s v="UNPLANNED"/>
    <x v="0"/>
    <d v="1899-12-30T17:00:00"/>
    <x v="1"/>
  </r>
  <r>
    <n v="2464"/>
    <x v="10"/>
    <n v="11115271553201"/>
    <x v="637"/>
    <d v="2021-11-28T22:00:00"/>
    <d v="1899-12-30T02:10:00"/>
    <n v="138.46153846773811"/>
    <s v="UNPLANNED"/>
    <x v="1"/>
    <d v="1899-12-30T19:50:00"/>
    <x v="1"/>
  </r>
  <r>
    <n v="2465"/>
    <x v="11"/>
    <n v="10115271965000"/>
    <x v="637"/>
    <d v="2021-11-28T22:00:00"/>
    <d v="1899-12-30T02:10:00"/>
    <n v="138.46153846773811"/>
    <s v="UNPLANNED"/>
    <x v="0"/>
    <d v="1899-12-30T19:50:00"/>
    <x v="1"/>
  </r>
  <r>
    <n v="2466"/>
    <x v="14"/>
    <n v="1115270097100"/>
    <x v="637"/>
    <d v="2021-11-28T22:00:00"/>
    <d v="1899-12-30T02:10:00"/>
    <n v="138.46153846773811"/>
    <s v="UNPLANNED"/>
    <x v="0"/>
    <d v="1899-12-30T19:50:00"/>
    <x v="1"/>
  </r>
  <r>
    <n v="2467"/>
    <x v="10"/>
    <n v="11115271052200"/>
    <x v="638"/>
    <d v="2021-11-29T01:15:00"/>
    <d v="1899-12-30T02:20:00"/>
    <n v="128.57142856608297"/>
    <s v="UNPLANNED"/>
    <x v="1"/>
    <d v="1899-12-30T22:55:00"/>
    <x v="2"/>
  </r>
  <r>
    <n v="2468"/>
    <x v="3"/>
    <n v="8115271820900"/>
    <x v="638"/>
    <d v="2021-11-29T01:15:00"/>
    <d v="1899-12-30T02:20:00"/>
    <n v="128.57142856608297"/>
    <s v="UNPLANNED"/>
    <x v="2"/>
    <d v="1899-12-30T22:55:00"/>
    <x v="2"/>
  </r>
  <r>
    <n v="2469"/>
    <x v="14"/>
    <n v="1115270095800"/>
    <x v="638"/>
    <d v="2021-11-29T01:15:00"/>
    <d v="1899-12-30T02:20:00"/>
    <n v="128.57142856608297"/>
    <s v="UNPLANNED"/>
    <x v="0"/>
    <d v="1899-12-30T22:55:00"/>
    <x v="2"/>
  </r>
  <r>
    <n v="2470"/>
    <x v="14"/>
    <n v="1115270127300"/>
    <x v="639"/>
    <d v="2021-11-29T13:40:00"/>
    <d v="1899-12-30T03:40:00"/>
    <n v="81.818181816450021"/>
    <s v="UNPLANNED"/>
    <x v="2"/>
    <d v="1899-12-30T10:00:00"/>
    <x v="0"/>
  </r>
  <r>
    <n v="2471"/>
    <x v="14"/>
    <n v="1115270016900"/>
    <x v="639"/>
    <d v="2021-11-29T13:40:00"/>
    <d v="1899-12-30T03:40:00"/>
    <n v="81.818181816450021"/>
    <s v="UNPLANNED"/>
    <x v="1"/>
    <d v="1899-12-30T10:00:00"/>
    <x v="0"/>
  </r>
  <r>
    <n v="2472"/>
    <x v="10"/>
    <n v="11115271543801"/>
    <x v="640"/>
    <d v="2021-11-29T20:20:00"/>
    <d v="1899-12-30T02:20:00"/>
    <n v="128.57142857570506"/>
    <s v="UNPLANNED"/>
    <x v="1"/>
    <d v="1899-12-30T18:00:00"/>
    <x v="1"/>
  </r>
  <r>
    <n v="2473"/>
    <x v="11"/>
    <n v="10115271441900"/>
    <x v="640"/>
    <d v="2021-11-29T20:20:00"/>
    <d v="1899-12-30T02:20:00"/>
    <n v="128.57142857570506"/>
    <s v="UNPLANNED"/>
    <x v="1"/>
    <d v="1899-12-30T18:00:00"/>
    <x v="1"/>
  </r>
  <r>
    <n v="2474"/>
    <x v="0"/>
    <n v="5115271296108"/>
    <x v="640"/>
    <d v="2021-11-29T20:20:00"/>
    <d v="1899-12-30T02:20:00"/>
    <n v="128.57142857570506"/>
    <s v="UNPLANNED"/>
    <x v="6"/>
    <d v="1899-12-30T18:00:00"/>
    <x v="1"/>
  </r>
  <r>
    <n v="2475"/>
    <x v="5"/>
    <n v="13115271591107"/>
    <x v="641"/>
    <d v="2021-11-29T21:45:00"/>
    <d v="1899-12-30T00:35:00"/>
    <n v="514.28571430282022"/>
    <s v="UNPLANNED"/>
    <x v="2"/>
    <d v="1899-12-30T21:10:00"/>
    <x v="1"/>
  </r>
  <r>
    <n v="2476"/>
    <x v="14"/>
    <n v="1115270052302"/>
    <x v="642"/>
    <d v="2021-11-30T00:05:00"/>
    <d v="1899-12-30T00:55:00"/>
    <n v="327.27272732814481"/>
    <s v="UNPLANNED"/>
    <x v="2"/>
    <d v="1899-12-30T23:10:00"/>
    <x v="2"/>
  </r>
  <r>
    <n v="2477"/>
    <x v="7"/>
    <n v="7115271768100"/>
    <x v="643"/>
    <d v="2021-11-30T11:45:00"/>
    <d v="1899-12-30T00:45:00"/>
    <n v="400"/>
    <s v="UNPLANNED"/>
    <x v="1"/>
    <d v="1899-12-30T11:00:00"/>
    <x v="0"/>
  </r>
  <r>
    <n v="2478"/>
    <x v="7"/>
    <n v="7115271769600"/>
    <x v="644"/>
    <d v="2021-11-30T13:30:00"/>
    <d v="1899-12-30T01:30:00"/>
    <n v="200"/>
    <s v="UNPLANNED"/>
    <x v="0"/>
    <d v="1899-12-30T12:00:00"/>
    <x v="0"/>
  </r>
  <r>
    <n v="2479"/>
    <x v="13"/>
    <n v="3115270352801"/>
    <x v="644"/>
    <d v="2021-11-30T13:30:00"/>
    <d v="1899-12-30T01:30:00"/>
    <n v="200"/>
    <s v="UNPLANNED"/>
    <x v="3"/>
    <d v="1899-12-30T12:00:00"/>
    <x v="0"/>
  </r>
  <r>
    <n v="2480"/>
    <x v="11"/>
    <n v="10115271455801"/>
    <x v="645"/>
    <d v="2021-11-30T17:00:00"/>
    <d v="1899-12-30T02:00:00"/>
    <n v="149.99999999563443"/>
    <s v="UNPLANNED"/>
    <x v="0"/>
    <d v="1899-12-30T15:00:00"/>
    <x v="1"/>
  </r>
  <r>
    <n v="2481"/>
    <x v="11"/>
    <n v="10115271959300"/>
    <x v="646"/>
    <d v="2021-12-01T10:55:00"/>
    <d v="1899-12-30T01:40:00"/>
    <n v="179.99999999790452"/>
    <s v="UNPLANNED"/>
    <x v="0"/>
    <d v="1899-12-30T09:15:00"/>
    <x v="0"/>
  </r>
  <r>
    <n v="2482"/>
    <x v="14"/>
    <n v="1115270070200"/>
    <x v="646"/>
    <d v="2021-12-01T10:55:00"/>
    <d v="1899-12-30T01:40:00"/>
    <n v="179.99999999790452"/>
    <s v="UNPLANNED"/>
    <x v="2"/>
    <d v="1899-12-30T09:15:00"/>
    <x v="0"/>
  </r>
  <r>
    <n v="2483"/>
    <x v="11"/>
    <n v="10115271469100"/>
    <x v="647"/>
    <d v="2021-12-01T13:40:00"/>
    <d v="1899-12-30T02:10:00"/>
    <n v="138.46153845657875"/>
    <s v="UNPLANNED"/>
    <x v="0"/>
    <d v="1899-12-30T11:30:00"/>
    <x v="0"/>
  </r>
  <r>
    <n v="2484"/>
    <x v="3"/>
    <n v="8115271819304"/>
    <x v="647"/>
    <d v="2021-12-01T13:40:00"/>
    <d v="1899-12-30T02:10:00"/>
    <n v="138.46153845657875"/>
    <s v="UNPLANNED"/>
    <x v="2"/>
    <d v="1899-12-30T11:30:00"/>
    <x v="0"/>
  </r>
  <r>
    <n v="2485"/>
    <x v="0"/>
    <n v="5115271685515"/>
    <x v="647"/>
    <d v="2021-12-01T13:40:00"/>
    <d v="1899-12-30T02:10:00"/>
    <n v="138.46153845657875"/>
    <s v="UNPLANNED"/>
    <x v="1"/>
    <d v="1899-12-30T11:30:00"/>
    <x v="0"/>
  </r>
  <r>
    <n v="2486"/>
    <x v="12"/>
    <n v="14115271672501"/>
    <x v="648"/>
    <d v="2021-12-01T18:15:00"/>
    <d v="1899-12-30T00:35:00"/>
    <n v="514.28571430282022"/>
    <s v="UNPLANNED"/>
    <x v="0"/>
    <d v="1899-12-30T17:40:00"/>
    <x v="1"/>
  </r>
  <r>
    <n v="2487"/>
    <x v="5"/>
    <n v="13115271607600"/>
    <x v="649"/>
    <d v="2021-12-01T18:15:00"/>
    <d v="1899-12-30T01:50:00"/>
    <n v="163.63636364848622"/>
    <s v="UNPLANNED"/>
    <x v="0"/>
    <d v="1899-12-30T16:25:00"/>
    <x v="1"/>
  </r>
  <r>
    <n v="2488"/>
    <x v="10"/>
    <n v="11115271508501"/>
    <x v="649"/>
    <d v="2021-12-01T18:15:00"/>
    <d v="1899-12-30T01:50:00"/>
    <n v="163.63636364848622"/>
    <s v="UNPLANNED"/>
    <x v="0"/>
    <d v="1899-12-30T16:25:00"/>
    <x v="1"/>
  </r>
  <r>
    <n v="2489"/>
    <x v="13"/>
    <n v="3115270349900"/>
    <x v="650"/>
    <d v="2021-12-02T21:10:00"/>
    <d v="1899-12-30T01:20:00"/>
    <n v="225.00000000327418"/>
    <s v="UNPLANNED"/>
    <x v="0"/>
    <d v="1899-12-30T19:50:00"/>
    <x v="1"/>
  </r>
  <r>
    <n v="2490"/>
    <x v="14"/>
    <n v="1115270012200"/>
    <x v="650"/>
    <d v="2021-12-02T21:10:00"/>
    <d v="1899-12-30T01:20:00"/>
    <n v="225.00000000327418"/>
    <s v="UNPLANNED"/>
    <x v="0"/>
    <d v="1899-12-30T19:50:00"/>
    <x v="1"/>
  </r>
  <r>
    <n v="2491"/>
    <x v="13"/>
    <n v="3115270392700"/>
    <x v="651"/>
    <d v="2021-12-03T09:45:00"/>
    <d v="1899-12-30T00:30:00"/>
    <n v="599.99999993015081"/>
    <s v="UNPLANNED"/>
    <x v="0"/>
    <d v="1899-12-30T09:15:00"/>
    <x v="0"/>
  </r>
  <r>
    <n v="2492"/>
    <x v="5"/>
    <n v="13115271639400"/>
    <x v="652"/>
    <d v="2021-12-03T13:00:00"/>
    <d v="1899-12-30T02:33:00"/>
    <n v="117.64705882675197"/>
    <s v="UNPLANNED"/>
    <x v="0"/>
    <d v="1899-12-30T10:27:00"/>
    <x v="0"/>
  </r>
  <r>
    <n v="2493"/>
    <x v="2"/>
    <n v="12115271589005"/>
    <x v="652"/>
    <d v="2021-12-03T13:00:00"/>
    <d v="1899-12-30T02:33:00"/>
    <n v="117.64705882675197"/>
    <s v="UNPLANNED"/>
    <x v="0"/>
    <d v="1899-12-30T10:27:00"/>
    <x v="0"/>
  </r>
  <r>
    <n v="2494"/>
    <x v="7"/>
    <n v="7115271767803"/>
    <x v="652"/>
    <d v="2021-12-03T13:00:00"/>
    <d v="1899-12-30T02:33:00"/>
    <n v="117.64705882675197"/>
    <s v="UNPLANNED"/>
    <x v="1"/>
    <d v="1899-12-30T10:27:00"/>
    <x v="0"/>
  </r>
  <r>
    <n v="2495"/>
    <x v="14"/>
    <n v="1115270058700"/>
    <x v="652"/>
    <d v="2021-12-03T13:00:00"/>
    <d v="1899-12-30T02:33:00"/>
    <n v="117.64705882675197"/>
    <s v="UNPLANNED"/>
    <x v="1"/>
    <d v="1899-12-30T10:27:00"/>
    <x v="0"/>
  </r>
  <r>
    <n v="2496"/>
    <x v="2"/>
    <n v="12115271574403"/>
    <x v="653"/>
    <d v="2021-12-03T17:30:00"/>
    <d v="1899-12-30T02:00:00"/>
    <n v="150.00000000873115"/>
    <s v="UNPLANNED"/>
    <x v="1"/>
    <d v="1899-12-30T15:30:00"/>
    <x v="1"/>
  </r>
  <r>
    <n v="2497"/>
    <x v="7"/>
    <n v="7115271774503"/>
    <x v="653"/>
    <d v="2021-12-03T17:30:00"/>
    <d v="1899-12-30T02:00:00"/>
    <n v="150.00000000873115"/>
    <s v="UNPLANNED"/>
    <x v="1"/>
    <d v="1899-12-30T15:30:00"/>
    <x v="1"/>
  </r>
  <r>
    <n v="2498"/>
    <x v="14"/>
    <n v="1115270123100"/>
    <x v="653"/>
    <d v="2021-12-03T17:30:00"/>
    <d v="1899-12-30T02:00:00"/>
    <n v="150.00000000873115"/>
    <s v="UNPLANNED"/>
    <x v="0"/>
    <d v="1899-12-30T15:30:00"/>
    <x v="1"/>
  </r>
  <r>
    <n v="2499"/>
    <x v="11"/>
    <n v="10115271964701"/>
    <x v="654"/>
    <d v="2021-12-04T02:30:00"/>
    <d v="1899-12-30T02:40:00"/>
    <n v="112.50000000163709"/>
    <s v="UNPLANNED"/>
    <x v="1"/>
    <d v="1899-12-30T23:50:00"/>
    <x v="2"/>
  </r>
  <r>
    <n v="2500"/>
    <x v="1"/>
    <n v="6115271741307"/>
    <x v="654"/>
    <d v="2021-12-04T02:30:00"/>
    <d v="1899-12-30T02:40:00"/>
    <n v="112.50000000163709"/>
    <s v="UNPLANNED"/>
    <x v="2"/>
    <d v="1899-12-30T23:50:00"/>
    <x v="2"/>
  </r>
  <r>
    <n v="2501"/>
    <x v="14"/>
    <n v="1115270019200"/>
    <x v="654"/>
    <d v="2021-12-04T02:30:00"/>
    <d v="1899-12-30T02:40:00"/>
    <n v="112.50000000163709"/>
    <s v="UNPLANNED"/>
    <x v="2"/>
    <d v="1899-12-30T23:50:00"/>
    <x v="2"/>
  </r>
  <r>
    <n v="2502"/>
    <x v="10"/>
    <n v="11115271508807"/>
    <x v="655"/>
    <d v="2021-12-04T11:00:00"/>
    <d v="1899-12-30T03:35:00"/>
    <n v="83.720930233011458"/>
    <s v="UNPLANNED"/>
    <x v="3"/>
    <d v="1899-12-30T07:25:00"/>
    <x v="0"/>
  </r>
  <r>
    <n v="2503"/>
    <x v="3"/>
    <n v="8115271809908"/>
    <x v="655"/>
    <d v="2021-12-04T11:00:00"/>
    <d v="1899-12-30T03:35:00"/>
    <n v="83.720930233011458"/>
    <s v="UNPLANNED"/>
    <x v="1"/>
    <d v="1899-12-30T07:25:00"/>
    <x v="0"/>
  </r>
  <r>
    <n v="2504"/>
    <x v="13"/>
    <n v="3115270306702"/>
    <x v="655"/>
    <d v="2021-12-04T11:00:00"/>
    <d v="1899-12-30T03:35:00"/>
    <n v="83.720930233011458"/>
    <s v="UNPLANNED"/>
    <x v="0"/>
    <d v="1899-12-30T07:25:00"/>
    <x v="0"/>
  </r>
  <r>
    <n v="2505"/>
    <x v="12"/>
    <n v="14115271672600"/>
    <x v="656"/>
    <d v="2021-12-04T20:00:00"/>
    <d v="1899-12-30T02:30:00"/>
    <n v="119.99999999441206"/>
    <s v="UNPLANNED"/>
    <x v="1"/>
    <d v="1899-12-30T17:30:00"/>
    <x v="1"/>
  </r>
  <r>
    <n v="2506"/>
    <x v="10"/>
    <n v="11115271550902"/>
    <x v="656"/>
    <d v="2021-12-04T20:00:00"/>
    <d v="1899-12-30T02:30:00"/>
    <n v="119.99999999441206"/>
    <s v="UNPLANNED"/>
    <x v="1"/>
    <d v="1899-12-30T17:30:00"/>
    <x v="1"/>
  </r>
  <r>
    <n v="2507"/>
    <x v="11"/>
    <n v="10115271453600"/>
    <x v="656"/>
    <d v="2021-12-04T20:00:00"/>
    <d v="1899-12-30T02:30:00"/>
    <n v="119.99999999441206"/>
    <s v="UNPLANNED"/>
    <x v="0"/>
    <d v="1899-12-30T17:30:00"/>
    <x v="1"/>
  </r>
  <r>
    <n v="2508"/>
    <x v="7"/>
    <n v="7115271774600"/>
    <x v="656"/>
    <d v="2021-12-04T20:00:00"/>
    <d v="1899-12-30T02:30:00"/>
    <n v="119.99999999441206"/>
    <s v="UNPLANNED"/>
    <x v="1"/>
    <d v="1899-12-30T17:30:00"/>
    <x v="1"/>
  </r>
  <r>
    <n v="2509"/>
    <x v="14"/>
    <n v="1115270028300"/>
    <x v="656"/>
    <d v="2021-12-04T20:00:00"/>
    <d v="1899-12-30T02:30:00"/>
    <n v="119.99999999441206"/>
    <s v="UNPLANNED"/>
    <x v="0"/>
    <d v="1899-12-30T17:30:00"/>
    <x v="1"/>
  </r>
  <r>
    <n v="2510"/>
    <x v="7"/>
    <n v="7115271756900"/>
    <x v="657"/>
    <d v="2021-12-04T21:15:00"/>
    <d v="1899-12-30T00:45:00"/>
    <n v="400"/>
    <s v="UNPLANNED"/>
    <x v="2"/>
    <d v="1899-12-30T20:30:00"/>
    <x v="1"/>
  </r>
  <r>
    <n v="2511"/>
    <x v="2"/>
    <n v="12115271574524"/>
    <x v="658"/>
    <d v="2021-12-04T23:00:00"/>
    <d v="1899-12-30T00:30:00"/>
    <n v="599.99999993015081"/>
    <s v="UNPLANNED"/>
    <x v="1"/>
    <d v="1899-12-30T22:30:00"/>
    <x v="2"/>
  </r>
  <r>
    <n v="2512"/>
    <x v="2"/>
    <n v="12115271588604"/>
    <x v="659"/>
    <d v="2021-12-05T14:00:00"/>
    <d v="1899-12-30T00:50:00"/>
    <n v="359.99999995809048"/>
    <s v="UNPLANNED"/>
    <x v="2"/>
    <d v="1899-12-30T13:10:00"/>
    <x v="0"/>
  </r>
  <r>
    <n v="2513"/>
    <x v="11"/>
    <n v="10115271959803"/>
    <x v="660"/>
    <d v="2021-12-05T18:50:00"/>
    <d v="1899-12-30T02:30:00"/>
    <n v="120.00000000279397"/>
    <s v="UNPLANNED"/>
    <x v="0"/>
    <d v="1899-12-30T16:20:00"/>
    <x v="1"/>
  </r>
  <r>
    <n v="2514"/>
    <x v="6"/>
    <n v="9115271944300"/>
    <x v="660"/>
    <d v="2021-12-05T18:50:00"/>
    <d v="1899-12-30T02:30:00"/>
    <n v="120.00000000279397"/>
    <s v="UNPLANNED"/>
    <x v="1"/>
    <d v="1899-12-30T16:20:00"/>
    <x v="1"/>
  </r>
  <r>
    <n v="2515"/>
    <x v="13"/>
    <n v="3115270340501"/>
    <x v="660"/>
    <d v="2021-12-05T18:50:00"/>
    <d v="1899-12-30T02:30:00"/>
    <n v="120.00000000279397"/>
    <s v="UNPLANNED"/>
    <x v="0"/>
    <d v="1899-12-30T16:20:00"/>
    <x v="1"/>
  </r>
  <r>
    <n v="2516"/>
    <x v="14"/>
    <n v="1115270097400"/>
    <x v="661"/>
    <d v="2021-12-06T02:50:00"/>
    <d v="1899-12-30T01:10:00"/>
    <n v="257.14285715141011"/>
    <s v="UNPLANNED"/>
    <x v="1"/>
    <d v="1899-12-30T01:40:00"/>
    <x v="2"/>
  </r>
  <r>
    <n v="2517"/>
    <x v="9"/>
    <n v="2115270229601"/>
    <x v="662"/>
    <d v="2021-12-06T10:00:00"/>
    <d v="1899-12-30T00:50:00"/>
    <n v="360.00000003352761"/>
    <s v="UNPLANNED"/>
    <x v="2"/>
    <d v="1899-12-30T09:10:00"/>
    <x v="0"/>
  </r>
  <r>
    <n v="2518"/>
    <x v="11"/>
    <n v="10115271959200"/>
    <x v="663"/>
    <d v="2021-12-06T13:20:00"/>
    <d v="1899-12-30T03:05:00"/>
    <n v="97.297297299746361"/>
    <s v="UNPLANNED"/>
    <x v="1"/>
    <d v="1899-12-30T10:15:00"/>
    <x v="0"/>
  </r>
  <r>
    <n v="2519"/>
    <x v="13"/>
    <n v="3115270409101"/>
    <x v="663"/>
    <d v="2021-12-06T13:20:00"/>
    <d v="1899-12-30T03:05:00"/>
    <n v="97.297297299746361"/>
    <s v="UNPLANNED"/>
    <x v="1"/>
    <d v="1899-12-30T10:15:00"/>
    <x v="0"/>
  </r>
  <r>
    <n v="2520"/>
    <x v="9"/>
    <n v="2115270292100"/>
    <x v="663"/>
    <d v="2021-12-06T13:20:00"/>
    <d v="1899-12-30T03:05:00"/>
    <n v="97.297297299746361"/>
    <s v="UNPLANNED"/>
    <x v="1"/>
    <d v="1899-12-30T10:15:00"/>
    <x v="0"/>
  </r>
  <r>
    <n v="2521"/>
    <x v="14"/>
    <n v="1115270060100"/>
    <x v="663"/>
    <d v="2021-12-06T13:20:00"/>
    <d v="1899-12-30T03:05:00"/>
    <n v="97.297297299746361"/>
    <s v="UNPLANNED"/>
    <x v="0"/>
    <d v="1899-12-30T10:15:00"/>
    <x v="0"/>
  </r>
  <r>
    <n v="2522"/>
    <x v="3"/>
    <n v="8115271878004"/>
    <x v="664"/>
    <d v="2021-12-06T16:50:00"/>
    <d v="1899-12-30T00:50:00"/>
    <n v="359.99999995809048"/>
    <s v="UNPLANNED"/>
    <x v="6"/>
    <d v="1899-12-30T16:00:00"/>
    <x v="1"/>
  </r>
  <r>
    <n v="2523"/>
    <x v="7"/>
    <n v="7115271786607"/>
    <x v="665"/>
    <d v="2021-12-06T20:35:00"/>
    <d v="1899-12-30T01:50:00"/>
    <n v="163.63636363290004"/>
    <s v="UNPLANNED"/>
    <x v="1"/>
    <d v="1899-12-30T18:45:00"/>
    <x v="1"/>
  </r>
  <r>
    <n v="2524"/>
    <x v="9"/>
    <n v="2115270229300"/>
    <x v="665"/>
    <d v="2021-12-06T20:35:00"/>
    <d v="1899-12-30T01:50:00"/>
    <n v="163.63636363290004"/>
    <s v="UNPLANNED"/>
    <x v="1"/>
    <d v="1899-12-30T18:45:00"/>
    <x v="1"/>
  </r>
  <r>
    <n v="2525"/>
    <x v="3"/>
    <n v="8115271825600"/>
    <x v="666"/>
    <d v="2021-12-07T10:45:00"/>
    <d v="1899-12-30T00:45:00"/>
    <n v="400"/>
    <s v="UNPLANNED"/>
    <x v="0"/>
    <d v="1899-12-30T10:00:00"/>
    <x v="0"/>
  </r>
  <r>
    <n v="2526"/>
    <x v="7"/>
    <n v="7115271767802"/>
    <x v="667"/>
    <d v="2021-12-07T20:00:00"/>
    <d v="1899-12-30T03:00:00"/>
    <n v="100"/>
    <s v="UNPLANNED"/>
    <x v="1"/>
    <d v="1899-12-30T17:00:00"/>
    <x v="1"/>
  </r>
  <r>
    <n v="2527"/>
    <x v="0"/>
    <n v="5115271258101"/>
    <x v="667"/>
    <d v="2021-12-07T20:00:00"/>
    <d v="1899-12-30T03:00:00"/>
    <n v="100"/>
    <s v="UNPLANNED"/>
    <x v="1"/>
    <d v="1899-12-30T17:00:00"/>
    <x v="1"/>
  </r>
  <r>
    <n v="2528"/>
    <x v="1"/>
    <n v="6115271723027"/>
    <x v="668"/>
    <d v="2021-12-08T13:45:00"/>
    <d v="1899-12-30T01:15:00"/>
    <n v="240.00000002235174"/>
    <s v="UNPLANNED"/>
    <x v="1"/>
    <d v="1899-12-30T12:30:00"/>
    <x v="0"/>
  </r>
  <r>
    <n v="2529"/>
    <x v="8"/>
    <n v="4115270827300"/>
    <x v="669"/>
    <d v="2021-12-08T13:45:00"/>
    <d v="1899-12-30T02:00:00"/>
    <n v="150.00000000873115"/>
    <s v="UNPLANNED"/>
    <x v="0"/>
    <d v="1899-12-30T11:45:00"/>
    <x v="0"/>
  </r>
  <r>
    <n v="2530"/>
    <x v="7"/>
    <n v="7115271767803"/>
    <x v="670"/>
    <d v="2021-12-08T15:50:00"/>
    <d v="1899-12-30T00:50:00"/>
    <n v="360.00000003352761"/>
    <s v="UNPLANNED"/>
    <x v="0"/>
    <d v="1899-12-30T15:00:00"/>
    <x v="1"/>
  </r>
  <r>
    <n v="2531"/>
    <x v="13"/>
    <n v="3115270432400"/>
    <x v="671"/>
    <d v="2021-12-08T19:10:00"/>
    <d v="1899-12-30T01:40:00"/>
    <n v="179.99999999790452"/>
    <s v="UNPLANNED"/>
    <x v="0"/>
    <d v="1899-12-30T17:30:00"/>
    <x v="1"/>
  </r>
  <r>
    <n v="2532"/>
    <x v="13"/>
    <n v="3115270340600"/>
    <x v="672"/>
    <d v="2021-12-08T22:25:00"/>
    <d v="1899-12-30T02:40:00"/>
    <n v="112.49999999427018"/>
    <s v="UNPLANNED"/>
    <x v="1"/>
    <d v="1899-12-30T19:45:00"/>
    <x v="1"/>
  </r>
  <r>
    <n v="2533"/>
    <x v="4"/>
    <n v="15115271765400"/>
    <x v="672"/>
    <d v="2021-12-08T22:45:00"/>
    <d v="1899-12-30T03:00:00"/>
    <n v="100"/>
    <s v="UNPLANNED"/>
    <x v="1"/>
    <d v="1899-12-30T19:45:00"/>
    <x v="1"/>
  </r>
  <r>
    <n v="2534"/>
    <x v="9"/>
    <n v="2115270217400"/>
    <x v="673"/>
    <d v="2021-12-09T00:40:00"/>
    <d v="1899-12-30T00:50:00"/>
    <n v="359.99999995809048"/>
    <s v="UNPLANNED"/>
    <x v="1"/>
    <d v="1899-12-30T23:50:00"/>
    <x v="2"/>
  </r>
  <r>
    <n v="2535"/>
    <x v="3"/>
    <n v="8115271816505"/>
    <x v="674"/>
    <d v="2021-12-09T07:50:00"/>
    <d v="1899-12-30T00:50:00"/>
    <n v="359.99999995809048"/>
    <s v="UNPLANNED"/>
    <x v="1"/>
    <d v="1899-12-30T07:00:00"/>
    <x v="0"/>
  </r>
  <r>
    <n v="2536"/>
    <x v="13"/>
    <n v="3115270385600"/>
    <x v="675"/>
    <d v="2021-12-09T14:30:00"/>
    <d v="1899-12-30T06:30:00"/>
    <n v="46.15384615467277"/>
    <s v="UNPLANNED"/>
    <x v="1"/>
    <d v="1899-12-30T08:00:00"/>
    <x v="0"/>
  </r>
  <r>
    <n v="2537"/>
    <x v="8"/>
    <n v="4115270826901"/>
    <x v="676"/>
    <d v="2021-12-09T16:15:00"/>
    <d v="1899-12-30T00:40:00"/>
    <n v="449.99999994761311"/>
    <s v="UNPLANNED"/>
    <x v="2"/>
    <d v="1899-12-30T15:35:00"/>
    <x v="1"/>
  </r>
  <r>
    <n v="2538"/>
    <x v="5"/>
    <n v="13115271668507"/>
    <x v="677"/>
    <d v="2021-12-09T20:00:00"/>
    <d v="1899-12-30T02:50:00"/>
    <n v="105.88235294190156"/>
    <s v="UNPLANNED"/>
    <x v="1"/>
    <d v="1899-12-30T17:10:00"/>
    <x v="1"/>
  </r>
  <r>
    <n v="2539"/>
    <x v="7"/>
    <n v="7115271768100"/>
    <x v="677"/>
    <d v="2021-12-09T20:00:00"/>
    <d v="1899-12-30T02:50:00"/>
    <n v="105.88235294190156"/>
    <s v="UNPLANNED"/>
    <x v="1"/>
    <d v="1899-12-30T17:10:00"/>
    <x v="1"/>
  </r>
  <r>
    <n v="2540"/>
    <x v="13"/>
    <n v="3115270321601"/>
    <x v="677"/>
    <d v="2021-12-09T20:00:00"/>
    <d v="1899-12-30T02:50:00"/>
    <n v="105.88235294190156"/>
    <s v="UNPLANNED"/>
    <x v="1"/>
    <d v="1899-12-30T17:10:00"/>
    <x v="1"/>
  </r>
  <r>
    <n v="2541"/>
    <x v="11"/>
    <n v="10115271453500"/>
    <x v="678"/>
    <d v="2021-12-10T11:15:00"/>
    <d v="1899-12-30T00:48:00"/>
    <n v="375.00000000545697"/>
    <s v="UNPLANNED"/>
    <x v="1"/>
    <d v="1899-12-30T10:27:00"/>
    <x v="0"/>
  </r>
  <r>
    <n v="2542"/>
    <x v="14"/>
    <n v="1115270143600"/>
    <x v="679"/>
    <d v="2021-12-10T17:25:00"/>
    <d v="1899-12-30T02:57:00"/>
    <n v="101.69491525383599"/>
    <s v="UNPLANNED"/>
    <x v="0"/>
    <d v="1899-12-30T14:28:00"/>
    <x v="1"/>
  </r>
  <r>
    <n v="2543"/>
    <x v="14"/>
    <n v="1115270097101"/>
    <x v="679"/>
    <d v="2021-12-10T17:25:00"/>
    <d v="1899-12-30T02:57:00"/>
    <n v="101.69491525383599"/>
    <s v="UNPLANNED"/>
    <x v="0"/>
    <d v="1899-12-30T14:28:00"/>
    <x v="1"/>
  </r>
  <r>
    <n v="2544"/>
    <x v="2"/>
    <n v="12115271560127"/>
    <x v="680"/>
    <d v="2021-12-10T19:20:00"/>
    <d v="1899-12-30T00:35:00"/>
    <n v="514.28571430282022"/>
    <s v="UNPLANNED"/>
    <x v="0"/>
    <d v="1899-12-30T18:45:00"/>
    <x v="1"/>
  </r>
  <r>
    <n v="2545"/>
    <x v="7"/>
    <n v="7115271783902"/>
    <x v="681"/>
    <d v="2021-12-11T14:30:00"/>
    <d v="1899-12-30T06:05:00"/>
    <n v="49.31506849377984"/>
    <s v="UNPLANNED"/>
    <x v="0"/>
    <d v="1899-12-30T08:25:00"/>
    <x v="0"/>
  </r>
  <r>
    <n v="2546"/>
    <x v="7"/>
    <n v="7115271760800"/>
    <x v="681"/>
    <d v="2021-12-11T14:30:00"/>
    <d v="1899-12-30T06:05:00"/>
    <n v="49.31506849377984"/>
    <s v="UNPLANNED"/>
    <x v="1"/>
    <d v="1899-12-30T08:25:00"/>
    <x v="0"/>
  </r>
  <r>
    <n v="2547"/>
    <x v="1"/>
    <n v="6115271727900"/>
    <x v="681"/>
    <d v="2021-12-11T14:30:00"/>
    <d v="1899-12-30T06:05:00"/>
    <n v="49.31506849377984"/>
    <s v="UNPLANNED"/>
    <x v="1"/>
    <d v="1899-12-30T08:25:00"/>
    <x v="0"/>
  </r>
  <r>
    <n v="2548"/>
    <x v="0"/>
    <n v="5115271676200"/>
    <x v="681"/>
    <d v="2021-12-11T14:30:00"/>
    <d v="1899-12-30T06:05:00"/>
    <n v="49.31506849377984"/>
    <s v="UNPLANNED"/>
    <x v="0"/>
    <d v="1899-12-30T08:25:00"/>
    <x v="0"/>
  </r>
  <r>
    <n v="2549"/>
    <x v="9"/>
    <n v="2115270274700"/>
    <x v="681"/>
    <d v="2021-12-11T14:30:00"/>
    <d v="1899-12-30T06:05:00"/>
    <n v="49.31506849377984"/>
    <s v="UNPLANNED"/>
    <x v="0"/>
    <d v="1899-12-30T08:25:00"/>
    <x v="0"/>
  </r>
  <r>
    <n v="2550"/>
    <x v="10"/>
    <n v="11115271508506"/>
    <x v="682"/>
    <d v="2021-12-11T22:50:00"/>
    <d v="1899-12-30T07:25:00"/>
    <n v="40.449438201823916"/>
    <s v="UNPLANNED"/>
    <x v="0"/>
    <d v="1899-12-30T15:25:00"/>
    <x v="1"/>
  </r>
  <r>
    <n v="2551"/>
    <x v="11"/>
    <n v="10115271958203"/>
    <x v="682"/>
    <d v="2021-12-11T22:50:00"/>
    <d v="1899-12-30T07:25:00"/>
    <n v="40.449438201823916"/>
    <s v="UNPLANNED"/>
    <x v="2"/>
    <d v="1899-12-30T15:25:00"/>
    <x v="1"/>
  </r>
  <r>
    <n v="2552"/>
    <x v="7"/>
    <n v="7115271767600"/>
    <x v="682"/>
    <d v="2021-12-11T22:50:00"/>
    <d v="1899-12-30T07:25:00"/>
    <n v="40.449438201823916"/>
    <s v="UNPLANNED"/>
    <x v="0"/>
    <d v="1899-12-30T15:25:00"/>
    <x v="1"/>
  </r>
  <r>
    <n v="2553"/>
    <x v="0"/>
    <n v="5115271676200"/>
    <x v="682"/>
    <d v="2021-12-11T22:50:00"/>
    <d v="1899-12-30T07:25:00"/>
    <n v="40.449438201823916"/>
    <s v="UNPLANNED"/>
    <x v="0"/>
    <d v="1899-12-30T15:25:00"/>
    <x v="1"/>
  </r>
  <r>
    <n v="2554"/>
    <x v="13"/>
    <n v="3115270306400"/>
    <x v="682"/>
    <d v="2021-12-11T22:50:00"/>
    <d v="1899-12-30T07:25:00"/>
    <n v="40.449438201823916"/>
    <s v="UNPLANNED"/>
    <x v="0"/>
    <d v="1899-12-30T15:25:00"/>
    <x v="1"/>
  </r>
  <r>
    <n v="2555"/>
    <x v="14"/>
    <n v="1115270067600"/>
    <x v="682"/>
    <d v="2021-12-11T22:50:00"/>
    <d v="1899-12-30T07:25:00"/>
    <n v="40.449438201823916"/>
    <s v="UNPLANNED"/>
    <x v="0"/>
    <d v="1899-12-30T15:25:00"/>
    <x v="1"/>
  </r>
  <r>
    <n v="2556"/>
    <x v="14"/>
    <n v="1115270029800"/>
    <x v="682"/>
    <d v="2021-12-11T22:50:00"/>
    <d v="1899-12-30T07:25:00"/>
    <n v="40.449438201823916"/>
    <s v="UNPLANNED"/>
    <x v="0"/>
    <d v="1899-12-30T15:25:00"/>
    <x v="1"/>
  </r>
  <r>
    <n v="2557"/>
    <x v="2"/>
    <n v="12115271560212"/>
    <x v="683"/>
    <d v="2021-12-12T00:30:00"/>
    <d v="1899-12-30T01:50:00"/>
    <n v="163.63636363290004"/>
    <s v="UNPLANNED"/>
    <x v="1"/>
    <d v="1899-12-30T22:40:00"/>
    <x v="2"/>
  </r>
  <r>
    <n v="2558"/>
    <x v="7"/>
    <n v="7115271783716"/>
    <x v="683"/>
    <d v="2021-12-12T00:30:00"/>
    <d v="1899-12-30T01:50:00"/>
    <n v="163.63636363290004"/>
    <s v="UNPLANNED"/>
    <x v="1"/>
    <d v="1899-12-30T22:40:00"/>
    <x v="2"/>
  </r>
  <r>
    <n v="2559"/>
    <x v="13"/>
    <n v="3115270447600"/>
    <x v="683"/>
    <d v="2021-12-12T00:30:00"/>
    <d v="1899-12-30T01:50:00"/>
    <n v="163.63636363290004"/>
    <s v="UNPLANNED"/>
    <x v="0"/>
    <d v="1899-12-30T22:40:00"/>
    <x v="2"/>
  </r>
  <r>
    <n v="2560"/>
    <x v="13"/>
    <n v="3115270409300"/>
    <x v="683"/>
    <d v="2021-12-12T00:30:00"/>
    <d v="1899-12-30T01:50:00"/>
    <n v="163.63636363290004"/>
    <s v="UNPLANNED"/>
    <x v="0"/>
    <d v="1899-12-30T22:40:00"/>
    <x v="2"/>
  </r>
  <r>
    <n v="2561"/>
    <x v="9"/>
    <n v="2115270169700"/>
    <x v="683"/>
    <d v="2021-12-12T00:30:00"/>
    <d v="1899-12-30T01:50:00"/>
    <n v="163.63636363290004"/>
    <s v="UNPLANNED"/>
    <x v="0"/>
    <d v="1899-12-30T22:40:00"/>
    <x v="2"/>
  </r>
  <r>
    <n v="2562"/>
    <x v="14"/>
    <n v="1115270058100"/>
    <x v="683"/>
    <d v="2021-12-12T00:30:00"/>
    <d v="1899-12-30T01:50:00"/>
    <n v="163.63636363290004"/>
    <s v="UNPLANNED"/>
    <x v="0"/>
    <d v="1899-12-30T22:40:00"/>
    <x v="2"/>
  </r>
  <r>
    <n v="2563"/>
    <x v="2"/>
    <n v="12115271560306"/>
    <x v="684"/>
    <d v="2021-12-12T09:50:00"/>
    <d v="1899-12-30T01:30:00"/>
    <n v="200"/>
    <s v="UNPLANNED"/>
    <x v="0"/>
    <d v="1899-12-30T08:20:00"/>
    <x v="0"/>
  </r>
  <r>
    <n v="2564"/>
    <x v="11"/>
    <n v="10115271970605"/>
    <x v="685"/>
    <d v="2021-12-12T15:15:00"/>
    <d v="1899-12-30T04:45:00"/>
    <n v="63.157894737616061"/>
    <s v="UNPLANNED"/>
    <x v="0"/>
    <d v="1899-12-30T10:30:00"/>
    <x v="0"/>
  </r>
  <r>
    <n v="2565"/>
    <x v="7"/>
    <n v="7115271757100"/>
    <x v="685"/>
    <d v="2021-12-12T15:15:00"/>
    <d v="1899-12-30T04:45:00"/>
    <n v="63.157894737616061"/>
    <s v="UNPLANNED"/>
    <x v="0"/>
    <d v="1899-12-30T10:30:00"/>
    <x v="0"/>
  </r>
  <r>
    <n v="2566"/>
    <x v="13"/>
    <n v="3115270333900"/>
    <x v="686"/>
    <d v="2021-12-12T15:15:00"/>
    <d v="1899-12-30T01:34:00"/>
    <n v="191.489361718254"/>
    <s v="UNPLANNED"/>
    <x v="0"/>
    <d v="1899-12-30T13:41:00"/>
    <x v="0"/>
  </r>
  <r>
    <n v="2567"/>
    <x v="13"/>
    <n v="3115270332800"/>
    <x v="685"/>
    <d v="2021-12-12T15:15:00"/>
    <d v="1899-12-30T04:45:00"/>
    <n v="63.157894737616061"/>
    <s v="UNPLANNED"/>
    <x v="0"/>
    <d v="1899-12-30T10:30:00"/>
    <x v="0"/>
  </r>
  <r>
    <n v="2568"/>
    <x v="4"/>
    <n v="15115271757707"/>
    <x v="687"/>
    <d v="2021-12-12T17:10:00"/>
    <d v="1899-12-30T01:30:00"/>
    <n v="200"/>
    <s v="UNPLANNED"/>
    <x v="0"/>
    <d v="1899-12-30T15:40:00"/>
    <x v="1"/>
  </r>
  <r>
    <n v="2569"/>
    <x v="13"/>
    <n v="3115270408900"/>
    <x v="687"/>
    <d v="2021-12-12T17:10:00"/>
    <d v="1899-12-30T01:30:00"/>
    <n v="200"/>
    <s v="UNPLANNED"/>
    <x v="0"/>
    <d v="1899-12-30T15:40:00"/>
    <x v="1"/>
  </r>
  <r>
    <n v="2570"/>
    <x v="16"/>
    <n v="27115270384451"/>
    <x v="688"/>
    <d v="2021-12-12T18:25:00"/>
    <d v="1899-12-30T00:55:00"/>
    <n v="327.27272726580009"/>
    <s v="UNPLANNED"/>
    <x v="0"/>
    <d v="1899-12-30T17:30:00"/>
    <x v="1"/>
  </r>
  <r>
    <n v="2571"/>
    <x v="5"/>
    <n v="13115271590700"/>
    <x v="689"/>
    <d v="2021-12-13T14:45:00"/>
    <d v="1899-12-30T04:45:00"/>
    <n v="63.157894735294192"/>
    <s v="UNPLANNED"/>
    <x v="0"/>
    <d v="1899-12-30T10:00:00"/>
    <x v="0"/>
  </r>
  <r>
    <n v="2572"/>
    <x v="7"/>
    <n v="7115271760901"/>
    <x v="689"/>
    <d v="2021-12-13T14:45:00"/>
    <d v="1899-12-30T04:45:00"/>
    <n v="63.157894735294192"/>
    <s v="UNPLANNED"/>
    <x v="0"/>
    <d v="1899-12-30T10:00:00"/>
    <x v="0"/>
  </r>
  <r>
    <n v="2573"/>
    <x v="7"/>
    <n v="7115271760308"/>
    <x v="689"/>
    <d v="2021-12-13T14:45:00"/>
    <d v="1899-12-30T04:45:00"/>
    <n v="63.157894735294192"/>
    <s v="UNPLANNED"/>
    <x v="0"/>
    <d v="1899-12-30T10:00:00"/>
    <x v="0"/>
  </r>
  <r>
    <n v="2574"/>
    <x v="13"/>
    <n v="3115270309100"/>
    <x v="689"/>
    <d v="2021-12-13T14:45:00"/>
    <d v="1899-12-30T04:45:00"/>
    <n v="63.157894735294192"/>
    <s v="UNPLANNED"/>
    <x v="2"/>
    <d v="1899-12-30T10:00:00"/>
    <x v="0"/>
  </r>
  <r>
    <n v="2575"/>
    <x v="14"/>
    <n v="1115270061900"/>
    <x v="689"/>
    <d v="2021-12-13T14:45:00"/>
    <d v="1899-12-30T04:45:00"/>
    <n v="63.157894735294192"/>
    <s v="UNPLANNED"/>
    <x v="0"/>
    <d v="1899-12-30T10:00:00"/>
    <x v="0"/>
  </r>
  <r>
    <n v="2576"/>
    <x v="7"/>
    <n v="7115271759901"/>
    <x v="690"/>
    <d v="2021-12-13T17:15:00"/>
    <d v="1899-12-30T00:35:00"/>
    <n v="514.28571430282022"/>
    <s v="UNPLANNED"/>
    <x v="0"/>
    <d v="1899-12-30T16:40:00"/>
    <x v="1"/>
  </r>
  <r>
    <n v="2577"/>
    <x v="12"/>
    <n v="14115271672411"/>
    <x v="691"/>
    <d v="2021-12-14T12:00:00"/>
    <d v="1899-12-30T01:30:00"/>
    <n v="200"/>
    <s v="UNPLANNED"/>
    <x v="0"/>
    <d v="1899-12-30T10:30:00"/>
    <x v="0"/>
  </r>
  <r>
    <n v="2578"/>
    <x v="2"/>
    <n v="12115271574521"/>
    <x v="691"/>
    <d v="2021-12-14T12:00:00"/>
    <d v="1899-12-30T01:30:00"/>
    <n v="200"/>
    <s v="UNPLANNED"/>
    <x v="3"/>
    <d v="1899-12-30T10:30:00"/>
    <x v="0"/>
  </r>
  <r>
    <n v="2579"/>
    <x v="5"/>
    <n v="13115271642901"/>
    <x v="692"/>
    <d v="2021-12-14T20:00:00"/>
    <d v="1899-12-30T05:00:00"/>
    <n v="59.999999999301515"/>
    <s v="UNPLANNED"/>
    <x v="0"/>
    <d v="1899-12-30T15:00:00"/>
    <x v="1"/>
  </r>
  <r>
    <n v="2580"/>
    <x v="14"/>
    <n v="1115270052200"/>
    <x v="692"/>
    <d v="2021-12-14T20:00:00"/>
    <d v="1899-12-30T05:00:00"/>
    <n v="59.999999999301515"/>
    <s v="UNPLANNED"/>
    <x v="1"/>
    <d v="1899-12-30T15:00:00"/>
    <x v="1"/>
  </r>
  <r>
    <n v="2581"/>
    <x v="3"/>
    <n v="8115271877102"/>
    <x v="693"/>
    <d v="2021-12-15T13:40:00"/>
    <d v="1899-12-30T03:25:00"/>
    <n v="87.804878049777741"/>
    <s v="UNPLANNED"/>
    <x v="0"/>
    <d v="1899-12-30T10:15:00"/>
    <x v="0"/>
  </r>
  <r>
    <n v="2582"/>
    <x v="1"/>
    <n v="6115271741302"/>
    <x v="693"/>
    <d v="2021-12-15T13:40:00"/>
    <d v="1899-12-30T03:25:00"/>
    <n v="87.804878049777741"/>
    <s v="UNPLANNED"/>
    <x v="0"/>
    <d v="1899-12-30T10:15:00"/>
    <x v="0"/>
  </r>
  <r>
    <n v="2583"/>
    <x v="6"/>
    <n v="9115270640503"/>
    <x v="694"/>
    <d v="2021-12-15T18:25:00"/>
    <d v="1899-12-30T02:05:00"/>
    <n v="144.00000000134111"/>
    <s v="UNPLANNED"/>
    <x v="3"/>
    <d v="1899-12-30T16:20:00"/>
    <x v="1"/>
  </r>
  <r>
    <n v="2584"/>
    <x v="0"/>
    <n v="5115271676103"/>
    <x v="694"/>
    <d v="2021-12-15T18:25:00"/>
    <d v="1899-12-30T02:05:00"/>
    <n v="144.00000000134111"/>
    <s v="UNPLANNED"/>
    <x v="6"/>
    <d v="1899-12-30T16:20:00"/>
    <x v="1"/>
  </r>
  <r>
    <n v="2585"/>
    <x v="13"/>
    <n v="3115270408800"/>
    <x v="695"/>
    <d v="2021-12-15T19:40:00"/>
    <d v="1899-12-30T00:40:00"/>
    <n v="449.99999994761311"/>
    <s v="UNPLANNED"/>
    <x v="1"/>
    <d v="1899-12-30T19:00:00"/>
    <x v="1"/>
  </r>
  <r>
    <n v="2586"/>
    <x v="8"/>
    <n v="4115270830100"/>
    <x v="696"/>
    <d v="2021-12-16T00:00:01"/>
    <d v="1899-12-30T01:30:01"/>
    <n v="199.96296981174899"/>
    <s v="UNPLANNED"/>
    <x v="0"/>
    <d v="1899-12-30T22:30:00"/>
    <x v="2"/>
  </r>
  <r>
    <n v="2587"/>
    <x v="12"/>
    <n v="14115271678800"/>
    <x v="697"/>
    <d v="2021-12-16T13:30:00"/>
    <d v="1899-12-30T02:15:00"/>
    <n v="133.33333333333331"/>
    <s v="UNPLANNED"/>
    <x v="0"/>
    <d v="1899-12-30T11:15:00"/>
    <x v="0"/>
  </r>
  <r>
    <n v="2588"/>
    <x v="13"/>
    <n v="3115270320700"/>
    <x v="697"/>
    <d v="2021-12-16T13:30:00"/>
    <d v="1899-12-30T02:15:00"/>
    <n v="133.33333333333331"/>
    <s v="UNPLANNED"/>
    <x v="1"/>
    <d v="1899-12-30T11:15:00"/>
    <x v="0"/>
  </r>
  <r>
    <n v="2589"/>
    <x v="5"/>
    <n v="13115271634400"/>
    <x v="697"/>
    <d v="2021-12-16T13:40:00"/>
    <d v="1899-12-30T02:25:00"/>
    <n v="124.1379310334861"/>
    <s v="UNPLANNED"/>
    <x v="0"/>
    <d v="1899-12-30T11:15:00"/>
    <x v="0"/>
  </r>
  <r>
    <n v="2590"/>
    <x v="13"/>
    <n v="3115270280903"/>
    <x v="697"/>
    <d v="2021-12-16T13:40:00"/>
    <d v="1899-12-30T02:25:00"/>
    <n v="124.1379310334861"/>
    <s v="UNPLANNED"/>
    <x v="0"/>
    <d v="1899-12-30T11:15:00"/>
    <x v="0"/>
  </r>
  <r>
    <n v="2591"/>
    <x v="4"/>
    <n v="15115271775012"/>
    <x v="698"/>
    <d v="2021-12-16T20:40:00"/>
    <d v="1899-12-30T04:10:00"/>
    <n v="72.000000000670553"/>
    <s v="UNPLANNED"/>
    <x v="6"/>
    <d v="1899-12-30T16:30:00"/>
    <x v="1"/>
  </r>
  <r>
    <n v="2592"/>
    <x v="6"/>
    <n v="9115271952900"/>
    <x v="698"/>
    <d v="2021-12-16T20:40:00"/>
    <d v="1899-12-30T04:10:00"/>
    <n v="72.000000000670553"/>
    <s v="UNPLANNED"/>
    <x v="0"/>
    <d v="1899-12-30T16:30:00"/>
    <x v="1"/>
  </r>
  <r>
    <n v="2593"/>
    <x v="7"/>
    <n v="7115271760304"/>
    <x v="698"/>
    <d v="2021-12-16T20:40:00"/>
    <d v="1899-12-30T04:10:00"/>
    <n v="72.000000000670553"/>
    <s v="UNPLANNED"/>
    <x v="0"/>
    <d v="1899-12-30T16:30:00"/>
    <x v="1"/>
  </r>
  <r>
    <n v="2594"/>
    <x v="10"/>
    <n v="11115271560019"/>
    <x v="699"/>
    <d v="2021-12-17T02:15:00"/>
    <d v="1899-12-30T02:05:00"/>
    <n v="144.00000000134111"/>
    <s v="UNPLANNED"/>
    <x v="0"/>
    <d v="1899-12-30T00:10:00"/>
    <x v="2"/>
  </r>
  <r>
    <n v="2595"/>
    <x v="14"/>
    <n v="1115270040804"/>
    <x v="699"/>
    <d v="2021-12-17T02:15:00"/>
    <d v="1899-12-30T02:05:00"/>
    <n v="144.00000000134111"/>
    <s v="UNPLANNED"/>
    <x v="1"/>
    <d v="1899-12-30T00:10:00"/>
    <x v="2"/>
  </r>
  <r>
    <n v="2596"/>
    <x v="12"/>
    <n v="14115271672601"/>
    <x v="700"/>
    <d v="2021-12-17T13:00:00"/>
    <d v="1899-12-30T03:02:00"/>
    <n v="98.901098903249789"/>
    <s v="UNPLANNED"/>
    <x v="0"/>
    <d v="1899-12-30T09:58:00"/>
    <x v="0"/>
  </r>
  <r>
    <n v="2597"/>
    <x v="2"/>
    <n v="12115271573208"/>
    <x v="700"/>
    <d v="2021-12-17T13:00:00"/>
    <d v="1899-12-30T03:02:00"/>
    <n v="98.901098903249789"/>
    <s v="UNPLANNED"/>
    <x v="0"/>
    <d v="1899-12-30T09:58:00"/>
    <x v="0"/>
  </r>
  <r>
    <n v="2598"/>
    <x v="11"/>
    <n v="10115271959501"/>
    <x v="700"/>
    <d v="2021-12-17T13:00:00"/>
    <d v="1899-12-30T03:02:00"/>
    <n v="98.901098903249789"/>
    <s v="UNPLANNED"/>
    <x v="0"/>
    <d v="1899-12-30T09:58:00"/>
    <x v="0"/>
  </r>
  <r>
    <n v="2599"/>
    <x v="5"/>
    <n v="13115271644600"/>
    <x v="701"/>
    <d v="2021-12-17T17:40:00"/>
    <d v="1899-12-30T01:55:00"/>
    <n v="156.52173913360375"/>
    <s v="UNPLANNED"/>
    <x v="0"/>
    <d v="1899-12-30T15:45:00"/>
    <x v="1"/>
  </r>
  <r>
    <n v="2600"/>
    <x v="7"/>
    <n v="7115271768104"/>
    <x v="701"/>
    <d v="2021-12-17T17:40:00"/>
    <d v="1899-12-30T01:55:00"/>
    <n v="156.52173913360375"/>
    <s v="UNPLANNED"/>
    <x v="1"/>
    <d v="1899-12-30T15:45:00"/>
    <x v="1"/>
  </r>
  <r>
    <n v="2601"/>
    <x v="13"/>
    <n v="3115270341001"/>
    <x v="701"/>
    <d v="2021-12-17T17:40:00"/>
    <d v="1899-12-30T01:55:00"/>
    <n v="156.52173913360375"/>
    <s v="UNPLANNED"/>
    <x v="0"/>
    <d v="1899-12-30T15:45:00"/>
    <x v="1"/>
  </r>
  <r>
    <n v="2602"/>
    <x v="2"/>
    <n v="12115271584103"/>
    <x v="702"/>
    <d v="2021-12-17T21:40:00"/>
    <d v="1899-12-30T03:40:00"/>
    <n v="81.818181816450021"/>
    <s v="UNPLANNED"/>
    <x v="0"/>
    <d v="1899-12-30T18:00:00"/>
    <x v="1"/>
  </r>
  <r>
    <n v="2603"/>
    <x v="2"/>
    <n v="12115271574612"/>
    <x v="702"/>
    <d v="2021-12-17T21:40:00"/>
    <d v="1899-12-30T03:40:00"/>
    <n v="81.818181816450021"/>
    <s v="UNPLANNED"/>
    <x v="1"/>
    <d v="1899-12-30T18:00:00"/>
    <x v="1"/>
  </r>
  <r>
    <n v="2604"/>
    <x v="9"/>
    <n v="2115270274100"/>
    <x v="702"/>
    <d v="2021-12-17T21:40:00"/>
    <d v="1899-12-30T03:40:00"/>
    <n v="81.818181816450021"/>
    <s v="UNPLANNED"/>
    <x v="1"/>
    <d v="1899-12-30T18:00:00"/>
    <x v="1"/>
  </r>
  <r>
    <n v="2605"/>
    <x v="9"/>
    <n v="2115270265200"/>
    <x v="702"/>
    <d v="2021-12-17T21:40:00"/>
    <d v="1899-12-30T03:40:00"/>
    <n v="81.818181816450021"/>
    <s v="UNPLANNED"/>
    <x v="1"/>
    <d v="1899-12-30T18:00:00"/>
    <x v="1"/>
  </r>
  <r>
    <n v="2606"/>
    <x v="7"/>
    <n v="7115271756410"/>
    <x v="703"/>
    <d v="2021-12-18T10:55:00"/>
    <d v="1899-12-30T03:25:00"/>
    <n v="87.804878049777741"/>
    <s v="UNPLANNED"/>
    <x v="0"/>
    <d v="1899-12-30T07:30:00"/>
    <x v="0"/>
  </r>
  <r>
    <n v="2607"/>
    <x v="14"/>
    <n v="1115270146300"/>
    <x v="703"/>
    <d v="2021-12-18T10:55:00"/>
    <d v="1899-12-30T03:25:00"/>
    <n v="87.804878049777741"/>
    <s v="UNPLANNED"/>
    <x v="0"/>
    <d v="1899-12-30T07:30:00"/>
    <x v="0"/>
  </r>
  <r>
    <n v="2608"/>
    <x v="1"/>
    <n v="6115271721114"/>
    <x v="704"/>
    <d v="2021-12-18T13:30:00"/>
    <d v="1899-12-30T02:15:00"/>
    <n v="133.33333333333331"/>
    <s v="UNPLANNED"/>
    <x v="0"/>
    <d v="1899-12-30T11:15:00"/>
    <x v="0"/>
  </r>
  <r>
    <n v="2609"/>
    <x v="11"/>
    <n v="10115271967801"/>
    <x v="705"/>
    <d v="2021-12-18T16:50:00"/>
    <d v="1899-12-30T01:50:00"/>
    <n v="163.63636363290004"/>
    <s v="UNPLANNED"/>
    <x v="0"/>
    <d v="1899-12-30T15:00:00"/>
    <x v="1"/>
  </r>
  <r>
    <n v="2610"/>
    <x v="7"/>
    <n v="7115271783707"/>
    <x v="705"/>
    <d v="2021-12-18T16:50:00"/>
    <d v="1899-12-30T01:50:00"/>
    <n v="163.63636363290004"/>
    <s v="UNPLANNED"/>
    <x v="0"/>
    <d v="1899-12-30T15:00:00"/>
    <x v="1"/>
  </r>
  <r>
    <n v="2611"/>
    <x v="11"/>
    <n v="10115271434200"/>
    <x v="706"/>
    <d v="2021-12-18T19:40:00"/>
    <d v="1899-12-30T02:10:00"/>
    <n v="138.46153845657875"/>
    <s v="UNPLANNED"/>
    <x v="0"/>
    <d v="1899-12-30T17:30:00"/>
    <x v="1"/>
  </r>
  <r>
    <n v="2612"/>
    <x v="8"/>
    <n v="4115270825901"/>
    <x v="706"/>
    <d v="2021-12-18T19:40:00"/>
    <d v="1899-12-30T02:10:00"/>
    <n v="138.46153845657875"/>
    <s v="UNPLANNED"/>
    <x v="0"/>
    <d v="1899-12-30T17:30:00"/>
    <x v="1"/>
  </r>
  <r>
    <n v="2613"/>
    <x v="5"/>
    <n v="13115271639300"/>
    <x v="707"/>
    <d v="2021-12-19T18:35:00"/>
    <d v="1899-12-30T02:10:00"/>
    <n v="138.46153846773811"/>
    <s v="UNPLANNED"/>
    <x v="1"/>
    <d v="1899-12-30T16:25:00"/>
    <x v="1"/>
  </r>
  <r>
    <n v="2614"/>
    <x v="11"/>
    <n v="10115271959701"/>
    <x v="707"/>
    <d v="2021-12-19T18:35:00"/>
    <d v="1899-12-30T02:10:00"/>
    <n v="138.46153846773811"/>
    <s v="UNPLANNED"/>
    <x v="0"/>
    <d v="1899-12-30T16:25:00"/>
    <x v="1"/>
  </r>
  <r>
    <n v="2615"/>
    <x v="7"/>
    <n v="7115271760300"/>
    <x v="707"/>
    <d v="2021-12-19T18:35:00"/>
    <d v="1899-12-30T02:10:00"/>
    <n v="138.46153846773811"/>
    <s v="UNPLANNED"/>
    <x v="0"/>
    <d v="1899-12-30T16:25:00"/>
    <x v="1"/>
  </r>
  <r>
    <n v="2616"/>
    <x v="2"/>
    <n v="12115271560121"/>
    <x v="708"/>
    <d v="2021-12-20T14:50:00"/>
    <d v="1899-12-30T01:13:00"/>
    <n v="246.57534247597715"/>
    <s v="UNPLANNED"/>
    <x v="1"/>
    <d v="1899-12-30T13:37:00"/>
    <x v="0"/>
  </r>
  <r>
    <n v="2617"/>
    <x v="8"/>
    <n v="4115270848000"/>
    <x v="709"/>
    <d v="2021-12-20T13:50:00"/>
    <d v="1899-12-30T02:13:00"/>
    <n v="135.33834586063392"/>
    <s v="UNPLANNED"/>
    <x v="1"/>
    <d v="1899-12-30T11:37:00"/>
    <x v="0"/>
  </r>
  <r>
    <n v="2618"/>
    <x v="13"/>
    <n v="3115270421800"/>
    <x v="709"/>
    <d v="2021-12-20T13:50:00"/>
    <d v="1899-12-30T02:13:00"/>
    <n v="135.33834586063392"/>
    <s v="UNPLANNED"/>
    <x v="1"/>
    <d v="1899-12-30T11:37:00"/>
    <x v="0"/>
  </r>
  <r>
    <n v="2619"/>
    <x v="14"/>
    <n v="1115270027500"/>
    <x v="709"/>
    <d v="2021-12-20T13:50:00"/>
    <d v="1899-12-30T02:13:00"/>
    <n v="135.33834586063392"/>
    <s v="UNPLANNED"/>
    <x v="1"/>
    <d v="1899-12-30T11:37:00"/>
    <x v="0"/>
  </r>
  <r>
    <n v="2620"/>
    <x v="10"/>
    <n v="11115271542600"/>
    <x v="710"/>
    <d v="2021-12-20T19:00:00"/>
    <d v="1899-12-30T01:50:00"/>
    <n v="163.63636364848622"/>
    <s v="UNPLANNED"/>
    <x v="1"/>
    <d v="1899-12-30T17:10:00"/>
    <x v="1"/>
  </r>
  <r>
    <n v="2621"/>
    <x v="11"/>
    <n v="10115271433901"/>
    <x v="710"/>
    <d v="2021-12-20T19:00:00"/>
    <d v="1899-12-30T01:50:00"/>
    <n v="163.63636364848622"/>
    <s v="UNPLANNED"/>
    <x v="0"/>
    <d v="1899-12-30T17:10:00"/>
    <x v="1"/>
  </r>
  <r>
    <n v="2622"/>
    <x v="12"/>
    <n v="14115271686301"/>
    <x v="711"/>
    <d v="2021-12-21T12:45:00"/>
    <d v="1899-12-30T03:30:00"/>
    <n v="85.714285712860217"/>
    <s v="UNPLANNED"/>
    <x v="0"/>
    <d v="1899-12-30T09:15:00"/>
    <x v="0"/>
  </r>
  <r>
    <n v="2623"/>
    <x v="12"/>
    <n v="14115271678505"/>
    <x v="711"/>
    <d v="2021-12-21T12:45:00"/>
    <d v="1899-12-30T03:30:00"/>
    <n v="85.714285712860217"/>
    <s v="UNPLANNED"/>
    <x v="0"/>
    <d v="1899-12-30T09:15:00"/>
    <x v="0"/>
  </r>
  <r>
    <n v="2624"/>
    <x v="12"/>
    <n v="14115271672404"/>
    <x v="711"/>
    <d v="2021-12-21T12:45:00"/>
    <d v="1899-12-30T03:30:00"/>
    <n v="85.714285712860217"/>
    <s v="UNPLANNED"/>
    <x v="1"/>
    <d v="1899-12-30T09:15:00"/>
    <x v="0"/>
  </r>
  <r>
    <n v="2625"/>
    <x v="1"/>
    <n v="6115271731100"/>
    <x v="711"/>
    <d v="2021-12-21T12:45:00"/>
    <d v="1899-12-30T03:30:00"/>
    <n v="85.714285712860217"/>
    <s v="UNPLANNED"/>
    <x v="1"/>
    <d v="1899-12-30T09:15:00"/>
    <x v="0"/>
  </r>
  <r>
    <n v="2626"/>
    <x v="14"/>
    <n v="1115270156000"/>
    <x v="711"/>
    <d v="2021-12-21T12:45:00"/>
    <d v="1899-12-30T03:30:00"/>
    <n v="85.714285712860217"/>
    <s v="UNPLANNED"/>
    <x v="1"/>
    <d v="1899-12-30T09:15:00"/>
    <x v="0"/>
  </r>
  <r>
    <n v="2627"/>
    <x v="12"/>
    <n v="14115271672601"/>
    <x v="712"/>
    <d v="2021-12-21T18:00:00"/>
    <d v="1899-12-30T02:18:00"/>
    <n v="130.43478260935586"/>
    <s v="UNPLANNED"/>
    <x v="0"/>
    <d v="1899-12-30T15:42:00"/>
    <x v="1"/>
  </r>
  <r>
    <n v="2628"/>
    <x v="13"/>
    <n v="3115270306603"/>
    <x v="712"/>
    <d v="2021-12-21T18:00:00"/>
    <d v="1899-12-30T02:18:00"/>
    <n v="130.43478260935586"/>
    <s v="UNPLANNED"/>
    <x v="0"/>
    <d v="1899-12-30T15:42:00"/>
    <x v="1"/>
  </r>
  <r>
    <n v="2629"/>
    <x v="5"/>
    <n v="13115271633602"/>
    <x v="713"/>
    <d v="2021-12-22T13:00:00"/>
    <d v="1899-12-30T02:18:00"/>
    <n v="130.43478260935586"/>
    <s v="UNPLANNED"/>
    <x v="1"/>
    <d v="1899-12-30T10:42:00"/>
    <x v="0"/>
  </r>
  <r>
    <n v="2630"/>
    <x v="10"/>
    <n v="11115271534102"/>
    <x v="713"/>
    <d v="2021-12-22T13:00:00"/>
    <d v="1899-12-30T02:18:00"/>
    <n v="130.43478260935586"/>
    <s v="UNPLANNED"/>
    <x v="1"/>
    <d v="1899-12-30T10:42:00"/>
    <x v="0"/>
  </r>
  <r>
    <n v="2631"/>
    <x v="7"/>
    <n v="7115271757603"/>
    <x v="713"/>
    <d v="2021-12-22T13:00:00"/>
    <d v="1899-12-30T02:18:00"/>
    <n v="130.43478260935586"/>
    <s v="UNPLANNED"/>
    <x v="1"/>
    <d v="1899-12-30T10:42:00"/>
    <x v="0"/>
  </r>
  <r>
    <n v="2632"/>
    <x v="14"/>
    <n v="1115270122700"/>
    <x v="713"/>
    <d v="2021-12-22T13:00:00"/>
    <d v="1899-12-30T02:18:00"/>
    <n v="130.43478260935586"/>
    <s v="UNPLANNED"/>
    <x v="0"/>
    <d v="1899-12-30T10:42:00"/>
    <x v="0"/>
  </r>
  <r>
    <n v="2633"/>
    <x v="12"/>
    <n v="14115271687622"/>
    <x v="714"/>
    <d v="2021-12-22T20:20:00"/>
    <d v="1899-12-30T02:05:00"/>
    <n v="144.00000000134111"/>
    <s v="UNPLANNED"/>
    <x v="1"/>
    <d v="1899-12-30T18:15:00"/>
    <x v="1"/>
  </r>
  <r>
    <n v="2634"/>
    <x v="1"/>
    <n v="6115271698102"/>
    <x v="714"/>
    <d v="2021-12-22T20:20:00"/>
    <d v="1899-12-30T02:05:00"/>
    <n v="144.00000000134111"/>
    <s v="UNPLANNED"/>
    <x v="0"/>
    <d v="1899-12-30T18:15:00"/>
    <x v="1"/>
  </r>
  <r>
    <n v="2635"/>
    <x v="9"/>
    <n v="2115270221200"/>
    <x v="714"/>
    <d v="2021-12-22T20:20:00"/>
    <d v="1899-12-30T02:05:00"/>
    <n v="144.00000000134111"/>
    <s v="UNPLANNED"/>
    <x v="0"/>
    <d v="1899-12-30T18:15:00"/>
    <x v="1"/>
  </r>
  <r>
    <n v="2636"/>
    <x v="10"/>
    <n v="11115271539403"/>
    <x v="715"/>
    <d v="2021-12-22T22:00:00"/>
    <d v="1899-12-30T01:00:00"/>
    <n v="300.0000000174623"/>
    <s v="UNPLANNED"/>
    <x v="1"/>
    <d v="1899-12-30T21:00:00"/>
    <x v="1"/>
  </r>
  <r>
    <n v="2637"/>
    <x v="7"/>
    <n v="7115271760310"/>
    <x v="715"/>
    <d v="2021-12-22T22:00:00"/>
    <d v="1899-12-30T01:00:00"/>
    <n v="300.0000000174623"/>
    <s v="UNPLANNED"/>
    <x v="1"/>
    <d v="1899-12-30T21:00:00"/>
    <x v="1"/>
  </r>
  <r>
    <n v="2638"/>
    <x v="9"/>
    <n v="2115270181800"/>
    <x v="716"/>
    <d v="2021-12-23T11:40:00"/>
    <d v="1899-12-30T01:10:00"/>
    <n v="257.14285715141011"/>
    <s v="UNPLANNED"/>
    <x v="1"/>
    <d v="1899-12-30T10:30:00"/>
    <x v="0"/>
  </r>
  <r>
    <n v="2639"/>
    <x v="2"/>
    <n v="12115271560167"/>
    <x v="717"/>
    <d v="2021-12-23T13:30:00"/>
    <d v="1899-12-30T01:15:00"/>
    <n v="239.99999998882413"/>
    <s v="UNPLANNED"/>
    <x v="0"/>
    <d v="1899-12-30T12:15:00"/>
    <x v="0"/>
  </r>
  <r>
    <n v="2640"/>
    <x v="13"/>
    <n v="3115270336700"/>
    <x v="717"/>
    <d v="2021-12-23T13:30:00"/>
    <d v="1899-12-30T01:15:00"/>
    <n v="239.99999998882413"/>
    <s v="UNPLANNED"/>
    <x v="1"/>
    <d v="1899-12-30T12:15:00"/>
    <x v="0"/>
  </r>
  <r>
    <n v="2641"/>
    <x v="5"/>
    <n v="13115271590905"/>
    <x v="718"/>
    <d v="2021-12-23T18:15:00"/>
    <d v="1899-12-30T01:30:00"/>
    <n v="200"/>
    <s v="UNPLANNED"/>
    <x v="1"/>
    <d v="1899-12-30T16:45:00"/>
    <x v="1"/>
  </r>
  <r>
    <n v="2642"/>
    <x v="13"/>
    <n v="3115270305801"/>
    <x v="718"/>
    <d v="2021-12-23T18:15:00"/>
    <d v="1899-12-30T01:30:00"/>
    <n v="200"/>
    <s v="UNPLANNED"/>
    <x v="0"/>
    <d v="1899-12-30T16:45:00"/>
    <x v="1"/>
  </r>
  <r>
    <n v="2643"/>
    <x v="9"/>
    <n v="2115270274400"/>
    <x v="719"/>
    <d v="2021-12-23T21:55:00"/>
    <d v="1899-12-30T00:35:00"/>
    <n v="514.28571430282022"/>
    <s v="UNPLANNED"/>
    <x v="0"/>
    <d v="1899-12-30T21:20:00"/>
    <x v="1"/>
  </r>
  <r>
    <n v="2644"/>
    <x v="8"/>
    <n v="4115270847300"/>
    <x v="720"/>
    <d v="2021-12-23T23:30:00"/>
    <d v="1899-12-30T00:50:00"/>
    <n v="360.00000003352761"/>
    <s v="UNPLANNED"/>
    <x v="0"/>
    <d v="1899-12-30T22:40:00"/>
    <x v="2"/>
  </r>
  <r>
    <n v="2645"/>
    <x v="13"/>
    <n v="3115270421100"/>
    <x v="721"/>
    <d v="2021-12-24T00:40:00"/>
    <d v="1899-12-30T00:55:00"/>
    <n v="327.27272726580009"/>
    <s v="UNPLANNED"/>
    <x v="0"/>
    <d v="1899-12-30T23:45:00"/>
    <x v="2"/>
  </r>
  <r>
    <n v="2646"/>
    <x v="6"/>
    <n v="9115271952100"/>
    <x v="722"/>
    <d v="2021-12-24T12:30:00"/>
    <d v="1899-12-30T03:20:00"/>
    <n v="89.999999998952262"/>
    <s v="UNPLANNED"/>
    <x v="1"/>
    <d v="1899-12-30T09:10:00"/>
    <x v="0"/>
  </r>
  <r>
    <n v="2647"/>
    <x v="7"/>
    <n v="7115271760002"/>
    <x v="722"/>
    <d v="2021-12-24T12:30:00"/>
    <d v="1899-12-30T03:20:00"/>
    <n v="89.999999998952262"/>
    <s v="UNPLANNED"/>
    <x v="0"/>
    <d v="1899-12-30T09:10:00"/>
    <x v="0"/>
  </r>
  <r>
    <n v="2648"/>
    <x v="13"/>
    <n v="3115270421200"/>
    <x v="722"/>
    <d v="2021-12-24T12:30:00"/>
    <d v="1899-12-30T03:20:00"/>
    <n v="89.999999998952262"/>
    <s v="UNPLANNED"/>
    <x v="0"/>
    <d v="1899-12-30T09:10:00"/>
    <x v="0"/>
  </r>
  <r>
    <n v="2649"/>
    <x v="5"/>
    <n v="13115271590301"/>
    <x v="723"/>
    <d v="2021-12-24T13:50:00"/>
    <d v="1899-12-30T01:05:00"/>
    <n v="276.9230769131575"/>
    <s v="UNPLANNED"/>
    <x v="1"/>
    <d v="1899-12-30T12:45:00"/>
    <x v="0"/>
  </r>
  <r>
    <n v="2650"/>
    <x v="5"/>
    <n v="13115271607500"/>
    <x v="724"/>
    <d v="2021-12-24T17:35:00"/>
    <d v="1899-12-30T01:35:00"/>
    <n v="189.47368419891703"/>
    <s v="UNPLANNED"/>
    <x v="1"/>
    <d v="1899-12-30T16:00:00"/>
    <x v="1"/>
  </r>
  <r>
    <n v="2651"/>
    <x v="7"/>
    <n v="7115271760700"/>
    <x v="724"/>
    <d v="2021-12-24T17:35:00"/>
    <d v="1899-12-30T01:35:00"/>
    <n v="189.47368419891703"/>
    <s v="UNPLANNED"/>
    <x v="1"/>
    <d v="1899-12-30T16:00:00"/>
    <x v="1"/>
  </r>
  <r>
    <n v="2652"/>
    <x v="0"/>
    <n v="5115271258103"/>
    <x v="724"/>
    <d v="2021-12-24T17:35:00"/>
    <d v="1899-12-30T01:35:00"/>
    <n v="189.47368419891703"/>
    <s v="UNPLANNED"/>
    <x v="0"/>
    <d v="1899-12-30T16:00:00"/>
    <x v="1"/>
  </r>
  <r>
    <n v="2653"/>
    <x v="5"/>
    <n v="13115271591107"/>
    <x v="725"/>
    <d v="2021-12-24T20:15:00"/>
    <d v="1899-12-30T01:40:00"/>
    <n v="179.99999999790452"/>
    <s v="UNPLANNED"/>
    <x v="1"/>
    <d v="1899-12-30T18:35:00"/>
    <x v="1"/>
  </r>
  <r>
    <n v="2654"/>
    <x v="11"/>
    <n v="10115271453603"/>
    <x v="725"/>
    <d v="2021-12-24T20:15:00"/>
    <d v="1899-12-30T01:40:00"/>
    <n v="179.99999999790452"/>
    <s v="UNPLANNED"/>
    <x v="2"/>
    <d v="1899-12-30T18:35:00"/>
    <x v="1"/>
  </r>
  <r>
    <n v="2655"/>
    <x v="3"/>
    <n v="8115271809802"/>
    <x v="725"/>
    <d v="2021-12-24T20:15:00"/>
    <d v="1899-12-30T01:40:00"/>
    <n v="179.99999999790452"/>
    <s v="UNPLANNED"/>
    <x v="0"/>
    <d v="1899-12-30T18:35:00"/>
    <x v="1"/>
  </r>
  <r>
    <n v="2656"/>
    <x v="13"/>
    <n v="3115270308800"/>
    <x v="725"/>
    <d v="2021-12-24T20:15:00"/>
    <d v="1899-12-30T01:40:00"/>
    <n v="179.99999999790452"/>
    <s v="UNPLANNED"/>
    <x v="0"/>
    <d v="1899-12-30T18:35:00"/>
    <x v="1"/>
  </r>
  <r>
    <n v="2657"/>
    <x v="9"/>
    <n v="2115270217500"/>
    <x v="726"/>
    <d v="2021-12-24T23:40:00"/>
    <d v="1899-12-30T00:50:00"/>
    <n v="360.00000003352761"/>
    <s v="UNPLANNED"/>
    <x v="1"/>
    <d v="1899-12-30T22:50:00"/>
    <x v="2"/>
  </r>
  <r>
    <n v="2658"/>
    <x v="12"/>
    <n v="14115271672502"/>
    <x v="727"/>
    <d v="2021-12-25T12:25:00"/>
    <d v="1899-12-30T03:25:00"/>
    <n v="87.804878049777741"/>
    <s v="UNPLANNED"/>
    <x v="1"/>
    <d v="1899-12-30T09:00:00"/>
    <x v="0"/>
  </r>
  <r>
    <n v="2659"/>
    <x v="3"/>
    <n v="8115271813103"/>
    <x v="727"/>
    <d v="2021-12-25T12:35:00"/>
    <d v="1899-12-30T03:35:00"/>
    <n v="83.720930233011458"/>
    <s v="UNPLANNED"/>
    <x v="0"/>
    <d v="1899-12-30T09:00:00"/>
    <x v="0"/>
  </r>
  <r>
    <n v="2660"/>
    <x v="7"/>
    <n v="7115271760900"/>
    <x v="727"/>
    <d v="2021-12-25T12:35:00"/>
    <d v="1899-12-30T03:35:00"/>
    <n v="83.720930233011458"/>
    <s v="UNPLANNED"/>
    <x v="0"/>
    <d v="1899-12-30T09:00:00"/>
    <x v="0"/>
  </r>
  <r>
    <n v="2661"/>
    <x v="1"/>
    <n v="6115271741302"/>
    <x v="727"/>
    <d v="2021-12-25T12:35:00"/>
    <d v="1899-12-30T03:35:00"/>
    <n v="83.720930233011458"/>
    <s v="UNPLANNED"/>
    <x v="0"/>
    <d v="1899-12-30T09:00:00"/>
    <x v="0"/>
  </r>
  <r>
    <n v="2662"/>
    <x v="1"/>
    <n v="6115271723702"/>
    <x v="727"/>
    <d v="2021-12-25T12:35:00"/>
    <d v="1899-12-30T03:35:00"/>
    <n v="83.720930233011458"/>
    <s v="UNPLANNED"/>
    <x v="0"/>
    <d v="1899-12-30T09:00:00"/>
    <x v="0"/>
  </r>
  <r>
    <n v="2663"/>
    <x v="5"/>
    <n v="13115271639301"/>
    <x v="728"/>
    <d v="2021-12-25T18:30:00"/>
    <d v="1899-12-30T01:50:00"/>
    <n v="163.63636363290004"/>
    <s v="UNPLANNED"/>
    <x v="0"/>
    <d v="1899-12-30T16:40:00"/>
    <x v="1"/>
  </r>
  <r>
    <n v="2664"/>
    <x v="3"/>
    <n v="8115270618403"/>
    <x v="728"/>
    <d v="2021-12-25T18:30:00"/>
    <d v="1899-12-30T01:50:00"/>
    <n v="163.63636363290004"/>
    <s v="UNPLANNED"/>
    <x v="0"/>
    <d v="1899-12-30T16:40:00"/>
    <x v="1"/>
  </r>
  <r>
    <n v="2665"/>
    <x v="1"/>
    <n v="6115271722213"/>
    <x v="728"/>
    <d v="2021-12-25T18:30:00"/>
    <d v="1899-12-30T01:50:00"/>
    <n v="163.63636363290004"/>
    <s v="UNPLANNED"/>
    <x v="0"/>
    <d v="1899-12-30T16:40:00"/>
    <x v="1"/>
  </r>
  <r>
    <n v="2666"/>
    <x v="14"/>
    <n v="1115270067700"/>
    <x v="729"/>
    <d v="2021-12-26T00:10:00"/>
    <d v="1899-12-30T00:55:00"/>
    <n v="327.27272726580009"/>
    <s v="UNPLANNED"/>
    <x v="0"/>
    <d v="1899-12-30T23:15:00"/>
    <x v="2"/>
  </r>
  <r>
    <n v="2667"/>
    <x v="11"/>
    <n v="10115271964300"/>
    <x v="730"/>
    <d v="2021-12-26T17:00:00"/>
    <d v="1899-12-30T01:35:00"/>
    <n v="189.47368419891703"/>
    <s v="UNPLANNED"/>
    <x v="1"/>
    <d v="1899-12-30T15:25:00"/>
    <x v="1"/>
  </r>
  <r>
    <n v="2668"/>
    <x v="13"/>
    <n v="3115270310900"/>
    <x v="730"/>
    <d v="2021-12-26T17:00:00"/>
    <d v="1899-12-30T01:35:00"/>
    <n v="189.47368419891703"/>
    <s v="UNPLANNED"/>
    <x v="0"/>
    <d v="1899-12-30T15:25:00"/>
    <x v="1"/>
  </r>
  <r>
    <n v="2669"/>
    <x v="2"/>
    <n v="12115271571018"/>
    <x v="731"/>
    <d v="2021-12-26T20:00:00"/>
    <d v="1899-12-30T02:20:00"/>
    <n v="128.57142856608297"/>
    <s v="UNPLANNED"/>
    <x v="1"/>
    <d v="1899-12-30T17:40:00"/>
    <x v="1"/>
  </r>
  <r>
    <n v="2670"/>
    <x v="3"/>
    <n v="8115271820900"/>
    <x v="731"/>
    <d v="2021-12-26T20:00:00"/>
    <d v="1899-12-30T02:20:00"/>
    <n v="128.57142856608297"/>
    <s v="UNPLANNED"/>
    <x v="0"/>
    <d v="1899-12-30T17:40:00"/>
    <x v="1"/>
  </r>
  <r>
    <n v="2671"/>
    <x v="8"/>
    <n v="4115270847506"/>
    <x v="731"/>
    <d v="2021-12-26T20:00:00"/>
    <d v="1899-12-30T02:20:00"/>
    <n v="128.57142856608297"/>
    <s v="UNPLANNED"/>
    <x v="1"/>
    <d v="1899-12-30T17:40:00"/>
    <x v="1"/>
  </r>
  <r>
    <n v="2672"/>
    <x v="13"/>
    <n v="3115270341004"/>
    <x v="731"/>
    <d v="2021-12-26T20:00:00"/>
    <d v="1899-12-30T02:20:00"/>
    <n v="128.57142856608297"/>
    <s v="UNPLANNED"/>
    <x v="1"/>
    <d v="1899-12-30T17:40:00"/>
    <x v="1"/>
  </r>
  <r>
    <n v="2673"/>
    <x v="5"/>
    <n v="13115271604900"/>
    <x v="732"/>
    <d v="2021-12-27T13:55:00"/>
    <d v="1899-12-30T04:10:00"/>
    <n v="72.000000000670553"/>
    <s v="UNPLANNED"/>
    <x v="0"/>
    <d v="1899-12-30T09:45:00"/>
    <x v="0"/>
  </r>
  <r>
    <n v="2674"/>
    <x v="6"/>
    <n v="9115271945600"/>
    <x v="732"/>
    <d v="2021-12-27T13:55:00"/>
    <d v="1899-12-30T04:10:00"/>
    <n v="72.000000000670553"/>
    <s v="UNPLANNED"/>
    <x v="1"/>
    <d v="1899-12-30T09:45:00"/>
    <x v="0"/>
  </r>
  <r>
    <n v="2675"/>
    <x v="7"/>
    <n v="7115271771008"/>
    <x v="732"/>
    <d v="2021-12-27T13:55:00"/>
    <d v="1899-12-30T04:10:00"/>
    <n v="72.000000000670553"/>
    <s v="UNPLANNED"/>
    <x v="1"/>
    <d v="1899-12-30T09:45:00"/>
    <x v="0"/>
  </r>
  <r>
    <n v="2676"/>
    <x v="1"/>
    <n v="6115271690602"/>
    <x v="732"/>
    <d v="2021-12-27T13:55:00"/>
    <d v="1899-12-30T04:10:00"/>
    <n v="72.000000000670553"/>
    <s v="UNPLANNED"/>
    <x v="1"/>
    <d v="1899-12-30T09:45:00"/>
    <x v="0"/>
  </r>
  <r>
    <n v="2677"/>
    <x v="2"/>
    <n v="12115271577320"/>
    <x v="733"/>
    <d v="2021-12-27T19:15:00"/>
    <d v="1899-12-30T02:55:00"/>
    <n v="102.85714285440591"/>
    <s v="UNPLANNED"/>
    <x v="0"/>
    <d v="1899-12-30T16:20:00"/>
    <x v="1"/>
  </r>
  <r>
    <n v="2678"/>
    <x v="13"/>
    <n v="3115270306404"/>
    <x v="733"/>
    <d v="2021-12-27T19:15:00"/>
    <d v="1899-12-30T02:55:00"/>
    <n v="102.85714285440591"/>
    <s v="UNPLANNED"/>
    <x v="0"/>
    <d v="1899-12-30T16:20:00"/>
    <x v="1"/>
  </r>
  <r>
    <n v="2679"/>
    <x v="9"/>
    <n v="2115270218301"/>
    <x v="733"/>
    <d v="2021-12-27T19:15:00"/>
    <d v="1899-12-30T02:55:00"/>
    <n v="102.85714285440591"/>
    <s v="UNPLANNED"/>
    <x v="1"/>
    <d v="1899-12-30T16:20:00"/>
    <x v="1"/>
  </r>
  <r>
    <n v="2680"/>
    <x v="1"/>
    <n v="6115271720824"/>
    <x v="734"/>
    <d v="2021-12-27T21:55:00"/>
    <d v="1899-12-30T00:30:00"/>
    <n v="599.99999993015081"/>
    <s v="UNPLANNED"/>
    <x v="1"/>
    <d v="1899-12-30T21:25:00"/>
    <x v="1"/>
  </r>
  <r>
    <n v="2681"/>
    <x v="8"/>
    <n v="4115270847103"/>
    <x v="735"/>
    <d v="2021-12-27T23:40:00"/>
    <d v="1899-12-30T01:10:00"/>
    <n v="257.14285715141011"/>
    <s v="UNPLANNED"/>
    <x v="1"/>
    <d v="1899-12-30T22:30:00"/>
    <x v="2"/>
  </r>
  <r>
    <n v="2682"/>
    <x v="12"/>
    <n v="14115271675103"/>
    <x v="736"/>
    <d v="2021-12-28T12:40:00"/>
    <d v="1899-12-30T03:10:00"/>
    <n v="94.736842104682694"/>
    <s v="UNPLANNED"/>
    <x v="1"/>
    <d v="1899-12-30T09:30:00"/>
    <x v="0"/>
  </r>
  <r>
    <n v="2683"/>
    <x v="1"/>
    <n v="6115271691208"/>
    <x v="736"/>
    <d v="2021-12-28T12:40:00"/>
    <d v="1899-12-30T03:10:00"/>
    <n v="94.736842104682694"/>
    <s v="UNPLANNED"/>
    <x v="1"/>
    <d v="1899-12-30T09:30:00"/>
    <x v="0"/>
  </r>
  <r>
    <n v="2684"/>
    <x v="0"/>
    <n v="5115271256501"/>
    <x v="736"/>
    <d v="2021-12-28T12:40:00"/>
    <d v="1899-12-30T03:10:00"/>
    <n v="94.736842104682694"/>
    <s v="UNPLANNED"/>
    <x v="1"/>
    <d v="1899-12-30T09:30:00"/>
    <x v="0"/>
  </r>
  <r>
    <n v="2685"/>
    <x v="4"/>
    <n v="15115271743401"/>
    <x v="737"/>
    <d v="2021-12-28T17:00:00"/>
    <d v="1899-12-30T00:45:00"/>
    <n v="400"/>
    <s v="UNPLANNED"/>
    <x v="0"/>
    <d v="1899-12-30T16:15:00"/>
    <x v="1"/>
  </r>
  <r>
    <n v="2686"/>
    <x v="12"/>
    <n v="14115271729400"/>
    <x v="738"/>
    <d v="2021-12-28T20:45:00"/>
    <d v="1899-12-30T02:00:00"/>
    <n v="149.99999999563443"/>
    <s v="UNPLANNED"/>
    <x v="0"/>
    <d v="1899-12-30T18:45:00"/>
    <x v="1"/>
  </r>
  <r>
    <n v="2687"/>
    <x v="7"/>
    <n v="7115271768300"/>
    <x v="738"/>
    <d v="2021-12-28T20:45:00"/>
    <d v="1899-12-30T02:00:00"/>
    <n v="149.99999999563443"/>
    <s v="UNPLANNED"/>
    <x v="1"/>
    <d v="1899-12-30T18:45:00"/>
    <x v="1"/>
  </r>
  <r>
    <n v="2688"/>
    <x v="7"/>
    <n v="7115271760700"/>
    <x v="738"/>
    <d v="2021-12-28T20:45:00"/>
    <d v="1899-12-30T02:00:00"/>
    <n v="149.99999999563443"/>
    <s v="UNPLANNED"/>
    <x v="0"/>
    <d v="1899-12-30T18:45:00"/>
    <x v="1"/>
  </r>
  <r>
    <n v="2689"/>
    <x v="14"/>
    <n v="1115270127200"/>
    <x v="738"/>
    <d v="2021-12-28T20:45:00"/>
    <d v="1899-12-30T02:00:00"/>
    <n v="149.99999999563443"/>
    <s v="UNPLANNED"/>
    <x v="0"/>
    <d v="1899-12-30T18:45:00"/>
    <x v="1"/>
  </r>
  <r>
    <n v="2690"/>
    <x v="12"/>
    <n v="14115271722801"/>
    <x v="739"/>
    <d v="2021-12-29T13:55:00"/>
    <d v="1899-12-30T03:40:00"/>
    <n v="81.818181820346567"/>
    <s v="UNPLANNED"/>
    <x v="0"/>
    <d v="1899-12-30T10:15:00"/>
    <x v="0"/>
  </r>
  <r>
    <n v="2691"/>
    <x v="12"/>
    <n v="14115271691526"/>
    <x v="739"/>
    <d v="2021-12-29T13:55:00"/>
    <d v="1899-12-30T03:40:00"/>
    <n v="81.818181820346567"/>
    <s v="UNPLANNED"/>
    <x v="0"/>
    <d v="1899-12-30T10:15:00"/>
    <x v="0"/>
  </r>
  <r>
    <n v="2692"/>
    <x v="5"/>
    <n v="13115271669402"/>
    <x v="739"/>
    <d v="2021-12-29T13:55:00"/>
    <d v="1899-12-30T03:40:00"/>
    <n v="81.818181820346567"/>
    <s v="UNPLANNED"/>
    <x v="0"/>
    <d v="1899-12-30T10:15:00"/>
    <x v="0"/>
  </r>
  <r>
    <n v="2693"/>
    <x v="2"/>
    <n v="12115271568404"/>
    <x v="739"/>
    <d v="2021-12-29T13:55:00"/>
    <d v="1899-12-30T03:40:00"/>
    <n v="81.818181820346567"/>
    <s v="UNPLANNED"/>
    <x v="0"/>
    <d v="1899-12-30T10:15:00"/>
    <x v="0"/>
  </r>
  <r>
    <n v="2694"/>
    <x v="3"/>
    <n v="8115271810102"/>
    <x v="739"/>
    <d v="2021-12-29T13:55:00"/>
    <d v="1899-12-30T03:40:00"/>
    <n v="81.818181820346567"/>
    <s v="UNPLANNED"/>
    <x v="0"/>
    <d v="1899-12-30T10:15:00"/>
    <x v="0"/>
  </r>
  <r>
    <n v="2695"/>
    <x v="12"/>
    <n v="14115271672410"/>
    <x v="740"/>
    <d v="2021-12-29T18:25:00"/>
    <d v="1899-12-30T02:05:00"/>
    <n v="144.00000000134111"/>
    <s v="UNPLANNED"/>
    <x v="0"/>
    <d v="1899-12-30T16:20:00"/>
    <x v="1"/>
  </r>
  <r>
    <n v="2696"/>
    <x v="10"/>
    <n v="11115271542604"/>
    <x v="740"/>
    <d v="2021-12-29T18:25:00"/>
    <d v="1899-12-30T02:05:00"/>
    <n v="144.00000000134111"/>
    <s v="UNPLANNED"/>
    <x v="0"/>
    <d v="1899-12-30T16:20:00"/>
    <x v="1"/>
  </r>
  <r>
    <n v="2697"/>
    <x v="5"/>
    <n v="13115271590508"/>
    <x v="741"/>
    <d v="2021-12-29T21:45:00"/>
    <d v="1899-12-30T02:45:00"/>
    <n v="109.09090908860001"/>
    <s v="UNPLANNED"/>
    <x v="1"/>
    <d v="1899-12-30T19:00:00"/>
    <x v="1"/>
  </r>
  <r>
    <n v="2698"/>
    <x v="3"/>
    <n v="8115271839102"/>
    <x v="741"/>
    <d v="2021-12-29T21:45:00"/>
    <d v="1899-12-30T02:45:00"/>
    <n v="109.09090908860001"/>
    <s v="UNPLANNED"/>
    <x v="1"/>
    <d v="1899-12-30T19:00:00"/>
    <x v="1"/>
  </r>
  <r>
    <n v="2699"/>
    <x v="7"/>
    <n v="7115271804520"/>
    <x v="741"/>
    <d v="2021-12-29T21:45:00"/>
    <d v="1899-12-30T02:45:00"/>
    <n v="109.09090908860001"/>
    <s v="UNPLANNED"/>
    <x v="1"/>
    <d v="1899-12-30T19:00:00"/>
    <x v="1"/>
  </r>
  <r>
    <n v="2700"/>
    <x v="1"/>
    <n v="6115271745103"/>
    <x v="741"/>
    <d v="2021-12-29T21:45:00"/>
    <d v="1899-12-30T02:45:00"/>
    <n v="109.09090908860001"/>
    <s v="UNPLANNED"/>
    <x v="0"/>
    <d v="1899-12-30T19:00:00"/>
    <x v="1"/>
  </r>
  <r>
    <n v="2701"/>
    <x v="1"/>
    <n v="6115271712900"/>
    <x v="741"/>
    <d v="2021-12-29T21:45:00"/>
    <d v="1899-12-30T02:45:00"/>
    <n v="109.09090908860001"/>
    <s v="UNPLANNED"/>
    <x v="0"/>
    <d v="1899-12-30T19:00:00"/>
    <x v="1"/>
  </r>
  <r>
    <n v="2702"/>
    <x v="4"/>
    <n v="15115271743902"/>
    <x v="742"/>
    <d v="2021-12-30T13:30:00"/>
    <d v="1899-12-30T03:00:00"/>
    <n v="100"/>
    <s v="UNPLANNED"/>
    <x v="0"/>
    <d v="1899-12-30T10:30:00"/>
    <x v="0"/>
  </r>
  <r>
    <n v="2703"/>
    <x v="11"/>
    <n v="10115271964200"/>
    <x v="743"/>
    <d v="2021-12-30T13:30:00"/>
    <d v="1899-12-30T01:15:00"/>
    <n v="239.99999998882413"/>
    <s v="UNPLANNED"/>
    <x v="2"/>
    <d v="1899-12-30T12:15:00"/>
    <x v="0"/>
  </r>
  <r>
    <n v="2704"/>
    <x v="14"/>
    <n v="1115270123100"/>
    <x v="744"/>
    <d v="2021-12-30T13:30:00"/>
    <d v="1899-12-30T00:45:00"/>
    <n v="400"/>
    <s v="UNPLANNED"/>
    <x v="0"/>
    <d v="1899-12-30T12:45:00"/>
    <x v="0"/>
  </r>
  <r>
    <n v="2705"/>
    <x v="5"/>
    <n v="13115271590905"/>
    <x v="745"/>
    <d v="2021-12-30T18:50:00"/>
    <d v="1899-12-30T02:50:00"/>
    <n v="105.88235294190156"/>
    <s v="UNPLANNED"/>
    <x v="2"/>
    <d v="1899-12-30T16:00:00"/>
    <x v="1"/>
  </r>
  <r>
    <n v="2706"/>
    <x v="7"/>
    <n v="7115271768100"/>
    <x v="745"/>
    <d v="2021-12-30T18:50:00"/>
    <d v="1899-12-30T02:50:00"/>
    <n v="105.88235294190156"/>
    <s v="UNPLANNED"/>
    <x v="1"/>
    <d v="1899-12-30T16:00:00"/>
    <x v="1"/>
  </r>
  <r>
    <n v="2707"/>
    <x v="1"/>
    <n v="6115271745607"/>
    <x v="745"/>
    <d v="2021-12-30T18:50:00"/>
    <d v="1899-12-30T02:50:00"/>
    <n v="105.88235294190156"/>
    <s v="UNPLANNED"/>
    <x v="0"/>
    <d v="1899-12-30T16:00:00"/>
    <x v="1"/>
  </r>
  <r>
    <n v="2708"/>
    <x v="9"/>
    <n v="2115270232400"/>
    <x v="745"/>
    <d v="2021-12-30T18:50:00"/>
    <d v="1899-12-30T02:50:00"/>
    <n v="105.88235294190156"/>
    <s v="UNPLANNED"/>
    <x v="0"/>
    <d v="1899-12-30T16:00:00"/>
    <x v="1"/>
  </r>
  <r>
    <n v="2709"/>
    <x v="5"/>
    <n v="13115271590401"/>
    <x v="746"/>
    <d v="2021-12-30T21:00:00"/>
    <d v="1899-12-30T01:50:00"/>
    <n v="163.63636363290004"/>
    <s v="UNPLANNED"/>
    <x v="1"/>
    <d v="1899-12-30T19:10:00"/>
    <x v="1"/>
  </r>
  <r>
    <n v="2710"/>
    <x v="7"/>
    <n v="7115271774602"/>
    <x v="746"/>
    <d v="2021-12-30T21:00:00"/>
    <d v="1899-12-30T01:50:00"/>
    <n v="163.63636363290004"/>
    <s v="UNPLANNED"/>
    <x v="6"/>
    <d v="1899-12-30T19:10:00"/>
    <x v="1"/>
  </r>
  <r>
    <n v="2711"/>
    <x v="10"/>
    <n v="11115271507701"/>
    <x v="747"/>
    <d v="2021-12-31T11:00:00"/>
    <d v="1899-12-30T01:13:00"/>
    <n v="246.57534244058726"/>
    <s v="UNPLANNED"/>
    <x v="1"/>
    <d v="1899-12-30T09:47:00"/>
    <x v="0"/>
  </r>
  <r>
    <n v="2712"/>
    <x v="7"/>
    <n v="7115271753900"/>
    <x v="747"/>
    <d v="2021-12-31T11:00:00"/>
    <d v="1899-12-30T01:13:00"/>
    <n v="246.57534244058726"/>
    <s v="UNPLANNED"/>
    <x v="1"/>
    <d v="1899-12-30T09:47:00"/>
    <x v="0"/>
  </r>
  <r>
    <n v="2713"/>
    <x v="5"/>
    <n v="13115271591204"/>
    <x v="748"/>
    <d v="2021-12-31T13:30:00"/>
    <d v="1899-12-30T02:15:00"/>
    <n v="133.33333333333331"/>
    <s v="UNPLANNED"/>
    <x v="1"/>
    <d v="1899-12-30T11:15:00"/>
    <x v="0"/>
  </r>
  <r>
    <n v="2714"/>
    <x v="7"/>
    <n v="7115271753872"/>
    <x v="748"/>
    <d v="2021-12-31T13:30:00"/>
    <d v="1899-12-30T02:15:00"/>
    <n v="133.33333333333331"/>
    <s v="UNPLANNED"/>
    <x v="0"/>
    <d v="1899-12-30T11:15:00"/>
    <x v="0"/>
  </r>
  <r>
    <n v="2715"/>
    <x v="14"/>
    <n v="1115270123100"/>
    <x v="748"/>
    <d v="2021-12-31T13:30:00"/>
    <d v="1899-12-30T02:15:00"/>
    <n v="133.33333333333331"/>
    <s v="UNPLANNED"/>
    <x v="1"/>
    <d v="1899-12-30T11:15:00"/>
    <x v="0"/>
  </r>
  <r>
    <n v="2716"/>
    <x v="12"/>
    <n v="14115271679624"/>
    <x v="749"/>
    <d v="2021-12-31T18:45:00"/>
    <d v="1899-12-30T01:30:00"/>
    <n v="200"/>
    <s v="UNPLANNED"/>
    <x v="1"/>
    <d v="1899-12-30T17:15:00"/>
    <x v="1"/>
  </r>
  <r>
    <n v="2717"/>
    <x v="1"/>
    <n v="6115271720826"/>
    <x v="750"/>
    <d v="2021-12-31T18:45:00"/>
    <d v="1899-12-30T03:25:00"/>
    <n v="87.804878049777741"/>
    <s v="UNPLANNED"/>
    <x v="0"/>
    <d v="1899-12-30T15:20:00"/>
    <x v="1"/>
  </r>
  <r>
    <n v="2718"/>
    <x v="9"/>
    <n v="2115270169700"/>
    <x v="750"/>
    <d v="2021-12-31T18:45:00"/>
    <d v="1899-12-30T03:25:00"/>
    <n v="87.804878049777741"/>
    <s v="UNPLANNED"/>
    <x v="0"/>
    <d v="1899-12-30T15:20:00"/>
    <x v="1"/>
  </r>
  <r>
    <n v="2719"/>
    <x v="14"/>
    <n v="1115270119700"/>
    <x v="751"/>
    <d v="2021-12-31T18:45:00"/>
    <d v="1899-12-30T02:10:00"/>
    <n v="138.46153845657875"/>
    <s v="UNPLANNED"/>
    <x v="1"/>
    <d v="1899-12-30T16:35:00"/>
    <x v="1"/>
  </r>
  <r>
    <n v="2720"/>
    <x v="2"/>
    <n v="12115271560115"/>
    <x v="752"/>
    <d v="2021-12-31T22:00:00"/>
    <d v="1899-12-30T02:00:00"/>
    <n v="150.00000000873115"/>
    <s v="UNPLANNED"/>
    <x v="1"/>
    <d v="1899-12-30T20:00:00"/>
    <x v="1"/>
  </r>
  <r>
    <n v="2721"/>
    <x v="1"/>
    <n v="6115271717217"/>
    <x v="752"/>
    <d v="2021-12-31T22:00:00"/>
    <d v="1899-12-30T02:00:00"/>
    <n v="150.00000000873115"/>
    <s v="UNPLANNED"/>
    <x v="0"/>
    <d v="1899-12-30T20:00:00"/>
    <x v="1"/>
  </r>
  <r>
    <n v="2722"/>
    <x v="1"/>
    <n v="6115271717218"/>
    <x v="753"/>
    <d v="2022-01-01T04:45:00"/>
    <d v="1899-12-30T01:50:00"/>
    <n v="163.63636364848622"/>
    <s v="UNPLANNED"/>
    <x v="2"/>
    <d v="1899-12-30T02:55:00"/>
    <x v="2"/>
  </r>
  <r>
    <n v="2723"/>
    <x v="7"/>
    <n v="7115271772408"/>
    <x v="754"/>
    <d v="2022-01-01T10:51:00"/>
    <d v="1899-12-30T01:51:00"/>
    <n v="162.16216216930525"/>
    <s v="UNPLANNED"/>
    <x v="1"/>
    <d v="1899-12-30T09:00:00"/>
    <x v="0"/>
  </r>
  <r>
    <n v="2724"/>
    <x v="2"/>
    <n v="12115271567005"/>
    <x v="755"/>
    <d v="2022-01-01T13:55:00"/>
    <d v="1899-12-30T01:47:00"/>
    <n v="168.22429907713428"/>
    <s v="UNPLANNED"/>
    <x v="1"/>
    <d v="1899-12-30T12:08:00"/>
    <x v="0"/>
  </r>
  <r>
    <n v="2725"/>
    <x v="7"/>
    <n v="7115271768201"/>
    <x v="755"/>
    <d v="2022-01-01T13:55:00"/>
    <d v="1899-12-30T01:47:00"/>
    <n v="168.22429907713428"/>
    <s v="UNPLANNED"/>
    <x v="1"/>
    <d v="1899-12-30T12:08:00"/>
    <x v="0"/>
  </r>
  <r>
    <n v="2726"/>
    <x v="11"/>
    <n v="10115271441900"/>
    <x v="756"/>
    <d v="2022-01-01T17:00:00"/>
    <d v="1899-12-30T01:35:00"/>
    <n v="189.47368419891703"/>
    <s v="UNPLANNED"/>
    <x v="0"/>
    <d v="1899-12-30T15:25:00"/>
    <x v="1"/>
  </r>
  <r>
    <n v="2727"/>
    <x v="7"/>
    <n v="7115271766014"/>
    <x v="756"/>
    <d v="2022-01-01T17:00:00"/>
    <d v="1899-12-30T01:35:00"/>
    <n v="189.47368419891703"/>
    <s v="UNPLANNED"/>
    <x v="1"/>
    <d v="1899-12-30T15:25:00"/>
    <x v="1"/>
  </r>
  <r>
    <n v="2728"/>
    <x v="1"/>
    <n v="6115271741300"/>
    <x v="756"/>
    <d v="2022-01-01T17:00:00"/>
    <d v="1899-12-30T01:35:00"/>
    <n v="189.47368419891703"/>
    <s v="UNPLANNED"/>
    <x v="1"/>
    <d v="1899-12-30T15:25:00"/>
    <x v="1"/>
  </r>
  <r>
    <n v="2729"/>
    <x v="12"/>
    <n v="14115271680203"/>
    <x v="757"/>
    <d v="2022-01-01T21:30:00"/>
    <d v="1899-12-30T02:10:00"/>
    <n v="138.46153845657875"/>
    <s v="UNPLANNED"/>
    <x v="0"/>
    <d v="1899-12-30T19:20:00"/>
    <x v="1"/>
  </r>
  <r>
    <n v="2730"/>
    <x v="9"/>
    <n v="2115270217600"/>
    <x v="757"/>
    <d v="2022-01-01T21:30:00"/>
    <d v="1899-12-30T02:10:00"/>
    <n v="138.46153845657875"/>
    <s v="UNPLANNED"/>
    <x v="0"/>
    <d v="1899-12-30T19:20:00"/>
    <x v="1"/>
  </r>
  <r>
    <n v="2731"/>
    <x v="2"/>
    <n v="12115271574511"/>
    <x v="758"/>
    <d v="2022-01-02T17:25:00"/>
    <d v="1899-12-30T01:25:00"/>
    <n v="211.7647058707517"/>
    <s v="UNPLANNED"/>
    <x v="1"/>
    <d v="1899-12-30T16:00:00"/>
    <x v="1"/>
  </r>
  <r>
    <n v="2732"/>
    <x v="9"/>
    <n v="2115270168400"/>
    <x v="758"/>
    <d v="2022-01-02T17:25:00"/>
    <d v="1899-12-30T01:25:00"/>
    <n v="211.7647058707517"/>
    <s v="UNPLANNED"/>
    <x v="0"/>
    <d v="1899-12-30T16:00:00"/>
    <x v="1"/>
  </r>
  <r>
    <n v="2733"/>
    <x v="12"/>
    <n v="14115271719901"/>
    <x v="759"/>
    <d v="2022-01-02T20:15:00"/>
    <d v="1899-12-30T02:30:00"/>
    <n v="120.00000000279397"/>
    <s v="UNPLANNED"/>
    <x v="0"/>
    <d v="1899-12-30T17:45:00"/>
    <x v="1"/>
  </r>
  <r>
    <n v="2734"/>
    <x v="2"/>
    <n v="12115271580700"/>
    <x v="759"/>
    <d v="2022-01-02T20:15:00"/>
    <d v="1899-12-30T02:30:00"/>
    <n v="120.00000000279397"/>
    <s v="UNPLANNED"/>
    <x v="2"/>
    <d v="1899-12-30T17:45:00"/>
    <x v="1"/>
  </r>
  <r>
    <n v="2735"/>
    <x v="14"/>
    <n v="1115270067201"/>
    <x v="759"/>
    <d v="2022-01-02T20:15:00"/>
    <d v="1899-12-30T02:30:00"/>
    <n v="120.00000000279397"/>
    <s v="UNPLANNED"/>
    <x v="0"/>
    <d v="1899-12-30T17:45:00"/>
    <x v="1"/>
  </r>
  <r>
    <n v="2736"/>
    <x v="13"/>
    <n v="3115270340600"/>
    <x v="760"/>
    <d v="2022-01-03T09:15:00"/>
    <d v="1899-12-30T01:00:00"/>
    <n v="300.0000000174623"/>
    <s v="UNPLANNED"/>
    <x v="2"/>
    <d v="1899-12-30T08:15:00"/>
    <x v="0"/>
  </r>
  <r>
    <n v="2737"/>
    <x v="2"/>
    <n v="12115271589004"/>
    <x v="761"/>
    <d v="2022-01-03T14:00:00"/>
    <d v="1899-12-30T03:00:00"/>
    <n v="100"/>
    <s v="UNPLANNED"/>
    <x v="2"/>
    <d v="1899-12-30T11:00:00"/>
    <x v="0"/>
  </r>
  <r>
    <n v="2738"/>
    <x v="2"/>
    <n v="12115271575321"/>
    <x v="762"/>
    <d v="2022-01-03T14:00:00"/>
    <d v="1899-12-30T02:00:00"/>
    <n v="149.99999999563443"/>
    <s v="UNPLANNED"/>
    <x v="0"/>
    <d v="1899-12-30T12:00:00"/>
    <x v="0"/>
  </r>
  <r>
    <n v="2739"/>
    <x v="10"/>
    <n v="11115271539100"/>
    <x v="763"/>
    <d v="2022-01-03T14:00:00"/>
    <d v="1899-12-30T00:50:00"/>
    <n v="359.99999995809048"/>
    <s v="UNPLANNED"/>
    <x v="1"/>
    <d v="1899-12-30T13:10:00"/>
    <x v="0"/>
  </r>
  <r>
    <n v="2740"/>
    <x v="11"/>
    <n v="10115271958401"/>
    <x v="761"/>
    <d v="2022-01-03T14:00:00"/>
    <d v="1899-12-30T03:00:00"/>
    <n v="100"/>
    <s v="UNPLANNED"/>
    <x v="0"/>
    <d v="1899-12-30T11:00:00"/>
    <x v="0"/>
  </r>
  <r>
    <n v="2741"/>
    <x v="6"/>
    <n v="9115271937100"/>
    <x v="764"/>
    <d v="2022-01-03T14:00:00"/>
    <d v="1899-12-30T01:30:00"/>
    <n v="200"/>
    <s v="UNPLANNED"/>
    <x v="1"/>
    <d v="1899-12-30T12:30:00"/>
    <x v="0"/>
  </r>
  <r>
    <n v="2742"/>
    <x v="3"/>
    <n v="8115271855800"/>
    <x v="761"/>
    <d v="2022-01-03T14:00:00"/>
    <d v="1899-12-30T03:00:00"/>
    <n v="100"/>
    <s v="UNPLANNED"/>
    <x v="0"/>
    <d v="1899-12-30T11:00:00"/>
    <x v="0"/>
  </r>
  <r>
    <n v="2743"/>
    <x v="11"/>
    <n v="10115271453200"/>
    <x v="765"/>
    <d v="2022-01-03T18:25:00"/>
    <d v="1899-12-30T01:40:00"/>
    <n v="179.99999999790452"/>
    <s v="UNPLANNED"/>
    <x v="0"/>
    <d v="1899-12-30T16:45:00"/>
    <x v="1"/>
  </r>
  <r>
    <n v="2744"/>
    <x v="1"/>
    <n v="6115271751108"/>
    <x v="765"/>
    <d v="2022-01-03T18:25:00"/>
    <d v="1899-12-30T01:40:00"/>
    <n v="179.99999999790452"/>
    <s v="UNPLANNED"/>
    <x v="0"/>
    <d v="1899-12-30T16:45:00"/>
    <x v="1"/>
  </r>
  <r>
    <n v="2745"/>
    <x v="13"/>
    <n v="3115270421100"/>
    <x v="765"/>
    <d v="2022-01-03T18:25:00"/>
    <d v="1899-12-30T01:40:00"/>
    <n v="179.99999999790452"/>
    <s v="UNPLANNED"/>
    <x v="1"/>
    <d v="1899-12-30T16:45:00"/>
    <x v="1"/>
  </r>
  <r>
    <n v="2746"/>
    <x v="13"/>
    <n v="3115270366500"/>
    <x v="765"/>
    <d v="2022-01-03T18:25:00"/>
    <d v="1899-12-30T01:40:00"/>
    <n v="179.99999999790452"/>
    <s v="UNPLANNED"/>
    <x v="1"/>
    <d v="1899-12-30T16:45:00"/>
    <x v="1"/>
  </r>
  <r>
    <n v="2747"/>
    <x v="8"/>
    <n v="4115270826600"/>
    <x v="766"/>
    <d v="2022-01-03T20:20:00"/>
    <d v="1899-12-30T01:00:00"/>
    <n v="300.0000000174623"/>
    <s v="UNPLANNED"/>
    <x v="1"/>
    <d v="1899-12-30T19:20:00"/>
    <x v="1"/>
  </r>
  <r>
    <n v="2748"/>
    <x v="13"/>
    <n v="3115270306400"/>
    <x v="767"/>
    <d v="2022-01-03T20:20:00"/>
    <d v="1899-12-30T01:20:00"/>
    <n v="225.00000000327418"/>
    <s v="UNPLANNED"/>
    <x v="1"/>
    <d v="1899-12-30T19:00:00"/>
    <x v="1"/>
  </r>
  <r>
    <n v="2749"/>
    <x v="11"/>
    <n v="10115271463200"/>
    <x v="768"/>
    <d v="2022-01-03T22:15:00"/>
    <d v="1899-12-30T01:25:00"/>
    <n v="211.7647058707517"/>
    <s v="UNPLANNED"/>
    <x v="2"/>
    <d v="1899-12-30T20:50:00"/>
    <x v="1"/>
  </r>
  <r>
    <n v="2750"/>
    <x v="0"/>
    <n v="5115270974400"/>
    <x v="768"/>
    <d v="2022-01-03T22:15:00"/>
    <d v="1899-12-30T01:25:00"/>
    <n v="211.7647058707517"/>
    <s v="UNPLANNED"/>
    <x v="0"/>
    <d v="1899-12-30T20:50:00"/>
    <x v="1"/>
  </r>
  <r>
    <n v="2751"/>
    <x v="5"/>
    <n v="13115271626901"/>
    <x v="769"/>
    <d v="2022-01-04T18:30:00"/>
    <d v="1899-12-30T03:30:00"/>
    <n v="85.714285712860217"/>
    <s v="UNPLANNED"/>
    <x v="2"/>
    <d v="1899-12-30T15:00:00"/>
    <x v="1"/>
  </r>
  <r>
    <n v="2752"/>
    <x v="10"/>
    <n v="11115271051500"/>
    <x v="769"/>
    <d v="2022-01-04T18:30:00"/>
    <d v="1899-12-30T03:30:00"/>
    <n v="85.714285712860217"/>
    <s v="UNPLANNED"/>
    <x v="0"/>
    <d v="1899-12-30T15:00:00"/>
    <x v="1"/>
  </r>
  <r>
    <n v="2753"/>
    <x v="7"/>
    <n v="7115271760800"/>
    <x v="769"/>
    <d v="2022-01-04T18:30:00"/>
    <d v="1899-12-30T03:30:00"/>
    <n v="85.714285712860217"/>
    <s v="UNPLANNED"/>
    <x v="2"/>
    <d v="1899-12-30T15:00:00"/>
    <x v="1"/>
  </r>
  <r>
    <n v="2754"/>
    <x v="7"/>
    <n v="7115271753900"/>
    <x v="769"/>
    <d v="2022-01-04T18:30:00"/>
    <d v="1899-12-30T03:30:00"/>
    <n v="85.714285712860217"/>
    <s v="UNPLANNED"/>
    <x v="2"/>
    <d v="1899-12-30T15:00:00"/>
    <x v="1"/>
  </r>
  <r>
    <n v="2755"/>
    <x v="13"/>
    <n v="3115270421200"/>
    <x v="770"/>
    <d v="2022-01-06T00:30:00"/>
    <d v="1899-12-30T01:45:00"/>
    <n v="171.42857141716746"/>
    <s v="UNPLANNED"/>
    <x v="1"/>
    <d v="1899-12-30T22:45:00"/>
    <x v="2"/>
  </r>
  <r>
    <n v="2756"/>
    <x v="10"/>
    <n v="11115271508000"/>
    <x v="771"/>
    <d v="2022-01-05T04:00:00"/>
    <d v="1899-12-30T05:00:00"/>
    <n v="60.000000001396984"/>
    <s v="UNPLANNED"/>
    <x v="0"/>
    <d v="1899-12-30T23:00:00"/>
    <x v="2"/>
  </r>
  <r>
    <n v="2757"/>
    <x v="11"/>
    <n v="10115271432506"/>
    <x v="771"/>
    <d v="2022-01-05T04:00:00"/>
    <d v="1899-12-30T05:00:00"/>
    <n v="60.000000001396984"/>
    <s v="UNPLANNED"/>
    <x v="0"/>
    <d v="1899-12-30T23:00:00"/>
    <x v="2"/>
  </r>
  <r>
    <n v="2758"/>
    <x v="13"/>
    <n v="3115270420900"/>
    <x v="771"/>
    <d v="2022-01-05T04:00:00"/>
    <d v="1899-12-30T05:00:00"/>
    <n v="60.000000001396984"/>
    <s v="UNPLANNED"/>
    <x v="1"/>
    <d v="1899-12-30T23:00:00"/>
    <x v="2"/>
  </r>
  <r>
    <n v="2759"/>
    <x v="13"/>
    <n v="3115270333202"/>
    <x v="772"/>
    <d v="2022-01-05T05:40:00"/>
    <d v="1899-12-30T00:40:00"/>
    <n v="450.00000006548362"/>
    <s v="UNPLANNED"/>
    <x v="0"/>
    <d v="1899-12-30T05:00:00"/>
    <x v="2"/>
  </r>
  <r>
    <n v="2760"/>
    <x v="12"/>
    <n v="14115271673603"/>
    <x v="773"/>
    <d v="2022-01-05T15:25:00"/>
    <d v="1899-12-30T07:10:00"/>
    <n v="41.860465116505729"/>
    <s v="UNPLANNED"/>
    <x v="6"/>
    <d v="1899-12-30T08:15:00"/>
    <x v="0"/>
  </r>
  <r>
    <n v="2761"/>
    <x v="5"/>
    <n v="13115271590603"/>
    <x v="773"/>
    <d v="2022-01-05T15:25:00"/>
    <d v="1899-12-30T07:10:00"/>
    <n v="41.860465116505729"/>
    <s v="UNPLANNED"/>
    <x v="0"/>
    <d v="1899-12-30T08:15:00"/>
    <x v="0"/>
  </r>
  <r>
    <n v="2762"/>
    <x v="2"/>
    <n v="12115271560116"/>
    <x v="773"/>
    <d v="2022-01-05T15:25:00"/>
    <d v="1899-12-30T07:10:00"/>
    <n v="41.860465116505729"/>
    <s v="UNPLANNED"/>
    <x v="0"/>
    <d v="1899-12-30T08:15:00"/>
    <x v="0"/>
  </r>
  <r>
    <n v="2763"/>
    <x v="1"/>
    <n v="6115271741302"/>
    <x v="773"/>
    <d v="2022-01-05T15:25:00"/>
    <d v="1899-12-30T07:10:00"/>
    <n v="41.860465116505729"/>
    <s v="UNPLANNED"/>
    <x v="0"/>
    <d v="1899-12-30T08:15:00"/>
    <x v="0"/>
  </r>
  <r>
    <n v="2764"/>
    <x v="11"/>
    <n v="10115271959200"/>
    <x v="774"/>
    <d v="2022-01-05T22:15:00"/>
    <d v="1899-12-30T06:30:00"/>
    <n v="46.153846153432845"/>
    <s v="UNPLANNED"/>
    <x v="1"/>
    <d v="1899-12-30T15:45:00"/>
    <x v="1"/>
  </r>
  <r>
    <n v="2765"/>
    <x v="6"/>
    <n v="9115271935000"/>
    <x v="774"/>
    <d v="2022-01-05T22:15:00"/>
    <d v="1899-12-30T06:30:00"/>
    <n v="46.153846153432845"/>
    <s v="UNPLANNED"/>
    <x v="1"/>
    <d v="1899-12-30T15:45:00"/>
    <x v="1"/>
  </r>
  <r>
    <n v="2766"/>
    <x v="3"/>
    <n v="8115271857400"/>
    <x v="774"/>
    <d v="2022-01-05T22:15:00"/>
    <d v="1899-12-30T06:30:00"/>
    <n v="46.153846153432845"/>
    <s v="UNPLANNED"/>
    <x v="0"/>
    <d v="1899-12-30T15:45:00"/>
    <x v="1"/>
  </r>
  <r>
    <n v="2767"/>
    <x v="3"/>
    <n v="8115270613600"/>
    <x v="774"/>
    <d v="2022-01-05T22:15:00"/>
    <d v="1899-12-30T06:30:00"/>
    <n v="46.153846153432845"/>
    <s v="UNPLANNED"/>
    <x v="0"/>
    <d v="1899-12-30T15:45:00"/>
    <x v="1"/>
  </r>
  <r>
    <n v="2768"/>
    <x v="7"/>
    <n v="7115271760600"/>
    <x v="774"/>
    <d v="2022-01-05T22:15:00"/>
    <d v="1899-12-30T06:30:00"/>
    <n v="46.153846153432845"/>
    <s v="UNPLANNED"/>
    <x v="1"/>
    <d v="1899-12-30T15:45:00"/>
    <x v="1"/>
  </r>
  <r>
    <n v="2769"/>
    <x v="8"/>
    <n v="4115270875301"/>
    <x v="774"/>
    <d v="2022-01-05T22:15:00"/>
    <d v="1899-12-30T06:30:00"/>
    <n v="46.153846153432845"/>
    <s v="UNPLANNED"/>
    <x v="1"/>
    <d v="1899-12-30T15:45:00"/>
    <x v="1"/>
  </r>
  <r>
    <n v="2770"/>
    <x v="14"/>
    <n v="1115270052200"/>
    <x v="774"/>
    <d v="2022-01-05T22:15:00"/>
    <d v="1899-12-30T06:30:00"/>
    <n v="46.153846153432845"/>
    <s v="UNPLANNED"/>
    <x v="1"/>
    <d v="1899-12-30T15:45:00"/>
    <x v="1"/>
  </r>
  <r>
    <n v="2771"/>
    <x v="5"/>
    <n v="13115271590401"/>
    <x v="770"/>
    <d v="2022-01-06T00:30:00"/>
    <d v="1899-12-30T01:45:00"/>
    <n v="171.42857141716746"/>
    <s v="UNPLANNED"/>
    <x v="6"/>
    <d v="1899-12-30T22:45:00"/>
    <x v="2"/>
  </r>
  <r>
    <n v="2772"/>
    <x v="10"/>
    <n v="11115271558106"/>
    <x v="770"/>
    <d v="2022-01-06T00:30:00"/>
    <d v="1899-12-30T01:45:00"/>
    <n v="171.42857141716746"/>
    <s v="UNPLANNED"/>
    <x v="6"/>
    <d v="1899-12-30T22:45:00"/>
    <x v="2"/>
  </r>
  <r>
    <n v="2773"/>
    <x v="2"/>
    <n v="12115271567396"/>
    <x v="775"/>
    <d v="2022-01-06T14:55:00"/>
    <d v="1899-12-30T04:30:00"/>
    <n v="66.666666666666657"/>
    <s v="UNPLANNED"/>
    <x v="1"/>
    <d v="1899-12-30T10:25:00"/>
    <x v="0"/>
  </r>
  <r>
    <n v="2774"/>
    <x v="11"/>
    <n v="10115271967500"/>
    <x v="775"/>
    <d v="2022-01-06T14:55:00"/>
    <d v="1899-12-30T04:30:00"/>
    <n v="66.666666666666657"/>
    <s v="UNPLANNED"/>
    <x v="2"/>
    <d v="1899-12-30T10:25:00"/>
    <x v="0"/>
  </r>
  <r>
    <n v="2775"/>
    <x v="7"/>
    <n v="7115271768107"/>
    <x v="775"/>
    <d v="2022-01-06T14:55:00"/>
    <d v="1899-12-30T04:30:00"/>
    <n v="66.666666666666657"/>
    <s v="UNPLANNED"/>
    <x v="1"/>
    <d v="1899-12-30T10:25:00"/>
    <x v="0"/>
  </r>
  <r>
    <n v="2776"/>
    <x v="0"/>
    <n v="5115271664800"/>
    <x v="775"/>
    <d v="2022-01-06T14:55:00"/>
    <d v="1899-12-30T04:30:00"/>
    <n v="66.666666666666657"/>
    <s v="UNPLANNED"/>
    <x v="1"/>
    <d v="1899-12-30T10:25:00"/>
    <x v="0"/>
  </r>
  <r>
    <n v="2777"/>
    <x v="13"/>
    <n v="3115270340802"/>
    <x v="775"/>
    <d v="2022-01-06T14:55:00"/>
    <d v="1899-12-30T04:30:00"/>
    <n v="66.666666666666657"/>
    <s v="UNPLANNED"/>
    <x v="1"/>
    <d v="1899-12-30T10:25:00"/>
    <x v="0"/>
  </r>
  <r>
    <n v="2778"/>
    <x v="12"/>
    <n v="14115271679700"/>
    <x v="776"/>
    <d v="2022-01-06T21:55:00"/>
    <d v="1899-12-30T05:25:00"/>
    <n v="55.384615384416989"/>
    <s v="UNPLANNED"/>
    <x v="0"/>
    <d v="1899-12-30T16:30:00"/>
    <x v="1"/>
  </r>
  <r>
    <n v="2779"/>
    <x v="5"/>
    <n v="13115271641605"/>
    <x v="776"/>
    <d v="2022-01-06T21:55:00"/>
    <d v="1899-12-30T05:25:00"/>
    <n v="55.384615384416989"/>
    <s v="UNPLANNED"/>
    <x v="0"/>
    <d v="1899-12-30T16:30:00"/>
    <x v="1"/>
  </r>
  <r>
    <n v="2780"/>
    <x v="5"/>
    <n v="13115271591805"/>
    <x v="777"/>
    <d v="2022-01-06T21:55:00"/>
    <d v="1899-12-30T03:40:00"/>
    <n v="81.818181816450021"/>
    <s v="UNPLANNED"/>
    <x v="1"/>
    <d v="1899-12-30T18:15:00"/>
    <x v="1"/>
  </r>
  <r>
    <n v="2781"/>
    <x v="2"/>
    <n v="12115271561607"/>
    <x v="776"/>
    <d v="2022-01-06T21:55:00"/>
    <d v="1899-12-30T05:25:00"/>
    <n v="55.384615384416989"/>
    <s v="UNPLANNED"/>
    <x v="0"/>
    <d v="1899-12-30T16:30:00"/>
    <x v="1"/>
  </r>
  <r>
    <n v="2782"/>
    <x v="10"/>
    <n v="11115271542801"/>
    <x v="778"/>
    <d v="2022-01-06T21:55:00"/>
    <d v="1899-12-30T03:05:00"/>
    <n v="97.297297294235975"/>
    <s v="UNPLANNED"/>
    <x v="1"/>
    <d v="1899-12-30T18:50:00"/>
    <x v="1"/>
  </r>
  <r>
    <n v="2783"/>
    <x v="11"/>
    <n v="10115271966901"/>
    <x v="776"/>
    <d v="2022-01-06T21:55:00"/>
    <d v="1899-12-30T05:25:00"/>
    <n v="55.384615384416989"/>
    <s v="UNPLANNED"/>
    <x v="0"/>
    <d v="1899-12-30T16:30:00"/>
    <x v="1"/>
  </r>
  <r>
    <n v="2784"/>
    <x v="11"/>
    <n v="10115271964800"/>
    <x v="776"/>
    <d v="2022-01-06T21:55:00"/>
    <d v="1899-12-30T05:25:00"/>
    <n v="55.384615384416989"/>
    <s v="UNPLANNED"/>
    <x v="1"/>
    <d v="1899-12-30T16:30:00"/>
    <x v="1"/>
  </r>
  <r>
    <n v="2785"/>
    <x v="3"/>
    <n v="8115271820400"/>
    <x v="776"/>
    <d v="2022-01-06T21:55:00"/>
    <d v="1899-12-30T05:25:00"/>
    <n v="55.384615384416989"/>
    <s v="UNPLANNED"/>
    <x v="0"/>
    <d v="1899-12-30T16:30:00"/>
    <x v="1"/>
  </r>
  <r>
    <n v="2786"/>
    <x v="8"/>
    <n v="4115270826800"/>
    <x v="776"/>
    <d v="2022-01-06T21:55:00"/>
    <d v="1899-12-30T05:25:00"/>
    <n v="55.384615384416989"/>
    <s v="UNPLANNED"/>
    <x v="1"/>
    <d v="1899-12-30T16:30:00"/>
    <x v="1"/>
  </r>
  <r>
    <n v="2787"/>
    <x v="9"/>
    <n v="2115270254201"/>
    <x v="779"/>
    <d v="2022-01-06T21:55:00"/>
    <d v="1899-12-30T02:10:00"/>
    <n v="138.46153845657875"/>
    <s v="UNPLANNED"/>
    <x v="0"/>
    <d v="1899-12-30T19:45:00"/>
    <x v="1"/>
  </r>
  <r>
    <n v="2788"/>
    <x v="9"/>
    <n v="2115270253800"/>
    <x v="779"/>
    <d v="2022-01-06T21:55:00"/>
    <d v="1899-12-30T02:10:00"/>
    <n v="138.46153845657875"/>
    <s v="UNPLANNED"/>
    <x v="0"/>
    <d v="1899-12-30T19:45:00"/>
    <x v="1"/>
  </r>
  <r>
    <n v="2789"/>
    <x v="14"/>
    <n v="1115270126800"/>
    <x v="776"/>
    <d v="2022-01-06T21:55:00"/>
    <d v="1899-12-30T05:25:00"/>
    <n v="55.384615384416989"/>
    <s v="UNPLANNED"/>
    <x v="1"/>
    <d v="1899-12-30T16:30:00"/>
    <x v="1"/>
  </r>
  <r>
    <n v="2790"/>
    <x v="13"/>
    <n v="3115270340802"/>
    <x v="780"/>
    <d v="2022-01-07T00:30:00"/>
    <d v="1899-12-30T01:25:00"/>
    <n v="211.7647058707517"/>
    <s v="UNPLANNED"/>
    <x v="0"/>
    <d v="1899-12-30T23:05:00"/>
    <x v="2"/>
  </r>
  <r>
    <n v="2791"/>
    <x v="14"/>
    <n v="1115270027501"/>
    <x v="780"/>
    <d v="2022-01-07T00:30:00"/>
    <d v="1899-12-30T01:25:00"/>
    <n v="211.7647058707517"/>
    <s v="UNPLANNED"/>
    <x v="0"/>
    <d v="1899-12-30T23:05:00"/>
    <x v="2"/>
  </r>
  <r>
    <n v="2792"/>
    <x v="4"/>
    <n v="15115271747300"/>
    <x v="781"/>
    <d v="2022-01-07T13:55:00"/>
    <d v="1899-12-30T01:25:00"/>
    <n v="211.76470589685451"/>
    <s v="UNPLANNED"/>
    <x v="0"/>
    <d v="1899-12-30T12:30:00"/>
    <x v="0"/>
  </r>
  <r>
    <n v="2793"/>
    <x v="12"/>
    <n v="14115271672900"/>
    <x v="782"/>
    <d v="2022-01-07T13:55:00"/>
    <d v="1899-12-30T04:10:00"/>
    <n v="72.000000000670553"/>
    <s v="UNPLANNED"/>
    <x v="0"/>
    <d v="1899-12-30T09:45:00"/>
    <x v="0"/>
  </r>
  <r>
    <n v="2794"/>
    <x v="5"/>
    <n v="13115271617700"/>
    <x v="781"/>
    <d v="2022-01-07T13:55:00"/>
    <d v="1899-12-30T01:25:00"/>
    <n v="211.76470589685451"/>
    <s v="UNPLANNED"/>
    <x v="0"/>
    <d v="1899-12-30T12:30:00"/>
    <x v="0"/>
  </r>
  <r>
    <n v="2795"/>
    <x v="2"/>
    <n v="12115271580900"/>
    <x v="781"/>
    <d v="2022-01-07T13:55:00"/>
    <d v="1899-12-30T01:25:00"/>
    <n v="211.76470589685451"/>
    <s v="UNPLANNED"/>
    <x v="1"/>
    <d v="1899-12-30T12:30:00"/>
    <x v="0"/>
  </r>
  <r>
    <n v="2796"/>
    <x v="3"/>
    <n v="8115271820902"/>
    <x v="783"/>
    <d v="2022-01-07T13:55:00"/>
    <d v="1899-12-30T02:25:00"/>
    <n v="124.1379310334861"/>
    <s v="UNPLANNED"/>
    <x v="1"/>
    <d v="1899-12-30T11:30:00"/>
    <x v="0"/>
  </r>
  <r>
    <n v="2797"/>
    <x v="7"/>
    <n v="7115271769700"/>
    <x v="783"/>
    <d v="2022-01-07T13:55:00"/>
    <d v="1899-12-30T02:25:00"/>
    <n v="124.1379310334861"/>
    <s v="UNPLANNED"/>
    <x v="0"/>
    <d v="1899-12-30T11:30:00"/>
    <x v="0"/>
  </r>
  <r>
    <n v="2798"/>
    <x v="1"/>
    <n v="6115271717221"/>
    <x v="782"/>
    <d v="2022-01-07T13:55:00"/>
    <d v="1899-12-30T04:10:00"/>
    <n v="72.000000000670553"/>
    <s v="UNPLANNED"/>
    <x v="6"/>
    <d v="1899-12-30T09:45:00"/>
    <x v="0"/>
  </r>
  <r>
    <n v="2799"/>
    <x v="0"/>
    <n v="5115271685512"/>
    <x v="781"/>
    <d v="2022-01-07T13:55:00"/>
    <d v="1899-12-30T01:25:00"/>
    <n v="211.76470589685451"/>
    <s v="UNPLANNED"/>
    <x v="0"/>
    <d v="1899-12-30T12:30:00"/>
    <x v="0"/>
  </r>
  <r>
    <n v="2800"/>
    <x v="0"/>
    <n v="5115271676300"/>
    <x v="782"/>
    <d v="2022-01-07T13:55:00"/>
    <d v="1899-12-30T04:10:00"/>
    <n v="72.000000000670553"/>
    <s v="UNPLANNED"/>
    <x v="0"/>
    <d v="1899-12-30T09:45:00"/>
    <x v="0"/>
  </r>
  <r>
    <n v="2801"/>
    <x v="9"/>
    <n v="2115270229901"/>
    <x v="784"/>
    <d v="2022-01-07T13:55:00"/>
    <d v="1899-12-30T01:40:00"/>
    <n v="179.99999999790452"/>
    <s v="UNPLANNED"/>
    <x v="1"/>
    <d v="1899-12-30T12:15:00"/>
    <x v="0"/>
  </r>
  <r>
    <n v="2802"/>
    <x v="14"/>
    <n v="1115270143200"/>
    <x v="784"/>
    <d v="2022-01-07T13:55:00"/>
    <d v="1899-12-30T01:40:00"/>
    <n v="179.99999999790452"/>
    <s v="UNPLANNED"/>
    <x v="1"/>
    <d v="1899-12-30T12:15:00"/>
    <x v="0"/>
  </r>
  <r>
    <n v="2803"/>
    <x v="14"/>
    <n v="1115270040900"/>
    <x v="782"/>
    <d v="2022-01-07T13:55:00"/>
    <d v="1899-12-30T04:10:00"/>
    <n v="72.000000000670553"/>
    <s v="UNPLANNED"/>
    <x v="0"/>
    <d v="1899-12-30T09:45:00"/>
    <x v="0"/>
  </r>
  <r>
    <n v="2804"/>
    <x v="12"/>
    <n v="14115271677302"/>
    <x v="785"/>
    <d v="2022-01-07T21:50:00"/>
    <d v="1899-12-30T00:35:00"/>
    <n v="514.28571430282022"/>
    <s v="UNPLANNED"/>
    <x v="0"/>
    <d v="1899-12-30T21:15:00"/>
    <x v="1"/>
  </r>
  <r>
    <n v="2805"/>
    <x v="10"/>
    <n v="11115271469504"/>
    <x v="786"/>
    <d v="2022-01-07T21:50:00"/>
    <d v="1899-12-30T05:40:00"/>
    <n v="52.941176470950779"/>
    <s v="UNPLANNED"/>
    <x v="0"/>
    <d v="1899-12-30T16:10:00"/>
    <x v="1"/>
  </r>
  <r>
    <n v="2806"/>
    <x v="6"/>
    <n v="9115271953902"/>
    <x v="786"/>
    <d v="2022-01-07T21:50:00"/>
    <d v="1899-12-30T05:40:00"/>
    <n v="52.941176470950779"/>
    <s v="UNPLANNED"/>
    <x v="0"/>
    <d v="1899-12-30T16:10:00"/>
    <x v="1"/>
  </r>
  <r>
    <n v="2807"/>
    <x v="6"/>
    <n v="9115271952901"/>
    <x v="786"/>
    <d v="2022-01-07T21:50:00"/>
    <d v="1899-12-30T05:40:00"/>
    <n v="52.941176470950779"/>
    <s v="UNPLANNED"/>
    <x v="0"/>
    <d v="1899-12-30T16:10:00"/>
    <x v="1"/>
  </r>
  <r>
    <n v="2808"/>
    <x v="6"/>
    <n v="9115271931600"/>
    <x v="786"/>
    <d v="2022-01-07T21:50:00"/>
    <d v="1899-12-30T05:40:00"/>
    <n v="52.941176470950779"/>
    <s v="UNPLANNED"/>
    <x v="0"/>
    <d v="1899-12-30T16:10:00"/>
    <x v="1"/>
  </r>
  <r>
    <n v="2809"/>
    <x v="7"/>
    <n v="7115271761101"/>
    <x v="786"/>
    <d v="2022-01-07T21:50:00"/>
    <d v="1899-12-30T05:40:00"/>
    <n v="52.941176470950779"/>
    <s v="UNPLANNED"/>
    <x v="0"/>
    <d v="1899-12-30T16:10:00"/>
    <x v="1"/>
  </r>
  <r>
    <n v="2810"/>
    <x v="9"/>
    <n v="2115270274400"/>
    <x v="786"/>
    <d v="2022-01-07T21:50:00"/>
    <d v="1899-12-30T05:40:00"/>
    <n v="52.941176470950779"/>
    <s v="UNPLANNED"/>
    <x v="0"/>
    <d v="1899-12-30T16:10:00"/>
    <x v="1"/>
  </r>
  <r>
    <n v="2811"/>
    <x v="2"/>
    <n v="12115271573218"/>
    <x v="787"/>
    <d v="2022-01-08T01:30:00"/>
    <d v="1899-12-30T02:00:00"/>
    <n v="149.99999999563443"/>
    <s v="UNPLANNED"/>
    <x v="1"/>
    <d v="1899-12-30T23:30:00"/>
    <x v="2"/>
  </r>
  <r>
    <n v="2812"/>
    <x v="7"/>
    <n v="7115271761001"/>
    <x v="787"/>
    <d v="2022-01-08T01:30:00"/>
    <d v="1899-12-30T02:00:00"/>
    <n v="149.99999999563443"/>
    <s v="UNPLANNED"/>
    <x v="0"/>
    <d v="1899-12-30T23:30:00"/>
    <x v="2"/>
  </r>
  <r>
    <n v="2813"/>
    <x v="14"/>
    <n v="1115270101400"/>
    <x v="787"/>
    <d v="2022-01-08T01:30:00"/>
    <d v="1899-12-30T02:00:00"/>
    <n v="149.99999999563443"/>
    <s v="UNPLANNED"/>
    <x v="1"/>
    <d v="1899-12-30T23:30:00"/>
    <x v="2"/>
  </r>
  <r>
    <n v="2814"/>
    <x v="2"/>
    <n v="12115271580605"/>
    <x v="788"/>
    <d v="2022-01-08T12:30:00"/>
    <d v="1899-12-30T03:30:00"/>
    <n v="85.714285712860217"/>
    <s v="UNPLANNED"/>
    <x v="0"/>
    <d v="1899-12-30T09:00:00"/>
    <x v="0"/>
  </r>
  <r>
    <n v="2815"/>
    <x v="3"/>
    <n v="8115271809905"/>
    <x v="788"/>
    <d v="2022-01-08T12:30:00"/>
    <d v="1899-12-30T03:30:00"/>
    <n v="85.714285712860217"/>
    <s v="UNPLANNED"/>
    <x v="2"/>
    <d v="1899-12-30T09:00:00"/>
    <x v="0"/>
  </r>
  <r>
    <n v="2816"/>
    <x v="1"/>
    <n v="6115271751105"/>
    <x v="788"/>
    <d v="2022-01-08T12:30:00"/>
    <d v="1899-12-30T03:30:00"/>
    <n v="85.714285712860217"/>
    <s v="UNPLANNED"/>
    <x v="0"/>
    <d v="1899-12-30T09:00:00"/>
    <x v="0"/>
  </r>
  <r>
    <n v="2817"/>
    <x v="0"/>
    <n v="5115271676402"/>
    <x v="788"/>
    <d v="2022-01-08T12:30:00"/>
    <d v="1899-12-30T03:30:00"/>
    <n v="85.714285712860217"/>
    <s v="UNPLANNED"/>
    <x v="0"/>
    <d v="1899-12-30T09:00:00"/>
    <x v="0"/>
  </r>
  <r>
    <n v="2818"/>
    <x v="9"/>
    <n v="2115270233400"/>
    <x v="788"/>
    <d v="2022-01-08T12:30:00"/>
    <d v="1899-12-30T03:30:00"/>
    <n v="85.714285712860217"/>
    <s v="UNPLANNED"/>
    <x v="0"/>
    <d v="1899-12-30T09:00:00"/>
    <x v="0"/>
  </r>
  <r>
    <n v="2819"/>
    <x v="11"/>
    <n v="10115271453603"/>
    <x v="789"/>
    <d v="2022-01-08T19:10:00"/>
    <d v="1899-12-30T03:40:00"/>
    <n v="81.818181820346567"/>
    <s v="UNPLANNED"/>
    <x v="0"/>
    <d v="1899-12-30T15:30:00"/>
    <x v="1"/>
  </r>
  <r>
    <n v="2820"/>
    <x v="3"/>
    <n v="8115270614000"/>
    <x v="789"/>
    <d v="2022-01-08T19:10:00"/>
    <d v="1899-12-30T03:40:00"/>
    <n v="81.818181820346567"/>
    <s v="UNPLANNED"/>
    <x v="0"/>
    <d v="1899-12-30T15:30:00"/>
    <x v="1"/>
  </r>
  <r>
    <n v="2821"/>
    <x v="1"/>
    <n v="6115271721130"/>
    <x v="789"/>
    <d v="2022-01-08T19:10:00"/>
    <d v="1899-12-30T03:40:00"/>
    <n v="81.818181820346567"/>
    <s v="UNPLANNED"/>
    <x v="0"/>
    <d v="1899-12-30T15:30:00"/>
    <x v="1"/>
  </r>
  <r>
    <n v="2822"/>
    <x v="9"/>
    <n v="2115270267300"/>
    <x v="789"/>
    <d v="2022-01-08T19:10:00"/>
    <d v="1899-12-30T03:40:00"/>
    <n v="81.818181820346567"/>
    <s v="UNPLANNED"/>
    <x v="1"/>
    <d v="1899-12-30T15:30:00"/>
    <x v="1"/>
  </r>
  <r>
    <n v="2823"/>
    <x v="5"/>
    <n v="13115271590601"/>
    <x v="790"/>
    <d v="2022-01-08T21:50:00"/>
    <d v="1899-12-30T01:10:00"/>
    <n v="257.14285715141011"/>
    <s v="UNPLANNED"/>
    <x v="1"/>
    <d v="1899-12-30T20:40:00"/>
    <x v="1"/>
  </r>
  <r>
    <n v="2824"/>
    <x v="2"/>
    <n v="12115271573409"/>
    <x v="790"/>
    <d v="2022-01-08T21:50:00"/>
    <d v="1899-12-30T01:10:00"/>
    <n v="257.14285715141011"/>
    <s v="UNPLANNED"/>
    <x v="0"/>
    <d v="1899-12-30T20:40:00"/>
    <x v="1"/>
  </r>
  <r>
    <n v="2825"/>
    <x v="2"/>
    <n v="12115271571044"/>
    <x v="790"/>
    <d v="2022-01-08T21:50:00"/>
    <d v="1899-12-30T01:10:00"/>
    <n v="257.14285715141011"/>
    <s v="UNPLANNED"/>
    <x v="0"/>
    <d v="1899-12-30T20:40:00"/>
    <x v="1"/>
  </r>
  <r>
    <n v="2826"/>
    <x v="0"/>
    <n v="5115271285501"/>
    <x v="791"/>
    <d v="2022-01-08T23:10:00"/>
    <d v="1899-12-30T00:40:00"/>
    <n v="449.99999994761311"/>
    <s v="UNPLANNED"/>
    <x v="2"/>
    <d v="1899-12-30T22:30:00"/>
    <x v="2"/>
  </r>
  <r>
    <n v="2827"/>
    <x v="4"/>
    <n v="15115271756900"/>
    <x v="792"/>
    <d v="2022-01-09T13:55:00"/>
    <d v="1899-12-30T03:55:00"/>
    <n v="76.595744680471626"/>
    <s v="UNPLANNED"/>
    <x v="0"/>
    <d v="1899-12-30T10:00:00"/>
    <x v="0"/>
  </r>
  <r>
    <n v="2828"/>
    <x v="10"/>
    <n v="11115271556400"/>
    <x v="793"/>
    <d v="2022-01-09T13:55:00"/>
    <d v="1899-12-30T02:25:00"/>
    <n v="124.1379310334861"/>
    <s v="UNPLANNED"/>
    <x v="2"/>
    <d v="1899-12-30T11:30:00"/>
    <x v="0"/>
  </r>
  <r>
    <n v="2829"/>
    <x v="7"/>
    <n v="7115271783717"/>
    <x v="794"/>
    <d v="2022-01-09T13:55:00"/>
    <d v="1899-12-30T01:05:00"/>
    <n v="276.9230769131575"/>
    <s v="UNPLANNED"/>
    <x v="0"/>
    <d v="1899-12-30T12:50:00"/>
    <x v="0"/>
  </r>
  <r>
    <n v="2830"/>
    <x v="7"/>
    <n v="7115271754900"/>
    <x v="792"/>
    <d v="2022-01-09T13:55:00"/>
    <d v="1899-12-30T03:55:00"/>
    <n v="76.595744680471626"/>
    <s v="UNPLANNED"/>
    <x v="0"/>
    <d v="1899-12-30T10:00:00"/>
    <x v="0"/>
  </r>
  <r>
    <n v="2831"/>
    <x v="0"/>
    <n v="5115271258101"/>
    <x v="792"/>
    <d v="2022-01-09T13:55:00"/>
    <d v="1899-12-30T03:55:00"/>
    <n v="76.595744680471626"/>
    <s v="UNPLANNED"/>
    <x v="1"/>
    <d v="1899-12-30T10:00:00"/>
    <x v="0"/>
  </r>
  <r>
    <n v="2832"/>
    <x v="14"/>
    <n v="1115270126700"/>
    <x v="794"/>
    <d v="2022-01-09T13:55:00"/>
    <d v="1899-12-30T01:05:00"/>
    <n v="276.9230769131575"/>
    <s v="UNPLANNED"/>
    <x v="0"/>
    <d v="1899-12-30T12:50:00"/>
    <x v="0"/>
  </r>
  <r>
    <n v="2833"/>
    <x v="14"/>
    <n v="1115270123000"/>
    <x v="793"/>
    <d v="2022-01-09T13:55:00"/>
    <d v="1899-12-30T02:25:00"/>
    <n v="124.1379310334861"/>
    <s v="UNPLANNED"/>
    <x v="0"/>
    <d v="1899-12-30T11:30:00"/>
    <x v="0"/>
  </r>
  <r>
    <n v="2834"/>
    <x v="10"/>
    <n v="11115227155630"/>
    <x v="795"/>
    <d v="2022-01-09T19:44:00"/>
    <d v="1899-12-30T04:12:00"/>
    <n v="71.428571427383517"/>
    <s v="UNPLANNED"/>
    <x v="1"/>
    <d v="1899-12-30T15:32:00"/>
    <x v="1"/>
  </r>
  <r>
    <n v="2835"/>
    <x v="11"/>
    <n v="10115271959700"/>
    <x v="795"/>
    <d v="2022-01-09T19:44:00"/>
    <d v="1899-12-30T04:12:00"/>
    <n v="71.428571427383517"/>
    <s v="UNPLANNED"/>
    <x v="0"/>
    <d v="1899-12-30T15:32:00"/>
    <x v="1"/>
  </r>
  <r>
    <n v="2836"/>
    <x v="3"/>
    <n v="8115271810100"/>
    <x v="795"/>
    <d v="2022-01-09T19:44:00"/>
    <d v="1899-12-30T04:12:00"/>
    <n v="71.428571427383517"/>
    <s v="UNPLANNED"/>
    <x v="0"/>
    <d v="1899-12-30T15:32:00"/>
    <x v="1"/>
  </r>
  <r>
    <n v="2837"/>
    <x v="1"/>
    <n v="6115271741400"/>
    <x v="795"/>
    <d v="2022-01-09T19:44:00"/>
    <d v="1899-12-30T04:12:00"/>
    <n v="71.428571427383517"/>
    <s v="UNPLANNED"/>
    <x v="0"/>
    <d v="1899-12-30T15:32:00"/>
    <x v="1"/>
  </r>
  <r>
    <n v="2838"/>
    <x v="9"/>
    <n v="2115270155500"/>
    <x v="796"/>
    <d v="2022-01-09T21:25:00"/>
    <d v="1899-12-30T01:00:00"/>
    <n v="300.0000000174623"/>
    <s v="UNPLANNED"/>
    <x v="0"/>
    <d v="1899-12-30T20:25:00"/>
    <x v="1"/>
  </r>
  <r>
    <n v="2839"/>
    <x v="14"/>
    <n v="1115270027900"/>
    <x v="796"/>
    <d v="2022-01-09T21:25:00"/>
    <d v="1899-12-30T01:00:00"/>
    <n v="300.0000000174623"/>
    <s v="UNPLANNED"/>
    <x v="0"/>
    <d v="1899-12-30T20:25:00"/>
    <x v="1"/>
  </r>
  <r>
    <n v="2840"/>
    <x v="3"/>
    <n v="8115271823202"/>
    <x v="797"/>
    <d v="2022-01-10T13:00:00"/>
    <d v="1899-12-30T03:00:00"/>
    <n v="100"/>
    <s v="UNPLANNED"/>
    <x v="0"/>
    <d v="1899-12-30T10:00:00"/>
    <x v="0"/>
  </r>
  <r>
    <n v="2841"/>
    <x v="3"/>
    <n v="8115271823200"/>
    <x v="797"/>
    <d v="2022-01-10T13:00:00"/>
    <d v="1899-12-30T03:00:00"/>
    <n v="100"/>
    <s v="UNPLANNED"/>
    <x v="0"/>
    <d v="1899-12-30T10:00:00"/>
    <x v="0"/>
  </r>
  <r>
    <n v="2842"/>
    <x v="3"/>
    <n v="8115271820902"/>
    <x v="797"/>
    <d v="2022-01-10T13:00:00"/>
    <d v="1899-12-30T03:00:00"/>
    <n v="100"/>
    <s v="UNPLANNED"/>
    <x v="2"/>
    <d v="1899-12-30T10:00:00"/>
    <x v="0"/>
  </r>
  <r>
    <n v="2843"/>
    <x v="7"/>
    <n v="7115271760304"/>
    <x v="797"/>
    <d v="2022-01-10T13:00:00"/>
    <d v="1899-12-30T03:00:00"/>
    <n v="100"/>
    <s v="UNPLANNED"/>
    <x v="1"/>
    <d v="1899-12-30T10:00:00"/>
    <x v="0"/>
  </r>
  <r>
    <n v="2844"/>
    <x v="14"/>
    <n v="1115270122800"/>
    <x v="797"/>
    <d v="2022-01-10T13:00:00"/>
    <d v="1899-12-30T03:00:00"/>
    <n v="100"/>
    <s v="UNPLANNED"/>
    <x v="0"/>
    <d v="1899-12-30T10:00:00"/>
    <x v="0"/>
  </r>
  <r>
    <n v="2845"/>
    <x v="2"/>
    <n v="12115271560116"/>
    <x v="798"/>
    <d v="2022-01-10T18:20:00"/>
    <d v="1899-12-30T01:50:00"/>
    <n v="163.63636363290004"/>
    <s v="UNPLANNED"/>
    <x v="1"/>
    <d v="1899-12-30T16:30:00"/>
    <x v="1"/>
  </r>
  <r>
    <n v="2846"/>
    <x v="1"/>
    <n v="6115271751104"/>
    <x v="798"/>
    <d v="2022-01-10T18:20:00"/>
    <d v="1899-12-30T01:50:00"/>
    <n v="163.63636363290004"/>
    <s v="UNPLANNED"/>
    <x v="0"/>
    <d v="1899-12-30T16:30:00"/>
    <x v="1"/>
  </r>
  <r>
    <n v="2847"/>
    <x v="14"/>
    <n v="1115270142700"/>
    <x v="798"/>
    <d v="2022-01-10T18:20:00"/>
    <d v="1899-12-30T01:50:00"/>
    <n v="163.63636363290004"/>
    <s v="UNPLANNED"/>
    <x v="3"/>
    <d v="1899-12-30T16:30:00"/>
    <x v="1"/>
  </r>
  <r>
    <n v="2848"/>
    <x v="9"/>
    <n v="2115270160300"/>
    <x v="799"/>
    <d v="2022-01-11T11:30:00"/>
    <d v="1899-12-30T01:30:00"/>
    <n v="200"/>
    <s v="UNPLANNED"/>
    <x v="3"/>
    <d v="1899-12-30T10:00:00"/>
    <x v="0"/>
  </r>
  <r>
    <n v="2849"/>
    <x v="4"/>
    <n v="15115271743401"/>
    <x v="800"/>
    <d v="2022-01-11T20:45:00"/>
    <d v="1899-12-30T03:45:00"/>
    <n v="80"/>
    <s v="UNPLANNED"/>
    <x v="0"/>
    <d v="1899-12-30T17:00:00"/>
    <x v="1"/>
  </r>
  <r>
    <n v="2850"/>
    <x v="10"/>
    <n v="11115271542606"/>
    <x v="800"/>
    <d v="2022-01-11T20:45:00"/>
    <d v="1899-12-30T03:45:00"/>
    <n v="80"/>
    <s v="UNPLANNED"/>
    <x v="0"/>
    <d v="1899-12-30T17:00:00"/>
    <x v="1"/>
  </r>
  <r>
    <n v="2851"/>
    <x v="11"/>
    <n v="10115270952801"/>
    <x v="800"/>
    <d v="2022-01-11T20:45:00"/>
    <d v="1899-12-30T03:45:00"/>
    <n v="80"/>
    <s v="UNPLANNED"/>
    <x v="0"/>
    <d v="1899-12-30T17:00:00"/>
    <x v="1"/>
  </r>
  <r>
    <n v="2852"/>
    <x v="1"/>
    <n v="6115271698600"/>
    <x v="800"/>
    <d v="2022-01-11T20:45:00"/>
    <d v="1899-12-30T03:45:00"/>
    <n v="80"/>
    <s v="UNPLANNED"/>
    <x v="0"/>
    <d v="1899-12-30T17:00:00"/>
    <x v="1"/>
  </r>
  <r>
    <n v="2853"/>
    <x v="10"/>
    <n v="11115271542511"/>
    <x v="801"/>
    <d v="2022-01-11T23:45:00"/>
    <d v="1899-12-30T01:05:00"/>
    <n v="276.9230769131575"/>
    <s v="UNPLANNED"/>
    <x v="0"/>
    <d v="1899-12-30T22:40:00"/>
    <x v="2"/>
  </r>
  <r>
    <n v="2854"/>
    <x v="7"/>
    <n v="7115271756901"/>
    <x v="802"/>
    <d v="2022-01-12T02:35:00"/>
    <d v="1899-12-30T01:35:00"/>
    <n v="189.47368419891703"/>
    <s v="UNPLANNED"/>
    <x v="0"/>
    <d v="1899-12-30T01:00:00"/>
    <x v="2"/>
  </r>
  <r>
    <n v="2855"/>
    <x v="13"/>
    <n v="3115270366500"/>
    <x v="803"/>
    <d v="2022-01-12T10:30:00"/>
    <d v="1899-12-30T01:30:00"/>
    <n v="200"/>
    <s v="UNPLANNED"/>
    <x v="0"/>
    <d v="1899-12-30T09:00:00"/>
    <x v="0"/>
  </r>
  <r>
    <n v="2856"/>
    <x v="11"/>
    <n v="10115279590001"/>
    <x v="804"/>
    <d v="2022-01-12T18:30:00"/>
    <d v="1899-12-30T01:00:00"/>
    <n v="299.9999999650754"/>
    <s v="UNPLANNED"/>
    <x v="0"/>
    <d v="1899-12-30T17:30:00"/>
    <x v="1"/>
  </r>
  <r>
    <n v="2857"/>
    <x v="5"/>
    <n v="13115271590501"/>
    <x v="805"/>
    <d v="2022-01-12T20:35:00"/>
    <d v="1899-12-30T01:05:00"/>
    <n v="276.9230769131575"/>
    <s v="UNPLANNED"/>
    <x v="1"/>
    <d v="1899-12-30T19:30:00"/>
    <x v="1"/>
  </r>
  <r>
    <n v="2858"/>
    <x v="8"/>
    <n v="4115270847400"/>
    <x v="806"/>
    <d v="2022-01-14T00:30:00"/>
    <d v="1899-12-30T01:05:00"/>
    <n v="276.9230769131575"/>
    <s v="UNPLANNED"/>
    <x v="3"/>
    <d v="1899-12-30T23:25:00"/>
    <x v="2"/>
  </r>
  <r>
    <n v="2859"/>
    <x v="14"/>
    <n v="1115270102000"/>
    <x v="807"/>
    <d v="2022-01-13T02:35:00"/>
    <d v="1899-12-30T01:35:00"/>
    <n v="189.47368419891703"/>
    <s v="UNPLANNED"/>
    <x v="0"/>
    <d v="1899-12-30T01:00:00"/>
    <x v="2"/>
  </r>
  <r>
    <n v="2860"/>
    <x v="1"/>
    <n v="6115271753704"/>
    <x v="808"/>
    <d v="2022-01-13T11:18:00"/>
    <d v="1899-12-30T02:18:00"/>
    <n v="130.43478260935586"/>
    <s v="UNPLANNED"/>
    <x v="1"/>
    <d v="1899-12-30T09:00:00"/>
    <x v="0"/>
  </r>
  <r>
    <n v="2861"/>
    <x v="1"/>
    <n v="6115271741300"/>
    <x v="808"/>
    <d v="2022-01-13T11:18:00"/>
    <d v="1899-12-30T02:18:00"/>
    <n v="130.43478260935586"/>
    <s v="UNPLANNED"/>
    <x v="1"/>
    <d v="1899-12-30T09:00:00"/>
    <x v="0"/>
  </r>
  <r>
    <n v="2862"/>
    <x v="9"/>
    <n v="2115270229700"/>
    <x v="808"/>
    <d v="2022-01-13T11:18:00"/>
    <d v="1899-12-30T02:18:00"/>
    <n v="130.43478260935586"/>
    <s v="UNPLANNED"/>
    <x v="2"/>
    <d v="1899-12-30T09:00:00"/>
    <x v="0"/>
  </r>
  <r>
    <n v="2863"/>
    <x v="2"/>
    <n v="12115271569304"/>
    <x v="809"/>
    <d v="2022-01-13T19:00:00"/>
    <d v="1899-12-30T04:10:00"/>
    <n v="72.000000000670553"/>
    <s v="UNPLANNED"/>
    <x v="1"/>
    <d v="1899-12-30T14:50:00"/>
    <x v="1"/>
  </r>
  <r>
    <n v="2864"/>
    <x v="7"/>
    <n v="7115271783717"/>
    <x v="809"/>
    <d v="2022-01-13T19:00:00"/>
    <d v="1899-12-30T04:10:00"/>
    <n v="72.000000000670553"/>
    <s v="UNPLANNED"/>
    <x v="6"/>
    <d v="1899-12-30T14:50:00"/>
    <x v="1"/>
  </r>
  <r>
    <n v="2865"/>
    <x v="13"/>
    <n v="3115270340300"/>
    <x v="809"/>
    <d v="2022-01-13T19:00:00"/>
    <d v="1899-12-30T04:10:00"/>
    <n v="72.000000000670553"/>
    <s v="UNPLANNED"/>
    <x v="2"/>
    <d v="1899-12-30T14:50:00"/>
    <x v="1"/>
  </r>
  <r>
    <n v="2866"/>
    <x v="10"/>
    <n v="11115271542700"/>
    <x v="810"/>
    <d v="2022-01-13T22:10:00"/>
    <d v="1899-12-30T02:05:00"/>
    <n v="144.00000000134111"/>
    <s v="UNPLANNED"/>
    <x v="1"/>
    <d v="1899-12-30T20:05:00"/>
    <x v="1"/>
  </r>
  <r>
    <n v="2867"/>
    <x v="11"/>
    <n v="10115271559100"/>
    <x v="810"/>
    <d v="2022-01-13T22:10:00"/>
    <d v="1899-12-30T02:05:00"/>
    <n v="144.00000000134111"/>
    <s v="UNPLANNED"/>
    <x v="2"/>
    <d v="1899-12-30T20:05:00"/>
    <x v="1"/>
  </r>
  <r>
    <n v="2868"/>
    <x v="13"/>
    <n v="3115270308900"/>
    <x v="811"/>
    <d v="2022-01-13T22:10:00"/>
    <d v="1899-12-30T03:00:00"/>
    <n v="100"/>
    <s v="UNPLANNED"/>
    <x v="1"/>
    <d v="1899-12-30T19:10:00"/>
    <x v="1"/>
  </r>
  <r>
    <n v="2869"/>
    <x v="14"/>
    <n v="1115270097105"/>
    <x v="810"/>
    <d v="2022-01-13T22:10:00"/>
    <d v="1899-12-30T02:05:00"/>
    <n v="144.00000000134111"/>
    <s v="UNPLANNED"/>
    <x v="2"/>
    <d v="1899-12-30T20:05:00"/>
    <x v="1"/>
  </r>
  <r>
    <n v="2870"/>
    <x v="12"/>
    <n v="14115271672407"/>
    <x v="806"/>
    <d v="2022-01-14T00:30:00"/>
    <d v="1899-12-30T01:05:00"/>
    <n v="276.9230769131575"/>
    <s v="UNPLANNED"/>
    <x v="0"/>
    <d v="1899-12-30T23:25:00"/>
    <x v="2"/>
  </r>
  <r>
    <n v="2871"/>
    <x v="1"/>
    <n v="6115271741400"/>
    <x v="812"/>
    <d v="2022-01-14T05:25:00"/>
    <d v="1899-12-30T01:35:00"/>
    <n v="189.47368419891703"/>
    <s v="UNPLANNED"/>
    <x v="0"/>
    <d v="1899-12-30T03:50:00"/>
    <x v="2"/>
  </r>
  <r>
    <n v="2872"/>
    <x v="5"/>
    <n v="13115271590508"/>
    <x v="813"/>
    <d v="2022-01-14T13:20:00"/>
    <d v="1899-12-30T02:50:00"/>
    <n v="105.88235294190156"/>
    <s v="UNPLANNED"/>
    <x v="0"/>
    <d v="1899-12-30T10:30:00"/>
    <x v="0"/>
  </r>
  <r>
    <n v="2873"/>
    <x v="10"/>
    <n v="11115271543200"/>
    <x v="813"/>
    <d v="2022-01-14T13:20:00"/>
    <d v="1899-12-30T02:50:00"/>
    <n v="105.88235294190156"/>
    <s v="UNPLANNED"/>
    <x v="2"/>
    <d v="1899-12-30T10:30:00"/>
    <x v="0"/>
  </r>
  <r>
    <n v="2874"/>
    <x v="6"/>
    <n v="9115271948800"/>
    <x v="813"/>
    <d v="2022-01-14T13:20:00"/>
    <d v="1899-12-30T02:50:00"/>
    <n v="105.88235294190156"/>
    <s v="UNPLANNED"/>
    <x v="1"/>
    <d v="1899-12-30T10:30:00"/>
    <x v="0"/>
  </r>
  <r>
    <n v="2875"/>
    <x v="13"/>
    <n v="3115270349600"/>
    <x v="813"/>
    <d v="2022-01-14T13:20:00"/>
    <d v="1899-12-30T02:50:00"/>
    <n v="105.88235294190156"/>
    <s v="UNPLANNED"/>
    <x v="0"/>
    <d v="1899-12-30T10:30:00"/>
    <x v="0"/>
  </r>
  <r>
    <n v="2876"/>
    <x v="9"/>
    <n v="2115270229901"/>
    <x v="813"/>
    <d v="2022-01-14T13:20:00"/>
    <d v="1899-12-30T02:50:00"/>
    <n v="105.88235294190156"/>
    <s v="UNPLANNED"/>
    <x v="2"/>
    <d v="1899-12-30T10:30:00"/>
    <x v="0"/>
  </r>
  <r>
    <n v="2877"/>
    <x v="2"/>
    <n v="12115271574313"/>
    <x v="814"/>
    <d v="2022-01-14T19:30:00"/>
    <d v="1899-12-30T03:19:00"/>
    <n v="90.45226130695599"/>
    <s v="UNPLANNED"/>
    <x v="0"/>
    <d v="1899-12-30T16:11:00"/>
    <x v="1"/>
  </r>
  <r>
    <n v="2878"/>
    <x v="10"/>
    <n v="11115271536305"/>
    <x v="814"/>
    <d v="2022-01-14T19:30:00"/>
    <d v="1899-12-30T03:19:00"/>
    <n v="90.45226130695599"/>
    <s v="UNPLANNED"/>
    <x v="0"/>
    <d v="1899-12-30T16:11:00"/>
    <x v="1"/>
  </r>
  <r>
    <n v="2879"/>
    <x v="9"/>
    <n v="2115270274600"/>
    <x v="815"/>
    <d v="2022-01-14T19:30:00"/>
    <d v="1899-12-30T01:35:00"/>
    <n v="189.47368421981375"/>
    <s v="UNPLANNED"/>
    <x v="0"/>
    <d v="1899-12-30T17:55:00"/>
    <x v="1"/>
  </r>
  <r>
    <n v="2880"/>
    <x v="5"/>
    <n v="13115271608000"/>
    <x v="816"/>
    <d v="2022-01-14T22:00:00"/>
    <d v="1899-12-30T00:45:00"/>
    <n v="400"/>
    <s v="UNPLANNED"/>
    <x v="0"/>
    <d v="1899-12-30T21:15:00"/>
    <x v="1"/>
  </r>
  <r>
    <n v="2881"/>
    <x v="5"/>
    <n v="13115271608402"/>
    <x v="817"/>
    <d v="2022-01-15T13:15:00"/>
    <d v="1899-12-30T02:45:00"/>
    <n v="109.09090908860001"/>
    <s v="UNPLANNED"/>
    <x v="1"/>
    <d v="1899-12-30T10:30:00"/>
    <x v="0"/>
  </r>
  <r>
    <n v="2882"/>
    <x v="11"/>
    <n v="10115271958500"/>
    <x v="817"/>
    <d v="2022-01-15T13:15:00"/>
    <d v="1899-12-30T02:45:00"/>
    <n v="109.09090908860001"/>
    <s v="UNPLANNED"/>
    <x v="1"/>
    <d v="1899-12-30T10:30:00"/>
    <x v="0"/>
  </r>
  <r>
    <n v="2883"/>
    <x v="13"/>
    <n v="3115270366800"/>
    <x v="817"/>
    <d v="2022-01-15T13:15:00"/>
    <d v="1899-12-30T02:45:00"/>
    <n v="109.09090908860001"/>
    <s v="UNPLANNED"/>
    <x v="0"/>
    <d v="1899-12-30T10:30:00"/>
    <x v="0"/>
  </r>
  <r>
    <n v="2884"/>
    <x v="9"/>
    <n v="2115270202200"/>
    <x v="817"/>
    <d v="2022-01-15T13:15:00"/>
    <d v="1899-12-30T02:45:00"/>
    <n v="109.09090908860001"/>
    <s v="UNPLANNED"/>
    <x v="0"/>
    <d v="1899-12-30T10:30:00"/>
    <x v="0"/>
  </r>
  <r>
    <n v="2885"/>
    <x v="13"/>
    <n v="3115270421000"/>
    <x v="818"/>
    <d v="2022-01-15T16:00:00"/>
    <d v="1899-12-30T00:58:00"/>
    <n v="310.34482758371524"/>
    <s v="UNPLANNED"/>
    <x v="0"/>
    <d v="1899-12-30T15:02:00"/>
    <x v="1"/>
  </r>
  <r>
    <n v="2886"/>
    <x v="7"/>
    <n v="7115271769601"/>
    <x v="819"/>
    <d v="2022-01-15T20:00:00"/>
    <d v="1899-12-30T02:57:00"/>
    <n v="101.69491525383599"/>
    <s v="UNPLANNED"/>
    <x v="1"/>
    <d v="1899-12-30T17:03:00"/>
    <x v="1"/>
  </r>
  <r>
    <n v="2887"/>
    <x v="13"/>
    <n v="3115270340400"/>
    <x v="819"/>
    <d v="2022-01-15T20:00:00"/>
    <d v="1899-12-30T02:57:00"/>
    <n v="101.69491525383599"/>
    <s v="UNPLANNED"/>
    <x v="0"/>
    <d v="1899-12-30T17:03:00"/>
    <x v="1"/>
  </r>
  <r>
    <n v="2888"/>
    <x v="13"/>
    <n v="3115270306701"/>
    <x v="819"/>
    <d v="2022-01-15T20:00:00"/>
    <d v="1899-12-30T02:57:00"/>
    <n v="101.69491525383599"/>
    <s v="UNPLANNED"/>
    <x v="0"/>
    <d v="1899-12-30T17:03:00"/>
    <x v="1"/>
  </r>
  <r>
    <n v="2889"/>
    <x v="11"/>
    <n v="10115271471600"/>
    <x v="820"/>
    <d v="2022-01-15T21:45:00"/>
    <d v="1899-12-30T00:40:00"/>
    <n v="449.99999994761311"/>
    <s v="UNPLANNED"/>
    <x v="1"/>
    <d v="1899-12-30T21:05:00"/>
    <x v="1"/>
  </r>
  <r>
    <n v="2890"/>
    <x v="0"/>
    <n v="5115271295908"/>
    <x v="821"/>
    <d v="2022-01-16T12:51:00"/>
    <d v="1899-12-30T01:51:00"/>
    <n v="162.16216216930525"/>
    <s v="UNPLANNED"/>
    <x v="2"/>
    <d v="1899-12-30T11:00:00"/>
    <x v="0"/>
  </r>
  <r>
    <n v="2891"/>
    <x v="13"/>
    <n v="3115270306602"/>
    <x v="821"/>
    <d v="2022-01-16T12:51:00"/>
    <d v="1899-12-30T01:51:00"/>
    <n v="162.16216216930525"/>
    <s v="UNPLANNED"/>
    <x v="2"/>
    <d v="1899-12-30T11:00:00"/>
    <x v="0"/>
  </r>
  <r>
    <n v="2892"/>
    <x v="10"/>
    <n v="11115271542511"/>
    <x v="822"/>
    <d v="2022-01-16T17:45:00"/>
    <d v="1899-12-30T01:36:00"/>
    <n v="187.50000000272848"/>
    <s v="UNPLANNED"/>
    <x v="0"/>
    <d v="1899-12-30T16:09:00"/>
    <x v="1"/>
  </r>
  <r>
    <n v="2893"/>
    <x v="6"/>
    <n v="9115271923600"/>
    <x v="823"/>
    <d v="2022-01-16T17:45:00"/>
    <d v="1899-12-30T02:55:00"/>
    <n v="102.85714285440591"/>
    <s v="UNPLANNED"/>
    <x v="1"/>
    <d v="1899-12-30T14:50:00"/>
    <x v="1"/>
  </r>
  <r>
    <n v="2894"/>
    <x v="3"/>
    <n v="8115271809910"/>
    <x v="823"/>
    <d v="2022-01-16T17:45:00"/>
    <d v="1899-12-30T02:55:00"/>
    <n v="102.85714285440591"/>
    <s v="UNPLANNED"/>
    <x v="0"/>
    <d v="1899-12-30T14:50:00"/>
    <x v="1"/>
  </r>
  <r>
    <n v="2895"/>
    <x v="7"/>
    <n v="7115271783704"/>
    <x v="823"/>
    <d v="2022-01-16T17:45:00"/>
    <d v="1899-12-30T02:55:00"/>
    <n v="102.85714285440591"/>
    <s v="UNPLANNED"/>
    <x v="1"/>
    <d v="1899-12-30T14:50:00"/>
    <x v="1"/>
  </r>
  <r>
    <n v="2896"/>
    <x v="1"/>
    <n v="6115271733601"/>
    <x v="822"/>
    <d v="2022-01-16T17:45:00"/>
    <d v="1899-12-30T01:36:00"/>
    <n v="187.50000000272848"/>
    <s v="UNPLANNED"/>
    <x v="3"/>
    <d v="1899-12-30T16:09:00"/>
    <x v="1"/>
  </r>
  <r>
    <n v="2897"/>
    <x v="12"/>
    <n v="14115271672600"/>
    <x v="824"/>
    <d v="2022-01-16T21:55:00"/>
    <d v="1899-12-30T02:59:00"/>
    <n v="100.55865921970828"/>
    <s v="UNPLANNED"/>
    <x v="2"/>
    <d v="1899-12-30T18:56:00"/>
    <x v="1"/>
  </r>
  <r>
    <n v="2898"/>
    <x v="7"/>
    <n v="7115271783707"/>
    <x v="824"/>
    <d v="2022-01-16T21:55:00"/>
    <d v="1899-12-30T02:59:00"/>
    <n v="100.55865921970828"/>
    <s v="UNPLANNED"/>
    <x v="1"/>
    <d v="1899-12-30T18:56:00"/>
    <x v="1"/>
  </r>
  <r>
    <n v="2899"/>
    <x v="13"/>
    <n v="3115270402400"/>
    <x v="825"/>
    <d v="2022-01-16T22:55:00"/>
    <d v="1899-12-30T01:25:00"/>
    <n v="211.76470589685451"/>
    <s v="UNPLANNED"/>
    <x v="1"/>
    <d v="1899-12-30T21:30:00"/>
    <x v="1"/>
  </r>
  <r>
    <n v="2900"/>
    <x v="13"/>
    <n v="3115270366501"/>
    <x v="824"/>
    <d v="2022-01-16T21:55:00"/>
    <d v="1899-12-30T02:59:00"/>
    <n v="100.55865921970828"/>
    <s v="UNPLANNED"/>
    <x v="1"/>
    <d v="1899-12-30T18:56:00"/>
    <x v="1"/>
  </r>
  <r>
    <n v="2901"/>
    <x v="9"/>
    <n v="2115270225604"/>
    <x v="824"/>
    <d v="2022-01-16T21:55:00"/>
    <d v="1899-12-30T02:59:00"/>
    <n v="100.55865921970828"/>
    <s v="UNPLANNED"/>
    <x v="0"/>
    <d v="1899-12-30T18:56:00"/>
    <x v="1"/>
  </r>
  <r>
    <n v="2902"/>
    <x v="9"/>
    <n v="2115270217600"/>
    <x v="824"/>
    <d v="2022-01-16T21:55:00"/>
    <d v="1899-12-30T02:59:00"/>
    <n v="100.55865921970828"/>
    <s v="UNPLANNED"/>
    <x v="1"/>
    <d v="1899-12-30T18:56:00"/>
    <x v="1"/>
  </r>
  <r>
    <n v="2903"/>
    <x v="13"/>
    <n v="3115270306901"/>
    <x v="826"/>
    <d v="2022-01-17T00:10:00"/>
    <d v="1899-12-30T00:55:00"/>
    <n v="327.27272726580009"/>
    <s v="UNPLANNED"/>
    <x v="2"/>
    <d v="1899-12-30T23:15:00"/>
    <x v="2"/>
  </r>
  <r>
    <n v="2904"/>
    <x v="12"/>
    <n v="14115271674712"/>
    <x v="827"/>
    <d v="2022-01-17T02:40:00"/>
    <d v="1899-12-30T01:40:00"/>
    <n v="179.99999999790452"/>
    <s v="UNPLANNED"/>
    <x v="1"/>
    <d v="1899-12-30T01:00:00"/>
    <x v="2"/>
  </r>
  <r>
    <n v="2905"/>
    <x v="2"/>
    <n v="12115271580500"/>
    <x v="827"/>
    <d v="2022-01-17T02:40:00"/>
    <d v="1899-12-30T01:40:00"/>
    <n v="179.99999999790452"/>
    <s v="UNPLANNED"/>
    <x v="0"/>
    <d v="1899-12-30T01:00:00"/>
    <x v="2"/>
  </r>
  <r>
    <n v="2906"/>
    <x v="1"/>
    <n v="6115271698102"/>
    <x v="828"/>
    <d v="2022-01-17T04:15:00"/>
    <d v="1899-12-30T01:15:00"/>
    <n v="239.99999998882413"/>
    <s v="UNPLANNED"/>
    <x v="0"/>
    <d v="1899-12-30T03:00:00"/>
    <x v="2"/>
  </r>
  <r>
    <n v="2907"/>
    <x v="11"/>
    <n v="10115271964201"/>
    <x v="829"/>
    <d v="2022-01-17T13:30:00"/>
    <d v="1899-12-30T03:00:00"/>
    <n v="100"/>
    <s v="UNPLANNED"/>
    <x v="2"/>
    <d v="1899-12-30T10:30:00"/>
    <x v="0"/>
  </r>
  <r>
    <n v="2908"/>
    <x v="1"/>
    <n v="6115271741400"/>
    <x v="830"/>
    <d v="2022-01-17T13:30:00"/>
    <d v="1899-12-30T01:05:00"/>
    <n v="276.9230769131575"/>
    <s v="UNPLANNED"/>
    <x v="0"/>
    <d v="1899-12-30T12:25:00"/>
    <x v="0"/>
  </r>
  <r>
    <n v="2909"/>
    <x v="9"/>
    <n v="2115270250600"/>
    <x v="829"/>
    <d v="2022-01-17T13:30:00"/>
    <d v="1899-12-30T03:00:00"/>
    <n v="100"/>
    <s v="UNPLANNED"/>
    <x v="1"/>
    <d v="1899-12-30T10:30:00"/>
    <x v="0"/>
  </r>
  <r>
    <n v="2910"/>
    <x v="9"/>
    <n v="2115270169300"/>
    <x v="831"/>
    <d v="2022-01-17T17:00:00"/>
    <d v="1899-12-30T01:00:00"/>
    <n v="299.9999999650754"/>
    <s v="UNPLANNED"/>
    <x v="1"/>
    <d v="1899-12-30T16:00:00"/>
    <x v="1"/>
  </r>
  <r>
    <n v="2911"/>
    <x v="12"/>
    <n v="14115271683811"/>
    <x v="832"/>
    <d v="2022-01-17T20:15:00"/>
    <d v="1899-12-30T01:45:00"/>
    <n v="171.42857143427341"/>
    <s v="UNPLANNED"/>
    <x v="6"/>
    <d v="1899-12-30T18:30:00"/>
    <x v="1"/>
  </r>
  <r>
    <n v="2912"/>
    <x v="11"/>
    <n v="10115271963700"/>
    <x v="833"/>
    <d v="2022-01-17T20:15:00"/>
    <d v="1899-12-30T02:25:00"/>
    <n v="124.1379310334861"/>
    <s v="UNPLANNED"/>
    <x v="1"/>
    <d v="1899-12-30T17:50:00"/>
    <x v="1"/>
  </r>
  <r>
    <n v="2913"/>
    <x v="13"/>
    <n v="3115270341004"/>
    <x v="833"/>
    <d v="2022-01-17T20:15:00"/>
    <d v="1899-12-30T02:25:00"/>
    <n v="124.1379310334861"/>
    <s v="UNPLANNED"/>
    <x v="1"/>
    <d v="1899-12-30T17:50:00"/>
    <x v="1"/>
  </r>
  <r>
    <n v="2914"/>
    <x v="14"/>
    <n v="1115270064002"/>
    <x v="834"/>
    <d v="2022-01-17T23:10:00"/>
    <d v="1899-12-30T00:50:00"/>
    <n v="359.99999995809048"/>
    <s v="UNPLANNED"/>
    <x v="1"/>
    <d v="1899-12-30T22:20:00"/>
    <x v="2"/>
  </r>
  <r>
    <n v="2915"/>
    <x v="4"/>
    <n v="15115271743901"/>
    <x v="835"/>
    <d v="2022-01-18T03:10:00"/>
    <d v="1899-12-30T03:55:00"/>
    <n v="76.595744680471626"/>
    <s v="UNPLANNED"/>
    <x v="0"/>
    <d v="1899-12-30T23:15:00"/>
    <x v="2"/>
  </r>
  <r>
    <n v="2916"/>
    <x v="10"/>
    <n v="11115271542301"/>
    <x v="835"/>
    <d v="2022-01-18T03:10:00"/>
    <d v="1899-12-30T03:55:00"/>
    <n v="76.595744680471626"/>
    <s v="UNPLANNED"/>
    <x v="1"/>
    <d v="1899-12-30T23:15:00"/>
    <x v="2"/>
  </r>
  <r>
    <n v="2917"/>
    <x v="2"/>
    <n v="12115271571049"/>
    <x v="836"/>
    <d v="2022-01-18T12:00:00"/>
    <d v="1899-12-30T00:45:00"/>
    <n v="400"/>
    <s v="UNPLANNED"/>
    <x v="0"/>
    <d v="1899-12-30T11:15:00"/>
    <x v="0"/>
  </r>
  <r>
    <n v="2918"/>
    <x v="2"/>
    <n v="12115271569208"/>
    <x v="837"/>
    <d v="2022-01-18T12:00:00"/>
    <d v="1899-12-30T01:45:00"/>
    <n v="171.42857143427341"/>
    <s v="UNPLANNED"/>
    <x v="1"/>
    <d v="1899-12-30T10:15:00"/>
    <x v="0"/>
  </r>
  <r>
    <n v="2919"/>
    <x v="14"/>
    <n v="1115270088300"/>
    <x v="837"/>
    <d v="2022-01-18T12:00:00"/>
    <d v="1899-12-30T01:45:00"/>
    <n v="171.42857143427341"/>
    <s v="UNPLANNED"/>
    <x v="1"/>
    <d v="1899-12-30T10:15:00"/>
    <x v="0"/>
  </r>
  <r>
    <n v="2920"/>
    <x v="12"/>
    <n v="14115271690732"/>
    <x v="838"/>
    <d v="2022-01-18T21:00:00"/>
    <d v="1899-12-30T04:10:00"/>
    <n v="72.000000000670553"/>
    <s v="UNPLANNED"/>
    <x v="0"/>
    <d v="1899-12-30T16:50:00"/>
    <x v="1"/>
  </r>
  <r>
    <n v="2921"/>
    <x v="2"/>
    <n v="12115271565702"/>
    <x v="838"/>
    <d v="2022-01-18T21:00:00"/>
    <d v="1899-12-30T04:10:00"/>
    <n v="72.000000000670553"/>
    <s v="UNPLANNED"/>
    <x v="0"/>
    <d v="1899-12-30T16:50:00"/>
    <x v="1"/>
  </r>
  <r>
    <n v="2922"/>
    <x v="7"/>
    <n v="7115271754700"/>
    <x v="838"/>
    <d v="2022-01-18T21:00:00"/>
    <d v="1899-12-30T04:10:00"/>
    <n v="72.000000000670553"/>
    <s v="UNPLANNED"/>
    <x v="1"/>
    <d v="1899-12-30T16:50:00"/>
    <x v="1"/>
  </r>
  <r>
    <n v="2923"/>
    <x v="13"/>
    <n v="3115270321400"/>
    <x v="839"/>
    <d v="2022-01-18T21:00:00"/>
    <d v="1899-12-30T02:10:00"/>
    <n v="138.46153845657875"/>
    <s v="UNPLANNED"/>
    <x v="1"/>
    <d v="1899-12-30T18:50:00"/>
    <x v="1"/>
  </r>
  <r>
    <n v="2924"/>
    <x v="5"/>
    <n v="13115271590500"/>
    <x v="840"/>
    <d v="2022-01-19T14:30:00"/>
    <d v="1899-12-30T04:35:00"/>
    <n v="65.4545454556538"/>
    <s v="UNPLANNED"/>
    <x v="2"/>
    <d v="1899-12-30T09:55:00"/>
    <x v="0"/>
  </r>
  <r>
    <n v="2925"/>
    <x v="10"/>
    <n v="11115271542511"/>
    <x v="840"/>
    <d v="2022-01-19T14:30:00"/>
    <d v="1899-12-30T04:35:00"/>
    <n v="65.4545454556538"/>
    <s v="UNPLANNED"/>
    <x v="1"/>
    <d v="1899-12-30T09:55:00"/>
    <x v="0"/>
  </r>
  <r>
    <n v="2926"/>
    <x v="7"/>
    <n v="7115271760800"/>
    <x v="840"/>
    <d v="2022-01-19T14:30:00"/>
    <d v="1899-12-30T04:35:00"/>
    <n v="65.4545454556538"/>
    <s v="UNPLANNED"/>
    <x v="1"/>
    <d v="1899-12-30T09:55:00"/>
    <x v="0"/>
  </r>
  <r>
    <n v="2927"/>
    <x v="0"/>
    <n v="5115271296304"/>
    <x v="840"/>
    <d v="2022-01-19T14:30:00"/>
    <d v="1899-12-30T04:35:00"/>
    <n v="65.4545454556538"/>
    <s v="UNPLANNED"/>
    <x v="1"/>
    <d v="1899-12-30T09:55:00"/>
    <x v="0"/>
  </r>
  <r>
    <n v="2928"/>
    <x v="14"/>
    <n v="1115270110700"/>
    <x v="840"/>
    <d v="2022-01-19T14:30:00"/>
    <d v="1899-12-30T04:35:00"/>
    <n v="65.4545454556538"/>
    <s v="UNPLANNED"/>
    <x v="1"/>
    <d v="1899-12-30T09:55:00"/>
    <x v="0"/>
  </r>
  <r>
    <n v="2929"/>
    <x v="5"/>
    <n v="13115271616604"/>
    <x v="841"/>
    <d v="2022-01-19T19:45:00"/>
    <d v="1899-12-30T03:50:00"/>
    <n v="78.260869566801873"/>
    <s v="UNPLANNED"/>
    <x v="1"/>
    <d v="1899-12-30T15:55:00"/>
    <x v="1"/>
  </r>
  <r>
    <n v="2930"/>
    <x v="13"/>
    <n v="3115270421627"/>
    <x v="842"/>
    <d v="2022-01-19T19:45:00"/>
    <d v="1899-12-30T01:45:00"/>
    <n v="171.42857143427341"/>
    <s v="UNPLANNED"/>
    <x v="1"/>
    <d v="1899-12-30T18:00:00"/>
    <x v="1"/>
  </r>
  <r>
    <n v="2931"/>
    <x v="13"/>
    <n v="3115270340600"/>
    <x v="841"/>
    <d v="2022-01-19T19:45:00"/>
    <d v="1899-12-30T03:50:00"/>
    <n v="78.260869566801873"/>
    <s v="UNPLANNED"/>
    <x v="1"/>
    <d v="1899-12-30T15:55:00"/>
    <x v="1"/>
  </r>
  <r>
    <n v="2932"/>
    <x v="13"/>
    <n v="3115270306605"/>
    <x v="843"/>
    <d v="2022-01-19T19:45:00"/>
    <d v="1899-12-30T00:45:00"/>
    <n v="400"/>
    <s v="UNPLANNED"/>
    <x v="1"/>
    <d v="1899-12-30T19:00:00"/>
    <x v="1"/>
  </r>
  <r>
    <n v="2933"/>
    <x v="14"/>
    <n v="1115270092500"/>
    <x v="844"/>
    <d v="2022-01-19T21:30:00"/>
    <d v="1899-12-30T01:15:00"/>
    <n v="239.99999998882413"/>
    <s v="UNPLANNED"/>
    <x v="0"/>
    <d v="1899-12-30T20:15:00"/>
    <x v="1"/>
  </r>
  <r>
    <n v="2934"/>
    <x v="5"/>
    <n v="13115271604903"/>
    <x v="845"/>
    <d v="2022-01-20T10:26:00"/>
    <d v="1899-12-30T01:06:00"/>
    <n v="272.72727274747706"/>
    <s v="UNPLANNED"/>
    <x v="0"/>
    <d v="1899-12-30T09:20:00"/>
    <x v="0"/>
  </r>
  <r>
    <n v="2935"/>
    <x v="10"/>
    <n v="11115271543503"/>
    <x v="845"/>
    <d v="2022-01-20T10:26:00"/>
    <d v="1899-12-30T01:06:00"/>
    <n v="272.72727274747706"/>
    <s v="UNPLANNED"/>
    <x v="0"/>
    <d v="1899-12-30T09:20:00"/>
    <x v="0"/>
  </r>
  <r>
    <n v="2936"/>
    <x v="12"/>
    <n v="14115271672501"/>
    <x v="846"/>
    <d v="2022-01-20T14:05:00"/>
    <d v="1899-12-30T02:25:00"/>
    <n v="124.1379310334861"/>
    <s v="UNPLANNED"/>
    <x v="1"/>
    <d v="1899-12-30T11:40:00"/>
    <x v="0"/>
  </r>
  <r>
    <n v="2937"/>
    <x v="2"/>
    <n v="12115271565412"/>
    <x v="846"/>
    <d v="2022-01-20T14:05:00"/>
    <d v="1899-12-30T02:25:00"/>
    <n v="124.1379310334861"/>
    <s v="UNPLANNED"/>
    <x v="0"/>
    <d v="1899-12-30T11:40:00"/>
    <x v="0"/>
  </r>
  <r>
    <n v="2938"/>
    <x v="11"/>
    <n v="10115270954300"/>
    <x v="846"/>
    <d v="2022-01-20T14:05:00"/>
    <d v="1899-12-30T02:25:00"/>
    <n v="124.1379310334861"/>
    <s v="UNPLANNED"/>
    <x v="0"/>
    <d v="1899-12-30T11:40:00"/>
    <x v="0"/>
  </r>
  <r>
    <n v="2939"/>
    <x v="5"/>
    <n v="13115271625711"/>
    <x v="847"/>
    <d v="2022-01-20T18:00:00"/>
    <d v="1899-12-30T02:30:00"/>
    <n v="120.00000000279397"/>
    <s v="UNPLANNED"/>
    <x v="0"/>
    <d v="1899-12-30T15:30:00"/>
    <x v="1"/>
  </r>
  <r>
    <n v="2940"/>
    <x v="5"/>
    <n v="13115271590603"/>
    <x v="848"/>
    <d v="2022-01-20T18:00:00"/>
    <d v="1899-12-30T03:00:00"/>
    <n v="100"/>
    <s v="UNPLANNED"/>
    <x v="1"/>
    <d v="1899-12-30T15:00:00"/>
    <x v="1"/>
  </r>
  <r>
    <n v="2941"/>
    <x v="7"/>
    <n v="7115271757264"/>
    <x v="849"/>
    <d v="2022-01-20T18:00:00"/>
    <d v="1899-12-30T01:56:00"/>
    <n v="155.17241379185762"/>
    <s v="UNPLANNED"/>
    <x v="0"/>
    <d v="1899-12-30T16:04:00"/>
    <x v="1"/>
  </r>
  <r>
    <n v="2942"/>
    <x v="13"/>
    <n v="3115270366900"/>
    <x v="850"/>
    <d v="2022-01-22T02:50:00"/>
    <d v="1899-12-30T03:30:00"/>
    <n v="85.714285712860217"/>
    <s v="UNPLANNED"/>
    <x v="0"/>
    <d v="1899-12-30T23:20:00"/>
    <x v="2"/>
  </r>
  <r>
    <n v="2943"/>
    <x v="11"/>
    <n v="10115271965001"/>
    <x v="851"/>
    <d v="2022-01-21T05:15:00"/>
    <d v="1899-12-30T04:25:00"/>
    <n v="67.924528300693211"/>
    <s v="UNPLANNED"/>
    <x v="0"/>
    <d v="1899-12-30T00:50:00"/>
    <x v="2"/>
  </r>
  <r>
    <n v="2944"/>
    <x v="9"/>
    <n v="2115270226500"/>
    <x v="851"/>
    <d v="2022-01-21T05:15:00"/>
    <d v="1899-12-30T04:25:00"/>
    <n v="67.924528300693211"/>
    <s v="UNPLANNED"/>
    <x v="0"/>
    <d v="1899-12-30T00:50:00"/>
    <x v="2"/>
  </r>
  <r>
    <n v="2945"/>
    <x v="11"/>
    <n v="10115271434101"/>
    <x v="852"/>
    <d v="2022-01-21T14:20:00"/>
    <d v="1899-12-30T01:50:00"/>
    <n v="163.63636364848622"/>
    <s v="UNPLANNED"/>
    <x v="0"/>
    <d v="1899-12-30T12:30:00"/>
    <x v="0"/>
  </r>
  <r>
    <n v="2946"/>
    <x v="6"/>
    <n v="9115271945800"/>
    <x v="852"/>
    <d v="2022-01-21T14:20:00"/>
    <d v="1899-12-30T01:50:00"/>
    <n v="163.63636364848622"/>
    <s v="UNPLANNED"/>
    <x v="1"/>
    <d v="1899-12-30T12:30:00"/>
    <x v="0"/>
  </r>
  <r>
    <n v="2947"/>
    <x v="7"/>
    <n v="7115271757800"/>
    <x v="853"/>
    <d v="2022-01-21T14:20:00"/>
    <d v="1899-12-30T04:50:00"/>
    <n v="62.068965518985529"/>
    <s v="UNPLANNED"/>
    <x v="0"/>
    <d v="1899-12-30T09:30:00"/>
    <x v="0"/>
  </r>
  <r>
    <n v="2948"/>
    <x v="7"/>
    <n v="7115271757506"/>
    <x v="852"/>
    <d v="2022-01-21T14:20:00"/>
    <d v="1899-12-30T01:50:00"/>
    <n v="163.63636364848622"/>
    <s v="UNPLANNED"/>
    <x v="1"/>
    <d v="1899-12-30T12:30:00"/>
    <x v="0"/>
  </r>
  <r>
    <n v="2949"/>
    <x v="1"/>
    <n v="6115271733602"/>
    <x v="853"/>
    <d v="2022-01-21T14:20:00"/>
    <d v="1899-12-30T04:50:00"/>
    <n v="62.068965518985529"/>
    <s v="UNPLANNED"/>
    <x v="0"/>
    <d v="1899-12-30T09:30:00"/>
    <x v="0"/>
  </r>
  <r>
    <n v="2950"/>
    <x v="1"/>
    <n v="6115271698500"/>
    <x v="852"/>
    <d v="2022-01-21T14:20:00"/>
    <d v="1899-12-30T01:50:00"/>
    <n v="163.63636364848622"/>
    <s v="UNPLANNED"/>
    <x v="0"/>
    <d v="1899-12-30T12:30:00"/>
    <x v="0"/>
  </r>
  <r>
    <n v="2951"/>
    <x v="8"/>
    <n v="4115270858900"/>
    <x v="853"/>
    <d v="2022-01-21T14:20:00"/>
    <d v="1899-12-30T04:50:00"/>
    <n v="62.068965518985529"/>
    <s v="UNPLANNED"/>
    <x v="2"/>
    <d v="1899-12-30T09:30:00"/>
    <x v="0"/>
  </r>
  <r>
    <n v="2952"/>
    <x v="13"/>
    <n v="3115270421800"/>
    <x v="853"/>
    <d v="2022-01-21T14:20:00"/>
    <d v="1899-12-30T04:50:00"/>
    <n v="62.068965518985529"/>
    <s v="UNPLANNED"/>
    <x v="0"/>
    <d v="1899-12-30T09:30:00"/>
    <x v="0"/>
  </r>
  <r>
    <n v="2953"/>
    <x v="13"/>
    <n v="3115270392600"/>
    <x v="852"/>
    <d v="2022-01-21T14:20:00"/>
    <d v="1899-12-30T01:50:00"/>
    <n v="163.63636364848622"/>
    <s v="UNPLANNED"/>
    <x v="0"/>
    <d v="1899-12-30T12:30:00"/>
    <x v="0"/>
  </r>
  <r>
    <n v="2954"/>
    <x v="9"/>
    <n v="2115270229300"/>
    <x v="853"/>
    <d v="2022-01-21T14:20:00"/>
    <d v="1899-12-30T04:50:00"/>
    <n v="62.068965518985529"/>
    <s v="UNPLANNED"/>
    <x v="0"/>
    <d v="1899-12-30T09:30:00"/>
    <x v="0"/>
  </r>
  <r>
    <n v="2955"/>
    <x v="14"/>
    <n v="1115270122901"/>
    <x v="854"/>
    <d v="2022-01-21T14:20:00"/>
    <d v="1899-12-30T03:20:00"/>
    <n v="90.000000003667083"/>
    <s v="UNPLANNED"/>
    <x v="0"/>
    <d v="1899-12-30T11:00:00"/>
    <x v="0"/>
  </r>
  <r>
    <n v="2956"/>
    <x v="12"/>
    <n v="14115271679800"/>
    <x v="855"/>
    <d v="2022-01-21T20:20:00"/>
    <d v="1899-12-30T03:35:00"/>
    <n v="83.720930233011458"/>
    <s v="UNPLANNED"/>
    <x v="0"/>
    <d v="1899-12-30T16:45:00"/>
    <x v="1"/>
  </r>
  <r>
    <n v="2957"/>
    <x v="5"/>
    <n v="13115271653100"/>
    <x v="856"/>
    <d v="2022-01-21T20:20:00"/>
    <d v="1899-12-30T03:05:00"/>
    <n v="97.297297299746361"/>
    <s v="UNPLANNED"/>
    <x v="0"/>
    <d v="1899-12-30T17:15:00"/>
    <x v="1"/>
  </r>
  <r>
    <n v="2958"/>
    <x v="5"/>
    <n v="13115271653000"/>
    <x v="856"/>
    <d v="2022-01-21T20:20:00"/>
    <d v="1899-12-30T03:05:00"/>
    <n v="97.297297299746361"/>
    <s v="UNPLANNED"/>
    <x v="0"/>
    <d v="1899-12-30T17:15:00"/>
    <x v="1"/>
  </r>
  <r>
    <n v="2959"/>
    <x v="5"/>
    <n v="13115271651702"/>
    <x v="856"/>
    <d v="2022-01-21T20:20:00"/>
    <d v="1899-12-30T03:05:00"/>
    <n v="97.297297299746361"/>
    <s v="UNPLANNED"/>
    <x v="0"/>
    <d v="1899-12-30T17:15:00"/>
    <x v="1"/>
  </r>
  <r>
    <n v="2960"/>
    <x v="5"/>
    <n v="13115271625709"/>
    <x v="856"/>
    <d v="2022-01-21T20:20:00"/>
    <d v="1899-12-30T03:05:00"/>
    <n v="97.297297299746361"/>
    <s v="UNPLANNED"/>
    <x v="0"/>
    <d v="1899-12-30T17:15:00"/>
    <x v="1"/>
  </r>
  <r>
    <n v="2961"/>
    <x v="2"/>
    <n v="12115271574504"/>
    <x v="855"/>
    <d v="2022-01-21T20:20:00"/>
    <d v="1899-12-30T03:35:00"/>
    <n v="83.720930233011458"/>
    <s v="UNPLANNED"/>
    <x v="0"/>
    <d v="1899-12-30T16:45:00"/>
    <x v="1"/>
  </r>
  <r>
    <n v="2962"/>
    <x v="3"/>
    <n v="8115271809912"/>
    <x v="855"/>
    <d v="2022-01-21T20:20:00"/>
    <d v="1899-12-30T03:35:00"/>
    <n v="83.720930233011458"/>
    <s v="UNPLANNED"/>
    <x v="0"/>
    <d v="1899-12-30T16:45:00"/>
    <x v="1"/>
  </r>
  <r>
    <n v="2963"/>
    <x v="14"/>
    <n v="1115270142504"/>
    <x v="856"/>
    <d v="2022-01-21T20:20:00"/>
    <d v="1899-12-30T03:05:00"/>
    <n v="97.297297299746361"/>
    <s v="UNPLANNED"/>
    <x v="0"/>
    <d v="1899-12-30T17:15:00"/>
    <x v="1"/>
  </r>
  <r>
    <n v="2964"/>
    <x v="4"/>
    <n v="15115271775009"/>
    <x v="857"/>
    <d v="2022-01-21T22:00:00"/>
    <d v="1899-12-30T01:30:00"/>
    <n v="200"/>
    <s v="UNPLANNED"/>
    <x v="0"/>
    <d v="1899-12-30T20:30:00"/>
    <x v="1"/>
  </r>
  <r>
    <n v="2965"/>
    <x v="8"/>
    <n v="4115270858500"/>
    <x v="857"/>
    <d v="2022-01-21T22:00:00"/>
    <d v="1899-12-30T01:30:00"/>
    <n v="200"/>
    <s v="UNPLANNED"/>
    <x v="0"/>
    <d v="1899-12-30T20:30:00"/>
    <x v="1"/>
  </r>
  <r>
    <n v="2966"/>
    <x v="9"/>
    <n v="2115270229700"/>
    <x v="857"/>
    <d v="2022-01-21T22:00:00"/>
    <d v="1899-12-30T01:30:00"/>
    <n v="200"/>
    <s v="UNPLANNED"/>
    <x v="0"/>
    <d v="1899-12-30T20:30:00"/>
    <x v="1"/>
  </r>
  <r>
    <n v="2967"/>
    <x v="14"/>
    <n v="1115270141700"/>
    <x v="857"/>
    <d v="2022-01-21T22:00:00"/>
    <d v="1899-12-30T01:30:00"/>
    <n v="200"/>
    <s v="UNPLANNED"/>
    <x v="2"/>
    <d v="1899-12-30T20:30:00"/>
    <x v="1"/>
  </r>
  <r>
    <n v="2968"/>
    <x v="12"/>
    <n v="14115271672502"/>
    <x v="858"/>
    <d v="2022-01-22T02:50:00"/>
    <d v="1899-12-30T01:35:00"/>
    <n v="189.47368421981375"/>
    <s v="UNPLANNED"/>
    <x v="0"/>
    <d v="1899-12-30T01:15:00"/>
    <x v="2"/>
  </r>
  <r>
    <n v="2969"/>
    <x v="10"/>
    <n v="11115271542700"/>
    <x v="850"/>
    <d v="2022-01-22T02:50:00"/>
    <d v="1899-12-30T03:30:00"/>
    <n v="85.714285712860217"/>
    <s v="UNPLANNED"/>
    <x v="0"/>
    <d v="1899-12-30T23:20:00"/>
    <x v="2"/>
  </r>
  <r>
    <n v="2970"/>
    <x v="11"/>
    <n v="10115271606101"/>
    <x v="850"/>
    <d v="2022-01-22T02:50:00"/>
    <d v="1899-12-30T03:30:00"/>
    <n v="85.714285712860217"/>
    <s v="UNPLANNED"/>
    <x v="0"/>
    <d v="1899-12-30T23:20:00"/>
    <x v="2"/>
  </r>
  <r>
    <n v="2971"/>
    <x v="11"/>
    <n v="10115271473900"/>
    <x v="850"/>
    <d v="2022-01-22T02:50:00"/>
    <d v="1899-12-30T03:30:00"/>
    <n v="85.714285712860217"/>
    <s v="UNPLANNED"/>
    <x v="1"/>
    <d v="1899-12-30T23:20:00"/>
    <x v="2"/>
  </r>
  <r>
    <n v="2972"/>
    <x v="7"/>
    <n v="7115271757204"/>
    <x v="850"/>
    <d v="2022-01-22T02:50:00"/>
    <d v="1899-12-30T03:30:00"/>
    <n v="85.714285712860217"/>
    <s v="UNPLANNED"/>
    <x v="0"/>
    <d v="1899-12-30T23:20:00"/>
    <x v="2"/>
  </r>
  <r>
    <n v="2973"/>
    <x v="8"/>
    <n v="4115270849405"/>
    <x v="850"/>
    <d v="2022-01-22T02:50:00"/>
    <d v="1899-12-30T03:30:00"/>
    <n v="85.714285712860217"/>
    <s v="UNPLANNED"/>
    <x v="3"/>
    <d v="1899-12-30T23:20:00"/>
    <x v="2"/>
  </r>
  <r>
    <n v="2974"/>
    <x v="4"/>
    <n v="15115271798110"/>
    <x v="859"/>
    <d v="2022-01-22T16:00:00"/>
    <d v="1899-12-30T06:20:00"/>
    <n v="47.368421053647388"/>
    <s v="UNPLANNED"/>
    <x v="6"/>
    <d v="1899-12-30T09:40:00"/>
    <x v="0"/>
  </r>
  <r>
    <n v="2975"/>
    <x v="5"/>
    <n v="13115271591700"/>
    <x v="860"/>
    <d v="2022-01-22T16:00:00"/>
    <d v="1899-12-30T03:10:00"/>
    <n v="94.736842104682694"/>
    <s v="UNPLANNED"/>
    <x v="1"/>
    <d v="1899-12-30T12:50:00"/>
    <x v="0"/>
  </r>
  <r>
    <n v="2976"/>
    <x v="5"/>
    <n v="13115271591105"/>
    <x v="859"/>
    <d v="2022-01-22T16:00:00"/>
    <d v="1899-12-30T06:20:00"/>
    <n v="47.368421053647388"/>
    <s v="UNPLANNED"/>
    <x v="0"/>
    <d v="1899-12-30T09:40:00"/>
    <x v="0"/>
  </r>
  <r>
    <n v="2977"/>
    <x v="10"/>
    <n v="11115271053701"/>
    <x v="859"/>
    <d v="2022-01-22T16:00:00"/>
    <d v="1899-12-30T06:20:00"/>
    <n v="47.368421053647388"/>
    <s v="UNPLANNED"/>
    <x v="0"/>
    <d v="1899-12-30T09:40:00"/>
    <x v="0"/>
  </r>
  <r>
    <n v="2978"/>
    <x v="6"/>
    <n v="9115271945300"/>
    <x v="859"/>
    <d v="2022-01-22T16:00:00"/>
    <d v="1899-12-30T06:20:00"/>
    <n v="47.368421053647388"/>
    <s v="UNPLANNED"/>
    <x v="0"/>
    <d v="1899-12-30T09:40:00"/>
    <x v="0"/>
  </r>
  <r>
    <n v="2979"/>
    <x v="7"/>
    <n v="7115271805607"/>
    <x v="859"/>
    <d v="2022-01-22T16:00:00"/>
    <d v="1899-12-30T06:20:00"/>
    <n v="47.368421053647388"/>
    <s v="UNPLANNED"/>
    <x v="0"/>
    <d v="1899-12-30T09:40:00"/>
    <x v="0"/>
  </r>
  <r>
    <n v="2980"/>
    <x v="7"/>
    <n v="7115271760800"/>
    <x v="859"/>
    <d v="2022-01-22T16:00:00"/>
    <d v="1899-12-30T06:20:00"/>
    <n v="47.368421053647388"/>
    <s v="UNPLANNED"/>
    <x v="1"/>
    <d v="1899-12-30T09:40:00"/>
    <x v="0"/>
  </r>
  <r>
    <n v="2981"/>
    <x v="7"/>
    <n v="7115271760308"/>
    <x v="859"/>
    <d v="2022-01-22T16:00:00"/>
    <d v="1899-12-30T06:20:00"/>
    <n v="47.368421053647388"/>
    <s v="UNPLANNED"/>
    <x v="0"/>
    <d v="1899-12-30T09:40:00"/>
    <x v="0"/>
  </r>
  <r>
    <n v="2982"/>
    <x v="1"/>
    <n v="6115271691701"/>
    <x v="859"/>
    <d v="2022-01-22T16:00:00"/>
    <d v="1899-12-30T06:20:00"/>
    <n v="47.368421053647388"/>
    <s v="UNPLANNED"/>
    <x v="0"/>
    <d v="1899-12-30T09:40:00"/>
    <x v="0"/>
  </r>
  <r>
    <n v="2983"/>
    <x v="1"/>
    <n v="6115271691200"/>
    <x v="859"/>
    <d v="2022-01-22T16:00:00"/>
    <d v="1899-12-30T06:20:00"/>
    <n v="47.368421053647388"/>
    <s v="UNPLANNED"/>
    <x v="1"/>
    <d v="1899-12-30T09:40:00"/>
    <x v="0"/>
  </r>
  <r>
    <n v="2984"/>
    <x v="13"/>
    <n v="3115270308300"/>
    <x v="859"/>
    <d v="2022-01-22T16:00:00"/>
    <d v="1899-12-30T06:20:00"/>
    <n v="47.368421053647388"/>
    <s v="UNPLANNED"/>
    <x v="3"/>
    <d v="1899-12-30T09:40:00"/>
    <x v="0"/>
  </r>
  <r>
    <n v="2985"/>
    <x v="14"/>
    <n v="1115270127500"/>
    <x v="859"/>
    <d v="2022-01-22T16:00:00"/>
    <d v="1899-12-30T06:20:00"/>
    <n v="47.368421053647388"/>
    <s v="UNPLANNED"/>
    <x v="6"/>
    <d v="1899-12-30T09:40:00"/>
    <x v="0"/>
  </r>
  <r>
    <n v="2986"/>
    <x v="2"/>
    <n v="12115271574401"/>
    <x v="861"/>
    <d v="2022-01-22T22:00:00"/>
    <d v="1899-12-30T04:10:00"/>
    <n v="72.000000000670553"/>
    <s v="UNPLANNED"/>
    <x v="0"/>
    <d v="1899-12-30T17:50:00"/>
    <x v="1"/>
  </r>
  <r>
    <n v="2987"/>
    <x v="2"/>
    <n v="12115271574400"/>
    <x v="862"/>
    <d v="2022-01-22T22:00:00"/>
    <d v="1899-12-30T07:05:00"/>
    <n v="42.352941177282673"/>
    <s v="UNPLANNED"/>
    <x v="0"/>
    <d v="1899-12-30T14:55:00"/>
    <x v="1"/>
  </r>
  <r>
    <n v="2988"/>
    <x v="10"/>
    <n v="11115271519003"/>
    <x v="862"/>
    <d v="2022-01-22T22:00:00"/>
    <d v="1899-12-30T07:05:00"/>
    <n v="42.352941177282673"/>
    <s v="UNPLANNED"/>
    <x v="0"/>
    <d v="1899-12-30T14:55:00"/>
    <x v="1"/>
  </r>
  <r>
    <n v="2989"/>
    <x v="11"/>
    <n v="10115271967700"/>
    <x v="862"/>
    <d v="2022-01-22T22:00:00"/>
    <d v="1899-12-30T07:05:00"/>
    <n v="42.352941177282673"/>
    <s v="UNPLANNED"/>
    <x v="0"/>
    <d v="1899-12-30T14:55:00"/>
    <x v="1"/>
  </r>
  <r>
    <n v="2990"/>
    <x v="6"/>
    <n v="9115271952100"/>
    <x v="862"/>
    <d v="2022-01-22T22:00:00"/>
    <d v="1899-12-30T07:05:00"/>
    <n v="42.352941177282673"/>
    <s v="UNPLANNED"/>
    <x v="1"/>
    <d v="1899-12-30T14:55:00"/>
    <x v="1"/>
  </r>
  <r>
    <n v="2991"/>
    <x v="3"/>
    <n v="8115271813103"/>
    <x v="863"/>
    <d v="2022-01-22T22:00:00"/>
    <d v="1899-12-30T03:12:00"/>
    <n v="93.750000001364242"/>
    <s v="UNPLANNED"/>
    <x v="0"/>
    <d v="1899-12-30T18:48:00"/>
    <x v="1"/>
  </r>
  <r>
    <n v="2992"/>
    <x v="3"/>
    <n v="8115271809906"/>
    <x v="862"/>
    <d v="2022-01-22T22:00:00"/>
    <d v="1899-12-30T07:05:00"/>
    <n v="42.352941177282673"/>
    <s v="UNPLANNED"/>
    <x v="1"/>
    <d v="1899-12-30T14:55:00"/>
    <x v="1"/>
  </r>
  <r>
    <n v="2993"/>
    <x v="7"/>
    <n v="7115271783001"/>
    <x v="863"/>
    <d v="2022-01-22T22:00:00"/>
    <d v="1899-12-30T03:12:00"/>
    <n v="93.750000001364242"/>
    <s v="UNPLANNED"/>
    <x v="0"/>
    <d v="1899-12-30T18:48:00"/>
    <x v="1"/>
  </r>
  <r>
    <n v="2994"/>
    <x v="7"/>
    <n v="7115271757500"/>
    <x v="862"/>
    <d v="2022-01-22T22:00:00"/>
    <d v="1899-12-30T07:05:00"/>
    <n v="42.352941177282673"/>
    <s v="UNPLANNED"/>
    <x v="1"/>
    <d v="1899-12-30T14:55:00"/>
    <x v="1"/>
  </r>
  <r>
    <n v="2995"/>
    <x v="7"/>
    <n v="7115271755002"/>
    <x v="862"/>
    <d v="2022-01-22T22:00:00"/>
    <d v="1899-12-30T07:05:00"/>
    <n v="42.352941177282673"/>
    <s v="UNPLANNED"/>
    <x v="0"/>
    <d v="1899-12-30T14:55:00"/>
    <x v="1"/>
  </r>
  <r>
    <n v="2996"/>
    <x v="8"/>
    <n v="4115270858405"/>
    <x v="862"/>
    <d v="2022-01-22T22:00:00"/>
    <d v="1899-12-30T07:05:00"/>
    <n v="42.352941177282673"/>
    <s v="UNPLANNED"/>
    <x v="1"/>
    <d v="1899-12-30T14:55:00"/>
    <x v="1"/>
  </r>
  <r>
    <n v="2997"/>
    <x v="13"/>
    <n v="3115270420900"/>
    <x v="862"/>
    <d v="2022-01-22T22:00:00"/>
    <d v="1899-12-30T07:05:00"/>
    <n v="42.352941177282673"/>
    <s v="UNPLANNED"/>
    <x v="0"/>
    <d v="1899-12-30T14:55:00"/>
    <x v="1"/>
  </r>
  <r>
    <n v="2998"/>
    <x v="13"/>
    <n v="3115270385900"/>
    <x v="862"/>
    <d v="2022-01-22T22:00:00"/>
    <d v="1899-12-30T07:05:00"/>
    <n v="42.352941177282673"/>
    <s v="UNPLANNED"/>
    <x v="0"/>
    <d v="1899-12-30T14:55:00"/>
    <x v="1"/>
  </r>
  <r>
    <n v="2999"/>
    <x v="9"/>
    <n v="2115270274300"/>
    <x v="862"/>
    <d v="2022-01-22T22:00:00"/>
    <d v="1899-12-30T07:05:00"/>
    <n v="42.352941177282673"/>
    <s v="UNPLANNED"/>
    <x v="0"/>
    <d v="1899-12-30T14:55:00"/>
    <x v="1"/>
  </r>
  <r>
    <n v="3000"/>
    <x v="9"/>
    <n v="2115270274300"/>
    <x v="861"/>
    <d v="2022-01-22T22:00:00"/>
    <d v="1899-12-30T04:10:00"/>
    <n v="72.000000000670553"/>
    <s v="UNPLANNED"/>
    <x v="0"/>
    <d v="1899-12-30T17:50:00"/>
    <x v="1"/>
  </r>
  <r>
    <n v="3001"/>
    <x v="9"/>
    <n v="2115270250000"/>
    <x v="862"/>
    <d v="2022-01-22T22:00:00"/>
    <d v="1899-12-30T07:05:00"/>
    <n v="42.352941177282673"/>
    <s v="UNPLANNED"/>
    <x v="0"/>
    <d v="1899-12-30T14:55:00"/>
    <x v="1"/>
  </r>
  <r>
    <n v="3002"/>
    <x v="14"/>
    <n v="1115270091902"/>
    <x v="862"/>
    <d v="2022-01-22T22:00:00"/>
    <d v="1899-12-30T07:05:00"/>
    <n v="42.352941177282673"/>
    <s v="UNPLANNED"/>
    <x v="0"/>
    <d v="1899-12-30T14:55:00"/>
    <x v="1"/>
  </r>
  <r>
    <n v="3003"/>
    <x v="14"/>
    <n v="1115270064001"/>
    <x v="863"/>
    <d v="2022-01-22T22:00:00"/>
    <d v="1899-12-30T03:12:00"/>
    <n v="93.750000001364242"/>
    <s v="UNPLANNED"/>
    <x v="0"/>
    <d v="1899-12-30T18:48:00"/>
    <x v="1"/>
  </r>
  <r>
    <n v="3004"/>
    <x v="2"/>
    <n v="12115271574507"/>
    <x v="864"/>
    <d v="2022-01-23T03:45:00"/>
    <d v="1899-12-30T03:35:00"/>
    <n v="83.720930233011458"/>
    <s v="UNPLANNED"/>
    <x v="1"/>
    <d v="1899-12-30T00:10:00"/>
    <x v="2"/>
  </r>
  <r>
    <n v="3005"/>
    <x v="6"/>
    <n v="9115271952700"/>
    <x v="865"/>
    <d v="2022-01-23T03:45:00"/>
    <d v="1899-12-30T03:00:00"/>
    <n v="100"/>
    <s v="UNPLANNED"/>
    <x v="1"/>
    <d v="1899-12-30T00:45:00"/>
    <x v="2"/>
  </r>
  <r>
    <n v="3006"/>
    <x v="3"/>
    <n v="8115271814313"/>
    <x v="866"/>
    <d v="2022-01-23T03:45:00"/>
    <d v="1899-12-30T04:30:00"/>
    <n v="66.666666666666657"/>
    <s v="UNPLANNED"/>
    <x v="1"/>
    <d v="1899-12-30T23:15:00"/>
    <x v="2"/>
  </r>
  <r>
    <n v="3007"/>
    <x v="7"/>
    <n v="7115271757200"/>
    <x v="865"/>
    <d v="2022-01-23T03:45:00"/>
    <d v="1899-12-30T03:00:00"/>
    <n v="100"/>
    <s v="UNPLANNED"/>
    <x v="1"/>
    <d v="1899-12-30T00:45:00"/>
    <x v="2"/>
  </r>
  <r>
    <n v="3008"/>
    <x v="0"/>
    <n v="5115271258000"/>
    <x v="866"/>
    <d v="2022-01-23T03:45:00"/>
    <d v="1899-12-30T04:30:00"/>
    <n v="66.666666666666657"/>
    <s v="UNPLANNED"/>
    <x v="0"/>
    <d v="1899-12-30T23:15:00"/>
    <x v="2"/>
  </r>
  <r>
    <n v="3009"/>
    <x v="13"/>
    <n v="3115270340501"/>
    <x v="866"/>
    <d v="2022-01-23T03:45:00"/>
    <d v="1899-12-30T04:30:00"/>
    <n v="66.666666666666657"/>
    <s v="UNPLANNED"/>
    <x v="0"/>
    <d v="1899-12-30T23:15:00"/>
    <x v="2"/>
  </r>
  <r>
    <n v="3010"/>
    <x v="14"/>
    <n v="1115270101200"/>
    <x v="867"/>
    <d v="2022-01-23T03:45:00"/>
    <d v="1899-12-30T03:55:00"/>
    <n v="76.595744680471626"/>
    <s v="UNPLANNED"/>
    <x v="1"/>
    <d v="1899-12-30T23:50:00"/>
    <x v="2"/>
  </r>
  <r>
    <n v="3011"/>
    <x v="4"/>
    <n v="15115271775011"/>
    <x v="868"/>
    <d v="2022-01-23T14:30:00"/>
    <d v="1899-12-30T02:00:00"/>
    <n v="150.00000000873115"/>
    <s v="UNPLANNED"/>
    <x v="1"/>
    <d v="1899-12-30T12:30:00"/>
    <x v="0"/>
  </r>
  <r>
    <n v="3012"/>
    <x v="5"/>
    <n v="13115271617702"/>
    <x v="869"/>
    <d v="2022-01-23T14:30:00"/>
    <d v="1899-12-30T02:50:00"/>
    <n v="105.88235294190156"/>
    <s v="UNPLANNED"/>
    <x v="0"/>
    <d v="1899-12-30T11:40:00"/>
    <x v="0"/>
  </r>
  <r>
    <n v="3013"/>
    <x v="5"/>
    <n v="13115271590500"/>
    <x v="870"/>
    <d v="2022-01-23T14:30:00"/>
    <d v="1899-12-30T05:40:00"/>
    <n v="52.941176470950779"/>
    <s v="UNPLANNED"/>
    <x v="1"/>
    <d v="1899-12-30T08:50:00"/>
    <x v="0"/>
  </r>
  <r>
    <n v="3014"/>
    <x v="2"/>
    <n v="12115271571041"/>
    <x v="870"/>
    <d v="2022-01-23T14:30:00"/>
    <d v="1899-12-30T05:40:00"/>
    <n v="52.941176470950779"/>
    <s v="UNPLANNED"/>
    <x v="1"/>
    <d v="1899-12-30T08:50:00"/>
    <x v="0"/>
  </r>
  <r>
    <n v="3015"/>
    <x v="6"/>
    <n v="9115271945600"/>
    <x v="868"/>
    <d v="2022-01-23T14:30:00"/>
    <d v="1899-12-30T02:00:00"/>
    <n v="150.00000000873115"/>
    <s v="UNPLANNED"/>
    <x v="1"/>
    <d v="1899-12-30T12:30:00"/>
    <x v="0"/>
  </r>
  <r>
    <n v="3016"/>
    <x v="3"/>
    <n v="8115271877802"/>
    <x v="870"/>
    <d v="2022-01-23T14:30:00"/>
    <d v="1899-12-30T05:40:00"/>
    <n v="52.941176470950779"/>
    <s v="UNPLANNED"/>
    <x v="1"/>
    <d v="1899-12-30T08:50:00"/>
    <x v="0"/>
  </r>
  <r>
    <n v="3017"/>
    <x v="7"/>
    <n v="7115271807103"/>
    <x v="870"/>
    <d v="2022-01-23T14:30:00"/>
    <d v="1899-12-30T05:40:00"/>
    <n v="52.941176470950779"/>
    <s v="UNPLANNED"/>
    <x v="1"/>
    <d v="1899-12-30T08:50:00"/>
    <x v="0"/>
  </r>
  <r>
    <n v="3018"/>
    <x v="1"/>
    <n v="6115271741303"/>
    <x v="868"/>
    <d v="2022-01-23T14:30:00"/>
    <d v="1899-12-30T02:00:00"/>
    <n v="150.00000000873115"/>
    <s v="UNPLANNED"/>
    <x v="0"/>
    <d v="1899-12-30T12:30:00"/>
    <x v="0"/>
  </r>
  <r>
    <n v="3019"/>
    <x v="1"/>
    <n v="6115271741214"/>
    <x v="868"/>
    <d v="2022-01-23T14:30:00"/>
    <d v="1899-12-30T02:00:00"/>
    <n v="150.00000000873115"/>
    <s v="UNPLANNED"/>
    <x v="0"/>
    <d v="1899-12-30T12:30:00"/>
    <x v="0"/>
  </r>
  <r>
    <n v="3020"/>
    <x v="0"/>
    <n v="5115271676006"/>
    <x v="870"/>
    <d v="2022-01-23T14:30:00"/>
    <d v="1899-12-30T05:40:00"/>
    <n v="52.941176470950779"/>
    <s v="UNPLANNED"/>
    <x v="0"/>
    <d v="1899-12-30T08:50:00"/>
    <x v="0"/>
  </r>
  <r>
    <n v="3021"/>
    <x v="8"/>
    <n v="4115270826800"/>
    <x v="868"/>
    <d v="2022-01-23T14:30:00"/>
    <d v="1899-12-30T02:00:00"/>
    <n v="150.00000000873115"/>
    <s v="UNPLANNED"/>
    <x v="0"/>
    <d v="1899-12-30T12:30:00"/>
    <x v="0"/>
  </r>
  <r>
    <n v="3022"/>
    <x v="14"/>
    <n v="1115270126700"/>
    <x v="871"/>
    <d v="2022-01-23T14:30:00"/>
    <d v="1899-12-30T02:30:00"/>
    <n v="120.00000000279397"/>
    <s v="UNPLANNED"/>
    <x v="0"/>
    <d v="1899-12-30T12:00:00"/>
    <x v="0"/>
  </r>
  <r>
    <n v="3023"/>
    <x v="4"/>
    <n v="15115271798402"/>
    <x v="872"/>
    <d v="2022-01-23T21:30:00"/>
    <d v="1899-12-30T01:45:00"/>
    <n v="171.42857141716746"/>
    <s v="UNPLANNED"/>
    <x v="0"/>
    <d v="1899-12-30T19:45:00"/>
    <x v="1"/>
  </r>
  <r>
    <n v="3024"/>
    <x v="10"/>
    <n v="11115271501702"/>
    <x v="873"/>
    <d v="2022-01-23T21:30:00"/>
    <d v="1899-12-30T05:50:00"/>
    <n v="51.428571428742487"/>
    <s v="UNPLANNED"/>
    <x v="0"/>
    <d v="1899-12-30T15:40:00"/>
    <x v="1"/>
  </r>
  <r>
    <n v="3025"/>
    <x v="11"/>
    <n v="10115270952601"/>
    <x v="873"/>
    <d v="2022-01-23T21:30:00"/>
    <d v="1899-12-30T05:50:00"/>
    <n v="51.428571428742487"/>
    <s v="UNPLANNED"/>
    <x v="1"/>
    <d v="1899-12-30T15:40:00"/>
    <x v="1"/>
  </r>
  <r>
    <n v="3026"/>
    <x v="11"/>
    <n v="10115270952400"/>
    <x v="874"/>
    <d v="2022-01-23T21:30:00"/>
    <d v="1899-12-30T03:00:00"/>
    <n v="100"/>
    <s v="UNPLANNED"/>
    <x v="0"/>
    <d v="1899-12-30T18:30:00"/>
    <x v="1"/>
  </r>
  <r>
    <n v="3027"/>
    <x v="6"/>
    <n v="9115270648300"/>
    <x v="873"/>
    <d v="2022-01-23T21:30:00"/>
    <d v="1899-12-30T05:50:00"/>
    <n v="51.428571428742487"/>
    <s v="UNPLANNED"/>
    <x v="1"/>
    <d v="1899-12-30T15:40:00"/>
    <x v="1"/>
  </r>
  <r>
    <n v="3028"/>
    <x v="3"/>
    <n v="8115271810101"/>
    <x v="873"/>
    <d v="2022-01-23T21:30:00"/>
    <d v="1899-12-30T05:50:00"/>
    <n v="51.428571428742487"/>
    <s v="UNPLANNED"/>
    <x v="1"/>
    <d v="1899-12-30T15:40:00"/>
    <x v="1"/>
  </r>
  <r>
    <n v="3029"/>
    <x v="7"/>
    <n v="7115271798202"/>
    <x v="873"/>
    <d v="2022-01-23T21:30:00"/>
    <d v="1899-12-30T05:50:00"/>
    <n v="51.428571428742487"/>
    <s v="UNPLANNED"/>
    <x v="1"/>
    <d v="1899-12-30T15:40:00"/>
    <x v="1"/>
  </r>
  <r>
    <n v="3030"/>
    <x v="7"/>
    <n v="7115271797900"/>
    <x v="872"/>
    <d v="2022-01-23T21:30:00"/>
    <d v="1899-12-30T01:45:00"/>
    <n v="171.42857141716746"/>
    <s v="UNPLANNED"/>
    <x v="1"/>
    <d v="1899-12-30T19:45:00"/>
    <x v="1"/>
  </r>
  <r>
    <n v="3031"/>
    <x v="13"/>
    <n v="3115270396900"/>
    <x v="873"/>
    <d v="2022-01-23T21:30:00"/>
    <d v="1899-12-30T05:50:00"/>
    <n v="51.428571428742487"/>
    <s v="UNPLANNED"/>
    <x v="1"/>
    <d v="1899-12-30T15:40:00"/>
    <x v="1"/>
  </r>
  <r>
    <n v="3032"/>
    <x v="13"/>
    <n v="3115270360450"/>
    <x v="873"/>
    <d v="2022-01-23T21:30:00"/>
    <d v="1899-12-30T05:50:00"/>
    <n v="51.428571428742487"/>
    <s v="UNPLANNED"/>
    <x v="0"/>
    <d v="1899-12-30T15:40:00"/>
    <x v="1"/>
  </r>
  <r>
    <n v="3033"/>
    <x v="13"/>
    <n v="3115270340400"/>
    <x v="873"/>
    <d v="2022-01-23T21:30:00"/>
    <d v="1899-12-30T05:50:00"/>
    <n v="51.428571428742487"/>
    <s v="UNPLANNED"/>
    <x v="0"/>
    <d v="1899-12-30T15:40:00"/>
    <x v="1"/>
  </r>
  <r>
    <n v="3034"/>
    <x v="9"/>
    <n v="2115270222500"/>
    <x v="873"/>
    <d v="2022-01-23T21:30:00"/>
    <d v="1899-12-30T05:50:00"/>
    <n v="51.428571428742487"/>
    <s v="UNPLANNED"/>
    <x v="1"/>
    <d v="1899-12-30T15:40:00"/>
    <x v="1"/>
  </r>
  <r>
    <n v="3035"/>
    <x v="12"/>
    <n v="14115271672412"/>
    <x v="875"/>
    <d v="2022-01-24T02:35:00"/>
    <d v="1899-12-30T02:25:00"/>
    <n v="124.1379310334861"/>
    <s v="UNPLANNED"/>
    <x v="0"/>
    <d v="1899-12-30T00:10:00"/>
    <x v="2"/>
  </r>
  <r>
    <n v="3036"/>
    <x v="1"/>
    <n v="6115271768300"/>
    <x v="875"/>
    <d v="2022-01-24T02:35:00"/>
    <d v="1899-12-30T02:25:00"/>
    <n v="124.1379310334861"/>
    <s v="UNPLANNED"/>
    <x v="0"/>
    <d v="1899-12-30T00:10:00"/>
    <x v="2"/>
  </r>
  <r>
    <n v="3037"/>
    <x v="14"/>
    <n v="1115270097900"/>
    <x v="875"/>
    <d v="2022-01-24T02:35:00"/>
    <d v="1899-12-30T02:25:00"/>
    <n v="124.1379310334861"/>
    <s v="UNPLANNED"/>
    <x v="0"/>
    <d v="1899-12-30T00:10:00"/>
    <x v="2"/>
  </r>
  <r>
    <n v="3038"/>
    <x v="5"/>
    <n v="13115271634400"/>
    <x v="876"/>
    <d v="2022-01-24T14:25:00"/>
    <d v="1899-12-30T02:55:00"/>
    <n v="102.85714285440591"/>
    <s v="UNPLANNED"/>
    <x v="0"/>
    <d v="1899-12-30T11:30:00"/>
    <x v="0"/>
  </r>
  <r>
    <n v="3039"/>
    <x v="10"/>
    <n v="11115271559602"/>
    <x v="877"/>
    <d v="2022-01-24T14:25:00"/>
    <d v="1899-12-30T04:35:00"/>
    <n v="65.454545453160023"/>
    <s v="UNPLANNED"/>
    <x v="0"/>
    <d v="1899-12-30T09:50:00"/>
    <x v="0"/>
  </r>
  <r>
    <n v="3040"/>
    <x v="11"/>
    <n v="10115271967100"/>
    <x v="876"/>
    <d v="2022-01-24T14:25:00"/>
    <d v="1899-12-30T02:55:00"/>
    <n v="102.85714285440591"/>
    <s v="UNPLANNED"/>
    <x v="1"/>
    <d v="1899-12-30T11:30:00"/>
    <x v="0"/>
  </r>
  <r>
    <n v="3041"/>
    <x v="3"/>
    <n v="8115271810102"/>
    <x v="877"/>
    <d v="2022-01-24T14:25:00"/>
    <d v="1899-12-30T04:35:00"/>
    <n v="65.454545453160023"/>
    <s v="UNPLANNED"/>
    <x v="1"/>
    <d v="1899-12-30T09:50:00"/>
    <x v="0"/>
  </r>
  <r>
    <n v="3042"/>
    <x v="1"/>
    <n v="6115271741303"/>
    <x v="877"/>
    <d v="2022-01-24T14:25:00"/>
    <d v="1899-12-30T04:35:00"/>
    <n v="65.454545453160023"/>
    <s v="UNPLANNED"/>
    <x v="1"/>
    <d v="1899-12-30T09:50:00"/>
    <x v="0"/>
  </r>
  <r>
    <n v="3043"/>
    <x v="13"/>
    <n v="3115270366902"/>
    <x v="877"/>
    <d v="2022-01-24T14:25:00"/>
    <d v="1899-12-30T04:35:00"/>
    <n v="65.454545453160023"/>
    <s v="UNPLANNED"/>
    <x v="0"/>
    <d v="1899-12-30T09:50:00"/>
    <x v="0"/>
  </r>
  <r>
    <n v="3044"/>
    <x v="13"/>
    <n v="3115270338700"/>
    <x v="876"/>
    <d v="2022-01-24T14:25:00"/>
    <d v="1899-12-30T02:55:00"/>
    <n v="102.85714285440591"/>
    <s v="UNPLANNED"/>
    <x v="1"/>
    <d v="1899-12-30T11:30:00"/>
    <x v="0"/>
  </r>
  <r>
    <n v="3045"/>
    <x v="4"/>
    <n v="15115271788410"/>
    <x v="878"/>
    <d v="2022-01-24T20:10:00"/>
    <d v="1899-12-30T04:00:00"/>
    <n v="74.999999997817213"/>
    <s v="UNPLANNED"/>
    <x v="1"/>
    <d v="1899-12-30T16:10:00"/>
    <x v="1"/>
  </r>
  <r>
    <n v="3046"/>
    <x v="12"/>
    <n v="14115271675184"/>
    <x v="879"/>
    <d v="2022-01-24T20:10:00"/>
    <d v="1899-12-30T04:25:00"/>
    <n v="67.924528300693211"/>
    <s v="UNPLANNED"/>
    <x v="0"/>
    <d v="1899-12-30T15:45:00"/>
    <x v="1"/>
  </r>
  <r>
    <n v="3047"/>
    <x v="5"/>
    <n v="13115271590508"/>
    <x v="879"/>
    <d v="2022-01-24T20:10:00"/>
    <d v="1899-12-30T04:25:00"/>
    <n v="67.924528300693211"/>
    <s v="UNPLANNED"/>
    <x v="0"/>
    <d v="1899-12-30T15:45:00"/>
    <x v="1"/>
  </r>
  <r>
    <n v="3048"/>
    <x v="2"/>
    <n v="12115271561705"/>
    <x v="879"/>
    <d v="2022-01-24T20:10:00"/>
    <d v="1899-12-30T04:25:00"/>
    <n v="67.924528300693211"/>
    <s v="UNPLANNED"/>
    <x v="0"/>
    <d v="1899-12-30T15:45:00"/>
    <x v="1"/>
  </r>
  <r>
    <n v="3049"/>
    <x v="6"/>
    <n v="9115271948300"/>
    <x v="879"/>
    <d v="2022-01-24T20:10:00"/>
    <d v="1899-12-30T04:25:00"/>
    <n v="67.924528300693211"/>
    <s v="UNPLANNED"/>
    <x v="0"/>
    <d v="1899-12-30T15:45:00"/>
    <x v="1"/>
  </r>
  <r>
    <n v="3050"/>
    <x v="6"/>
    <n v="9115271897808"/>
    <x v="880"/>
    <d v="2022-01-24T20:10:00"/>
    <d v="1899-12-30T02:40:00"/>
    <n v="112.49999999427018"/>
    <s v="UNPLANNED"/>
    <x v="0"/>
    <d v="1899-12-30T17:30:00"/>
    <x v="1"/>
  </r>
  <r>
    <n v="3051"/>
    <x v="7"/>
    <n v="7115271793300"/>
    <x v="879"/>
    <d v="2022-01-24T20:10:00"/>
    <d v="1899-12-30T04:25:00"/>
    <n v="67.924528300693211"/>
    <s v="UNPLANNED"/>
    <x v="1"/>
    <d v="1899-12-30T15:45:00"/>
    <x v="1"/>
  </r>
  <r>
    <n v="3052"/>
    <x v="7"/>
    <n v="7115271783100"/>
    <x v="879"/>
    <d v="2022-01-24T20:10:00"/>
    <d v="1899-12-30T04:25:00"/>
    <n v="67.924528300693211"/>
    <s v="UNPLANNED"/>
    <x v="1"/>
    <d v="1899-12-30T15:45:00"/>
    <x v="1"/>
  </r>
  <r>
    <n v="3053"/>
    <x v="8"/>
    <n v="4115270826901"/>
    <x v="879"/>
    <d v="2022-01-24T20:10:00"/>
    <d v="1899-12-30T04:25:00"/>
    <n v="67.924528300693211"/>
    <s v="UNPLANNED"/>
    <x v="2"/>
    <d v="1899-12-30T15:45:00"/>
    <x v="1"/>
  </r>
  <r>
    <n v="3054"/>
    <x v="9"/>
    <n v="2115270279400"/>
    <x v="879"/>
    <d v="2022-01-24T20:10:00"/>
    <d v="1899-12-30T04:25:00"/>
    <n v="67.924528300693211"/>
    <s v="UNPLANNED"/>
    <x v="0"/>
    <d v="1899-12-30T15:45:00"/>
    <x v="1"/>
  </r>
  <r>
    <n v="3055"/>
    <x v="14"/>
    <n v="1115270019200"/>
    <x v="881"/>
    <d v="2022-01-24T20:10:00"/>
    <d v="1899-12-30T01:25:00"/>
    <n v="211.7647058707517"/>
    <s v="UNPLANNED"/>
    <x v="0"/>
    <d v="1899-12-30T18:45:00"/>
    <x v="1"/>
  </r>
  <r>
    <n v="3056"/>
    <x v="5"/>
    <n v="13115271590401"/>
    <x v="882"/>
    <d v="2022-01-25T00:10:00"/>
    <d v="1899-12-30T00:55:00"/>
    <n v="327.27272726580009"/>
    <s v="UNPLANNED"/>
    <x v="0"/>
    <d v="1899-12-30T23:15:00"/>
    <x v="2"/>
  </r>
  <r>
    <n v="3057"/>
    <x v="11"/>
    <n v="10115271964600"/>
    <x v="882"/>
    <d v="2022-01-25T00:10:00"/>
    <d v="1899-12-30T00:55:00"/>
    <n v="327.27272726580009"/>
    <s v="UNPLANNED"/>
    <x v="0"/>
    <d v="1899-12-30T23:15:00"/>
    <x v="2"/>
  </r>
  <r>
    <n v="3058"/>
    <x v="2"/>
    <n v="12115271567353"/>
    <x v="883"/>
    <d v="2022-01-25T03:50:00"/>
    <d v="1899-12-30T02:50:00"/>
    <n v="105.88235294190156"/>
    <s v="UNPLANNED"/>
    <x v="1"/>
    <d v="1899-12-30T01:00:00"/>
    <x v="2"/>
  </r>
  <r>
    <n v="3059"/>
    <x v="7"/>
    <n v="7115271787212"/>
    <x v="884"/>
    <d v="2022-01-25T03:50:00"/>
    <d v="1899-12-30T02:10:00"/>
    <n v="138.46153846773811"/>
    <s v="UNPLANNED"/>
    <x v="1"/>
    <d v="1899-12-30T01:40:00"/>
    <x v="2"/>
  </r>
  <r>
    <n v="3060"/>
    <x v="1"/>
    <n v="6115271746800"/>
    <x v="883"/>
    <d v="2022-01-25T03:50:00"/>
    <d v="1899-12-30T02:50:00"/>
    <n v="105.88235294190156"/>
    <s v="UNPLANNED"/>
    <x v="0"/>
    <d v="1899-12-30T01:00:00"/>
    <x v="2"/>
  </r>
  <r>
    <n v="3061"/>
    <x v="7"/>
    <n v="7115271787400"/>
    <x v="885"/>
    <d v="2022-01-25T13:40:00"/>
    <d v="1899-12-30T04:25:00"/>
    <n v="67.924528300693211"/>
    <s v="UNPLANNED"/>
    <x v="0"/>
    <d v="1899-12-30T09:15:00"/>
    <x v="0"/>
  </r>
  <r>
    <n v="3062"/>
    <x v="0"/>
    <n v="5115271239302"/>
    <x v="886"/>
    <d v="2022-01-25T13:40:00"/>
    <d v="1899-12-30T04:10:00"/>
    <n v="72.000000000670553"/>
    <s v="UNPLANNED"/>
    <x v="1"/>
    <d v="1899-12-30T09:30:00"/>
    <x v="0"/>
  </r>
  <r>
    <n v="3063"/>
    <x v="13"/>
    <n v="3115270366904"/>
    <x v="887"/>
    <d v="2022-01-25T16:00:00"/>
    <d v="1899-12-30T00:50:00"/>
    <n v="360.00000003352761"/>
    <s v="UNPLANNED"/>
    <x v="1"/>
    <d v="1899-12-30T15:10:00"/>
    <x v="1"/>
  </r>
  <r>
    <n v="3064"/>
    <x v="8"/>
    <n v="4115270826800"/>
    <x v="885"/>
    <d v="2022-01-25T16:40:00"/>
    <d v="1899-12-30T07:25:00"/>
    <n v="40.449438201823916"/>
    <s v="UNPLANNED"/>
    <x v="1"/>
    <d v="1899-12-30T09:15:00"/>
    <x v="0"/>
  </r>
  <r>
    <n v="3065"/>
    <x v="2"/>
    <n v="12115271560118"/>
    <x v="888"/>
    <d v="2022-01-26T15:20:00"/>
    <d v="1899-12-30T04:50:00"/>
    <n v="62.068965516743049"/>
    <s v="UNPLANNED"/>
    <x v="0"/>
    <d v="1899-12-30T10:30:00"/>
    <x v="0"/>
  </r>
  <r>
    <n v="3066"/>
    <x v="11"/>
    <n v="10115271959100"/>
    <x v="888"/>
    <d v="2022-01-26T15:20:00"/>
    <d v="1899-12-30T04:50:00"/>
    <n v="62.068965516743049"/>
    <s v="UNPLANNED"/>
    <x v="1"/>
    <d v="1899-12-30T10:30:00"/>
    <x v="0"/>
  </r>
  <r>
    <n v="3067"/>
    <x v="3"/>
    <n v="8115271839300"/>
    <x v="888"/>
    <d v="2022-01-26T15:20:00"/>
    <d v="1899-12-30T04:50:00"/>
    <n v="62.068965516743049"/>
    <s v="UNPLANNED"/>
    <x v="0"/>
    <d v="1899-12-30T10:30:00"/>
    <x v="0"/>
  </r>
  <r>
    <n v="3068"/>
    <x v="7"/>
    <n v="7115271768104"/>
    <x v="888"/>
    <d v="2022-01-26T15:20:00"/>
    <d v="1899-12-30T04:50:00"/>
    <n v="62.068965516743049"/>
    <s v="UNPLANNED"/>
    <x v="1"/>
    <d v="1899-12-30T10:30:00"/>
    <x v="0"/>
  </r>
  <r>
    <n v="3069"/>
    <x v="13"/>
    <n v="3115270421700"/>
    <x v="888"/>
    <d v="2022-01-26T15:20:00"/>
    <d v="1899-12-30T04:50:00"/>
    <n v="62.068965516743049"/>
    <s v="UNPLANNED"/>
    <x v="1"/>
    <d v="1899-12-30T10:30:00"/>
    <x v="0"/>
  </r>
  <r>
    <n v="3070"/>
    <x v="7"/>
    <n v="7115271768106"/>
    <x v="889"/>
    <d v="2022-01-26T18:20:00"/>
    <d v="1899-12-30T02:40:00"/>
    <n v="112.50000000163709"/>
    <s v="UNPLANNED"/>
    <x v="1"/>
    <d v="1899-12-30T15:40:00"/>
    <x v="1"/>
  </r>
  <r>
    <n v="3071"/>
    <x v="13"/>
    <n v="3115270308700"/>
    <x v="889"/>
    <d v="2022-01-26T18:20:00"/>
    <d v="1899-12-30T02:40:00"/>
    <n v="112.50000000163709"/>
    <s v="UNPLANNED"/>
    <x v="1"/>
    <d v="1899-12-30T15:40:00"/>
    <x v="1"/>
  </r>
  <r>
    <n v="3072"/>
    <x v="9"/>
    <n v="2115270274600"/>
    <x v="889"/>
    <d v="2022-01-26T18:20:00"/>
    <d v="1899-12-30T02:40:00"/>
    <n v="112.50000000163709"/>
    <s v="UNPLANNED"/>
    <x v="0"/>
    <d v="1899-12-30T15:40:00"/>
    <x v="1"/>
  </r>
  <r>
    <n v="3073"/>
    <x v="12"/>
    <n v="14115271672502"/>
    <x v="890"/>
    <d v="2022-01-26T21:55:00"/>
    <d v="1899-12-30T03:25:00"/>
    <n v="87.804878049777741"/>
    <s v="UNPLANNED"/>
    <x v="0"/>
    <d v="1899-12-30T18:30:00"/>
    <x v="1"/>
  </r>
  <r>
    <n v="3074"/>
    <x v="5"/>
    <n v="13115271617700"/>
    <x v="890"/>
    <d v="2022-01-26T21:55:00"/>
    <d v="1899-12-30T03:25:00"/>
    <n v="87.804878049777741"/>
    <s v="UNPLANNED"/>
    <x v="1"/>
    <d v="1899-12-30T18:30:00"/>
    <x v="1"/>
  </r>
  <r>
    <n v="3075"/>
    <x v="2"/>
    <n v="12115271581914"/>
    <x v="890"/>
    <d v="2022-01-26T21:55:00"/>
    <d v="1899-12-30T03:25:00"/>
    <n v="87.804878049777741"/>
    <s v="UNPLANNED"/>
    <x v="1"/>
    <d v="1899-12-30T18:30:00"/>
    <x v="1"/>
  </r>
  <r>
    <n v="3076"/>
    <x v="8"/>
    <n v="4115270868706"/>
    <x v="890"/>
    <d v="2022-01-26T21:55:00"/>
    <d v="1899-12-30T03:25:00"/>
    <n v="87.804878049777741"/>
    <s v="UNPLANNED"/>
    <x v="1"/>
    <d v="1899-12-30T18:30:00"/>
    <x v="1"/>
  </r>
  <r>
    <n v="3077"/>
    <x v="1"/>
    <n v="6115271733700"/>
    <x v="891"/>
    <d v="2022-01-27T01:20:00"/>
    <d v="1899-12-30T02:35:00"/>
    <n v="116.1290322563201"/>
    <s v="UNPLANNED"/>
    <x v="0"/>
    <d v="1899-12-30T22:45:00"/>
    <x v="2"/>
  </r>
  <r>
    <n v="3078"/>
    <x v="12"/>
    <n v="14115271673111"/>
    <x v="892"/>
    <d v="2022-01-27T13:00:00"/>
    <d v="1899-12-30T02:35:00"/>
    <n v="116.12903226416995"/>
    <s v="UNPLANNED"/>
    <x v="0"/>
    <d v="1899-12-30T10:25:00"/>
    <x v="0"/>
  </r>
  <r>
    <n v="3079"/>
    <x v="5"/>
    <n v="13115271606107"/>
    <x v="893"/>
    <d v="2022-01-27T13:00:00"/>
    <d v="1899-12-30T03:15:00"/>
    <n v="92.307692309345541"/>
    <s v="UNPLANNED"/>
    <x v="1"/>
    <d v="1899-12-30T09:45:00"/>
    <x v="0"/>
  </r>
  <r>
    <n v="3080"/>
    <x v="11"/>
    <n v="10115271967801"/>
    <x v="894"/>
    <d v="2022-01-27T13:00:00"/>
    <d v="1899-12-30T02:05:00"/>
    <n v="144.00000000134111"/>
    <s v="UNPLANNED"/>
    <x v="0"/>
    <d v="1899-12-30T10:55:00"/>
    <x v="0"/>
  </r>
  <r>
    <n v="3081"/>
    <x v="6"/>
    <n v="9115270628000"/>
    <x v="893"/>
    <d v="2022-01-27T13:00:00"/>
    <d v="1899-12-30T03:15:00"/>
    <n v="92.307692309345541"/>
    <s v="UNPLANNED"/>
    <x v="0"/>
    <d v="1899-12-30T09:45:00"/>
    <x v="0"/>
  </r>
  <r>
    <n v="3082"/>
    <x v="9"/>
    <n v="2115270229700"/>
    <x v="895"/>
    <d v="2022-01-27T13:45:00"/>
    <d v="1899-12-30T00:35:00"/>
    <n v="514.28571430282022"/>
    <s v="UNPLANNED"/>
    <x v="0"/>
    <d v="1899-12-30T13:10:00"/>
    <x v="0"/>
  </r>
  <r>
    <n v="3083"/>
    <x v="3"/>
    <n v="8115271810105"/>
    <x v="896"/>
    <d v="2022-01-27T17:45:00"/>
    <d v="1899-12-30T01:45:00"/>
    <n v="171.42857141716746"/>
    <s v="UNPLANNED"/>
    <x v="0"/>
    <d v="1899-12-30T16:00:00"/>
    <x v="1"/>
  </r>
  <r>
    <n v="3084"/>
    <x v="13"/>
    <n v="3115270309004"/>
    <x v="897"/>
    <d v="2022-01-27T17:45:00"/>
    <d v="1899-12-30T01:41:00"/>
    <n v="178.21782177437231"/>
    <s v="UNPLANNED"/>
    <x v="0"/>
    <d v="1899-12-30T16:04:00"/>
    <x v="1"/>
  </r>
  <r>
    <n v="3085"/>
    <x v="13"/>
    <n v="3115270347300"/>
    <x v="898"/>
    <d v="2022-01-27T17:45:00"/>
    <d v="1899-12-30T02:25:00"/>
    <n v="124.1379310334861"/>
    <s v="UNPLANNED"/>
    <x v="0"/>
    <d v="1899-12-30T15:20:00"/>
    <x v="1"/>
  </r>
  <r>
    <n v="3086"/>
    <x v="13"/>
    <n v="3115270421800"/>
    <x v="899"/>
    <d v="2022-01-27T19:30:00"/>
    <d v="1899-12-30T00:50:00"/>
    <n v="360.00000003352761"/>
    <s v="UNPLANNED"/>
    <x v="0"/>
    <d v="1899-12-30T18:40:00"/>
    <x v="1"/>
  </r>
  <r>
    <n v="3087"/>
    <x v="13"/>
    <n v="3115270350500"/>
    <x v="899"/>
    <d v="2022-01-27T19:30:00"/>
    <d v="1899-12-30T00:50:00"/>
    <n v="360.00000003352761"/>
    <s v="UNPLANNED"/>
    <x v="0"/>
    <d v="1899-12-30T18:40:00"/>
    <x v="1"/>
  </r>
  <r>
    <n v="3088"/>
    <x v="11"/>
    <n v="10115271469200"/>
    <x v="900"/>
    <d v="2022-01-27T21:30:00"/>
    <d v="1899-12-30T00:40:00"/>
    <n v="449.99999994761311"/>
    <s v="UNPLANNED"/>
    <x v="0"/>
    <d v="1899-12-30T20:50:00"/>
    <x v="1"/>
  </r>
  <r>
    <n v="3089"/>
    <x v="14"/>
    <n v="1115270097400"/>
    <x v="901"/>
    <d v="2022-01-28T00:00:01"/>
    <d v="1899-12-30T00:40:01"/>
    <n v="449.81257799632431"/>
    <s v="UNPLANNED"/>
    <x v="0"/>
    <d v="1899-12-30T23:20:00"/>
    <x v="2"/>
  </r>
  <r>
    <n v="3090"/>
    <x v="6"/>
    <n v="9115270649000"/>
    <x v="902"/>
    <d v="2022-01-28T02:45:00"/>
    <d v="1899-12-30T01:55:00"/>
    <n v="156.52173911934341"/>
    <s v="UNPLANNED"/>
    <x v="1"/>
    <d v="1899-12-30T00:50:00"/>
    <x v="2"/>
  </r>
  <r>
    <n v="3091"/>
    <x v="0"/>
    <n v="5115271685040"/>
    <x v="902"/>
    <d v="2022-01-28T02:45:00"/>
    <d v="1899-12-30T01:55:00"/>
    <n v="156.52173911934341"/>
    <s v="UNPLANNED"/>
    <x v="1"/>
    <d v="1899-12-30T00:50:00"/>
    <x v="2"/>
  </r>
  <r>
    <n v="3092"/>
    <x v="12"/>
    <n v="14115271680301"/>
    <x v="903"/>
    <d v="2022-01-28T14:00:00"/>
    <d v="1899-12-30T01:35:00"/>
    <n v="189.47368419891703"/>
    <s v="UNPLANNED"/>
    <x v="0"/>
    <d v="1899-12-30T12:25:00"/>
    <x v="0"/>
  </r>
  <r>
    <n v="3093"/>
    <x v="12"/>
    <n v="14115271672402"/>
    <x v="904"/>
    <d v="2022-01-28T14:00:00"/>
    <d v="1899-12-30T03:10:00"/>
    <n v="94.736842104682694"/>
    <s v="UNPLANNED"/>
    <x v="0"/>
    <d v="1899-12-30T10:50:00"/>
    <x v="0"/>
  </r>
  <r>
    <n v="3094"/>
    <x v="2"/>
    <n v="12115271589004"/>
    <x v="904"/>
    <d v="2022-01-28T14:00:00"/>
    <d v="1899-12-30T03:10:00"/>
    <n v="94.736842104682694"/>
    <s v="UNPLANNED"/>
    <x v="2"/>
    <d v="1899-12-30T10:50:00"/>
    <x v="0"/>
  </r>
  <r>
    <n v="3095"/>
    <x v="2"/>
    <n v="12115271581100"/>
    <x v="905"/>
    <d v="2022-01-28T14:00:00"/>
    <d v="1899-12-30T01:00:00"/>
    <n v="299.9999999650754"/>
    <s v="UNPLANNED"/>
    <x v="2"/>
    <d v="1899-12-30T13:00:00"/>
    <x v="0"/>
  </r>
  <r>
    <n v="3096"/>
    <x v="10"/>
    <n v="11115271542703"/>
    <x v="904"/>
    <d v="2022-01-28T14:00:00"/>
    <d v="1899-12-30T03:10:00"/>
    <n v="94.736842104682694"/>
    <s v="UNPLANNED"/>
    <x v="0"/>
    <d v="1899-12-30T10:50:00"/>
    <x v="0"/>
  </r>
  <r>
    <n v="3097"/>
    <x v="1"/>
    <n v="6115271699100"/>
    <x v="905"/>
    <d v="2022-01-28T14:00:00"/>
    <d v="1899-12-30T01:00:00"/>
    <n v="299.9999999650754"/>
    <s v="UNPLANNED"/>
    <x v="1"/>
    <d v="1899-12-30T13:00:00"/>
    <x v="0"/>
  </r>
  <r>
    <n v="3098"/>
    <x v="13"/>
    <n v="3115270341005"/>
    <x v="904"/>
    <d v="2022-01-28T14:00:00"/>
    <d v="1899-12-30T03:10:00"/>
    <n v="94.736842104682694"/>
    <s v="UNPLANNED"/>
    <x v="1"/>
    <d v="1899-12-30T10:50:00"/>
    <x v="0"/>
  </r>
  <r>
    <n v="3099"/>
    <x v="13"/>
    <n v="3115270321600"/>
    <x v="903"/>
    <d v="2022-01-28T14:00:00"/>
    <d v="1899-12-30T01:35:00"/>
    <n v="189.47368419891703"/>
    <s v="UNPLANNED"/>
    <x v="0"/>
    <d v="1899-12-30T12:25:00"/>
    <x v="0"/>
  </r>
  <r>
    <n v="3100"/>
    <x v="12"/>
    <n v="14115271672607"/>
    <x v="906"/>
    <d v="2022-01-28T21:20:00"/>
    <d v="1899-12-30T03:00:00"/>
    <n v="100"/>
    <s v="UNPLANNED"/>
    <x v="1"/>
    <d v="1899-12-30T18:20:00"/>
    <x v="1"/>
  </r>
  <r>
    <n v="3101"/>
    <x v="5"/>
    <n v="13115271591904"/>
    <x v="906"/>
    <d v="2022-01-28T21:20:00"/>
    <d v="1899-12-30T03:00:00"/>
    <n v="100"/>
    <s v="UNPLANNED"/>
    <x v="0"/>
    <d v="1899-12-30T18:20:00"/>
    <x v="1"/>
  </r>
  <r>
    <n v="3102"/>
    <x v="6"/>
    <n v="9115271903601"/>
    <x v="907"/>
    <d v="2022-01-28T21:20:00"/>
    <d v="1899-12-30T03:55:00"/>
    <n v="76.595744680471626"/>
    <s v="UNPLANNED"/>
    <x v="1"/>
    <d v="1899-12-30T17:25:00"/>
    <x v="1"/>
  </r>
  <r>
    <n v="3103"/>
    <x v="8"/>
    <n v="4115270827000"/>
    <x v="908"/>
    <d v="2022-01-28T21:20:00"/>
    <d v="1899-12-30T04:50:00"/>
    <n v="62.068965516743049"/>
    <s v="UNPLANNED"/>
    <x v="1"/>
    <d v="1899-12-30T16:30:00"/>
    <x v="1"/>
  </r>
  <r>
    <n v="3104"/>
    <x v="13"/>
    <n v="3115270421800"/>
    <x v="908"/>
    <d v="2022-01-28T21:20:00"/>
    <d v="1899-12-30T04:50:00"/>
    <n v="62.068965516743049"/>
    <s v="UNPLANNED"/>
    <x v="1"/>
    <d v="1899-12-30T16:30:00"/>
    <x v="1"/>
  </r>
  <r>
    <n v="3105"/>
    <x v="9"/>
    <n v="2115270250700"/>
    <x v="908"/>
    <d v="2022-01-28T21:20:00"/>
    <d v="1899-12-30T04:50:00"/>
    <n v="62.068965516743049"/>
    <s v="UNPLANNED"/>
    <x v="1"/>
    <d v="1899-12-30T16:30:00"/>
    <x v="1"/>
  </r>
  <r>
    <n v="3106"/>
    <x v="9"/>
    <n v="2115270218301"/>
    <x v="908"/>
    <d v="2022-01-28T21:20:00"/>
    <d v="1899-12-30T04:50:00"/>
    <n v="62.068965516743049"/>
    <s v="UNPLANNED"/>
    <x v="6"/>
    <d v="1899-12-30T16:30:00"/>
    <x v="1"/>
  </r>
  <r>
    <n v="3107"/>
    <x v="5"/>
    <n v="13115271635100"/>
    <x v="909"/>
    <d v="2022-01-29T00:10:00"/>
    <d v="1899-12-30T00:50:00"/>
    <n v="359.99999995809048"/>
    <s v="UNPLANNED"/>
    <x v="0"/>
    <d v="1899-12-30T23:20:00"/>
    <x v="2"/>
  </r>
  <r>
    <n v="3108"/>
    <x v="7"/>
    <n v="7115271757200"/>
    <x v="910"/>
    <d v="2022-01-29T01:15:00"/>
    <d v="1899-12-30T00:40:00"/>
    <n v="449.99999994761311"/>
    <s v="UNPLANNED"/>
    <x v="0"/>
    <d v="1899-12-30T00:35:00"/>
    <x v="2"/>
  </r>
  <r>
    <n v="3109"/>
    <x v="9"/>
    <n v="2115270211500"/>
    <x v="911"/>
    <d v="2022-01-29T03:30:00"/>
    <d v="1899-12-30T01:05:00"/>
    <n v="276.9230769131575"/>
    <s v="UNPLANNED"/>
    <x v="1"/>
    <d v="1899-12-30T02:25:00"/>
    <x v="2"/>
  </r>
  <r>
    <n v="3110"/>
    <x v="11"/>
    <n v="10115271967900"/>
    <x v="912"/>
    <d v="2022-01-29T15:10:00"/>
    <d v="1899-12-30T02:40:00"/>
    <n v="112.50000000163709"/>
    <s v="UNPLANNED"/>
    <x v="1"/>
    <d v="1899-12-30T12:30:00"/>
    <x v="0"/>
  </r>
  <r>
    <n v="3111"/>
    <x v="6"/>
    <n v="9115271909403"/>
    <x v="913"/>
    <d v="2022-01-29T15:10:00"/>
    <d v="1899-12-30T04:25:00"/>
    <n v="67.924528300693211"/>
    <s v="UNPLANNED"/>
    <x v="2"/>
    <d v="1899-12-30T10:45:00"/>
    <x v="0"/>
  </r>
  <r>
    <n v="3112"/>
    <x v="1"/>
    <n v="6115271737813"/>
    <x v="913"/>
    <d v="2022-01-29T15:10:00"/>
    <d v="1899-12-30T04:25:00"/>
    <n v="67.924528300693211"/>
    <s v="UNPLANNED"/>
    <x v="1"/>
    <d v="1899-12-30T10:45:00"/>
    <x v="0"/>
  </r>
  <r>
    <n v="3113"/>
    <x v="8"/>
    <n v="4115270858601"/>
    <x v="912"/>
    <d v="2022-01-29T15:10:00"/>
    <d v="1899-12-30T02:40:00"/>
    <n v="112.50000000163709"/>
    <s v="UNPLANNED"/>
    <x v="1"/>
    <d v="1899-12-30T12:30:00"/>
    <x v="0"/>
  </r>
  <r>
    <n v="3114"/>
    <x v="9"/>
    <n v="2115270303900"/>
    <x v="913"/>
    <d v="2022-01-29T15:10:00"/>
    <d v="1899-12-30T04:25:00"/>
    <n v="67.924528300693211"/>
    <s v="UNPLANNED"/>
    <x v="0"/>
    <d v="1899-12-30T10:45:00"/>
    <x v="0"/>
  </r>
  <r>
    <n v="3115"/>
    <x v="9"/>
    <n v="2115270249501"/>
    <x v="913"/>
    <d v="2022-01-29T15:10:00"/>
    <d v="1899-12-30T04:25:00"/>
    <n v="67.924528300693211"/>
    <s v="UNPLANNED"/>
    <x v="1"/>
    <d v="1899-12-30T10:45:00"/>
    <x v="0"/>
  </r>
  <r>
    <n v="3116"/>
    <x v="14"/>
    <n v="1115270029200"/>
    <x v="912"/>
    <d v="2022-01-29T15:10:00"/>
    <d v="1899-12-30T02:40:00"/>
    <n v="112.50000000163709"/>
    <s v="UNPLANNED"/>
    <x v="1"/>
    <d v="1899-12-30T12:30:00"/>
    <x v="0"/>
  </r>
  <r>
    <n v="3117"/>
    <x v="11"/>
    <n v="10115271468907"/>
    <x v="914"/>
    <d v="2022-01-29T22:15:00"/>
    <d v="1899-12-30T04:45:00"/>
    <n v="63.157894735294192"/>
    <s v="UNPLANNED"/>
    <x v="0"/>
    <d v="1899-12-30T17:30:00"/>
    <x v="1"/>
  </r>
  <r>
    <n v="3118"/>
    <x v="7"/>
    <n v="7115271757200"/>
    <x v="914"/>
    <d v="2022-01-29T22:15:00"/>
    <d v="1899-12-30T04:45:00"/>
    <n v="63.157894735294192"/>
    <s v="UNPLANNED"/>
    <x v="0"/>
    <d v="1899-12-30T17:30:00"/>
    <x v="1"/>
  </r>
  <r>
    <n v="3119"/>
    <x v="1"/>
    <n v="6115271729700"/>
    <x v="914"/>
    <d v="2022-01-29T22:15:00"/>
    <d v="1899-12-30T04:45:00"/>
    <n v="63.157894735294192"/>
    <s v="UNPLANNED"/>
    <x v="0"/>
    <d v="1899-12-30T17:30:00"/>
    <x v="1"/>
  </r>
  <r>
    <n v="3120"/>
    <x v="1"/>
    <n v="6115271698503"/>
    <x v="914"/>
    <d v="2022-01-29T22:15:00"/>
    <d v="1899-12-30T04:45:00"/>
    <n v="63.157894735294192"/>
    <s v="UNPLANNED"/>
    <x v="0"/>
    <d v="1899-12-30T17:30:00"/>
    <x v="1"/>
  </r>
  <r>
    <n v="3121"/>
    <x v="13"/>
    <n v="3115270306700"/>
    <x v="914"/>
    <d v="2022-01-29T22:15:00"/>
    <d v="1899-12-30T04:45:00"/>
    <n v="63.157894735294192"/>
    <s v="UNPLANNED"/>
    <x v="1"/>
    <d v="1899-12-30T17:30:00"/>
    <x v="1"/>
  </r>
  <r>
    <n v="3122"/>
    <x v="14"/>
    <n v="1115270060200"/>
    <x v="915"/>
    <d v="2022-01-29T22:15:00"/>
    <d v="1899-12-30T03:25:00"/>
    <n v="87.804878045290096"/>
    <s v="UNPLANNED"/>
    <x v="0"/>
    <d v="1899-12-30T18:50:00"/>
    <x v="1"/>
  </r>
  <r>
    <n v="3123"/>
    <x v="14"/>
    <n v="1115270017300"/>
    <x v="914"/>
    <d v="2022-01-29T22:15:00"/>
    <d v="1899-12-30T04:45:00"/>
    <n v="63.157894735294192"/>
    <s v="UNPLANNED"/>
    <x v="1"/>
    <d v="1899-12-30T17:30:00"/>
    <x v="1"/>
  </r>
  <r>
    <n v="3124"/>
    <x v="14"/>
    <n v="1115270009700"/>
    <x v="915"/>
    <d v="2022-01-29T22:15:00"/>
    <d v="1899-12-30T03:25:00"/>
    <n v="87.804878045290096"/>
    <s v="UNPLANNED"/>
    <x v="1"/>
    <d v="1899-12-30T18:50:00"/>
    <x v="1"/>
  </r>
  <r>
    <n v="3125"/>
    <x v="14"/>
    <n v="1115270143400"/>
    <x v="916"/>
    <d v="2022-01-29T23:35:00"/>
    <d v="1899-12-30T00:55:00"/>
    <n v="327.27272726580009"/>
    <s v="UNPLANNED"/>
    <x v="2"/>
    <d v="1899-12-30T22:40:00"/>
    <x v="2"/>
  </r>
  <r>
    <n v="3126"/>
    <x v="7"/>
    <n v="7115271757602"/>
    <x v="917"/>
    <d v="2022-01-30T01:10:00"/>
    <d v="1899-12-30T01:09:59"/>
    <n v="257.20409623625994"/>
    <s v="UNPLANNED"/>
    <x v="0"/>
    <d v="1899-12-30T00:00:01"/>
    <x v="2"/>
  </r>
  <r>
    <n v="3127"/>
    <x v="9"/>
    <n v="2115270250500"/>
    <x v="918"/>
    <d v="2022-01-30T03:25:00"/>
    <d v="1899-12-30T01:35:00"/>
    <n v="189.47368421981375"/>
    <s v="UNPLANNED"/>
    <x v="0"/>
    <d v="1899-12-30T01:50:00"/>
    <x v="2"/>
  </r>
  <r>
    <n v="3128"/>
    <x v="9"/>
    <n v="2115270234600"/>
    <x v="918"/>
    <d v="2022-01-30T03:25:00"/>
    <d v="1899-12-30T01:35:00"/>
    <n v="189.47368421981375"/>
    <s v="UNPLANNED"/>
    <x v="2"/>
    <d v="1899-12-30T01:50:00"/>
    <x v="2"/>
  </r>
  <r>
    <n v="3129"/>
    <x v="4"/>
    <n v="15115271748409"/>
    <x v="919"/>
    <d v="2022-01-30T13:55:00"/>
    <d v="1899-12-30T01:45:00"/>
    <n v="171.42857143427341"/>
    <s v="UNPLANNED"/>
    <x v="1"/>
    <d v="1899-12-30T12:10:00"/>
    <x v="0"/>
  </r>
  <r>
    <n v="3130"/>
    <x v="5"/>
    <n v="13115271626000"/>
    <x v="919"/>
    <d v="2022-01-30T13:55:00"/>
    <d v="1899-12-30T01:45:00"/>
    <n v="171.42857143427341"/>
    <s v="UNPLANNED"/>
    <x v="1"/>
    <d v="1899-12-30T12:10:00"/>
    <x v="0"/>
  </r>
  <r>
    <n v="3131"/>
    <x v="3"/>
    <n v="8115271810102"/>
    <x v="920"/>
    <d v="2022-01-30T13:55:00"/>
    <d v="1899-12-30T03:55:00"/>
    <n v="76.595744680471626"/>
    <s v="UNPLANNED"/>
    <x v="1"/>
    <d v="1899-12-30T10:00:00"/>
    <x v="0"/>
  </r>
  <r>
    <n v="3132"/>
    <x v="0"/>
    <n v="5115271258900"/>
    <x v="920"/>
    <d v="2022-01-30T13:55:00"/>
    <d v="1899-12-30T03:55:00"/>
    <n v="76.595744680471626"/>
    <s v="UNPLANNED"/>
    <x v="0"/>
    <d v="1899-12-30T10:00:00"/>
    <x v="0"/>
  </r>
  <r>
    <n v="3133"/>
    <x v="13"/>
    <n v="3115270386301"/>
    <x v="920"/>
    <d v="2022-01-30T13:55:00"/>
    <d v="1899-12-30T03:55:00"/>
    <n v="76.595744680471626"/>
    <s v="UNPLANNED"/>
    <x v="2"/>
    <d v="1899-12-30T10:00:00"/>
    <x v="0"/>
  </r>
  <r>
    <n v="3134"/>
    <x v="13"/>
    <n v="3115270309200"/>
    <x v="920"/>
    <d v="2022-01-30T13:55:00"/>
    <d v="1899-12-30T03:55:00"/>
    <n v="76.595744680471626"/>
    <s v="UNPLANNED"/>
    <x v="0"/>
    <d v="1899-12-30T10:00:00"/>
    <x v="0"/>
  </r>
  <r>
    <n v="3135"/>
    <x v="14"/>
    <n v="1115270151300"/>
    <x v="919"/>
    <d v="2022-01-30T13:55:00"/>
    <d v="1899-12-30T01:45:00"/>
    <n v="171.42857143427341"/>
    <s v="UNPLANNED"/>
    <x v="1"/>
    <d v="1899-12-30T12:10:00"/>
    <x v="0"/>
  </r>
  <r>
    <n v="3136"/>
    <x v="7"/>
    <n v="7115271762506"/>
    <x v="921"/>
    <d v="2022-01-30T20:07:00"/>
    <d v="1899-12-30T02:07:00"/>
    <n v="141.73228347028339"/>
    <s v="UNPLANNED"/>
    <x v="2"/>
    <d v="1899-12-30T18:00:00"/>
    <x v="1"/>
  </r>
  <r>
    <n v="3137"/>
    <x v="1"/>
    <n v="6115271699100"/>
    <x v="922"/>
    <d v="2022-01-30T20:07:00"/>
    <d v="1899-12-30T04:47:00"/>
    <n v="62.717770036471379"/>
    <s v="UNPLANNED"/>
    <x v="1"/>
    <d v="1899-12-30T15:20:00"/>
    <x v="1"/>
  </r>
  <r>
    <n v="3138"/>
    <x v="9"/>
    <n v="2115270233800"/>
    <x v="923"/>
    <d v="2022-01-30T20:07:00"/>
    <d v="1899-12-30T04:34:00"/>
    <n v="65.693430658832284"/>
    <s v="UNPLANNED"/>
    <x v="0"/>
    <d v="1899-12-30T15:33:00"/>
    <x v="1"/>
  </r>
  <r>
    <n v="3139"/>
    <x v="9"/>
    <n v="2115270218303"/>
    <x v="922"/>
    <d v="2022-01-30T20:07:00"/>
    <d v="1899-12-30T04:47:00"/>
    <n v="62.717770036471379"/>
    <s v="UNPLANNED"/>
    <x v="0"/>
    <d v="1899-12-30T15:20:00"/>
    <x v="1"/>
  </r>
  <r>
    <n v="3140"/>
    <x v="14"/>
    <n v="1115270143500"/>
    <x v="922"/>
    <d v="2022-01-30T20:07:00"/>
    <d v="1899-12-30T04:47:00"/>
    <n v="62.717770036471379"/>
    <s v="UNPLANNED"/>
    <x v="0"/>
    <d v="1899-12-30T15:20:00"/>
    <x v="1"/>
  </r>
  <r>
    <n v="3141"/>
    <x v="14"/>
    <n v="1115270101700"/>
    <x v="923"/>
    <d v="2022-01-30T20:07:00"/>
    <d v="1899-12-30T04:34:00"/>
    <n v="65.693430658832284"/>
    <s v="UNPLANNED"/>
    <x v="1"/>
    <d v="1899-12-30T15:33:00"/>
    <x v="1"/>
  </r>
  <r>
    <n v="3142"/>
    <x v="1"/>
    <n v="6115271727500"/>
    <x v="924"/>
    <d v="2022-01-31T00:15:00"/>
    <d v="1899-12-30T00:55:00"/>
    <n v="327.27272726580009"/>
    <s v="UNPLANNED"/>
    <x v="2"/>
    <d v="1899-12-30T23:20:00"/>
    <x v="2"/>
  </r>
  <r>
    <n v="3143"/>
    <x v="2"/>
    <n v="12115271582101"/>
    <x v="925"/>
    <d v="2022-01-31T03:00:00"/>
    <d v="1899-12-30T01:35:00"/>
    <n v="189.47368421981375"/>
    <s v="UNPLANNED"/>
    <x v="2"/>
    <d v="1899-12-30T01:25:00"/>
    <x v="2"/>
  </r>
  <r>
    <n v="3144"/>
    <x v="10"/>
    <n v="11115271526104"/>
    <x v="925"/>
    <d v="2022-01-31T03:00:00"/>
    <d v="1899-12-30T01:35:00"/>
    <n v="189.47368421981375"/>
    <s v="UNPLANNED"/>
    <x v="0"/>
    <d v="1899-12-30T01:25:00"/>
    <x v="2"/>
  </r>
  <r>
    <n v="3145"/>
    <x v="7"/>
    <n v="7115271762506"/>
    <x v="925"/>
    <d v="2022-01-31T03:00:00"/>
    <d v="1899-12-30T01:35:00"/>
    <n v="189.47368421981375"/>
    <s v="UNPLANNED"/>
    <x v="2"/>
    <d v="1899-12-30T01:25:00"/>
    <x v="2"/>
  </r>
  <r>
    <n v="3146"/>
    <x v="4"/>
    <n v="15115271775012"/>
    <x v="926"/>
    <d v="2022-01-31T14:35:00"/>
    <d v="1899-12-30T03:50:00"/>
    <n v="78.260869563236795"/>
    <s v="UNPLANNED"/>
    <x v="0"/>
    <d v="1899-12-30T10:45:00"/>
    <x v="0"/>
  </r>
  <r>
    <n v="3147"/>
    <x v="12"/>
    <n v="14115271672500"/>
    <x v="926"/>
    <d v="2022-01-31T14:35:00"/>
    <d v="1899-12-30T03:50:00"/>
    <n v="78.260869563236795"/>
    <s v="UNPLANNED"/>
    <x v="0"/>
    <d v="1899-12-30T10:45:00"/>
    <x v="0"/>
  </r>
  <r>
    <n v="3148"/>
    <x v="10"/>
    <n v="11115271547700"/>
    <x v="926"/>
    <d v="2022-01-31T14:35:00"/>
    <d v="1899-12-30T03:50:00"/>
    <n v="78.260869563236795"/>
    <s v="UNPLANNED"/>
    <x v="0"/>
    <d v="1899-12-30T10:45:00"/>
    <x v="0"/>
  </r>
  <r>
    <n v="3149"/>
    <x v="10"/>
    <n v="11115271538500"/>
    <x v="926"/>
    <d v="2022-01-31T14:35:00"/>
    <d v="1899-12-30T03:50:00"/>
    <n v="78.260869563236795"/>
    <s v="UNPLANNED"/>
    <x v="0"/>
    <d v="1899-12-30T10:45:00"/>
    <x v="0"/>
  </r>
  <r>
    <n v="3150"/>
    <x v="11"/>
    <n v="10115271965200"/>
    <x v="926"/>
    <d v="2022-01-31T14:35:00"/>
    <d v="1899-12-30T03:50:00"/>
    <n v="78.260869563236795"/>
    <s v="UNPLANNED"/>
    <x v="0"/>
    <d v="1899-12-30T10:45:00"/>
    <x v="0"/>
  </r>
  <r>
    <n v="3151"/>
    <x v="11"/>
    <n v="10115271468700"/>
    <x v="926"/>
    <d v="2022-01-31T14:35:00"/>
    <d v="1899-12-30T03:50:00"/>
    <n v="78.260869563236795"/>
    <s v="UNPLANNED"/>
    <x v="1"/>
    <d v="1899-12-30T10:45:00"/>
    <x v="0"/>
  </r>
  <r>
    <n v="3152"/>
    <x v="10"/>
    <n v="11115271542606"/>
    <x v="927"/>
    <d v="2022-01-31T19:55:00"/>
    <d v="1899-12-30T01:20:00"/>
    <n v="225.00000000327418"/>
    <s v="UNPLANNED"/>
    <x v="1"/>
    <d v="1899-12-30T18:35:00"/>
    <x v="1"/>
  </r>
  <r>
    <n v="3153"/>
    <x v="7"/>
    <n v="7115271762200"/>
    <x v="927"/>
    <d v="2022-01-31T19:55:00"/>
    <d v="1899-12-30T01:20:00"/>
    <n v="225.00000000327418"/>
    <s v="UNPLANNED"/>
    <x v="6"/>
    <d v="1899-12-30T18:35:00"/>
    <x v="1"/>
  </r>
  <r>
    <n v="3154"/>
    <x v="9"/>
    <n v="2115270229200"/>
    <x v="927"/>
    <d v="2022-01-31T19:55:00"/>
    <d v="1899-12-30T01:20:00"/>
    <n v="225.00000000327418"/>
    <s v="UNPLANNED"/>
    <x v="0"/>
    <d v="1899-12-30T18:35:00"/>
    <x v="1"/>
  </r>
  <r>
    <n v="3155"/>
    <x v="7"/>
    <n v="7115271768202"/>
    <x v="928"/>
    <d v="2022-01-31T21:35:00"/>
    <d v="1899-12-30T00:50:00"/>
    <n v="360.00000003352761"/>
    <s v="UNPLANNED"/>
    <x v="1"/>
    <d v="1899-12-30T20:45:00"/>
    <x v="1"/>
  </r>
  <r>
    <n v="3156"/>
    <x v="3"/>
    <n v="8115271809902"/>
    <x v="929"/>
    <d v="2022-02-01T00:20:00"/>
    <d v="1899-12-30T01:40:00"/>
    <n v="179.99999999790452"/>
    <s v="UNPLANNED"/>
    <x v="0"/>
    <d v="1899-12-30T22:40:00"/>
    <x v="2"/>
  </r>
  <r>
    <n v="3157"/>
    <x v="13"/>
    <n v="3115270367100"/>
    <x v="929"/>
    <d v="2022-02-01T00:20:00"/>
    <d v="1899-12-30T01:40:00"/>
    <n v="179.99999999790452"/>
    <s v="UNPLANNED"/>
    <x v="0"/>
    <d v="1899-12-30T22:40:00"/>
    <x v="2"/>
  </r>
  <r>
    <n v="3158"/>
    <x v="13"/>
    <n v="3115270316805"/>
    <x v="929"/>
    <d v="2022-02-01T00:20:00"/>
    <d v="1899-12-30T01:40:00"/>
    <n v="179.99999999790452"/>
    <s v="UNPLANNED"/>
    <x v="1"/>
    <d v="1899-12-30T22:40:00"/>
    <x v="2"/>
  </r>
  <r>
    <n v="3159"/>
    <x v="2"/>
    <n v="12115271560117"/>
    <x v="930"/>
    <d v="2022-02-01T03:45:00"/>
    <d v="1899-12-30T02:35:00"/>
    <n v="116.1290322563201"/>
    <s v="UNPLANNED"/>
    <x v="1"/>
    <d v="1899-12-30T01:10:00"/>
    <x v="2"/>
  </r>
  <r>
    <n v="3160"/>
    <x v="13"/>
    <n v="3115270366706"/>
    <x v="930"/>
    <d v="2022-02-01T03:45:00"/>
    <d v="1899-12-30T02:35:00"/>
    <n v="116.1290322563201"/>
    <s v="UNPLANNED"/>
    <x v="1"/>
    <d v="1899-12-30T01:10:00"/>
    <x v="2"/>
  </r>
  <r>
    <n v="3161"/>
    <x v="9"/>
    <n v="2115270218303"/>
    <x v="930"/>
    <d v="2022-02-01T03:45:00"/>
    <d v="1899-12-30T02:35:00"/>
    <n v="116.1290322563201"/>
    <s v="UNPLANNED"/>
    <x v="1"/>
    <d v="1899-12-30T01:10:00"/>
    <x v="2"/>
  </r>
  <r>
    <n v="3162"/>
    <x v="5"/>
    <n v="13115271590508"/>
    <x v="931"/>
    <d v="2022-02-01T13:30:00"/>
    <d v="1899-12-30T03:00:00"/>
    <n v="100"/>
    <s v="UNPLANNED"/>
    <x v="1"/>
    <d v="1899-12-30T10:30:00"/>
    <x v="0"/>
  </r>
  <r>
    <n v="3163"/>
    <x v="2"/>
    <n v="12115271562908"/>
    <x v="931"/>
    <d v="2022-02-01T13:30:00"/>
    <d v="1899-12-30T03:00:00"/>
    <n v="100"/>
    <s v="UNPLANNED"/>
    <x v="2"/>
    <d v="1899-12-30T10:30:00"/>
    <x v="0"/>
  </r>
  <r>
    <n v="3164"/>
    <x v="7"/>
    <n v="7115271757500"/>
    <x v="931"/>
    <d v="2022-02-01T13:30:00"/>
    <d v="1899-12-30T03:00:00"/>
    <n v="100"/>
    <s v="UNPLANNED"/>
    <x v="1"/>
    <d v="1899-12-30T10:30:00"/>
    <x v="0"/>
  </r>
  <r>
    <n v="3165"/>
    <x v="7"/>
    <n v="7115271757204"/>
    <x v="931"/>
    <d v="2022-02-01T13:30:00"/>
    <d v="1899-12-30T03:00:00"/>
    <n v="100"/>
    <s v="UNPLANNED"/>
    <x v="1"/>
    <d v="1899-12-30T10:30:00"/>
    <x v="0"/>
  </r>
  <r>
    <n v="3166"/>
    <x v="13"/>
    <n v="3115270393300"/>
    <x v="931"/>
    <d v="2022-02-01T13:30:00"/>
    <d v="1899-12-30T03:00:00"/>
    <n v="100"/>
    <s v="UNPLANNED"/>
    <x v="1"/>
    <d v="1899-12-30T10:30:00"/>
    <x v="0"/>
  </r>
  <r>
    <n v="3167"/>
    <x v="13"/>
    <n v="3115270306702"/>
    <x v="931"/>
    <d v="2022-02-01T13:30:00"/>
    <d v="1899-12-30T03:00:00"/>
    <n v="100"/>
    <s v="UNPLANNED"/>
    <x v="6"/>
    <d v="1899-12-30T10:30:00"/>
    <x v="0"/>
  </r>
  <r>
    <n v="3168"/>
    <x v="9"/>
    <n v="2115270232500"/>
    <x v="931"/>
    <d v="2022-02-01T13:30:00"/>
    <d v="1899-12-30T03:00:00"/>
    <n v="100"/>
    <s v="UNPLANNED"/>
    <x v="6"/>
    <d v="1899-12-30T10:30:00"/>
    <x v="0"/>
  </r>
  <r>
    <n v="3169"/>
    <x v="3"/>
    <n v="8115270614200"/>
    <x v="932"/>
    <d v="2022-02-01T23:40:00"/>
    <d v="1899-12-30T01:10:00"/>
    <n v="257.14285715141011"/>
    <s v="UNPLANNED"/>
    <x v="1"/>
    <d v="1899-12-30T22:30:00"/>
    <x v="2"/>
  </r>
  <r>
    <n v="3170"/>
    <x v="2"/>
    <n v="12115271573215"/>
    <x v="933"/>
    <d v="2022-02-02T12:30:00"/>
    <d v="1899-12-30T03:40:00"/>
    <n v="81.818181816450021"/>
    <s v="UNPLANNED"/>
    <x v="0"/>
    <d v="1899-12-30T08:50:00"/>
    <x v="0"/>
  </r>
  <r>
    <n v="3171"/>
    <x v="7"/>
    <n v="7115271757204"/>
    <x v="934"/>
    <d v="2022-02-02T12:30:00"/>
    <d v="1899-12-30T02:25:00"/>
    <n v="124.1379310334861"/>
    <s v="UNPLANNED"/>
    <x v="0"/>
    <d v="1899-12-30T10:05:00"/>
    <x v="0"/>
  </r>
  <r>
    <n v="3172"/>
    <x v="1"/>
    <n v="6115271717215"/>
    <x v="933"/>
    <d v="2022-02-02T12:30:00"/>
    <d v="1899-12-30T03:40:00"/>
    <n v="81.818181816450021"/>
    <s v="UNPLANNED"/>
    <x v="1"/>
    <d v="1899-12-30T08:50:00"/>
    <x v="0"/>
  </r>
  <r>
    <n v="3173"/>
    <x v="0"/>
    <n v="5115270974805"/>
    <x v="935"/>
    <d v="2022-02-02T12:30:00"/>
    <d v="1899-12-30T03:15:00"/>
    <n v="92.307692304385839"/>
    <s v="UNPLANNED"/>
    <x v="1"/>
    <d v="1899-12-30T09:15:00"/>
    <x v="0"/>
  </r>
  <r>
    <n v="3174"/>
    <x v="2"/>
    <n v="12115271573210"/>
    <x v="936"/>
    <d v="2022-02-02T14:40:00"/>
    <d v="1899-12-30T01:55:00"/>
    <n v="156.52173913360375"/>
    <s v="UNPLANNED"/>
    <x v="0"/>
    <d v="1899-12-30T12:45:00"/>
    <x v="0"/>
  </r>
  <r>
    <n v="3175"/>
    <x v="14"/>
    <n v="1115270067700"/>
    <x v="937"/>
    <d v="2022-02-02T14:40:00"/>
    <d v="1899-12-30T02:00:00"/>
    <n v="150.00000000873115"/>
    <s v="UNPLANNED"/>
    <x v="0"/>
    <d v="1899-12-30T12:40:00"/>
    <x v="0"/>
  </r>
  <r>
    <n v="3176"/>
    <x v="2"/>
    <n v="12115271580313"/>
    <x v="938"/>
    <d v="2022-02-02T21:55:00"/>
    <d v="1899-12-30T03:55:00"/>
    <n v="76.595744680471626"/>
    <s v="UNPLANNED"/>
    <x v="0"/>
    <d v="1899-12-30T18:00:00"/>
    <x v="1"/>
  </r>
  <r>
    <n v="3177"/>
    <x v="2"/>
    <n v="12115271572401"/>
    <x v="939"/>
    <d v="2022-02-02T21:55:00"/>
    <d v="1899-12-30T06:25:00"/>
    <n v="46.753246753529496"/>
    <s v="UNPLANNED"/>
    <x v="1"/>
    <d v="1899-12-30T15:30:00"/>
    <x v="1"/>
  </r>
  <r>
    <n v="3178"/>
    <x v="2"/>
    <n v="12115271572401"/>
    <x v="938"/>
    <d v="2022-02-02T21:55:00"/>
    <d v="1899-12-30T03:55:00"/>
    <n v="76.595744680471626"/>
    <s v="UNPLANNED"/>
    <x v="6"/>
    <d v="1899-12-30T18:00:00"/>
    <x v="1"/>
  </r>
  <r>
    <n v="3179"/>
    <x v="10"/>
    <n v="11115271552301"/>
    <x v="938"/>
    <d v="2022-02-02T21:55:00"/>
    <d v="1899-12-30T03:55:00"/>
    <n v="76.595744680471626"/>
    <s v="UNPLANNED"/>
    <x v="0"/>
    <d v="1899-12-30T18:00:00"/>
    <x v="1"/>
  </r>
  <r>
    <n v="3180"/>
    <x v="10"/>
    <n v="11115271551400"/>
    <x v="938"/>
    <d v="2022-02-02T21:55:00"/>
    <d v="1899-12-30T03:55:00"/>
    <n v="76.595744680471626"/>
    <s v="UNPLANNED"/>
    <x v="0"/>
    <d v="1899-12-30T18:00:00"/>
    <x v="1"/>
  </r>
  <r>
    <n v="3181"/>
    <x v="6"/>
    <n v="9115271913407"/>
    <x v="938"/>
    <d v="2022-02-02T21:55:00"/>
    <d v="1899-12-30T03:55:00"/>
    <n v="76.595744680471626"/>
    <s v="UNPLANNED"/>
    <x v="0"/>
    <d v="1899-12-30T18:00:00"/>
    <x v="1"/>
  </r>
  <r>
    <n v="3182"/>
    <x v="3"/>
    <n v="8115271809910"/>
    <x v="939"/>
    <d v="2022-02-02T21:55:00"/>
    <d v="1899-12-30T06:25:00"/>
    <n v="46.753246753529496"/>
    <s v="UNPLANNED"/>
    <x v="1"/>
    <d v="1899-12-30T15:30:00"/>
    <x v="1"/>
  </r>
  <r>
    <n v="3183"/>
    <x v="7"/>
    <n v="7115271768104"/>
    <x v="939"/>
    <d v="2022-02-02T21:55:00"/>
    <d v="1899-12-30T06:25:00"/>
    <n v="46.753246753529496"/>
    <s v="UNPLANNED"/>
    <x v="0"/>
    <d v="1899-12-30T15:30:00"/>
    <x v="1"/>
  </r>
  <r>
    <n v="3184"/>
    <x v="0"/>
    <n v="5115271244800"/>
    <x v="938"/>
    <d v="2022-02-02T21:55:00"/>
    <d v="1899-12-30T03:55:00"/>
    <n v="76.595744680471626"/>
    <s v="UNPLANNED"/>
    <x v="0"/>
    <d v="1899-12-30T18:00:00"/>
    <x v="1"/>
  </r>
  <r>
    <n v="3185"/>
    <x v="14"/>
    <n v="1115270127500"/>
    <x v="940"/>
    <d v="2022-02-02T21:55:00"/>
    <d v="1899-12-30T05:25:00"/>
    <n v="55.384615384416989"/>
    <s v="UNPLANNED"/>
    <x v="0"/>
    <d v="1899-12-30T16:30:00"/>
    <x v="1"/>
  </r>
  <r>
    <n v="3186"/>
    <x v="14"/>
    <n v="1115270074200"/>
    <x v="938"/>
    <d v="2022-02-02T21:55:00"/>
    <d v="1899-12-30T03:55:00"/>
    <n v="76.595744680471626"/>
    <s v="UNPLANNED"/>
    <x v="0"/>
    <d v="1899-12-30T18:00:00"/>
    <x v="1"/>
  </r>
  <r>
    <n v="3187"/>
    <x v="3"/>
    <n v="8115271810106"/>
    <x v="941"/>
    <d v="2022-02-02T23:40:00"/>
    <d v="1899-12-30T00:55:00"/>
    <n v="327.27272726580009"/>
    <s v="UNPLANNED"/>
    <x v="0"/>
    <d v="1899-12-30T22:45:00"/>
    <x v="2"/>
  </r>
  <r>
    <n v="3188"/>
    <x v="7"/>
    <n v="7115271793809"/>
    <x v="942"/>
    <d v="2022-02-03T00:30:00"/>
    <d v="1899-12-30T00:29:59"/>
    <n v="600.3335186295368"/>
    <s v="UNPLANNED"/>
    <x v="1"/>
    <d v="1899-12-30T00:00:01"/>
    <x v="2"/>
  </r>
  <r>
    <n v="3189"/>
    <x v="3"/>
    <n v="8115271820902"/>
    <x v="943"/>
    <d v="2022-02-03T02:20:00"/>
    <d v="1899-12-30T01:05:00"/>
    <n v="276.92307695779488"/>
    <s v="UNPLANNED"/>
    <x v="1"/>
    <d v="1899-12-30T01:15:00"/>
    <x v="2"/>
  </r>
  <r>
    <n v="3190"/>
    <x v="12"/>
    <n v="14115271742100"/>
    <x v="944"/>
    <d v="2022-02-03T13:55:00"/>
    <d v="1899-12-30T01:35:00"/>
    <n v="189.47368421981375"/>
    <s v="UNPLANNED"/>
    <x v="0"/>
    <d v="1899-12-30T12:20:00"/>
    <x v="0"/>
  </r>
  <r>
    <n v="3191"/>
    <x v="12"/>
    <n v="14115271715600"/>
    <x v="945"/>
    <d v="2022-02-03T13:55:00"/>
    <d v="1899-12-30T04:25:00"/>
    <n v="67.924528303378764"/>
    <s v="UNPLANNED"/>
    <x v="0"/>
    <d v="1899-12-30T09:30:00"/>
    <x v="0"/>
  </r>
  <r>
    <n v="3192"/>
    <x v="2"/>
    <n v="12115271579500"/>
    <x v="945"/>
    <d v="2022-02-03T13:55:00"/>
    <d v="1899-12-30T04:25:00"/>
    <n v="67.924528303378764"/>
    <s v="UNPLANNED"/>
    <x v="1"/>
    <d v="1899-12-30T09:30:00"/>
    <x v="0"/>
  </r>
  <r>
    <n v="3193"/>
    <x v="10"/>
    <n v="11115271508400"/>
    <x v="946"/>
    <d v="2022-02-03T13:55:00"/>
    <d v="1899-12-30T03:30:00"/>
    <n v="85.714285717136704"/>
    <s v="UNPLANNED"/>
    <x v="0"/>
    <d v="1899-12-30T10:25:00"/>
    <x v="0"/>
  </r>
  <r>
    <n v="3194"/>
    <x v="7"/>
    <n v="7115271757605"/>
    <x v="946"/>
    <d v="2022-02-03T13:55:00"/>
    <d v="1899-12-30T03:30:00"/>
    <n v="85.714285717136704"/>
    <s v="UNPLANNED"/>
    <x v="0"/>
    <d v="1899-12-30T10:25:00"/>
    <x v="0"/>
  </r>
  <r>
    <n v="3195"/>
    <x v="1"/>
    <n v="6115271729603"/>
    <x v="945"/>
    <d v="2022-02-03T13:55:00"/>
    <d v="1899-12-30T04:25:00"/>
    <n v="67.924528303378764"/>
    <s v="UNPLANNED"/>
    <x v="0"/>
    <d v="1899-12-30T09:30:00"/>
    <x v="0"/>
  </r>
  <r>
    <n v="3196"/>
    <x v="13"/>
    <n v="3115270333600"/>
    <x v="945"/>
    <d v="2022-02-03T13:55:00"/>
    <d v="1899-12-30T04:25:00"/>
    <n v="67.924528303378764"/>
    <s v="UNPLANNED"/>
    <x v="1"/>
    <d v="1899-12-30T09:30:00"/>
    <x v="0"/>
  </r>
  <r>
    <n v="3197"/>
    <x v="5"/>
    <n v="13115271590701"/>
    <x v="947"/>
    <d v="2022-02-03T19:22:00"/>
    <d v="1899-12-30T02:12:00"/>
    <n v="136.36363637373853"/>
    <s v="UNPLANNED"/>
    <x v="0"/>
    <d v="1899-12-30T17:10:00"/>
    <x v="1"/>
  </r>
  <r>
    <n v="3198"/>
    <x v="2"/>
    <n v="12115271566801"/>
    <x v="947"/>
    <d v="2022-02-03T19:22:00"/>
    <d v="1899-12-30T02:12:00"/>
    <n v="136.36363637373853"/>
    <s v="UNPLANNED"/>
    <x v="0"/>
    <d v="1899-12-30T17:10:00"/>
    <x v="1"/>
  </r>
  <r>
    <n v="3199"/>
    <x v="7"/>
    <n v="7115271768107"/>
    <x v="947"/>
    <d v="2022-02-03T19:22:00"/>
    <d v="1899-12-30T02:12:00"/>
    <n v="136.36363637373853"/>
    <s v="UNPLANNED"/>
    <x v="0"/>
    <d v="1899-12-30T17:10:00"/>
    <x v="1"/>
  </r>
  <r>
    <n v="3200"/>
    <x v="0"/>
    <n v="5115271285900"/>
    <x v="947"/>
    <d v="2022-02-03T19:22:00"/>
    <d v="1899-12-30T02:12:00"/>
    <n v="136.36363637373853"/>
    <s v="UNPLANNED"/>
    <x v="0"/>
    <d v="1899-12-30T17:10:00"/>
    <x v="1"/>
  </r>
  <r>
    <n v="3201"/>
    <x v="14"/>
    <n v="1115270067501"/>
    <x v="947"/>
    <d v="2022-02-03T19:22:00"/>
    <d v="1899-12-30T02:12:00"/>
    <n v="136.36363637373853"/>
    <s v="UNPLANNED"/>
    <x v="0"/>
    <d v="1899-12-30T17:10:00"/>
    <x v="1"/>
  </r>
  <r>
    <n v="3202"/>
    <x v="12"/>
    <n v="14115271672700"/>
    <x v="948"/>
    <d v="2022-02-03T21:00:00"/>
    <d v="1899-12-30T01:20:00"/>
    <n v="225.00000000327418"/>
    <s v="UNPLANNED"/>
    <x v="0"/>
    <d v="1899-12-30T19:40:00"/>
    <x v="1"/>
  </r>
  <r>
    <n v="3203"/>
    <x v="13"/>
    <n v="3115270347400"/>
    <x v="948"/>
    <d v="2022-02-03T21:00:00"/>
    <d v="1899-12-30T01:20:00"/>
    <n v="225.00000000327418"/>
    <s v="UNPLANNED"/>
    <x v="1"/>
    <d v="1899-12-30T19:40:00"/>
    <x v="1"/>
  </r>
  <r>
    <n v="3204"/>
    <x v="8"/>
    <n v="4115270858900"/>
    <x v="949"/>
    <d v="2022-02-04T00:35:00"/>
    <d v="1899-12-30T00:50:00"/>
    <n v="360.00000003352761"/>
    <s v="UNPLANNED"/>
    <x v="1"/>
    <d v="1899-12-30T23:45:00"/>
    <x v="2"/>
  </r>
  <r>
    <n v="3205"/>
    <x v="7"/>
    <n v="7115271768201"/>
    <x v="950"/>
    <d v="2022-02-04T02:15:00"/>
    <d v="1899-12-30T00:50:00"/>
    <n v="360.00000003352761"/>
    <s v="UNPLANNED"/>
    <x v="0"/>
    <d v="1899-12-30T01:25:00"/>
    <x v="2"/>
  </r>
  <r>
    <n v="3206"/>
    <x v="7"/>
    <n v="7115271783900"/>
    <x v="951"/>
    <d v="2022-02-04T03:20:00"/>
    <d v="1899-12-30T00:45:00"/>
    <n v="400"/>
    <s v="UNPLANNED"/>
    <x v="0"/>
    <d v="1899-12-30T02:35:00"/>
    <x v="2"/>
  </r>
  <r>
    <n v="3207"/>
    <x v="12"/>
    <n v="14115271685300"/>
    <x v="952"/>
    <d v="2022-02-04T14:06:00"/>
    <d v="1899-12-30T02:46:00"/>
    <n v="108.43373493534847"/>
    <s v="UNPLANNED"/>
    <x v="0"/>
    <d v="1899-12-30T11:20:00"/>
    <x v="0"/>
  </r>
  <r>
    <n v="3208"/>
    <x v="12"/>
    <n v="14115271679800"/>
    <x v="952"/>
    <d v="2022-02-04T14:06:00"/>
    <d v="1899-12-30T02:46:00"/>
    <n v="108.43373493534847"/>
    <s v="UNPLANNED"/>
    <x v="0"/>
    <d v="1899-12-30T11:20:00"/>
    <x v="0"/>
  </r>
  <r>
    <n v="3209"/>
    <x v="5"/>
    <n v="13115271625702"/>
    <x v="952"/>
    <d v="2022-02-04T14:06:00"/>
    <d v="1899-12-30T02:46:00"/>
    <n v="108.43373493534847"/>
    <s v="UNPLANNED"/>
    <x v="1"/>
    <d v="1899-12-30T11:20:00"/>
    <x v="0"/>
  </r>
  <r>
    <n v="3210"/>
    <x v="2"/>
    <n v="12115271574505"/>
    <x v="952"/>
    <d v="2022-02-04T14:06:00"/>
    <d v="1899-12-30T02:46:00"/>
    <n v="108.43373493534847"/>
    <s v="UNPLANNED"/>
    <x v="0"/>
    <d v="1899-12-30T11:20:00"/>
    <x v="0"/>
  </r>
  <r>
    <n v="3211"/>
    <x v="3"/>
    <n v="8115271810105"/>
    <x v="952"/>
    <d v="2022-02-04T14:06:00"/>
    <d v="1899-12-30T02:46:00"/>
    <n v="108.43373493534847"/>
    <s v="UNPLANNED"/>
    <x v="2"/>
    <d v="1899-12-30T11:20:00"/>
    <x v="0"/>
  </r>
  <r>
    <n v="3212"/>
    <x v="14"/>
    <n v="1115270088900"/>
    <x v="952"/>
    <d v="2022-02-04T14:06:00"/>
    <d v="1899-12-30T02:46:00"/>
    <n v="108.43373493534847"/>
    <s v="UNPLANNED"/>
    <x v="0"/>
    <d v="1899-12-30T11:20:00"/>
    <x v="0"/>
  </r>
  <r>
    <n v="3213"/>
    <x v="5"/>
    <n v="13115271626900"/>
    <x v="953"/>
    <d v="2022-02-04T18:30:00"/>
    <d v="1899-12-30T02:45:00"/>
    <n v="109.09090908860001"/>
    <s v="UNPLANNED"/>
    <x v="0"/>
    <d v="1899-12-30T15:45:00"/>
    <x v="1"/>
  </r>
  <r>
    <n v="3214"/>
    <x v="1"/>
    <n v="6115271733602"/>
    <x v="953"/>
    <d v="2022-02-04T18:30:00"/>
    <d v="1899-12-30T02:45:00"/>
    <n v="109.09090908860001"/>
    <s v="UNPLANNED"/>
    <x v="0"/>
    <d v="1899-12-30T15:45:00"/>
    <x v="1"/>
  </r>
  <r>
    <n v="3215"/>
    <x v="8"/>
    <n v="4115270826907"/>
    <x v="953"/>
    <d v="2022-02-04T18:30:00"/>
    <d v="1899-12-30T02:45:00"/>
    <n v="109.09090908860001"/>
    <s v="UNPLANNED"/>
    <x v="0"/>
    <d v="1899-12-30T15:45:00"/>
    <x v="1"/>
  </r>
  <r>
    <n v="3216"/>
    <x v="11"/>
    <n v="10115271454015"/>
    <x v="954"/>
    <d v="2022-02-05T00:10:00"/>
    <d v="1899-12-30T01:20:00"/>
    <n v="225.00000000327418"/>
    <s v="UNPLANNED"/>
    <x v="2"/>
    <d v="1899-12-30T22:50:00"/>
    <x v="2"/>
  </r>
  <r>
    <n v="3217"/>
    <x v="14"/>
    <n v="1115270059400"/>
    <x v="954"/>
    <d v="2022-02-05T00:10:00"/>
    <d v="1899-12-30T01:20:00"/>
    <n v="225.00000000327418"/>
    <s v="UNPLANNED"/>
    <x v="1"/>
    <d v="1899-12-30T22:50:00"/>
    <x v="2"/>
  </r>
  <r>
    <n v="3218"/>
    <x v="12"/>
    <n v="14115271701504"/>
    <x v="955"/>
    <d v="2022-02-05T01:40:00"/>
    <d v="1899-12-30T01:10:00"/>
    <n v="257.14285715141011"/>
    <s v="UNPLANNED"/>
    <x v="0"/>
    <d v="1899-12-30T00:30:00"/>
    <x v="2"/>
  </r>
  <r>
    <n v="3219"/>
    <x v="12"/>
    <n v="14115271690737"/>
    <x v="955"/>
    <d v="2022-02-05T01:40:00"/>
    <d v="1899-12-30T01:10:00"/>
    <n v="257.14285715141011"/>
    <s v="UNPLANNED"/>
    <x v="1"/>
    <d v="1899-12-30T00:30:00"/>
    <x v="2"/>
  </r>
  <r>
    <n v="3220"/>
    <x v="1"/>
    <n v="6115271704002"/>
    <x v="956"/>
    <d v="2022-02-05T12:25:00"/>
    <d v="1899-12-30T00:55:00"/>
    <n v="327.27272726580009"/>
    <s v="UNPLANNED"/>
    <x v="0"/>
    <d v="1899-12-30T11:30:00"/>
    <x v="0"/>
  </r>
  <r>
    <n v="3221"/>
    <x v="2"/>
    <n v="12115271567321"/>
    <x v="957"/>
    <d v="2022-02-05T19:50:00"/>
    <d v="1899-12-30T01:00:00"/>
    <n v="299.9999999650754"/>
    <s v="UNPLANNED"/>
    <x v="0"/>
    <d v="1899-12-30T18:50:00"/>
    <x v="1"/>
  </r>
  <r>
    <n v="3222"/>
    <x v="3"/>
    <n v="8115271820900"/>
    <x v="958"/>
    <d v="2022-02-05T19:50:00"/>
    <d v="1899-12-30T03:50:00"/>
    <n v="78.260869563236795"/>
    <s v="UNPLANNED"/>
    <x v="2"/>
    <d v="1899-12-30T16:00:00"/>
    <x v="1"/>
  </r>
  <r>
    <n v="3223"/>
    <x v="7"/>
    <n v="7115271787211"/>
    <x v="958"/>
    <d v="2022-02-05T19:50:00"/>
    <d v="1899-12-30T03:50:00"/>
    <n v="78.260869563236795"/>
    <s v="UNPLANNED"/>
    <x v="0"/>
    <d v="1899-12-30T16:00:00"/>
    <x v="1"/>
  </r>
  <r>
    <n v="3224"/>
    <x v="5"/>
    <n v="13115271590905"/>
    <x v="959"/>
    <d v="2022-02-06T14:02:00"/>
    <d v="1899-12-30T03:17:00"/>
    <n v="91.370558374230654"/>
    <s v="UNPLANNED"/>
    <x v="0"/>
    <d v="1899-12-30T10:45:00"/>
    <x v="0"/>
  </r>
  <r>
    <n v="3225"/>
    <x v="2"/>
    <n v="12115271560120"/>
    <x v="959"/>
    <d v="2022-02-06T14:02:00"/>
    <d v="1899-12-30T03:17:00"/>
    <n v="91.370558374230654"/>
    <s v="UNPLANNED"/>
    <x v="0"/>
    <d v="1899-12-30T10:45:00"/>
    <x v="0"/>
  </r>
  <r>
    <n v="3226"/>
    <x v="10"/>
    <n v="11115271052300"/>
    <x v="959"/>
    <d v="2022-02-06T14:02:00"/>
    <d v="1899-12-30T03:17:00"/>
    <n v="91.370558374230654"/>
    <s v="UNPLANNED"/>
    <x v="1"/>
    <d v="1899-12-30T10:45:00"/>
    <x v="0"/>
  </r>
  <r>
    <n v="3227"/>
    <x v="11"/>
    <n v="10115271468700"/>
    <x v="959"/>
    <d v="2022-02-06T14:02:00"/>
    <d v="1899-12-30T03:17:00"/>
    <n v="91.370558374230654"/>
    <s v="UNPLANNED"/>
    <x v="0"/>
    <d v="1899-12-30T10:45:00"/>
    <x v="0"/>
  </r>
  <r>
    <n v="3228"/>
    <x v="3"/>
    <n v="8115271809912"/>
    <x v="959"/>
    <d v="2022-02-06T14:02:00"/>
    <d v="1899-12-30T03:17:00"/>
    <n v="91.370558374230654"/>
    <s v="UNPLANNED"/>
    <x v="0"/>
    <d v="1899-12-30T10:45:00"/>
    <x v="0"/>
  </r>
  <r>
    <n v="3229"/>
    <x v="7"/>
    <n v="7115271787300"/>
    <x v="959"/>
    <d v="2022-02-06T14:02:00"/>
    <d v="1899-12-30T03:17:00"/>
    <n v="91.370558374230654"/>
    <s v="UNPLANNED"/>
    <x v="0"/>
    <d v="1899-12-30T10:45:00"/>
    <x v="0"/>
  </r>
  <r>
    <n v="3230"/>
    <x v="9"/>
    <n v="2115270250600"/>
    <x v="959"/>
    <d v="2022-02-06T14:02:00"/>
    <d v="1899-12-30T03:17:00"/>
    <n v="91.370558374230654"/>
    <s v="UNPLANNED"/>
    <x v="0"/>
    <d v="1899-12-30T10:45:00"/>
    <x v="0"/>
  </r>
  <r>
    <n v="3231"/>
    <x v="5"/>
    <n v="13115271591100"/>
    <x v="960"/>
    <d v="2022-02-06T20:05:00"/>
    <d v="1899-12-30T02:00:00"/>
    <n v="149.99999999563443"/>
    <s v="UNPLANNED"/>
    <x v="0"/>
    <d v="1899-12-30T18:05:00"/>
    <x v="1"/>
  </r>
  <r>
    <n v="3232"/>
    <x v="5"/>
    <n v="13115271590800"/>
    <x v="960"/>
    <d v="2022-02-06T20:05:00"/>
    <d v="1899-12-30T02:00:00"/>
    <n v="149.99999999563443"/>
    <s v="UNPLANNED"/>
    <x v="2"/>
    <d v="1899-12-30T18:05:00"/>
    <x v="1"/>
  </r>
  <r>
    <n v="3233"/>
    <x v="14"/>
    <n v="1115270143100"/>
    <x v="960"/>
    <d v="2022-02-06T20:05:00"/>
    <d v="1899-12-30T02:00:00"/>
    <n v="149.99999999563443"/>
    <s v="UNPLANNED"/>
    <x v="1"/>
    <d v="1899-12-30T18:05:00"/>
    <x v="1"/>
  </r>
  <r>
    <n v="3234"/>
    <x v="14"/>
    <n v="1115270075100"/>
    <x v="960"/>
    <d v="2022-02-06T20:05:00"/>
    <d v="1899-12-30T02:00:00"/>
    <n v="149.99999999563443"/>
    <s v="UNPLANNED"/>
    <x v="0"/>
    <d v="1899-12-30T18:05:00"/>
    <x v="1"/>
  </r>
  <r>
    <n v="3235"/>
    <x v="14"/>
    <n v="1115270088300"/>
    <x v="961"/>
    <d v="2022-02-06T21:25:00"/>
    <d v="1899-12-30T00:30:00"/>
    <n v="600.00000013969839"/>
    <s v="UNPLANNED"/>
    <x v="0"/>
    <d v="1899-12-30T20:55:00"/>
    <x v="1"/>
  </r>
  <r>
    <n v="3236"/>
    <x v="2"/>
    <n v="12115271565404"/>
    <x v="962"/>
    <d v="2022-02-08T00:15:00"/>
    <d v="1899-12-30T01:50:00"/>
    <n v="163.63636364848622"/>
    <s v="UNPLANNED"/>
    <x v="0"/>
    <d v="1899-12-30T22:25:00"/>
    <x v="2"/>
  </r>
  <r>
    <n v="3237"/>
    <x v="14"/>
    <n v="1115270142700"/>
    <x v="963"/>
    <d v="2022-02-07T00:40:00"/>
    <d v="1899-12-30T00:55:00"/>
    <n v="327.27272726580009"/>
    <s v="UNPLANNED"/>
    <x v="3"/>
    <d v="1899-12-30T23:45:00"/>
    <x v="2"/>
  </r>
  <r>
    <n v="3238"/>
    <x v="7"/>
    <n v="7115271783718"/>
    <x v="964"/>
    <d v="2022-02-07T02:45:00"/>
    <d v="1899-12-30T01:15:00"/>
    <n v="239.99999998882413"/>
    <s v="UNPLANNED"/>
    <x v="0"/>
    <d v="1899-12-30T01:30:00"/>
    <x v="2"/>
  </r>
  <r>
    <n v="3239"/>
    <x v="2"/>
    <n v="12115271560816"/>
    <x v="965"/>
    <d v="2022-02-07T14:00:00"/>
    <d v="1899-12-30T03:15:00"/>
    <n v="92.307692304385839"/>
    <s v="UNPLANNED"/>
    <x v="0"/>
    <d v="1899-12-30T10:45:00"/>
    <x v="0"/>
  </r>
  <r>
    <n v="3240"/>
    <x v="10"/>
    <n v="11115271542605"/>
    <x v="965"/>
    <d v="2022-02-07T14:00:00"/>
    <d v="1899-12-30T03:15:00"/>
    <n v="92.307692304385839"/>
    <s v="UNPLANNED"/>
    <x v="0"/>
    <d v="1899-12-30T10:45:00"/>
    <x v="0"/>
  </r>
  <r>
    <n v="3241"/>
    <x v="11"/>
    <n v="10115271959502"/>
    <x v="965"/>
    <d v="2022-02-07T14:00:00"/>
    <d v="1899-12-30T03:15:00"/>
    <n v="92.307692304385839"/>
    <s v="UNPLANNED"/>
    <x v="0"/>
    <d v="1899-12-30T10:45:00"/>
    <x v="0"/>
  </r>
  <r>
    <n v="3242"/>
    <x v="3"/>
    <n v="8115271809912"/>
    <x v="965"/>
    <d v="2022-02-07T14:00:00"/>
    <d v="1899-12-30T03:15:00"/>
    <n v="92.307692304385839"/>
    <s v="UNPLANNED"/>
    <x v="0"/>
    <d v="1899-12-30T10:45:00"/>
    <x v="0"/>
  </r>
  <r>
    <n v="3243"/>
    <x v="0"/>
    <n v="5115271672400"/>
    <x v="966"/>
    <d v="2022-02-07T14:00:00"/>
    <d v="1899-12-30T02:30:00"/>
    <n v="119.99999999441206"/>
    <s v="UNPLANNED"/>
    <x v="0"/>
    <d v="1899-12-30T11:30:00"/>
    <x v="0"/>
  </r>
  <r>
    <n v="3244"/>
    <x v="8"/>
    <n v="4115270868800"/>
    <x v="965"/>
    <d v="2022-02-07T14:00:00"/>
    <d v="1899-12-30T03:15:00"/>
    <n v="92.307692304385839"/>
    <s v="UNPLANNED"/>
    <x v="0"/>
    <d v="1899-12-30T10:45:00"/>
    <x v="0"/>
  </r>
  <r>
    <n v="3245"/>
    <x v="13"/>
    <n v="3115270341000"/>
    <x v="966"/>
    <d v="2022-02-07T14:00:00"/>
    <d v="1899-12-30T02:30:00"/>
    <n v="119.99999999441206"/>
    <s v="UNPLANNED"/>
    <x v="0"/>
    <d v="1899-12-30T11:30:00"/>
    <x v="0"/>
  </r>
  <r>
    <n v="3246"/>
    <x v="13"/>
    <n v="3115270310702"/>
    <x v="965"/>
    <d v="2022-02-07T14:00:00"/>
    <d v="1899-12-30T03:15:00"/>
    <n v="92.307692304385839"/>
    <s v="UNPLANNED"/>
    <x v="0"/>
    <d v="1899-12-30T10:45:00"/>
    <x v="0"/>
  </r>
  <r>
    <n v="3247"/>
    <x v="9"/>
    <n v="2115270169700"/>
    <x v="965"/>
    <d v="2022-02-07T14:00:00"/>
    <d v="1899-12-30T03:15:00"/>
    <n v="92.307692304385839"/>
    <s v="UNPLANNED"/>
    <x v="3"/>
    <d v="1899-12-30T10:45:00"/>
    <x v="0"/>
  </r>
  <r>
    <n v="3248"/>
    <x v="14"/>
    <n v="1115270068000"/>
    <x v="965"/>
    <d v="2022-02-07T14:00:00"/>
    <d v="1899-12-30T03:15:00"/>
    <n v="92.307692304385839"/>
    <s v="UNPLANNED"/>
    <x v="1"/>
    <d v="1899-12-30T10:45:00"/>
    <x v="0"/>
  </r>
  <r>
    <n v="3249"/>
    <x v="12"/>
    <n v="14115271672501"/>
    <x v="967"/>
    <d v="2022-02-07T18:05:00"/>
    <d v="1899-12-30T03:15:00"/>
    <n v="92.307692309345541"/>
    <s v="UNPLANNED"/>
    <x v="2"/>
    <d v="1899-12-30T14:50:00"/>
    <x v="1"/>
  </r>
  <r>
    <n v="3250"/>
    <x v="10"/>
    <n v="11115271542900"/>
    <x v="967"/>
    <d v="2022-02-07T18:05:00"/>
    <d v="1899-12-30T03:15:00"/>
    <n v="92.307692309345541"/>
    <s v="UNPLANNED"/>
    <x v="0"/>
    <d v="1899-12-30T14:50:00"/>
    <x v="1"/>
  </r>
  <r>
    <n v="3251"/>
    <x v="1"/>
    <n v="6115271731700"/>
    <x v="968"/>
    <d v="2022-02-07T18:05:00"/>
    <d v="1899-12-30T02:20:00"/>
    <n v="128.57142857570506"/>
    <s v="UNPLANNED"/>
    <x v="6"/>
    <d v="1899-12-30T15:45:00"/>
    <x v="1"/>
  </r>
  <r>
    <n v="3252"/>
    <x v="1"/>
    <n v="6115271720801"/>
    <x v="968"/>
    <d v="2022-02-07T18:05:00"/>
    <d v="1899-12-30T02:20:00"/>
    <n v="128.57142857570506"/>
    <s v="UNPLANNED"/>
    <x v="2"/>
    <d v="1899-12-30T15:45:00"/>
    <x v="1"/>
  </r>
  <r>
    <n v="3253"/>
    <x v="0"/>
    <n v="5115271256400"/>
    <x v="967"/>
    <d v="2022-02-07T18:05:00"/>
    <d v="1899-12-30T03:15:00"/>
    <n v="92.307692309345541"/>
    <s v="UNPLANNED"/>
    <x v="1"/>
    <d v="1899-12-30T14:50:00"/>
    <x v="1"/>
  </r>
  <r>
    <n v="3254"/>
    <x v="13"/>
    <n v="3115270306701"/>
    <x v="968"/>
    <d v="2022-02-07T18:05:00"/>
    <d v="1899-12-30T02:20:00"/>
    <n v="128.57142857570506"/>
    <s v="UNPLANNED"/>
    <x v="1"/>
    <d v="1899-12-30T15:45:00"/>
    <x v="1"/>
  </r>
  <r>
    <n v="3255"/>
    <x v="9"/>
    <n v="2115270218300"/>
    <x v="968"/>
    <d v="2022-02-07T18:05:00"/>
    <d v="1899-12-30T02:20:00"/>
    <n v="128.57142857570506"/>
    <s v="UNPLANNED"/>
    <x v="1"/>
    <d v="1899-12-30T15:45:00"/>
    <x v="1"/>
  </r>
  <r>
    <n v="3256"/>
    <x v="11"/>
    <n v="10115271958500"/>
    <x v="969"/>
    <d v="2022-02-07T21:10:00"/>
    <d v="1899-12-30T02:40:00"/>
    <n v="112.50000000163709"/>
    <s v="UNPLANNED"/>
    <x v="2"/>
    <d v="1899-12-30T18:30:00"/>
    <x v="1"/>
  </r>
  <r>
    <n v="3257"/>
    <x v="7"/>
    <n v="7115271787211"/>
    <x v="970"/>
    <d v="2022-02-07T21:10:00"/>
    <d v="1899-12-30T01:50:00"/>
    <n v="163.63636363290004"/>
    <s v="UNPLANNED"/>
    <x v="0"/>
    <d v="1899-12-30T19:20:00"/>
    <x v="1"/>
  </r>
  <r>
    <n v="3258"/>
    <x v="7"/>
    <n v="7115271783750"/>
    <x v="969"/>
    <d v="2022-02-07T21:10:00"/>
    <d v="1899-12-30T02:40:00"/>
    <n v="112.50000000163709"/>
    <s v="UNPLANNED"/>
    <x v="2"/>
    <d v="1899-12-30T18:30:00"/>
    <x v="1"/>
  </r>
  <r>
    <n v="3259"/>
    <x v="13"/>
    <n v="3115270421800"/>
    <x v="970"/>
    <d v="2022-02-07T21:10:00"/>
    <d v="1899-12-30T01:50:00"/>
    <n v="163.63636363290004"/>
    <s v="UNPLANNED"/>
    <x v="3"/>
    <d v="1899-12-30T19:20:00"/>
    <x v="1"/>
  </r>
  <r>
    <n v="3260"/>
    <x v="13"/>
    <n v="3115270340200"/>
    <x v="970"/>
    <d v="2022-02-07T21:10:00"/>
    <d v="1899-12-30T01:50:00"/>
    <n v="163.63636363290004"/>
    <s v="UNPLANNED"/>
    <x v="1"/>
    <d v="1899-12-30T19:20:00"/>
    <x v="1"/>
  </r>
  <r>
    <n v="3261"/>
    <x v="9"/>
    <n v="2115270274700"/>
    <x v="969"/>
    <d v="2022-02-07T21:10:00"/>
    <d v="1899-12-30T02:40:00"/>
    <n v="112.50000000163709"/>
    <s v="UNPLANNED"/>
    <x v="1"/>
    <d v="1899-12-30T18:30:00"/>
    <x v="1"/>
  </r>
  <r>
    <n v="3262"/>
    <x v="9"/>
    <n v="2115270250401"/>
    <x v="969"/>
    <d v="2022-02-07T21:10:00"/>
    <d v="1899-12-30T02:40:00"/>
    <n v="112.50000000163709"/>
    <s v="UNPLANNED"/>
    <x v="1"/>
    <d v="1899-12-30T18:30:00"/>
    <x v="1"/>
  </r>
  <r>
    <n v="3263"/>
    <x v="6"/>
    <n v="9115270649100"/>
    <x v="962"/>
    <d v="2022-02-08T00:15:00"/>
    <d v="1899-12-30T01:50:00"/>
    <n v="163.63636364848622"/>
    <s v="UNPLANNED"/>
    <x v="2"/>
    <d v="1899-12-30T22:25:00"/>
    <x v="2"/>
  </r>
  <r>
    <n v="3264"/>
    <x v="14"/>
    <n v="1115270067600"/>
    <x v="962"/>
    <d v="2022-02-08T00:15:00"/>
    <d v="1899-12-30T01:50:00"/>
    <n v="163.63636364848622"/>
    <s v="UNPLANNED"/>
    <x v="0"/>
    <d v="1899-12-30T22:25:00"/>
    <x v="2"/>
  </r>
  <r>
    <n v="3265"/>
    <x v="7"/>
    <n v="7115271759002"/>
    <x v="971"/>
    <d v="2022-02-08T03:40:00"/>
    <d v="1899-12-30T01:50:00"/>
    <n v="163.63636363290004"/>
    <s v="UNPLANNED"/>
    <x v="2"/>
    <d v="1899-12-30T01:50:00"/>
    <x v="2"/>
  </r>
  <r>
    <n v="3266"/>
    <x v="1"/>
    <n v="6115271733601"/>
    <x v="971"/>
    <d v="2022-02-08T03:40:00"/>
    <d v="1899-12-30T01:50:00"/>
    <n v="163.63636363290004"/>
    <s v="UNPLANNED"/>
    <x v="1"/>
    <d v="1899-12-30T01:50:00"/>
    <x v="2"/>
  </r>
  <r>
    <n v="3267"/>
    <x v="12"/>
    <n v="14115271672905"/>
    <x v="972"/>
    <d v="2022-02-08T13:05:00"/>
    <d v="1899-12-30T04:05:00"/>
    <n v="73.46938775440384"/>
    <s v="UNPLANNED"/>
    <x v="0"/>
    <d v="1899-12-30T09:00:00"/>
    <x v="0"/>
  </r>
  <r>
    <n v="3268"/>
    <x v="7"/>
    <n v="7115271783717"/>
    <x v="973"/>
    <d v="2022-02-08T13:05:00"/>
    <d v="1899-12-30T01:55:00"/>
    <n v="156.52173913360375"/>
    <s v="UNPLANNED"/>
    <x v="0"/>
    <d v="1899-12-30T11:10:00"/>
    <x v="0"/>
  </r>
  <r>
    <n v="3269"/>
    <x v="1"/>
    <n v="6115271704100"/>
    <x v="974"/>
    <d v="2022-02-08T13:05:00"/>
    <d v="1899-12-30T02:20:00"/>
    <n v="128.57142856608297"/>
    <s v="UNPLANNED"/>
    <x v="0"/>
    <d v="1899-12-30T10:45:00"/>
    <x v="0"/>
  </r>
  <r>
    <n v="3270"/>
    <x v="13"/>
    <n v="3115270386303"/>
    <x v="975"/>
    <d v="2022-02-08T13:05:00"/>
    <d v="1899-12-30T03:20:00"/>
    <n v="89.999999998952262"/>
    <s v="UNPLANNED"/>
    <x v="0"/>
    <d v="1899-12-30T09:45:00"/>
    <x v="0"/>
  </r>
  <r>
    <n v="3271"/>
    <x v="13"/>
    <n v="3115270350600"/>
    <x v="976"/>
    <d v="2022-02-08T16:00:00"/>
    <d v="1899-12-30T01:00:00"/>
    <n v="300.0000000174623"/>
    <s v="UNPLANNED"/>
    <x v="0"/>
    <d v="1899-12-30T15:00:00"/>
    <x v="1"/>
  </r>
  <r>
    <n v="3272"/>
    <x v="2"/>
    <n v="12115271565704"/>
    <x v="977"/>
    <d v="2022-02-08T18:35:00"/>
    <d v="1899-12-30T01:05:00"/>
    <n v="276.9230769131575"/>
    <s v="UNPLANNED"/>
    <x v="0"/>
    <d v="1899-12-30T17:30:00"/>
    <x v="1"/>
  </r>
  <r>
    <n v="3273"/>
    <x v="14"/>
    <n v="1115270064900"/>
    <x v="978"/>
    <d v="2022-02-09T00:00:01"/>
    <d v="1899-12-30T01:10:01"/>
    <n v="257.0816472210945"/>
    <s v="UNPLANNED"/>
    <x v="0"/>
    <d v="1899-12-30T22:50:00"/>
    <x v="2"/>
  </r>
  <r>
    <n v="3274"/>
    <x v="4"/>
    <n v="15115271775014"/>
    <x v="979"/>
    <d v="2022-02-09T14:45:00"/>
    <d v="1899-12-30T06:15:00"/>
    <n v="47.999999999105931"/>
    <s v="UNPLANNED"/>
    <x v="0"/>
    <d v="1899-12-30T08:30:00"/>
    <x v="0"/>
  </r>
  <r>
    <n v="3275"/>
    <x v="5"/>
    <n v="13115271591204"/>
    <x v="980"/>
    <d v="2022-02-09T14:45:00"/>
    <d v="1899-12-30T01:50:00"/>
    <n v="163.63636363290004"/>
    <s v="UNPLANNED"/>
    <x v="1"/>
    <d v="1899-12-30T12:55:00"/>
    <x v="0"/>
  </r>
  <r>
    <n v="3276"/>
    <x v="2"/>
    <n v="12115271571050"/>
    <x v="979"/>
    <d v="2022-02-09T14:45:00"/>
    <d v="1899-12-30T06:15:00"/>
    <n v="47.999999999105931"/>
    <s v="UNPLANNED"/>
    <x v="0"/>
    <d v="1899-12-30T08:30:00"/>
    <x v="0"/>
  </r>
  <r>
    <n v="3277"/>
    <x v="10"/>
    <n v="11115271542600"/>
    <x v="979"/>
    <d v="2022-02-09T14:45:00"/>
    <d v="1899-12-30T06:15:00"/>
    <n v="47.999999999105931"/>
    <s v="UNPLANNED"/>
    <x v="0"/>
    <d v="1899-12-30T08:30:00"/>
    <x v="0"/>
  </r>
  <r>
    <n v="3278"/>
    <x v="1"/>
    <n v="6115271729600"/>
    <x v="981"/>
    <d v="2022-02-09T14:45:00"/>
    <d v="1899-12-30T04:00:00"/>
    <n v="74.999999997817213"/>
    <s v="UNPLANNED"/>
    <x v="1"/>
    <d v="1899-12-30T10:45:00"/>
    <x v="0"/>
  </r>
  <r>
    <n v="3279"/>
    <x v="13"/>
    <n v="3115270366700"/>
    <x v="979"/>
    <d v="2022-02-09T14:45:00"/>
    <d v="1899-12-30T06:15:00"/>
    <n v="47.999999999105931"/>
    <s v="UNPLANNED"/>
    <x v="1"/>
    <d v="1899-12-30T08:30:00"/>
    <x v="0"/>
  </r>
  <r>
    <n v="3280"/>
    <x v="14"/>
    <n v="1115270088300"/>
    <x v="979"/>
    <d v="2022-02-09T14:45:00"/>
    <d v="1899-12-30T06:15:00"/>
    <n v="47.999999999105931"/>
    <s v="UNPLANNED"/>
    <x v="1"/>
    <d v="1899-12-30T08:30:00"/>
    <x v="0"/>
  </r>
  <r>
    <n v="3281"/>
    <x v="13"/>
    <n v="3115270366706"/>
    <x v="982"/>
    <d v="2022-02-09T17:40:00"/>
    <d v="1899-12-30T01:50:00"/>
    <n v="163.63636363290004"/>
    <s v="UNPLANNED"/>
    <x v="2"/>
    <d v="1899-12-30T15:50:00"/>
    <x v="1"/>
  </r>
  <r>
    <n v="3282"/>
    <x v="9"/>
    <n v="2115270229900"/>
    <x v="982"/>
    <d v="2022-02-09T17:40:00"/>
    <d v="1899-12-30T01:50:00"/>
    <n v="163.63636363290004"/>
    <s v="UNPLANNED"/>
    <x v="2"/>
    <d v="1899-12-30T15:50:00"/>
    <x v="1"/>
  </r>
  <r>
    <n v="3283"/>
    <x v="10"/>
    <n v="11115271542607"/>
    <x v="983"/>
    <d v="2022-02-09T21:30:00"/>
    <d v="1899-12-30T00:55:00"/>
    <n v="327.27272726580009"/>
    <s v="UNPLANNED"/>
    <x v="1"/>
    <d v="1899-12-30T20:35:00"/>
    <x v="1"/>
  </r>
  <r>
    <n v="3284"/>
    <x v="11"/>
    <n v="10115271964300"/>
    <x v="983"/>
    <d v="2022-02-09T21:30:00"/>
    <d v="1899-12-30T00:55:00"/>
    <n v="327.27272726580009"/>
    <s v="UNPLANNED"/>
    <x v="0"/>
    <d v="1899-12-30T20:35:00"/>
    <x v="1"/>
  </r>
  <r>
    <n v="3285"/>
    <x v="11"/>
    <n v="10115271454100"/>
    <x v="984"/>
    <d v="2022-02-09T21:30:00"/>
    <d v="1899-12-30T02:35:00"/>
    <n v="116.1290322563201"/>
    <s v="UNPLANNED"/>
    <x v="1"/>
    <d v="1899-12-30T18:55:00"/>
    <x v="1"/>
  </r>
  <r>
    <n v="3286"/>
    <x v="12"/>
    <n v="14115271672406"/>
    <x v="985"/>
    <d v="2022-02-10T00:15:00"/>
    <d v="1899-12-30T01:45:00"/>
    <n v="171.42857143427341"/>
    <s v="UNPLANNED"/>
    <x v="0"/>
    <d v="1899-12-30T22:30:00"/>
    <x v="2"/>
  </r>
  <r>
    <n v="3287"/>
    <x v="8"/>
    <n v="4115270865900"/>
    <x v="985"/>
    <d v="2022-02-10T00:15:00"/>
    <d v="1899-12-30T01:45:00"/>
    <n v="171.42857143427341"/>
    <s v="UNPLANNED"/>
    <x v="3"/>
    <d v="1899-12-30T22:30:00"/>
    <x v="2"/>
  </r>
  <r>
    <n v="3288"/>
    <x v="7"/>
    <n v="7115271757200"/>
    <x v="986"/>
    <d v="2022-02-10T02:25:00"/>
    <d v="1899-12-30T01:15:00"/>
    <n v="239.99999998882413"/>
    <s v="UNPLANNED"/>
    <x v="0"/>
    <d v="1899-12-30T01:10:00"/>
    <x v="2"/>
  </r>
  <r>
    <n v="3289"/>
    <x v="1"/>
    <n v="6115271741307"/>
    <x v="986"/>
    <d v="2022-02-10T02:25:00"/>
    <d v="1899-12-30T01:15:00"/>
    <n v="239.99999998882413"/>
    <s v="UNPLANNED"/>
    <x v="1"/>
    <d v="1899-12-30T01:10:00"/>
    <x v="2"/>
  </r>
  <r>
    <n v="3290"/>
    <x v="4"/>
    <n v="15115271758105"/>
    <x v="987"/>
    <d v="2022-02-10T13:45:00"/>
    <d v="1899-12-30T02:00:00"/>
    <n v="150.00000000873115"/>
    <s v="UNPLANNED"/>
    <x v="0"/>
    <d v="1899-12-30T11:45:00"/>
    <x v="0"/>
  </r>
  <r>
    <n v="3291"/>
    <x v="2"/>
    <n v="12115271573281"/>
    <x v="987"/>
    <d v="2022-02-10T13:45:00"/>
    <d v="1899-12-30T02:00:00"/>
    <n v="150.00000000873115"/>
    <s v="UNPLANNED"/>
    <x v="2"/>
    <d v="1899-12-30T11:45:00"/>
    <x v="0"/>
  </r>
  <r>
    <n v="3292"/>
    <x v="10"/>
    <n v="11115271526104"/>
    <x v="988"/>
    <d v="2022-02-10T13:45:00"/>
    <d v="1899-12-30T04:10:00"/>
    <n v="72.000000000670553"/>
    <s v="UNPLANNED"/>
    <x v="2"/>
    <d v="1899-12-30T09:35:00"/>
    <x v="0"/>
  </r>
  <r>
    <n v="3293"/>
    <x v="1"/>
    <n v="6115271723029"/>
    <x v="989"/>
    <d v="2022-02-10T13:45:00"/>
    <d v="1899-12-30T05:00:00"/>
    <n v="60.000000001396984"/>
    <s v="UNPLANNED"/>
    <x v="1"/>
    <d v="1899-12-30T08:45:00"/>
    <x v="0"/>
  </r>
  <r>
    <n v="3294"/>
    <x v="1"/>
    <n v="6115271698102"/>
    <x v="989"/>
    <d v="2022-02-10T13:45:00"/>
    <d v="1899-12-30T05:00:00"/>
    <n v="60.000000001396984"/>
    <s v="UNPLANNED"/>
    <x v="1"/>
    <d v="1899-12-30T08:45:00"/>
    <x v="0"/>
  </r>
  <r>
    <n v="3295"/>
    <x v="8"/>
    <n v="4115270826700"/>
    <x v="990"/>
    <d v="2022-02-10T13:45:00"/>
    <d v="1899-12-30T03:45:00"/>
    <n v="80"/>
    <s v="UNPLANNED"/>
    <x v="1"/>
    <d v="1899-12-30T10:00:00"/>
    <x v="0"/>
  </r>
  <r>
    <n v="3296"/>
    <x v="1"/>
    <n v="6115271753111"/>
    <x v="991"/>
    <d v="2022-02-10T17:15:00"/>
    <d v="1899-12-30T01:20:00"/>
    <n v="225.00000000327418"/>
    <s v="UNPLANNED"/>
    <x v="0"/>
    <d v="1899-12-30T15:55:00"/>
    <x v="1"/>
  </r>
  <r>
    <n v="3297"/>
    <x v="13"/>
    <n v="3115270341200"/>
    <x v="991"/>
    <d v="2022-02-10T17:15:00"/>
    <d v="1899-12-30T01:20:00"/>
    <n v="225.00000000327418"/>
    <s v="UNPLANNED"/>
    <x v="1"/>
    <d v="1899-12-30T15:55:00"/>
    <x v="1"/>
  </r>
  <r>
    <n v="3298"/>
    <x v="2"/>
    <n v="12115271560121"/>
    <x v="992"/>
    <d v="2022-02-10T18:30:00"/>
    <d v="1899-12-30T00:30:00"/>
    <n v="599.99999993015081"/>
    <s v="UNPLANNED"/>
    <x v="1"/>
    <d v="1899-12-30T18:00:00"/>
    <x v="1"/>
  </r>
  <r>
    <n v="3299"/>
    <x v="11"/>
    <n v="10115271958401"/>
    <x v="993"/>
    <d v="2022-02-10T21:30:00"/>
    <d v="1899-12-30T01:30:00"/>
    <n v="200"/>
    <s v="UNPLANNED"/>
    <x v="2"/>
    <d v="1899-12-30T20:00:00"/>
    <x v="1"/>
  </r>
  <r>
    <n v="3300"/>
    <x v="5"/>
    <n v="13115271590901"/>
    <x v="994"/>
    <d v="2022-02-11T01:35:00"/>
    <d v="1899-12-30T01:55:00"/>
    <n v="156.52173913360375"/>
    <s v="UNPLANNED"/>
    <x v="1"/>
    <d v="1899-12-30T23:40:00"/>
    <x v="2"/>
  </r>
  <r>
    <n v="3301"/>
    <x v="14"/>
    <n v="1115270062500"/>
    <x v="994"/>
    <d v="2022-02-11T01:35:00"/>
    <d v="1899-12-30T01:55:00"/>
    <n v="156.52173913360375"/>
    <s v="UNPLANNED"/>
    <x v="0"/>
    <d v="1899-12-30T23:40:00"/>
    <x v="2"/>
  </r>
  <r>
    <n v="3302"/>
    <x v="3"/>
    <n v="8115271810104"/>
    <x v="995"/>
    <d v="2022-02-11T03:20:00"/>
    <d v="1899-12-30T01:05:00"/>
    <n v="276.9230769131575"/>
    <s v="UNPLANNED"/>
    <x v="1"/>
    <d v="1899-12-30T02:15:00"/>
    <x v="2"/>
  </r>
  <r>
    <n v="3303"/>
    <x v="5"/>
    <n v="13115271591501"/>
    <x v="996"/>
    <d v="2022-02-11T12:25:00"/>
    <d v="1899-12-30T02:58:00"/>
    <n v="101.12359550932165"/>
    <s v="UNPLANNED"/>
    <x v="6"/>
    <d v="1899-12-30T09:27:00"/>
    <x v="0"/>
  </r>
  <r>
    <n v="3304"/>
    <x v="2"/>
    <n v="12115271567358"/>
    <x v="997"/>
    <d v="2022-02-11T12:25:00"/>
    <d v="1899-12-30T01:50:00"/>
    <n v="163.63636363290004"/>
    <s v="UNPLANNED"/>
    <x v="1"/>
    <d v="1899-12-30T10:35:00"/>
    <x v="0"/>
  </r>
  <r>
    <n v="3305"/>
    <x v="14"/>
    <n v="1115270088900"/>
    <x v="996"/>
    <d v="2022-02-11T12:25:00"/>
    <d v="1899-12-30T02:58:00"/>
    <n v="101.12359550932165"/>
    <s v="UNPLANNED"/>
    <x v="1"/>
    <d v="1899-12-30T09:27:00"/>
    <x v="0"/>
  </r>
  <r>
    <n v="3306"/>
    <x v="10"/>
    <n v="11115271543300"/>
    <x v="998"/>
    <d v="2022-02-11T13:45:00"/>
    <d v="1899-12-30T00:45:00"/>
    <n v="400"/>
    <s v="UNPLANNED"/>
    <x v="1"/>
    <d v="1899-12-30T13:00:00"/>
    <x v="0"/>
  </r>
  <r>
    <n v="3307"/>
    <x v="12"/>
    <n v="14115271672501"/>
    <x v="999"/>
    <d v="2022-02-11T18:20:00"/>
    <d v="1899-12-30T01:30:00"/>
    <n v="200"/>
    <s v="UNPLANNED"/>
    <x v="1"/>
    <d v="1899-12-30T16:50:00"/>
    <x v="1"/>
  </r>
  <r>
    <n v="3308"/>
    <x v="14"/>
    <n v="1115270006800"/>
    <x v="999"/>
    <d v="2022-02-11T18:20:00"/>
    <d v="1899-12-30T01:30:00"/>
    <n v="200"/>
    <s v="UNPLANNED"/>
    <x v="0"/>
    <d v="1899-12-30T16:50:00"/>
    <x v="1"/>
  </r>
  <r>
    <n v="3309"/>
    <x v="12"/>
    <n v="14115271673113"/>
    <x v="1000"/>
    <d v="2022-02-11T20:15:00"/>
    <d v="1899-12-30T01:20:00"/>
    <n v="225.00000000327418"/>
    <s v="UNPLANNED"/>
    <x v="1"/>
    <d v="1899-12-30T18:55:00"/>
    <x v="1"/>
  </r>
  <r>
    <n v="3310"/>
    <x v="2"/>
    <n v="12115271573411"/>
    <x v="1000"/>
    <d v="2022-02-11T20:15:00"/>
    <d v="1899-12-30T01:20:00"/>
    <n v="225.00000000327418"/>
    <s v="UNPLANNED"/>
    <x v="0"/>
    <d v="1899-12-30T18:55:00"/>
    <x v="1"/>
  </r>
  <r>
    <n v="3311"/>
    <x v="10"/>
    <n v="11115271543600"/>
    <x v="1000"/>
    <d v="2022-02-11T20:15:00"/>
    <d v="1899-12-30T01:20:00"/>
    <n v="225.00000000327418"/>
    <s v="UNPLANNED"/>
    <x v="1"/>
    <d v="1899-12-30T18:55:00"/>
    <x v="1"/>
  </r>
  <r>
    <n v="3312"/>
    <x v="4"/>
    <n v="15115271743401"/>
    <x v="1001"/>
    <d v="2022-02-12T00:52:00"/>
    <d v="1899-12-30T01:32:00"/>
    <n v="195.65217389917927"/>
    <s v="UNPLANNED"/>
    <x v="0"/>
    <d v="1899-12-30T23:20:00"/>
    <x v="2"/>
  </r>
  <r>
    <n v="3313"/>
    <x v="10"/>
    <n v="11115271559510"/>
    <x v="1002"/>
    <d v="2022-02-12T02:35:00"/>
    <d v="1899-12-30T01:05:00"/>
    <n v="276.9230769131575"/>
    <s v="UNPLANNED"/>
    <x v="1"/>
    <d v="1899-12-30T01:30:00"/>
    <x v="2"/>
  </r>
  <r>
    <n v="3314"/>
    <x v="13"/>
    <n v="3115270308800"/>
    <x v="1002"/>
    <d v="2022-02-12T02:35:00"/>
    <d v="1899-12-30T01:05:00"/>
    <n v="276.9230769131575"/>
    <s v="UNPLANNED"/>
    <x v="0"/>
    <d v="1899-12-30T01:30:00"/>
    <x v="2"/>
  </r>
  <r>
    <n v="3315"/>
    <x v="12"/>
    <n v="14115271672500"/>
    <x v="1003"/>
    <d v="2022-02-12T13:45:00"/>
    <d v="1899-12-30T03:45:00"/>
    <n v="80"/>
    <s v="UNPLANNED"/>
    <x v="1"/>
    <d v="1899-12-30T10:00:00"/>
    <x v="0"/>
  </r>
  <r>
    <n v="3316"/>
    <x v="5"/>
    <n v="13115271590501"/>
    <x v="1003"/>
    <d v="2022-02-12T13:45:00"/>
    <d v="1899-12-30T03:45:00"/>
    <n v="80"/>
    <s v="UNPLANNED"/>
    <x v="1"/>
    <d v="1899-12-30T10:00:00"/>
    <x v="0"/>
  </r>
  <r>
    <n v="3317"/>
    <x v="11"/>
    <n v="10115271964800"/>
    <x v="1003"/>
    <d v="2022-02-12T13:45:00"/>
    <d v="1899-12-30T03:45:00"/>
    <n v="80"/>
    <s v="UNPLANNED"/>
    <x v="1"/>
    <d v="1899-12-30T10:00:00"/>
    <x v="0"/>
  </r>
  <r>
    <n v="3318"/>
    <x v="14"/>
    <n v="1115270067800"/>
    <x v="1003"/>
    <d v="2022-02-12T13:45:00"/>
    <d v="1899-12-30T03:45:00"/>
    <n v="80"/>
    <s v="UNPLANNED"/>
    <x v="1"/>
    <d v="1899-12-30T10:00:00"/>
    <x v="0"/>
  </r>
  <r>
    <n v="3319"/>
    <x v="5"/>
    <n v="13115271610103"/>
    <x v="1004"/>
    <d v="2022-02-12T17:30:00"/>
    <d v="1899-12-30T02:02:00"/>
    <n v="147.54098360712052"/>
    <s v="UNPLANNED"/>
    <x v="1"/>
    <d v="1899-12-30T15:28:00"/>
    <x v="1"/>
  </r>
  <r>
    <n v="3320"/>
    <x v="10"/>
    <n v="11115271508700"/>
    <x v="1004"/>
    <d v="2022-02-12T17:30:00"/>
    <d v="1899-12-30T02:02:00"/>
    <n v="147.54098360712052"/>
    <s v="UNPLANNED"/>
    <x v="2"/>
    <d v="1899-12-30T15:28:00"/>
    <x v="1"/>
  </r>
  <r>
    <n v="3321"/>
    <x v="11"/>
    <n v="10115271410801"/>
    <x v="1005"/>
    <d v="2022-02-12T17:30:00"/>
    <d v="1899-12-30T00:30:00"/>
    <n v="600.00000013969839"/>
    <s v="UNPLANNED"/>
    <x v="1"/>
    <d v="1899-12-30T17:00:00"/>
    <x v="1"/>
  </r>
  <r>
    <n v="3322"/>
    <x v="11"/>
    <n v="10115271416500"/>
    <x v="1006"/>
    <d v="2022-02-12T19:35:00"/>
    <d v="1899-12-30T01:30:00"/>
    <n v="200"/>
    <s v="UNPLANNED"/>
    <x v="1"/>
    <d v="1899-12-30T18:05:00"/>
    <x v="1"/>
  </r>
  <r>
    <n v="3323"/>
    <x v="14"/>
    <n v="1115270084600"/>
    <x v="1006"/>
    <d v="2022-02-12T19:35:00"/>
    <d v="1899-12-30T01:30:00"/>
    <n v="200"/>
    <s v="UNPLANNED"/>
    <x v="1"/>
    <d v="1899-12-30T18:05:00"/>
    <x v="1"/>
  </r>
  <r>
    <n v="3324"/>
    <x v="4"/>
    <n v="15115271775014"/>
    <x v="1007"/>
    <d v="2022-02-13T13:57:00"/>
    <d v="1899-12-30T04:37:00"/>
    <n v="64.981949458046799"/>
    <s v="UNPLANNED"/>
    <x v="1"/>
    <d v="1899-12-30T09:20:00"/>
    <x v="0"/>
  </r>
  <r>
    <n v="3325"/>
    <x v="5"/>
    <n v="13115271590600"/>
    <x v="1007"/>
    <d v="2022-02-13T13:57:00"/>
    <d v="1899-12-30T04:37:00"/>
    <n v="64.981949458046799"/>
    <s v="UNPLANNED"/>
    <x v="0"/>
    <d v="1899-12-30T09:20:00"/>
    <x v="0"/>
  </r>
  <r>
    <n v="3326"/>
    <x v="10"/>
    <n v="11115271542607"/>
    <x v="1008"/>
    <d v="2022-02-13T13:57:00"/>
    <d v="1899-12-30T01:37:00"/>
    <n v="185.56701030571497"/>
    <s v="UNPLANNED"/>
    <x v="0"/>
    <d v="1899-12-30T12:20:00"/>
    <x v="0"/>
  </r>
  <r>
    <n v="3327"/>
    <x v="10"/>
    <n v="11115271542606"/>
    <x v="1007"/>
    <d v="2022-02-13T13:57:00"/>
    <d v="1899-12-30T04:37:00"/>
    <n v="64.981949458046799"/>
    <s v="UNPLANNED"/>
    <x v="0"/>
    <d v="1899-12-30T09:20:00"/>
    <x v="0"/>
  </r>
  <r>
    <n v="3328"/>
    <x v="7"/>
    <n v="7115271799226"/>
    <x v="1007"/>
    <d v="2022-02-13T13:57:00"/>
    <d v="1899-12-30T04:37:00"/>
    <n v="64.981949458046799"/>
    <s v="UNPLANNED"/>
    <x v="0"/>
    <d v="1899-12-30T09:20:00"/>
    <x v="0"/>
  </r>
  <r>
    <n v="3329"/>
    <x v="7"/>
    <n v="7115271757500"/>
    <x v="1008"/>
    <d v="2022-02-13T13:57:00"/>
    <d v="1899-12-30T01:37:00"/>
    <n v="185.56701030571497"/>
    <s v="UNPLANNED"/>
    <x v="1"/>
    <d v="1899-12-30T12:20:00"/>
    <x v="0"/>
  </r>
  <r>
    <n v="3330"/>
    <x v="1"/>
    <n v="6115271741400"/>
    <x v="1007"/>
    <d v="2022-02-13T13:57:00"/>
    <d v="1899-12-30T04:37:00"/>
    <n v="64.981949458046799"/>
    <s v="UNPLANNED"/>
    <x v="0"/>
    <d v="1899-12-30T09:20:00"/>
    <x v="0"/>
  </r>
  <r>
    <n v="3331"/>
    <x v="10"/>
    <n v="11115271508900"/>
    <x v="1009"/>
    <d v="2022-02-13T15:00:00"/>
    <d v="1899-12-30T13:45:00"/>
    <n v="21.818181818274184"/>
    <s v="UNPLANNED"/>
    <x v="0"/>
    <d v="1899-12-30T01:15:00"/>
    <x v="2"/>
  </r>
  <r>
    <n v="3332"/>
    <x v="7"/>
    <n v="7115271768100"/>
    <x v="1010"/>
    <d v="2022-02-13T18:00:00"/>
    <d v="1899-12-30T03:45:00"/>
    <n v="80"/>
    <s v="UNPLANNED"/>
    <x v="0"/>
    <d v="1899-12-30T14:15:00"/>
    <x v="1"/>
  </r>
  <r>
    <n v="3333"/>
    <x v="1"/>
    <n v="6115271736304"/>
    <x v="1010"/>
    <d v="2022-02-13T18:00:00"/>
    <d v="1899-12-30T03:45:00"/>
    <n v="80"/>
    <s v="UNPLANNED"/>
    <x v="0"/>
    <d v="1899-12-30T14:15:00"/>
    <x v="1"/>
  </r>
  <r>
    <n v="3334"/>
    <x v="13"/>
    <n v="3115270341100"/>
    <x v="1011"/>
    <d v="2022-02-13T18:00:00"/>
    <d v="1899-12-30T02:30:00"/>
    <n v="120.00000000279397"/>
    <s v="UNPLANNED"/>
    <x v="0"/>
    <d v="1899-12-30T15:30:00"/>
    <x v="1"/>
  </r>
  <r>
    <n v="3335"/>
    <x v="7"/>
    <n v="7115271768300"/>
    <x v="1012"/>
    <d v="2022-02-13T20:50:00"/>
    <d v="1899-12-30T01:10:00"/>
    <n v="257.14285715141011"/>
    <s v="UNPLANNED"/>
    <x v="0"/>
    <d v="1899-12-30T19:40:00"/>
    <x v="1"/>
  </r>
  <r>
    <n v="3336"/>
    <x v="12"/>
    <n v="14115271672409"/>
    <x v="1013"/>
    <d v="2022-02-14T00:50:00"/>
    <d v="1899-12-30T01:10:00"/>
    <n v="257.14285715141011"/>
    <s v="UNPLANNED"/>
    <x v="0"/>
    <d v="1899-12-30T23:40:00"/>
    <x v="2"/>
  </r>
  <r>
    <n v="3337"/>
    <x v="7"/>
    <n v="7115271768300"/>
    <x v="1014"/>
    <d v="2022-02-14T02:10:00"/>
    <d v="1899-12-30T00:50:00"/>
    <n v="359.99999995809048"/>
    <s v="UNPLANNED"/>
    <x v="2"/>
    <d v="1899-12-30T01:20:00"/>
    <x v="2"/>
  </r>
  <r>
    <n v="3338"/>
    <x v="1"/>
    <n v="6115271723035"/>
    <x v="1015"/>
    <d v="2022-02-14T11:50:00"/>
    <d v="1899-12-30T01:20:00"/>
    <n v="225.00000000327418"/>
    <s v="UNPLANNED"/>
    <x v="0"/>
    <d v="1899-12-30T10:30:00"/>
    <x v="0"/>
  </r>
  <r>
    <n v="3339"/>
    <x v="10"/>
    <n v="11115271558401"/>
    <x v="1016"/>
    <d v="2022-02-14T13:40:00"/>
    <d v="1899-12-30T01:55:00"/>
    <n v="156.52173913360375"/>
    <s v="UNPLANNED"/>
    <x v="0"/>
    <d v="1899-12-30T11:45:00"/>
    <x v="0"/>
  </r>
  <r>
    <n v="3340"/>
    <x v="11"/>
    <n v="10115271454402"/>
    <x v="1016"/>
    <d v="2022-02-14T13:40:00"/>
    <d v="1899-12-30T01:55:00"/>
    <n v="156.52173913360375"/>
    <s v="UNPLANNED"/>
    <x v="0"/>
    <d v="1899-12-30T11:45:00"/>
    <x v="0"/>
  </r>
  <r>
    <n v="3341"/>
    <x v="1"/>
    <n v="6115271715700"/>
    <x v="1016"/>
    <d v="2022-02-14T13:40:00"/>
    <d v="1899-12-30T01:55:00"/>
    <n v="156.52173913360375"/>
    <s v="UNPLANNED"/>
    <x v="0"/>
    <d v="1899-12-30T11:45:00"/>
    <x v="0"/>
  </r>
  <r>
    <n v="3342"/>
    <x v="9"/>
    <n v="2115270229700"/>
    <x v="1016"/>
    <d v="2022-02-14T13:40:00"/>
    <d v="1899-12-30T01:55:00"/>
    <n v="156.52173913360375"/>
    <s v="UNPLANNED"/>
    <x v="0"/>
    <d v="1899-12-30T11:45:00"/>
    <x v="0"/>
  </r>
  <r>
    <n v="3343"/>
    <x v="12"/>
    <n v="14115271674712"/>
    <x v="1017"/>
    <d v="2022-02-14T21:30:00"/>
    <d v="1899-12-30T03:15:00"/>
    <n v="92.307692304385839"/>
    <s v="UNPLANNED"/>
    <x v="0"/>
    <d v="1899-12-30T18:15:00"/>
    <x v="1"/>
  </r>
  <r>
    <n v="3344"/>
    <x v="10"/>
    <n v="11115271516100"/>
    <x v="1018"/>
    <d v="2022-02-14T21:30:00"/>
    <d v="1899-12-30T02:30:00"/>
    <n v="119.99999999441206"/>
    <s v="UNPLANNED"/>
    <x v="0"/>
    <d v="1899-12-30T19:00:00"/>
    <x v="1"/>
  </r>
  <r>
    <n v="3345"/>
    <x v="11"/>
    <n v="10115271461501"/>
    <x v="1017"/>
    <d v="2022-02-14T21:30:00"/>
    <d v="1899-12-30T03:15:00"/>
    <n v="92.307692304385839"/>
    <s v="UNPLANNED"/>
    <x v="0"/>
    <d v="1899-12-30T18:15:00"/>
    <x v="1"/>
  </r>
  <r>
    <n v="3346"/>
    <x v="11"/>
    <n v="10115271460609"/>
    <x v="1019"/>
    <d v="2022-02-14T21:30:00"/>
    <d v="1899-12-30T04:00:00"/>
    <n v="74.999999997817213"/>
    <s v="UNPLANNED"/>
    <x v="0"/>
    <d v="1899-12-30T17:30:00"/>
    <x v="1"/>
  </r>
  <r>
    <n v="3347"/>
    <x v="6"/>
    <n v="9115271907600"/>
    <x v="1019"/>
    <d v="2022-02-14T21:30:00"/>
    <d v="1899-12-30T04:00:00"/>
    <n v="74.999999997817213"/>
    <s v="UNPLANNED"/>
    <x v="1"/>
    <d v="1899-12-30T17:30:00"/>
    <x v="1"/>
  </r>
  <r>
    <n v="3348"/>
    <x v="7"/>
    <n v="7115271757605"/>
    <x v="1020"/>
    <d v="2022-02-14T21:30:00"/>
    <d v="1899-12-30T02:00:00"/>
    <n v="149.99999999563443"/>
    <s v="UNPLANNED"/>
    <x v="2"/>
    <d v="1899-12-30T19:30:00"/>
    <x v="1"/>
  </r>
  <r>
    <n v="3349"/>
    <x v="1"/>
    <n v="6115271750934"/>
    <x v="1021"/>
    <d v="2022-02-14T21:30:00"/>
    <d v="1899-12-30T03:30:00"/>
    <n v="85.714285712860217"/>
    <s v="UNPLANNED"/>
    <x v="0"/>
    <d v="1899-12-30T18:00:00"/>
    <x v="1"/>
  </r>
  <r>
    <n v="3350"/>
    <x v="8"/>
    <n v="4115270827000"/>
    <x v="1022"/>
    <d v="2022-02-14T21:30:00"/>
    <d v="1899-12-30T02:15:00"/>
    <n v="133.33333333333331"/>
    <s v="UNPLANNED"/>
    <x v="0"/>
    <d v="1899-12-30T19:15:00"/>
    <x v="1"/>
  </r>
  <r>
    <n v="3351"/>
    <x v="13"/>
    <n v="3115270396300"/>
    <x v="1023"/>
    <d v="2022-02-14T21:30:00"/>
    <d v="1899-12-30T01:45:00"/>
    <n v="171.42857141716746"/>
    <s v="UNPLANNED"/>
    <x v="0"/>
    <d v="1899-12-30T19:45:00"/>
    <x v="1"/>
  </r>
  <r>
    <n v="3352"/>
    <x v="13"/>
    <n v="3115270366901"/>
    <x v="1024"/>
    <d v="2022-02-14T21:30:00"/>
    <d v="1899-12-30T05:30:00"/>
    <n v="54.545454544300007"/>
    <s v="UNPLANNED"/>
    <x v="1"/>
    <d v="1899-12-30T16:00:00"/>
    <x v="1"/>
  </r>
  <r>
    <n v="3353"/>
    <x v="13"/>
    <n v="3115270366900"/>
    <x v="1017"/>
    <d v="2022-02-14T21:30:00"/>
    <d v="1899-12-30T03:15:00"/>
    <n v="92.307692304385839"/>
    <s v="UNPLANNED"/>
    <x v="0"/>
    <d v="1899-12-30T18:15:00"/>
    <x v="1"/>
  </r>
  <r>
    <n v="3354"/>
    <x v="13"/>
    <n v="3115270306801"/>
    <x v="1017"/>
    <d v="2022-02-14T21:30:00"/>
    <d v="1899-12-30T03:15:00"/>
    <n v="92.307692304385839"/>
    <s v="UNPLANNED"/>
    <x v="0"/>
    <d v="1899-12-30T18:15:00"/>
    <x v="1"/>
  </r>
  <r>
    <n v="3355"/>
    <x v="13"/>
    <n v="3115270306600"/>
    <x v="1017"/>
    <d v="2022-02-14T21:30:00"/>
    <d v="1899-12-30T03:15:00"/>
    <n v="92.307692304385839"/>
    <s v="UNPLANNED"/>
    <x v="0"/>
    <d v="1899-12-30T18:15:00"/>
    <x v="1"/>
  </r>
  <r>
    <n v="3356"/>
    <x v="5"/>
    <n v="13115271591805"/>
    <x v="1025"/>
    <d v="2022-02-15T03:40:00"/>
    <d v="1899-12-30T03:10:00"/>
    <n v="94.736842104682694"/>
    <s v="UNPLANNED"/>
    <x v="1"/>
    <d v="1899-12-30T00:30:00"/>
    <x v="2"/>
  </r>
  <r>
    <n v="3357"/>
    <x v="2"/>
    <n v="12115271574612"/>
    <x v="1025"/>
    <d v="2022-02-15T03:40:00"/>
    <d v="1899-12-30T03:10:00"/>
    <n v="94.736842104682694"/>
    <s v="UNPLANNED"/>
    <x v="0"/>
    <d v="1899-12-30T00:30:00"/>
    <x v="2"/>
  </r>
  <r>
    <n v="3358"/>
    <x v="13"/>
    <n v="3115270360200"/>
    <x v="1025"/>
    <d v="2022-02-15T03:40:00"/>
    <d v="1899-12-30T03:10:00"/>
    <n v="94.736842104682694"/>
    <s v="UNPLANNED"/>
    <x v="3"/>
    <d v="1899-12-30T00:30:00"/>
    <x v="2"/>
  </r>
  <r>
    <n v="3359"/>
    <x v="13"/>
    <n v="3115270341200"/>
    <x v="1025"/>
    <d v="2022-02-15T03:40:00"/>
    <d v="1899-12-30T03:10:00"/>
    <n v="94.736842104682694"/>
    <s v="UNPLANNED"/>
    <x v="0"/>
    <d v="1899-12-30T00:30:00"/>
    <x v="2"/>
  </r>
  <r>
    <n v="3360"/>
    <x v="14"/>
    <n v="1115270101600"/>
    <x v="1025"/>
    <d v="2022-02-15T03:40:00"/>
    <d v="1899-12-30T03:10:00"/>
    <n v="94.736842104682694"/>
    <s v="UNPLANNED"/>
    <x v="0"/>
    <d v="1899-12-30T00:30:00"/>
    <x v="2"/>
  </r>
  <r>
    <n v="3361"/>
    <x v="14"/>
    <n v="1115270070702"/>
    <x v="1025"/>
    <d v="2022-02-15T03:40:00"/>
    <d v="1899-12-30T03:10:00"/>
    <n v="94.736842104682694"/>
    <s v="UNPLANNED"/>
    <x v="0"/>
    <d v="1899-12-30T00:30:00"/>
    <x v="2"/>
  </r>
  <r>
    <n v="3362"/>
    <x v="12"/>
    <n v="14115271672701"/>
    <x v="1026"/>
    <d v="2022-02-15T16:00:00"/>
    <d v="1899-12-30T05:40:00"/>
    <n v="52.941176470950779"/>
    <s v="UNPLANNED"/>
    <x v="6"/>
    <d v="1899-12-30T10:20:00"/>
    <x v="0"/>
  </r>
  <r>
    <n v="3363"/>
    <x v="12"/>
    <n v="14115271672701"/>
    <x v="1027"/>
    <d v="2022-02-15T16:00:00"/>
    <d v="1899-12-30T03:45:00"/>
    <n v="80"/>
    <s v="UNPLANNED"/>
    <x v="0"/>
    <d v="1899-12-30T12:15:00"/>
    <x v="0"/>
  </r>
  <r>
    <n v="3364"/>
    <x v="5"/>
    <n v="13115271634401"/>
    <x v="1028"/>
    <d v="2022-02-15T16:00:00"/>
    <d v="1899-12-30T05:00:00"/>
    <n v="60.000000001396984"/>
    <s v="UNPLANNED"/>
    <x v="3"/>
    <d v="1899-12-30T11:00:00"/>
    <x v="0"/>
  </r>
  <r>
    <n v="3365"/>
    <x v="10"/>
    <n v="11115271543300"/>
    <x v="1029"/>
    <d v="2022-02-15T16:00:00"/>
    <d v="1899-12-30T04:45:00"/>
    <n v="63.157894737616061"/>
    <s v="UNPLANNED"/>
    <x v="1"/>
    <d v="1899-12-30T11:15:00"/>
    <x v="0"/>
  </r>
  <r>
    <n v="3366"/>
    <x v="3"/>
    <n v="8115271810106"/>
    <x v="1026"/>
    <d v="2022-02-15T16:00:00"/>
    <d v="1899-12-30T05:40:00"/>
    <n v="52.941176470950779"/>
    <s v="UNPLANNED"/>
    <x v="0"/>
    <d v="1899-12-30T10:20:00"/>
    <x v="0"/>
  </r>
  <r>
    <n v="3367"/>
    <x v="7"/>
    <n v="7115271768200"/>
    <x v="1026"/>
    <d v="2022-02-15T16:00:00"/>
    <d v="1899-12-30T05:40:00"/>
    <n v="52.941176470950779"/>
    <s v="UNPLANNED"/>
    <x v="0"/>
    <d v="1899-12-30T10:20:00"/>
    <x v="0"/>
  </r>
  <r>
    <n v="3368"/>
    <x v="1"/>
    <n v="6115271741307"/>
    <x v="1027"/>
    <d v="2022-02-15T16:00:00"/>
    <d v="1899-12-30T03:45:00"/>
    <n v="80"/>
    <s v="UNPLANNED"/>
    <x v="0"/>
    <d v="1899-12-30T12:15:00"/>
    <x v="0"/>
  </r>
  <r>
    <n v="3369"/>
    <x v="13"/>
    <n v="3115270360705"/>
    <x v="1026"/>
    <d v="2022-02-15T16:00:00"/>
    <d v="1899-12-30T05:40:00"/>
    <n v="52.941176470950779"/>
    <s v="UNPLANNED"/>
    <x v="0"/>
    <d v="1899-12-30T10:20:00"/>
    <x v="0"/>
  </r>
  <r>
    <n v="3370"/>
    <x v="2"/>
    <n v="12115271560119"/>
    <x v="1030"/>
    <d v="2022-02-15T21:30:00"/>
    <d v="1899-12-30T05:00:00"/>
    <n v="59.999999999301515"/>
    <s v="UNPLANNED"/>
    <x v="0"/>
    <d v="1899-12-30T16:30:00"/>
    <x v="1"/>
  </r>
  <r>
    <n v="3371"/>
    <x v="11"/>
    <n v="10115271423900"/>
    <x v="1030"/>
    <d v="2022-02-15T21:30:00"/>
    <d v="1899-12-30T05:00:00"/>
    <n v="59.999999999301515"/>
    <s v="UNPLANNED"/>
    <x v="1"/>
    <d v="1899-12-30T16:30:00"/>
    <x v="1"/>
  </r>
  <r>
    <n v="3372"/>
    <x v="1"/>
    <n v="6115271720805"/>
    <x v="1030"/>
    <d v="2022-02-15T21:30:00"/>
    <d v="1899-12-30T05:00:00"/>
    <n v="59.999999999301515"/>
    <s v="UNPLANNED"/>
    <x v="6"/>
    <d v="1899-12-30T16:30:00"/>
    <x v="1"/>
  </r>
  <r>
    <n v="3373"/>
    <x v="0"/>
    <n v="5115271239302"/>
    <x v="1030"/>
    <d v="2022-02-15T21:30:00"/>
    <d v="1899-12-30T05:00:00"/>
    <n v="59.999999999301515"/>
    <s v="UNPLANNED"/>
    <x v="0"/>
    <d v="1899-12-30T16:30:00"/>
    <x v="1"/>
  </r>
  <r>
    <n v="3374"/>
    <x v="13"/>
    <n v="3115270396600"/>
    <x v="1030"/>
    <d v="2022-02-15T21:30:00"/>
    <d v="1899-12-30T05:00:00"/>
    <n v="59.999999999301515"/>
    <s v="UNPLANNED"/>
    <x v="0"/>
    <d v="1899-12-30T16:30:00"/>
    <x v="1"/>
  </r>
  <r>
    <n v="3375"/>
    <x v="13"/>
    <n v="3115270362303"/>
    <x v="1030"/>
    <d v="2022-02-15T21:30:00"/>
    <d v="1899-12-30T05:00:00"/>
    <n v="59.999999999301515"/>
    <s v="UNPLANNED"/>
    <x v="0"/>
    <d v="1899-12-30T16:30:00"/>
    <x v="1"/>
  </r>
  <r>
    <n v="3376"/>
    <x v="13"/>
    <n v="3115270306701"/>
    <x v="1030"/>
    <d v="2022-02-15T21:30:00"/>
    <d v="1899-12-30T05:00:00"/>
    <n v="59.999999999301515"/>
    <s v="UNPLANNED"/>
    <x v="0"/>
    <d v="1899-12-30T16:30:00"/>
    <x v="1"/>
  </r>
  <r>
    <n v="3377"/>
    <x v="9"/>
    <n v="2115270221500"/>
    <x v="1030"/>
    <d v="2022-02-15T21:30:00"/>
    <d v="1899-12-30T05:00:00"/>
    <n v="59.999999999301515"/>
    <s v="UNPLANNED"/>
    <x v="1"/>
    <d v="1899-12-30T16:30:00"/>
    <x v="1"/>
  </r>
  <r>
    <n v="3378"/>
    <x v="5"/>
    <n v="13115271613100"/>
    <x v="1031"/>
    <d v="2022-02-16T14:00:00"/>
    <d v="1899-12-30T01:45:00"/>
    <n v="171.42857141716746"/>
    <s v="UNPLANNED"/>
    <x v="0"/>
    <d v="1899-12-30T12:15:00"/>
    <x v="0"/>
  </r>
  <r>
    <n v="3379"/>
    <x v="4"/>
    <n v="15115271785818"/>
    <x v="1032"/>
    <d v="2022-02-16T15:05:00"/>
    <d v="1899-12-30T04:35:00"/>
    <n v="65.4545454556538"/>
    <s v="UNPLANNED"/>
    <x v="0"/>
    <d v="1899-12-30T10:30:00"/>
    <x v="0"/>
  </r>
  <r>
    <n v="3380"/>
    <x v="1"/>
    <n v="6115271698102"/>
    <x v="1032"/>
    <d v="2022-02-16T15:05:00"/>
    <d v="1899-12-30T04:35:00"/>
    <n v="65.4545454556538"/>
    <s v="UNPLANNED"/>
    <x v="0"/>
    <d v="1899-12-30T10:30:00"/>
    <x v="0"/>
  </r>
  <r>
    <n v="3381"/>
    <x v="13"/>
    <n v="3115270367000"/>
    <x v="1032"/>
    <d v="2022-02-16T15:05:00"/>
    <d v="1899-12-30T04:35:00"/>
    <n v="65.4545454556538"/>
    <s v="UNPLANNED"/>
    <x v="0"/>
    <d v="1899-12-30T10:30:00"/>
    <x v="0"/>
  </r>
  <r>
    <n v="3382"/>
    <x v="7"/>
    <n v="7115271793405"/>
    <x v="1033"/>
    <d v="2022-02-16T20:30:00"/>
    <d v="1899-12-30T02:15:00"/>
    <n v="133.33333333333331"/>
    <s v="UNPLANNED"/>
    <x v="1"/>
    <d v="1899-12-30T18:15:00"/>
    <x v="1"/>
  </r>
  <r>
    <n v="3383"/>
    <x v="13"/>
    <n v="3115270421700"/>
    <x v="1034"/>
    <d v="2022-02-16T20:30:00"/>
    <d v="1899-12-30T05:20:00"/>
    <n v="56.250000000818545"/>
    <s v="UNPLANNED"/>
    <x v="1"/>
    <d v="1899-12-30T15:10:00"/>
    <x v="1"/>
  </r>
  <r>
    <n v="3384"/>
    <x v="13"/>
    <n v="3115270311100"/>
    <x v="1034"/>
    <d v="2022-02-16T20:30:00"/>
    <d v="1899-12-30T05:20:00"/>
    <n v="56.250000000818545"/>
    <s v="UNPLANNED"/>
    <x v="0"/>
    <d v="1899-12-30T15:10:00"/>
    <x v="1"/>
  </r>
  <r>
    <n v="3385"/>
    <x v="13"/>
    <n v="3115270310801"/>
    <x v="1034"/>
    <d v="2022-02-16T20:30:00"/>
    <d v="1899-12-30T05:20:00"/>
    <n v="56.250000000818545"/>
    <s v="UNPLANNED"/>
    <x v="1"/>
    <d v="1899-12-30T15:10:00"/>
    <x v="1"/>
  </r>
  <r>
    <n v="3386"/>
    <x v="13"/>
    <n v="3115270306803"/>
    <x v="1033"/>
    <d v="2022-02-16T20:30:00"/>
    <d v="1899-12-30T02:15:00"/>
    <n v="133.33333333333331"/>
    <s v="UNPLANNED"/>
    <x v="1"/>
    <d v="1899-12-30T18:15:00"/>
    <x v="1"/>
  </r>
  <r>
    <n v="3387"/>
    <x v="2"/>
    <n v="12115271560122"/>
    <x v="1035"/>
    <d v="2022-02-16T22:25:00"/>
    <d v="1899-12-30T01:25:00"/>
    <n v="211.7647058707517"/>
    <s v="UNPLANNED"/>
    <x v="0"/>
    <d v="1899-12-30T21:00:00"/>
    <x v="1"/>
  </r>
  <r>
    <n v="3388"/>
    <x v="7"/>
    <n v="7115271784908"/>
    <x v="1036"/>
    <d v="2022-02-16T23:30:00"/>
    <d v="1899-12-30T01:15:00"/>
    <n v="240.00000002235174"/>
    <s v="UNPLANNED"/>
    <x v="0"/>
    <d v="1899-12-30T22:15:00"/>
    <x v="2"/>
  </r>
  <r>
    <n v="3389"/>
    <x v="5"/>
    <n v="13115271591100"/>
    <x v="1037"/>
    <d v="2022-02-17T02:25:00"/>
    <d v="1899-12-30T01:35:00"/>
    <n v="189.47368419891703"/>
    <s v="UNPLANNED"/>
    <x v="0"/>
    <d v="1899-12-30T00:50:00"/>
    <x v="2"/>
  </r>
  <r>
    <n v="3390"/>
    <x v="14"/>
    <n v="1115270011250"/>
    <x v="1037"/>
    <d v="2022-02-17T02:25:00"/>
    <d v="1899-12-30T01:35:00"/>
    <n v="189.47368419891703"/>
    <s v="UNPLANNED"/>
    <x v="0"/>
    <d v="1899-12-30T00:50:00"/>
    <x v="2"/>
  </r>
  <r>
    <n v="3391"/>
    <x v="7"/>
    <n v="7115271783705"/>
    <x v="1038"/>
    <d v="2022-02-17T11:30:00"/>
    <d v="1899-12-30T01:40:00"/>
    <n v="179.99999999790452"/>
    <s v="UNPLANNED"/>
    <x v="0"/>
    <d v="1899-12-30T09:50:00"/>
    <x v="0"/>
  </r>
  <r>
    <n v="3392"/>
    <x v="14"/>
    <n v="1115270143500"/>
    <x v="1039"/>
    <d v="2022-02-17T11:30:00"/>
    <d v="1899-12-30T02:15:00"/>
    <n v="133.33333333333331"/>
    <s v="UNPLANNED"/>
    <x v="0"/>
    <d v="1899-12-30T09:15:00"/>
    <x v="0"/>
  </r>
  <r>
    <n v="3393"/>
    <x v="5"/>
    <n v="13115271591400"/>
    <x v="1040"/>
    <d v="2022-02-17T14:00:00"/>
    <d v="1899-12-30T01:45:00"/>
    <n v="171.42857141716746"/>
    <s v="UNPLANNED"/>
    <x v="0"/>
    <d v="1899-12-30T12:15:00"/>
    <x v="0"/>
  </r>
  <r>
    <n v="3394"/>
    <x v="5"/>
    <n v="13115271625720"/>
    <x v="1041"/>
    <d v="2022-02-17T19:05:00"/>
    <d v="1899-12-30T02:35:00"/>
    <n v="116.1290322563201"/>
    <s v="UNPLANNED"/>
    <x v="0"/>
    <d v="1899-12-30T16:30:00"/>
    <x v="1"/>
  </r>
  <r>
    <n v="3395"/>
    <x v="1"/>
    <n v="6115271745607"/>
    <x v="1041"/>
    <d v="2022-02-17T19:05:00"/>
    <d v="1899-12-30T02:35:00"/>
    <n v="116.1290322563201"/>
    <s v="UNPLANNED"/>
    <x v="0"/>
    <d v="1899-12-30T16:30:00"/>
    <x v="1"/>
  </r>
  <r>
    <n v="3396"/>
    <x v="2"/>
    <n v="12115271574511"/>
    <x v="1042"/>
    <d v="2022-02-17T21:35:00"/>
    <d v="1899-12-30T01:35:00"/>
    <n v="189.47368421981375"/>
    <s v="UNPLANNED"/>
    <x v="0"/>
    <d v="1899-12-30T20:00:00"/>
    <x v="1"/>
  </r>
  <r>
    <n v="3397"/>
    <x v="12"/>
    <n v="14115271672405"/>
    <x v="1043"/>
    <d v="2022-02-18T14:05:00"/>
    <d v="1899-12-30T03:15:00"/>
    <n v="92.307692309345541"/>
    <s v="UNPLANNED"/>
    <x v="1"/>
    <d v="1899-12-30T10:50:00"/>
    <x v="0"/>
  </r>
  <r>
    <n v="3398"/>
    <x v="11"/>
    <n v="10115271968200"/>
    <x v="1044"/>
    <d v="2022-02-18T14:05:00"/>
    <d v="1899-12-30T04:20:00"/>
    <n v="69.230769231079208"/>
    <s v="UNPLANNED"/>
    <x v="1"/>
    <d v="1899-12-30T09:45:00"/>
    <x v="0"/>
  </r>
  <r>
    <n v="3399"/>
    <x v="11"/>
    <n v="10115271453808"/>
    <x v="1045"/>
    <d v="2022-02-18T14:05:00"/>
    <d v="1899-12-30T00:50:00"/>
    <n v="360.00000003352761"/>
    <s v="UNPLANNED"/>
    <x v="1"/>
    <d v="1899-12-30T13:15:00"/>
    <x v="0"/>
  </r>
  <r>
    <n v="3400"/>
    <x v="3"/>
    <n v="8115271810105"/>
    <x v="1044"/>
    <d v="2022-02-18T14:05:00"/>
    <d v="1899-12-30T04:20:00"/>
    <n v="69.230769231079208"/>
    <s v="UNPLANNED"/>
    <x v="1"/>
    <d v="1899-12-30T09:45:00"/>
    <x v="0"/>
  </r>
  <r>
    <n v="3401"/>
    <x v="7"/>
    <n v="7115271783751"/>
    <x v="1044"/>
    <d v="2022-02-18T14:05:00"/>
    <d v="1899-12-30T04:20:00"/>
    <n v="69.230769231079208"/>
    <s v="UNPLANNED"/>
    <x v="1"/>
    <d v="1899-12-30T09:45:00"/>
    <x v="0"/>
  </r>
  <r>
    <n v="3402"/>
    <x v="1"/>
    <n v="6115271745802"/>
    <x v="1044"/>
    <d v="2022-02-18T14:05:00"/>
    <d v="1899-12-30T04:20:00"/>
    <n v="69.230769231079208"/>
    <s v="UNPLANNED"/>
    <x v="1"/>
    <d v="1899-12-30T09:45:00"/>
    <x v="0"/>
  </r>
  <r>
    <n v="3403"/>
    <x v="14"/>
    <n v="1115270097900"/>
    <x v="1046"/>
    <d v="2022-02-18T14:05:00"/>
    <d v="1899-12-30T01:20:00"/>
    <n v="225.00000000327418"/>
    <s v="UNPLANNED"/>
    <x v="0"/>
    <d v="1899-12-30T12:45:00"/>
    <x v="0"/>
  </r>
  <r>
    <n v="3404"/>
    <x v="4"/>
    <n v="15115271778359"/>
    <x v="1047"/>
    <d v="2022-02-18T18:30:00"/>
    <d v="1899-12-30T03:00:00"/>
    <n v="100"/>
    <s v="UNPLANNED"/>
    <x v="1"/>
    <d v="1899-12-30T15:30:00"/>
    <x v="1"/>
  </r>
  <r>
    <n v="3405"/>
    <x v="6"/>
    <n v="9115271907201"/>
    <x v="1047"/>
    <d v="2022-02-18T18:30:00"/>
    <d v="1899-12-30T03:00:00"/>
    <n v="100"/>
    <s v="UNPLANNED"/>
    <x v="1"/>
    <d v="1899-12-30T15:30:00"/>
    <x v="1"/>
  </r>
  <r>
    <n v="3406"/>
    <x v="10"/>
    <n v="11115271542606"/>
    <x v="1048"/>
    <d v="2022-02-19T00:20:00"/>
    <d v="1899-12-30T01:35:00"/>
    <n v="189.47368419891703"/>
    <s v="UNPLANNED"/>
    <x v="0"/>
    <d v="1899-12-30T22:45:00"/>
    <x v="2"/>
  </r>
  <r>
    <n v="3407"/>
    <x v="3"/>
    <n v="8115270616400"/>
    <x v="1048"/>
    <d v="2022-02-19T00:20:00"/>
    <d v="1899-12-30T01:35:00"/>
    <n v="189.47368419891703"/>
    <s v="UNPLANNED"/>
    <x v="1"/>
    <d v="1899-12-30T22:45:00"/>
    <x v="2"/>
  </r>
  <r>
    <n v="3408"/>
    <x v="2"/>
    <n v="12115271569900"/>
    <x v="1049"/>
    <d v="2022-02-19T03:10:00"/>
    <d v="1899-12-30T02:00:00"/>
    <n v="149.99999999563443"/>
    <s v="UNPLANNED"/>
    <x v="0"/>
    <d v="1899-12-30T01:10:00"/>
    <x v="2"/>
  </r>
  <r>
    <n v="3409"/>
    <x v="13"/>
    <n v="3115270356600"/>
    <x v="1049"/>
    <d v="2022-02-19T03:10:00"/>
    <d v="1899-12-30T02:00:00"/>
    <n v="149.99999999563443"/>
    <s v="UNPLANNED"/>
    <x v="0"/>
    <d v="1899-12-30T01:10:00"/>
    <x v="2"/>
  </r>
  <r>
    <n v="3410"/>
    <x v="2"/>
    <n v="12115271561711"/>
    <x v="1050"/>
    <d v="2022-02-19T15:07:00"/>
    <d v="1899-12-30T05:07:00"/>
    <n v="58.631921823081498"/>
    <s v="UNPLANNED"/>
    <x v="1"/>
    <d v="1899-12-30T10:00:00"/>
    <x v="0"/>
  </r>
  <r>
    <n v="3411"/>
    <x v="11"/>
    <n v="10115271445700"/>
    <x v="1051"/>
    <d v="2022-02-19T15:07:00"/>
    <d v="1899-12-30T03:52:00"/>
    <n v="77.586206895928811"/>
    <s v="UNPLANNED"/>
    <x v="1"/>
    <d v="1899-12-30T11:15:00"/>
    <x v="0"/>
  </r>
  <r>
    <n v="3412"/>
    <x v="11"/>
    <n v="10115271434101"/>
    <x v="1052"/>
    <d v="2022-02-19T15:07:00"/>
    <d v="1899-12-30T05:47:00"/>
    <n v="51.873198847331857"/>
    <s v="UNPLANNED"/>
    <x v="1"/>
    <d v="1899-12-30T09:20:00"/>
    <x v="0"/>
  </r>
  <r>
    <n v="3413"/>
    <x v="6"/>
    <n v="9115271901502"/>
    <x v="1053"/>
    <d v="2022-02-19T15:07:00"/>
    <d v="1899-12-30T02:37:00"/>
    <n v="114.6496815298526"/>
    <s v="UNPLANNED"/>
    <x v="1"/>
    <d v="1899-12-30T12:30:00"/>
    <x v="0"/>
  </r>
  <r>
    <n v="3414"/>
    <x v="7"/>
    <n v="7115271787404"/>
    <x v="1052"/>
    <d v="2022-02-19T15:07:00"/>
    <d v="1899-12-30T05:47:00"/>
    <n v="51.873198847331857"/>
    <s v="UNPLANNED"/>
    <x v="1"/>
    <d v="1899-12-30T09:20:00"/>
    <x v="0"/>
  </r>
  <r>
    <n v="3415"/>
    <x v="1"/>
    <n v="6115271723604"/>
    <x v="1052"/>
    <d v="2022-02-19T15:07:00"/>
    <d v="1899-12-30T05:47:00"/>
    <n v="51.873198847331857"/>
    <s v="UNPLANNED"/>
    <x v="0"/>
    <d v="1899-12-30T09:20:00"/>
    <x v="0"/>
  </r>
  <r>
    <n v="3416"/>
    <x v="0"/>
    <n v="5115271258103"/>
    <x v="1051"/>
    <d v="2022-02-19T15:07:00"/>
    <d v="1899-12-30T03:52:00"/>
    <n v="77.586206895928811"/>
    <s v="UNPLANNED"/>
    <x v="0"/>
    <d v="1899-12-30T11:15:00"/>
    <x v="0"/>
  </r>
  <r>
    <n v="3417"/>
    <x v="8"/>
    <n v="4115270826400"/>
    <x v="1052"/>
    <d v="2022-02-19T15:07:00"/>
    <d v="1899-12-30T05:47:00"/>
    <n v="51.873198847331857"/>
    <s v="UNPLANNED"/>
    <x v="0"/>
    <d v="1899-12-30T09:20:00"/>
    <x v="0"/>
  </r>
  <r>
    <n v="3418"/>
    <x v="13"/>
    <n v="3115270308800"/>
    <x v="1054"/>
    <d v="2022-02-19T15:07:00"/>
    <d v="1899-12-30T02:07:00"/>
    <n v="141.73228345859062"/>
    <s v="UNPLANNED"/>
    <x v="1"/>
    <d v="1899-12-30T13:00:00"/>
    <x v="0"/>
  </r>
  <r>
    <n v="3419"/>
    <x v="9"/>
    <n v="2115270221500"/>
    <x v="1051"/>
    <d v="2022-02-19T15:07:00"/>
    <d v="1899-12-30T03:52:00"/>
    <n v="77.586206895928811"/>
    <s v="UNPLANNED"/>
    <x v="0"/>
    <d v="1899-12-30T11:15:00"/>
    <x v="0"/>
  </r>
  <r>
    <n v="3420"/>
    <x v="13"/>
    <n v="3115270306801"/>
    <x v="1055"/>
    <d v="2022-02-19T16:10:00"/>
    <d v="1899-12-30T01:25:00"/>
    <n v="211.76470589685451"/>
    <s v="UNPLANNED"/>
    <x v="1"/>
    <d v="1899-12-30T14:45:00"/>
    <x v="1"/>
  </r>
  <r>
    <n v="3421"/>
    <x v="5"/>
    <n v="13115271626301"/>
    <x v="1056"/>
    <d v="2022-02-19T19:05:00"/>
    <d v="1899-12-30T03:35:00"/>
    <n v="83.720930233011458"/>
    <s v="UNPLANNED"/>
    <x v="0"/>
    <d v="1899-12-30T15:30:00"/>
    <x v="1"/>
  </r>
  <r>
    <n v="3422"/>
    <x v="10"/>
    <n v="11115271550100"/>
    <x v="1056"/>
    <d v="2022-02-19T19:05:00"/>
    <d v="1899-12-30T03:35:00"/>
    <n v="83.720930233011458"/>
    <s v="UNPLANNED"/>
    <x v="1"/>
    <d v="1899-12-30T15:30:00"/>
    <x v="1"/>
  </r>
  <r>
    <n v="3423"/>
    <x v="10"/>
    <n v="11115271549500"/>
    <x v="1056"/>
    <d v="2022-02-19T19:05:00"/>
    <d v="1899-12-30T03:35:00"/>
    <n v="83.720930233011458"/>
    <s v="UNPLANNED"/>
    <x v="0"/>
    <d v="1899-12-30T15:30:00"/>
    <x v="1"/>
  </r>
  <r>
    <n v="3424"/>
    <x v="13"/>
    <n v="3115270367900"/>
    <x v="1056"/>
    <d v="2022-02-19T19:05:00"/>
    <d v="1899-12-30T03:35:00"/>
    <n v="83.720930233011458"/>
    <s v="UNPLANNED"/>
    <x v="0"/>
    <d v="1899-12-30T15:30:00"/>
    <x v="1"/>
  </r>
  <r>
    <n v="3425"/>
    <x v="14"/>
    <n v="1115270029200"/>
    <x v="1056"/>
    <d v="2022-02-19T19:05:00"/>
    <d v="1899-12-30T03:35:00"/>
    <n v="83.720930233011458"/>
    <s v="UNPLANNED"/>
    <x v="1"/>
    <d v="1899-12-30T15:30:00"/>
    <x v="1"/>
  </r>
  <r>
    <n v="3426"/>
    <x v="11"/>
    <n v="10115271965101"/>
    <x v="1057"/>
    <d v="2022-02-19T21:30:00"/>
    <d v="1899-12-30T02:00:00"/>
    <n v="149.99999999563443"/>
    <s v="UNPLANNED"/>
    <x v="0"/>
    <d v="1899-12-30T19:30:00"/>
    <x v="1"/>
  </r>
  <r>
    <n v="3427"/>
    <x v="14"/>
    <n v="1115270016300"/>
    <x v="1057"/>
    <d v="2022-02-19T21:30:00"/>
    <d v="1899-12-30T02:00:00"/>
    <n v="149.99999999563443"/>
    <s v="UNPLANNED"/>
    <x v="0"/>
    <d v="1899-12-30T19:30:00"/>
    <x v="1"/>
  </r>
  <r>
    <n v="3428"/>
    <x v="5"/>
    <n v="13115271608507"/>
    <x v="1058"/>
    <d v="2022-02-20T00:00:01"/>
    <d v="1899-12-30T01:25:01"/>
    <n v="211.72319150977307"/>
    <s v="UNPLANNED"/>
    <x v="0"/>
    <d v="1899-12-30T22:35:00"/>
    <x v="2"/>
  </r>
  <r>
    <n v="3429"/>
    <x v="11"/>
    <n v="10115271454403"/>
    <x v="1058"/>
    <d v="2022-02-20T00:00:01"/>
    <d v="1899-12-30T01:25:01"/>
    <n v="211.72319150977307"/>
    <s v="UNPLANNED"/>
    <x v="0"/>
    <d v="1899-12-30T22:35:00"/>
    <x v="2"/>
  </r>
  <r>
    <n v="3430"/>
    <x v="12"/>
    <n v="14115271691044"/>
    <x v="1059"/>
    <d v="2022-02-20T02:30:00"/>
    <d v="1899-12-30T02:00:00"/>
    <n v="150.00000000873115"/>
    <s v="UNPLANNED"/>
    <x v="1"/>
    <d v="1899-12-30T00:30:00"/>
    <x v="2"/>
  </r>
  <r>
    <n v="3431"/>
    <x v="2"/>
    <n v="12115271571605"/>
    <x v="1059"/>
    <d v="2022-02-20T02:30:00"/>
    <d v="1899-12-30T02:00:00"/>
    <n v="150.00000000873115"/>
    <s v="UNPLANNED"/>
    <x v="1"/>
    <d v="1899-12-30T00:30:00"/>
    <x v="2"/>
  </r>
  <r>
    <n v="3432"/>
    <x v="5"/>
    <n v="13115271591200"/>
    <x v="1060"/>
    <d v="2022-02-20T15:10:00"/>
    <d v="1899-12-30T05:40:00"/>
    <n v="52.941176470950779"/>
    <s v="UNPLANNED"/>
    <x v="0"/>
    <d v="1899-12-30T09:30:00"/>
    <x v="0"/>
  </r>
  <r>
    <n v="3433"/>
    <x v="2"/>
    <n v="12115271591107"/>
    <x v="1061"/>
    <d v="2022-02-20T15:10:00"/>
    <d v="1899-12-30T02:40:00"/>
    <n v="112.50000000163709"/>
    <s v="UNPLANNED"/>
    <x v="1"/>
    <d v="1899-12-30T12:30:00"/>
    <x v="0"/>
  </r>
  <r>
    <n v="3434"/>
    <x v="10"/>
    <n v="11115271534300"/>
    <x v="1062"/>
    <d v="2022-02-20T15:10:00"/>
    <d v="1899-12-30T04:25:00"/>
    <n v="67.924528300693211"/>
    <s v="UNPLANNED"/>
    <x v="0"/>
    <d v="1899-12-30T10:45:00"/>
    <x v="0"/>
  </r>
  <r>
    <n v="3435"/>
    <x v="7"/>
    <n v="7115271768107"/>
    <x v="1063"/>
    <d v="2022-02-20T15:10:00"/>
    <d v="1899-12-30T02:10:00"/>
    <n v="138.46153845657875"/>
    <s v="UNPLANNED"/>
    <x v="1"/>
    <d v="1899-12-30T13:00:00"/>
    <x v="0"/>
  </r>
  <r>
    <n v="3436"/>
    <x v="7"/>
    <n v="7115271759011"/>
    <x v="1063"/>
    <d v="2022-02-20T15:10:00"/>
    <d v="1899-12-30T02:10:00"/>
    <n v="138.46153845657875"/>
    <s v="UNPLANNED"/>
    <x v="1"/>
    <d v="1899-12-30T13:00:00"/>
    <x v="0"/>
  </r>
  <r>
    <n v="3437"/>
    <x v="1"/>
    <n v="6115271745700"/>
    <x v="1060"/>
    <d v="2022-02-20T15:10:00"/>
    <d v="1899-12-30T05:40:00"/>
    <n v="52.941176470950779"/>
    <s v="UNPLANNED"/>
    <x v="1"/>
    <d v="1899-12-30T09:30:00"/>
    <x v="0"/>
  </r>
  <r>
    <n v="3438"/>
    <x v="13"/>
    <n v="3115270332901"/>
    <x v="1060"/>
    <d v="2022-02-20T15:10:00"/>
    <d v="1899-12-30T05:40:00"/>
    <n v="52.941176470950779"/>
    <s v="UNPLANNED"/>
    <x v="1"/>
    <d v="1899-12-30T09:30:00"/>
    <x v="0"/>
  </r>
  <r>
    <n v="3439"/>
    <x v="14"/>
    <n v="1115270739010"/>
    <x v="1060"/>
    <d v="2022-02-20T15:10:00"/>
    <d v="1899-12-30T05:40:00"/>
    <n v="52.941176470950779"/>
    <s v="UNPLANNED"/>
    <x v="0"/>
    <d v="1899-12-30T09:30:00"/>
    <x v="0"/>
  </r>
  <r>
    <n v="3440"/>
    <x v="5"/>
    <n v="13115271608507"/>
    <x v="1064"/>
    <d v="2022-02-21T16:10:00"/>
    <d v="1899-12-30T00:40:00"/>
    <n v="450.00000006548362"/>
    <s v="UNPLANNED"/>
    <x v="1"/>
    <d v="1899-12-30T15:30:00"/>
    <x v="1"/>
  </r>
  <r>
    <n v="3441"/>
    <x v="5"/>
    <n v="13115271590701"/>
    <x v="1064"/>
    <d v="2022-02-21T16:10:00"/>
    <d v="1899-12-30T00:40:00"/>
    <n v="450.00000006548362"/>
    <s v="UNPLANNED"/>
    <x v="0"/>
    <d v="1899-12-30T15:30:00"/>
    <x v="1"/>
  </r>
  <r>
    <n v="3442"/>
    <x v="10"/>
    <n v="11115271551303"/>
    <x v="1064"/>
    <d v="2022-02-21T16:10:00"/>
    <d v="1899-12-30T00:40:00"/>
    <n v="450.00000006548362"/>
    <s v="UNPLANNED"/>
    <x v="1"/>
    <d v="1899-12-30T15:30:00"/>
    <x v="1"/>
  </r>
  <r>
    <n v="3443"/>
    <x v="7"/>
    <n v="7115271768202"/>
    <x v="1064"/>
    <d v="2022-02-21T16:10:00"/>
    <d v="1899-12-30T00:40:00"/>
    <n v="450.00000006548362"/>
    <s v="UNPLANNED"/>
    <x v="1"/>
    <d v="1899-12-30T15:30:00"/>
    <x v="1"/>
  </r>
  <r>
    <n v="3444"/>
    <x v="12"/>
    <n v="14115271672700"/>
    <x v="1065"/>
    <d v="2022-02-21T16:15:00"/>
    <d v="1899-12-30T07:35:00"/>
    <n v="39.560439559933471"/>
    <s v="UNPLANNED"/>
    <x v="0"/>
    <d v="1899-12-30T08:40:00"/>
    <x v="0"/>
  </r>
  <r>
    <n v="3445"/>
    <x v="2"/>
    <n v="12115271571024"/>
    <x v="1066"/>
    <d v="2022-02-21T16:15:00"/>
    <d v="1899-12-30T05:45:00"/>
    <n v="52.173913042950105"/>
    <s v="UNPLANNED"/>
    <x v="0"/>
    <d v="1899-12-30T10:30:00"/>
    <x v="0"/>
  </r>
  <r>
    <n v="3446"/>
    <x v="10"/>
    <n v="11115271542608"/>
    <x v="1067"/>
    <d v="2022-02-21T16:15:00"/>
    <d v="1899-12-30T04:45:00"/>
    <n v="63.157894735294192"/>
    <s v="UNPLANNED"/>
    <x v="0"/>
    <d v="1899-12-30T11:30:00"/>
    <x v="0"/>
  </r>
  <r>
    <n v="3447"/>
    <x v="7"/>
    <n v="7115271783900"/>
    <x v="1068"/>
    <d v="2022-02-21T16:15:00"/>
    <d v="1899-12-30T02:15:00"/>
    <n v="133.33333333333331"/>
    <s v="UNPLANNED"/>
    <x v="1"/>
    <d v="1899-12-30T14:00:00"/>
    <x v="0"/>
  </r>
  <r>
    <n v="3448"/>
    <x v="7"/>
    <n v="7115271767606"/>
    <x v="1066"/>
    <d v="2022-02-21T16:15:00"/>
    <d v="1899-12-30T05:45:00"/>
    <n v="52.173913042950105"/>
    <s v="UNPLANNED"/>
    <x v="0"/>
    <d v="1899-12-30T10:30:00"/>
    <x v="0"/>
  </r>
  <r>
    <n v="3449"/>
    <x v="7"/>
    <n v="7115271757500"/>
    <x v="1066"/>
    <d v="2022-02-21T16:15:00"/>
    <d v="1899-12-30T05:45:00"/>
    <n v="52.173913042950105"/>
    <s v="UNPLANNED"/>
    <x v="0"/>
    <d v="1899-12-30T10:30:00"/>
    <x v="0"/>
  </r>
  <r>
    <n v="3450"/>
    <x v="1"/>
    <n v="6115271729700"/>
    <x v="1066"/>
    <d v="2022-02-21T16:15:00"/>
    <d v="1899-12-30T05:45:00"/>
    <n v="52.173913042950105"/>
    <s v="UNPLANNED"/>
    <x v="0"/>
    <d v="1899-12-30T10:30:00"/>
    <x v="0"/>
  </r>
  <r>
    <n v="3451"/>
    <x v="1"/>
    <n v="6115271691600"/>
    <x v="1067"/>
    <d v="2022-02-21T16:15:00"/>
    <d v="1899-12-30T04:45:00"/>
    <n v="63.157894735294192"/>
    <s v="UNPLANNED"/>
    <x v="1"/>
    <d v="1899-12-30T11:30:00"/>
    <x v="0"/>
  </r>
  <r>
    <n v="3452"/>
    <x v="0"/>
    <n v="5115271270400"/>
    <x v="1067"/>
    <d v="2022-02-21T16:15:00"/>
    <d v="1899-12-30T04:45:00"/>
    <n v="63.157894735294192"/>
    <s v="UNPLANNED"/>
    <x v="1"/>
    <d v="1899-12-30T11:30:00"/>
    <x v="0"/>
  </r>
  <r>
    <n v="3453"/>
    <x v="0"/>
    <n v="5115271270300"/>
    <x v="1066"/>
    <d v="2022-02-21T16:15:00"/>
    <d v="1899-12-30T05:45:00"/>
    <n v="52.173913042950105"/>
    <s v="UNPLANNED"/>
    <x v="0"/>
    <d v="1899-12-30T10:30:00"/>
    <x v="0"/>
  </r>
  <r>
    <n v="3454"/>
    <x v="8"/>
    <n v="4115270826800"/>
    <x v="1069"/>
    <d v="2022-02-21T16:15:00"/>
    <d v="1899-12-30T03:15:00"/>
    <n v="92.307692304385839"/>
    <s v="UNPLANNED"/>
    <x v="1"/>
    <d v="1899-12-30T13:00:00"/>
    <x v="0"/>
  </r>
  <r>
    <n v="3455"/>
    <x v="13"/>
    <n v="3115270420900"/>
    <x v="1066"/>
    <d v="2022-02-21T16:15:00"/>
    <d v="1899-12-30T05:45:00"/>
    <n v="52.173913042950105"/>
    <s v="UNPLANNED"/>
    <x v="1"/>
    <d v="1899-12-30T10:30:00"/>
    <x v="0"/>
  </r>
  <r>
    <n v="3456"/>
    <x v="13"/>
    <n v="3115270309004"/>
    <x v="1066"/>
    <d v="2022-02-21T16:15:00"/>
    <d v="1899-12-30T05:45:00"/>
    <n v="52.173913042950105"/>
    <s v="UNPLANNED"/>
    <x v="0"/>
    <d v="1899-12-30T10:30:00"/>
    <x v="0"/>
  </r>
  <r>
    <n v="3457"/>
    <x v="9"/>
    <n v="2115270235100"/>
    <x v="1066"/>
    <d v="2022-02-21T16:15:00"/>
    <d v="1899-12-30T05:45:00"/>
    <n v="52.173913042950105"/>
    <s v="UNPLANNED"/>
    <x v="0"/>
    <d v="1899-12-30T10:30:00"/>
    <x v="0"/>
  </r>
  <r>
    <n v="3458"/>
    <x v="14"/>
    <n v="1115270147300"/>
    <x v="1070"/>
    <d v="2022-02-21T16:15:00"/>
    <d v="1899-12-30T05:15:00"/>
    <n v="57.142857142857139"/>
    <s v="UNPLANNED"/>
    <x v="1"/>
    <d v="1899-12-30T11:00:00"/>
    <x v="0"/>
  </r>
  <r>
    <n v="3459"/>
    <x v="14"/>
    <n v="1115270093401"/>
    <x v="1066"/>
    <d v="2022-02-21T16:15:00"/>
    <d v="1899-12-30T05:45:00"/>
    <n v="52.173913042950105"/>
    <s v="UNPLANNED"/>
    <x v="0"/>
    <d v="1899-12-30T10:30:00"/>
    <x v="0"/>
  </r>
  <r>
    <n v="3460"/>
    <x v="10"/>
    <n v="11115271551300"/>
    <x v="1071"/>
    <d v="2022-02-21T22:05:00"/>
    <d v="1899-12-30T03:11:00"/>
    <n v="94.240837694152347"/>
    <s v="UNPLANNED"/>
    <x v="1"/>
    <d v="1899-12-30T18:54:00"/>
    <x v="1"/>
  </r>
  <r>
    <n v="3461"/>
    <x v="7"/>
    <n v="7115271783751"/>
    <x v="1071"/>
    <d v="2022-02-21T22:05:00"/>
    <d v="1899-12-30T03:11:00"/>
    <n v="94.240837694152347"/>
    <s v="UNPLANNED"/>
    <x v="0"/>
    <d v="1899-12-30T18:54:00"/>
    <x v="1"/>
  </r>
  <r>
    <n v="3462"/>
    <x v="13"/>
    <n v="3115270366800"/>
    <x v="1071"/>
    <d v="2022-02-21T22:05:00"/>
    <d v="1899-12-30T03:11:00"/>
    <n v="94.240837694152347"/>
    <s v="UNPLANNED"/>
    <x v="0"/>
    <d v="1899-12-30T18:54:00"/>
    <x v="1"/>
  </r>
  <r>
    <n v="3463"/>
    <x v="1"/>
    <n v="6115271750933"/>
    <x v="1072"/>
    <d v="2022-02-21T23:30:00"/>
    <d v="1899-12-30T01:30:00"/>
    <n v="200"/>
    <s v="UNPLANNED"/>
    <x v="1"/>
    <d v="1899-12-30T22:00:00"/>
    <x v="1"/>
  </r>
  <r>
    <n v="3464"/>
    <x v="2"/>
    <n v="12115271561705"/>
    <x v="1073"/>
    <d v="2022-02-23T00:00:01"/>
    <d v="1899-12-30T01:30:01"/>
    <n v="199.96296981174899"/>
    <s v="UNPLANNED"/>
    <x v="0"/>
    <d v="1899-12-30T22:30:00"/>
    <x v="2"/>
  </r>
  <r>
    <n v="3465"/>
    <x v="14"/>
    <n v="1115270122900"/>
    <x v="1073"/>
    <d v="2022-02-23T00:00:01"/>
    <d v="1899-12-30T01:30:01"/>
    <n v="199.96296981174899"/>
    <s v="UNPLANNED"/>
    <x v="0"/>
    <d v="1899-12-30T22:30:00"/>
    <x v="2"/>
  </r>
  <r>
    <n v="3466"/>
    <x v="7"/>
    <n v="7115271759011"/>
    <x v="1074"/>
    <d v="2022-02-22T01:40:00"/>
    <d v="1899-12-30T01:25:00"/>
    <n v="211.7647058707517"/>
    <s v="UNPLANNED"/>
    <x v="1"/>
    <d v="1899-12-30T00:15:00"/>
    <x v="2"/>
  </r>
  <r>
    <n v="3467"/>
    <x v="13"/>
    <n v="3115270341000"/>
    <x v="1074"/>
    <d v="2022-02-22T01:40:00"/>
    <d v="1899-12-30T01:25:00"/>
    <n v="211.7647058707517"/>
    <s v="UNPLANNED"/>
    <x v="1"/>
    <d v="1899-12-30T00:15:00"/>
    <x v="2"/>
  </r>
  <r>
    <n v="3468"/>
    <x v="5"/>
    <n v="13115271591501"/>
    <x v="1075"/>
    <d v="2022-02-22T03:20:00"/>
    <d v="1899-12-30T01:10:00"/>
    <n v="257.14285715141011"/>
    <s v="UNPLANNED"/>
    <x v="1"/>
    <d v="1899-12-30T02:10:00"/>
    <x v="2"/>
  </r>
  <r>
    <n v="3469"/>
    <x v="4"/>
    <n v="15115271775014"/>
    <x v="1076"/>
    <d v="2022-02-22T04:40:00"/>
    <d v="1899-12-30T00:50:00"/>
    <n v="359.99999995809048"/>
    <s v="UNPLANNED"/>
    <x v="0"/>
    <d v="1899-12-30T03:50:00"/>
    <x v="2"/>
  </r>
  <r>
    <n v="3470"/>
    <x v="13"/>
    <n v="3115270366904"/>
    <x v="1076"/>
    <d v="2022-02-22T04:40:00"/>
    <d v="1899-12-30T00:50:00"/>
    <n v="359.99999995809048"/>
    <s v="UNPLANNED"/>
    <x v="0"/>
    <d v="1899-12-30T03:50:00"/>
    <x v="2"/>
  </r>
  <r>
    <n v="3471"/>
    <x v="2"/>
    <n v="12115271562902"/>
    <x v="1077"/>
    <d v="2022-02-22T14:30:00"/>
    <d v="1899-12-30T03:50:00"/>
    <n v="78.260869566801873"/>
    <s v="UNPLANNED"/>
    <x v="0"/>
    <d v="1899-12-30T10:40:00"/>
    <x v="0"/>
  </r>
  <r>
    <n v="3472"/>
    <x v="2"/>
    <n v="12115271560816"/>
    <x v="1077"/>
    <d v="2022-02-22T14:30:00"/>
    <d v="1899-12-30T03:50:00"/>
    <n v="78.260869566801873"/>
    <s v="UNPLANNED"/>
    <x v="0"/>
    <d v="1899-12-30T10:40:00"/>
    <x v="0"/>
  </r>
  <r>
    <n v="3473"/>
    <x v="7"/>
    <n v="7115271768202"/>
    <x v="1077"/>
    <d v="2022-02-22T14:30:00"/>
    <d v="1899-12-30T03:50:00"/>
    <n v="78.260869566801873"/>
    <s v="UNPLANNED"/>
    <x v="0"/>
    <d v="1899-12-30T10:40:00"/>
    <x v="0"/>
  </r>
  <r>
    <n v="3474"/>
    <x v="1"/>
    <n v="6115271703701"/>
    <x v="1078"/>
    <d v="2022-02-22T14:30:00"/>
    <d v="1899-12-30T07:10:00"/>
    <n v="41.860465116505729"/>
    <s v="UNPLANNED"/>
    <x v="0"/>
    <d v="1899-12-30T07:20:00"/>
    <x v="0"/>
  </r>
  <r>
    <n v="3475"/>
    <x v="1"/>
    <n v="6115271691400"/>
    <x v="1077"/>
    <d v="2022-02-22T14:30:00"/>
    <d v="1899-12-30T03:50:00"/>
    <n v="78.260869566801873"/>
    <s v="UNPLANNED"/>
    <x v="0"/>
    <d v="1899-12-30T10:40:00"/>
    <x v="0"/>
  </r>
  <r>
    <n v="3476"/>
    <x v="0"/>
    <n v="5115270974500"/>
    <x v="1077"/>
    <d v="2022-02-22T14:30:00"/>
    <d v="1899-12-30T03:50:00"/>
    <n v="78.260869566801873"/>
    <s v="UNPLANNED"/>
    <x v="0"/>
    <d v="1899-12-30T10:40:00"/>
    <x v="0"/>
  </r>
  <r>
    <n v="3477"/>
    <x v="13"/>
    <n v="3115270317104"/>
    <x v="1077"/>
    <d v="2022-02-22T14:30:00"/>
    <d v="1899-12-30T03:50:00"/>
    <n v="78.260869566801873"/>
    <s v="UNPLANNED"/>
    <x v="0"/>
    <d v="1899-12-30T10:40:00"/>
    <x v="0"/>
  </r>
  <r>
    <n v="3478"/>
    <x v="13"/>
    <n v="3115270306603"/>
    <x v="1078"/>
    <d v="2022-02-22T14:30:00"/>
    <d v="1899-12-30T07:10:00"/>
    <n v="41.860465116505729"/>
    <s v="UNPLANNED"/>
    <x v="0"/>
    <d v="1899-12-30T07:20:00"/>
    <x v="0"/>
  </r>
  <r>
    <n v="3479"/>
    <x v="14"/>
    <n v="1115270143300"/>
    <x v="1078"/>
    <d v="2022-02-22T14:30:00"/>
    <d v="1899-12-30T07:10:00"/>
    <n v="41.860465116505729"/>
    <s v="UNPLANNED"/>
    <x v="1"/>
    <d v="1899-12-30T07:20:00"/>
    <x v="0"/>
  </r>
  <r>
    <n v="3480"/>
    <x v="14"/>
    <n v="1115270127500"/>
    <x v="1078"/>
    <d v="2022-02-22T14:30:00"/>
    <d v="1899-12-30T07:10:00"/>
    <n v="41.860465116505729"/>
    <s v="UNPLANNED"/>
    <x v="0"/>
    <d v="1899-12-30T07:20:00"/>
    <x v="0"/>
  </r>
  <r>
    <n v="3481"/>
    <x v="14"/>
    <n v="1115270045300"/>
    <x v="1079"/>
    <d v="2022-02-22T15:30:00"/>
    <d v="1899-12-30T01:20:00"/>
    <n v="225.00000000327418"/>
    <s v="UNPLANNED"/>
    <x v="0"/>
    <d v="1899-12-30T14:10:00"/>
    <x v="1"/>
  </r>
  <r>
    <n v="3482"/>
    <x v="12"/>
    <n v="14115271672600"/>
    <x v="1080"/>
    <d v="2022-02-22T20:05:00"/>
    <d v="1899-12-30T02:35:00"/>
    <n v="116.1290322563201"/>
    <s v="UNPLANNED"/>
    <x v="2"/>
    <d v="1899-12-30T17:30:00"/>
    <x v="1"/>
  </r>
  <r>
    <n v="3483"/>
    <x v="11"/>
    <n v="10115271409405"/>
    <x v="1081"/>
    <d v="2022-02-22T20:05:00"/>
    <d v="1899-12-30T04:45:00"/>
    <n v="63.157894737616061"/>
    <s v="UNPLANNED"/>
    <x v="0"/>
    <d v="1899-12-30T15:20:00"/>
    <x v="1"/>
  </r>
  <r>
    <n v="3484"/>
    <x v="6"/>
    <n v="9115271953300"/>
    <x v="1081"/>
    <d v="2022-02-22T20:05:00"/>
    <d v="1899-12-30T04:45:00"/>
    <n v="63.157894737616061"/>
    <s v="UNPLANNED"/>
    <x v="1"/>
    <d v="1899-12-30T15:20:00"/>
    <x v="1"/>
  </r>
  <r>
    <n v="3485"/>
    <x v="7"/>
    <n v="7115271758907"/>
    <x v="1081"/>
    <d v="2022-02-22T20:05:00"/>
    <d v="1899-12-30T04:45:00"/>
    <n v="63.157894737616061"/>
    <s v="UNPLANNED"/>
    <x v="1"/>
    <d v="1899-12-30T15:20:00"/>
    <x v="1"/>
  </r>
  <r>
    <n v="3486"/>
    <x v="0"/>
    <n v="5115271296608"/>
    <x v="1081"/>
    <d v="2022-02-22T20:05:00"/>
    <d v="1899-12-30T04:45:00"/>
    <n v="63.157894737616061"/>
    <s v="UNPLANNED"/>
    <x v="1"/>
    <d v="1899-12-30T15:20:00"/>
    <x v="1"/>
  </r>
  <r>
    <n v="3487"/>
    <x v="13"/>
    <n v="3115270366904"/>
    <x v="1081"/>
    <d v="2022-02-22T20:05:00"/>
    <d v="1899-12-30T04:45:00"/>
    <n v="63.157894737616061"/>
    <s v="UNPLANNED"/>
    <x v="0"/>
    <d v="1899-12-30T15:20:00"/>
    <x v="1"/>
  </r>
  <r>
    <n v="3488"/>
    <x v="10"/>
    <n v="11115271542900"/>
    <x v="1082"/>
    <d v="2022-02-23T16:30:00"/>
    <d v="1899-12-30T06:15:00"/>
    <n v="48.000000000447038"/>
    <s v="UNPLANNED"/>
    <x v="1"/>
    <d v="1899-12-30T10:15:00"/>
    <x v="0"/>
  </r>
  <r>
    <n v="3489"/>
    <x v="3"/>
    <n v="8115271809912"/>
    <x v="1082"/>
    <d v="2022-02-23T16:30:00"/>
    <d v="1899-12-30T06:15:00"/>
    <n v="48.000000000447038"/>
    <s v="UNPLANNED"/>
    <x v="1"/>
    <d v="1899-12-30T10:15:00"/>
    <x v="0"/>
  </r>
  <r>
    <n v="3490"/>
    <x v="7"/>
    <n v="7115271768200"/>
    <x v="1082"/>
    <d v="2022-02-23T16:30:00"/>
    <d v="1899-12-30T06:15:00"/>
    <n v="48.000000000447038"/>
    <s v="UNPLANNED"/>
    <x v="1"/>
    <d v="1899-12-30T10:15:00"/>
    <x v="0"/>
  </r>
  <r>
    <n v="3491"/>
    <x v="7"/>
    <n v="7115271757300"/>
    <x v="1082"/>
    <d v="2022-02-23T16:30:00"/>
    <d v="1899-12-30T06:15:00"/>
    <n v="48.000000000447038"/>
    <s v="UNPLANNED"/>
    <x v="1"/>
    <d v="1899-12-30T10:15:00"/>
    <x v="0"/>
  </r>
  <r>
    <n v="3492"/>
    <x v="1"/>
    <n v="6115271733601"/>
    <x v="1082"/>
    <d v="2022-02-23T16:30:00"/>
    <d v="1899-12-30T06:15:00"/>
    <n v="48.000000000447038"/>
    <s v="UNPLANNED"/>
    <x v="6"/>
    <d v="1899-12-30T10:15:00"/>
    <x v="0"/>
  </r>
  <r>
    <n v="3493"/>
    <x v="0"/>
    <n v="5115271285700"/>
    <x v="1082"/>
    <d v="2022-02-23T16:30:00"/>
    <d v="1899-12-30T06:15:00"/>
    <n v="48.000000000447038"/>
    <s v="UNPLANNED"/>
    <x v="2"/>
    <d v="1899-12-30T10:15:00"/>
    <x v="0"/>
  </r>
  <r>
    <n v="3494"/>
    <x v="13"/>
    <n v="3115270392900"/>
    <x v="1082"/>
    <d v="2022-02-23T16:30:00"/>
    <d v="1899-12-30T06:15:00"/>
    <n v="48.000000000447038"/>
    <s v="UNPLANNED"/>
    <x v="1"/>
    <d v="1899-12-30T10:15:00"/>
    <x v="0"/>
  </r>
  <r>
    <n v="3495"/>
    <x v="9"/>
    <n v="2115270297501"/>
    <x v="1082"/>
    <d v="2022-02-23T16:30:00"/>
    <d v="1899-12-30T06:15:00"/>
    <n v="48.000000000447038"/>
    <s v="UNPLANNED"/>
    <x v="0"/>
    <d v="1899-12-30T10:15:00"/>
    <x v="0"/>
  </r>
  <r>
    <n v="3496"/>
    <x v="2"/>
    <n v="12115271560812"/>
    <x v="1083"/>
    <d v="2022-02-23T21:10:00"/>
    <d v="1899-12-30T02:22:00"/>
    <n v="126.76056337861894"/>
    <s v="UNPLANNED"/>
    <x v="1"/>
    <d v="1899-12-30T18:48:00"/>
    <x v="1"/>
  </r>
  <r>
    <n v="3497"/>
    <x v="11"/>
    <n v="10115271464000"/>
    <x v="1083"/>
    <d v="2022-02-23T21:10:00"/>
    <d v="1899-12-30T02:22:00"/>
    <n v="126.76056337861894"/>
    <s v="UNPLANNED"/>
    <x v="1"/>
    <d v="1899-12-30T18:48:00"/>
    <x v="1"/>
  </r>
  <r>
    <n v="3498"/>
    <x v="6"/>
    <n v="9115270963403"/>
    <x v="1083"/>
    <d v="2022-02-23T21:10:00"/>
    <d v="1899-12-30T02:22:00"/>
    <n v="126.76056337861894"/>
    <s v="UNPLANNED"/>
    <x v="0"/>
    <d v="1899-12-30T18:48:00"/>
    <x v="1"/>
  </r>
  <r>
    <n v="3499"/>
    <x v="1"/>
    <n v="6115271733505"/>
    <x v="1084"/>
    <d v="2022-02-23T21:10:00"/>
    <d v="1899-12-30T05:25:00"/>
    <n v="55.384615384416989"/>
    <s v="UNPLANNED"/>
    <x v="1"/>
    <d v="1899-12-30T15:45:00"/>
    <x v="1"/>
  </r>
  <r>
    <n v="3500"/>
    <x v="0"/>
    <n v="5115271289404"/>
    <x v="1084"/>
    <d v="2022-02-23T21:10:00"/>
    <d v="1899-12-30T05:25:00"/>
    <n v="55.384615384416989"/>
    <s v="UNPLANNED"/>
    <x v="0"/>
    <d v="1899-12-30T15:45:00"/>
    <x v="1"/>
  </r>
  <r>
    <n v="3501"/>
    <x v="14"/>
    <n v="1115270089300"/>
    <x v="1083"/>
    <d v="2022-02-23T21:10:00"/>
    <d v="1899-12-30T02:22:00"/>
    <n v="126.76056337861894"/>
    <s v="UNPLANNED"/>
    <x v="0"/>
    <d v="1899-12-30T18:48:00"/>
    <x v="1"/>
  </r>
  <r>
    <n v="3502"/>
    <x v="7"/>
    <n v="7115271783900"/>
    <x v="1085"/>
    <d v="2022-02-24T00:05:00"/>
    <d v="1899-12-30T01:05:00"/>
    <n v="276.92307695779488"/>
    <s v="UNPLANNED"/>
    <x v="0"/>
    <d v="1899-12-30T23:00:00"/>
    <x v="2"/>
  </r>
  <r>
    <n v="3503"/>
    <x v="13"/>
    <n v="3115270340500"/>
    <x v="1086"/>
    <d v="2022-02-24T02:30:00"/>
    <d v="1899-12-30T02:05:00"/>
    <n v="144.00000000134111"/>
    <s v="UNPLANNED"/>
    <x v="2"/>
    <d v="1899-12-30T00:25:00"/>
    <x v="2"/>
  </r>
  <r>
    <n v="3504"/>
    <x v="9"/>
    <n v="2115270226100"/>
    <x v="1086"/>
    <d v="2022-02-24T02:30:00"/>
    <d v="1899-12-30T02:05:00"/>
    <n v="144.00000000134111"/>
    <s v="UNPLANNED"/>
    <x v="1"/>
    <d v="1899-12-30T00:25:00"/>
    <x v="2"/>
  </r>
  <r>
    <n v="3505"/>
    <x v="4"/>
    <n v="15115271757000"/>
    <x v="1087"/>
    <d v="2022-02-24T20:05:00"/>
    <d v="1899-12-30T04:20:00"/>
    <n v="69.230769231079208"/>
    <s v="UNPLANNED"/>
    <x v="1"/>
    <d v="1899-12-30T15:45:00"/>
    <x v="1"/>
  </r>
  <r>
    <n v="3506"/>
    <x v="10"/>
    <n v="11115271508500"/>
    <x v="1087"/>
    <d v="2022-02-24T20:05:00"/>
    <d v="1899-12-30T04:20:00"/>
    <n v="69.230769231079208"/>
    <s v="UNPLANNED"/>
    <x v="1"/>
    <d v="1899-12-30T15:45:00"/>
    <x v="1"/>
  </r>
  <r>
    <n v="3507"/>
    <x v="10"/>
    <n v="11115271508400"/>
    <x v="1088"/>
    <d v="2022-02-24T20:05:00"/>
    <d v="1899-12-30T02:45:00"/>
    <n v="109.09090908860001"/>
    <s v="UNPLANNED"/>
    <x v="1"/>
    <d v="1899-12-30T17:20:00"/>
    <x v="1"/>
  </r>
  <r>
    <n v="3508"/>
    <x v="13"/>
    <n v="3115270306800"/>
    <x v="1087"/>
    <d v="2022-02-24T20:05:00"/>
    <d v="1899-12-30T04:20:00"/>
    <n v="69.230769231079208"/>
    <s v="UNPLANNED"/>
    <x v="1"/>
    <d v="1899-12-30T15:45:00"/>
    <x v="1"/>
  </r>
  <r>
    <n v="3509"/>
    <x v="9"/>
    <n v="2115270231500"/>
    <x v="1088"/>
    <d v="2022-02-24T20:05:00"/>
    <d v="1899-12-30T02:45:00"/>
    <n v="109.09090908860001"/>
    <s v="UNPLANNED"/>
    <x v="1"/>
    <d v="1899-12-30T17:20:00"/>
    <x v="1"/>
  </r>
  <r>
    <n v="3510"/>
    <x v="7"/>
    <n v="7115271757800"/>
    <x v="1089"/>
    <d v="2022-02-24T21:35:00"/>
    <d v="1899-12-30T01:15:00"/>
    <n v="239.99999998882413"/>
    <s v="UNPLANNED"/>
    <x v="0"/>
    <d v="1899-12-30T20:20:00"/>
    <x v="1"/>
  </r>
  <r>
    <n v="3511"/>
    <x v="8"/>
    <n v="4115270877500"/>
    <x v="1089"/>
    <d v="2022-02-24T21:35:00"/>
    <d v="1899-12-30T01:15:00"/>
    <n v="239.99999998882413"/>
    <s v="UNPLANNED"/>
    <x v="0"/>
    <d v="1899-12-30T20:20:00"/>
    <x v="1"/>
  </r>
  <r>
    <n v="3512"/>
    <x v="13"/>
    <n v="3115270366300"/>
    <x v="1089"/>
    <d v="2022-02-24T21:35:00"/>
    <d v="1899-12-30T01:15:00"/>
    <n v="239.99999998882413"/>
    <s v="UNPLANNED"/>
    <x v="0"/>
    <d v="1899-12-30T20:20:00"/>
    <x v="1"/>
  </r>
  <r>
    <n v="3513"/>
    <x v="14"/>
    <n v="1115270097105"/>
    <x v="1089"/>
    <d v="2022-02-24T21:35:00"/>
    <d v="1899-12-30T01:15:00"/>
    <n v="239.99999998882413"/>
    <s v="UNPLANNED"/>
    <x v="0"/>
    <d v="1899-12-30T20:20:00"/>
    <x v="1"/>
  </r>
  <r>
    <n v="3514"/>
    <x v="12"/>
    <n v="14115271673164"/>
    <x v="1090"/>
    <d v="2022-02-24T23:40:00"/>
    <d v="1899-12-30T00:50:00"/>
    <n v="360.00000003352761"/>
    <s v="UNPLANNED"/>
    <x v="0"/>
    <d v="1899-12-30T22:50:00"/>
    <x v="2"/>
  </r>
  <r>
    <n v="3515"/>
    <x v="9"/>
    <n v="2115270229700"/>
    <x v="1090"/>
    <d v="2022-02-24T23:40:00"/>
    <d v="1899-12-30T00:50:00"/>
    <n v="360.00000003352761"/>
    <s v="UNPLANNED"/>
    <x v="1"/>
    <d v="1899-12-30T22:50:00"/>
    <x v="2"/>
  </r>
  <r>
    <n v="3516"/>
    <x v="2"/>
    <n v="12115271567330"/>
    <x v="1091"/>
    <d v="2022-02-25T02:30:00"/>
    <d v="1899-12-30T02:20:00"/>
    <n v="128.57142857570506"/>
    <s v="UNPLANNED"/>
    <x v="0"/>
    <d v="1899-12-30T00:10:00"/>
    <x v="2"/>
  </r>
  <r>
    <n v="3517"/>
    <x v="14"/>
    <n v="1115270088200"/>
    <x v="1091"/>
    <d v="2022-02-25T02:30:00"/>
    <d v="1899-12-30T02:20:00"/>
    <n v="128.57142857570506"/>
    <s v="UNPLANNED"/>
    <x v="2"/>
    <d v="1899-12-30T00:10:00"/>
    <x v="2"/>
  </r>
  <r>
    <n v="3518"/>
    <x v="2"/>
    <n v="12115271567324"/>
    <x v="1092"/>
    <d v="2022-02-25T15:27:00"/>
    <d v="1899-12-30T05:12:00"/>
    <n v="57.692307692178538"/>
    <s v="UNPLANNED"/>
    <x v="0"/>
    <d v="1899-12-30T10:15:00"/>
    <x v="0"/>
  </r>
  <r>
    <n v="3519"/>
    <x v="10"/>
    <n v="11115271542703"/>
    <x v="1093"/>
    <d v="2022-02-25T15:27:00"/>
    <d v="1899-12-30T03:02:00"/>
    <n v="98.901098897556253"/>
    <s v="UNPLANNED"/>
    <x v="1"/>
    <d v="1899-12-30T12:25:00"/>
    <x v="0"/>
  </r>
  <r>
    <n v="3520"/>
    <x v="10"/>
    <n v="11115271064404"/>
    <x v="1094"/>
    <d v="2022-02-25T15:27:00"/>
    <d v="1899-12-30T02:02:00"/>
    <n v="147.54098360712052"/>
    <s v="UNPLANNED"/>
    <x v="0"/>
    <d v="1899-12-30T13:25:00"/>
    <x v="0"/>
  </r>
  <r>
    <n v="3521"/>
    <x v="3"/>
    <n v="8115271813105"/>
    <x v="1092"/>
    <d v="2022-02-25T15:27:00"/>
    <d v="1899-12-30T05:12:00"/>
    <n v="57.692307692178538"/>
    <s v="UNPLANNED"/>
    <x v="2"/>
    <d v="1899-12-30T10:15:00"/>
    <x v="0"/>
  </r>
  <r>
    <n v="3522"/>
    <x v="7"/>
    <n v="7115271783333"/>
    <x v="1094"/>
    <d v="2022-02-25T15:27:00"/>
    <d v="1899-12-30T02:02:00"/>
    <n v="147.54098360712052"/>
    <s v="UNPLANNED"/>
    <x v="1"/>
    <d v="1899-12-30T13:25:00"/>
    <x v="0"/>
  </r>
  <r>
    <n v="3523"/>
    <x v="7"/>
    <n v="7115271757102"/>
    <x v="1092"/>
    <d v="2022-02-25T15:27:00"/>
    <d v="1899-12-30T05:12:00"/>
    <n v="57.692307692178538"/>
    <s v="UNPLANNED"/>
    <x v="0"/>
    <d v="1899-12-30T10:15:00"/>
    <x v="0"/>
  </r>
  <r>
    <n v="3524"/>
    <x v="1"/>
    <n v="6115271723721"/>
    <x v="1092"/>
    <d v="2022-02-25T15:27:00"/>
    <d v="1899-12-30T05:12:00"/>
    <n v="57.692307692178538"/>
    <s v="UNPLANNED"/>
    <x v="0"/>
    <d v="1899-12-30T10:15:00"/>
    <x v="0"/>
  </r>
  <r>
    <n v="3525"/>
    <x v="1"/>
    <n v="6115271715600"/>
    <x v="1093"/>
    <d v="2022-02-25T15:27:00"/>
    <d v="1899-12-30T03:02:00"/>
    <n v="98.901098897556253"/>
    <s v="UNPLANNED"/>
    <x v="1"/>
    <d v="1899-12-30T12:25:00"/>
    <x v="0"/>
  </r>
  <r>
    <n v="3526"/>
    <x v="0"/>
    <n v="5115270974600"/>
    <x v="1092"/>
    <d v="2022-02-25T15:27:00"/>
    <d v="1899-12-30T05:12:00"/>
    <n v="57.692307692178538"/>
    <s v="UNPLANNED"/>
    <x v="2"/>
    <d v="1899-12-30T10:15:00"/>
    <x v="0"/>
  </r>
  <r>
    <n v="3527"/>
    <x v="8"/>
    <n v="4115270825900"/>
    <x v="1094"/>
    <d v="2022-02-25T15:27:00"/>
    <d v="1899-12-30T02:02:00"/>
    <n v="147.54098360712052"/>
    <s v="UNPLANNED"/>
    <x v="1"/>
    <d v="1899-12-30T13:25:00"/>
    <x v="0"/>
  </r>
  <r>
    <n v="3528"/>
    <x v="12"/>
    <n v="14115271684004"/>
    <x v="1095"/>
    <d v="2022-02-25T21:10:00"/>
    <d v="1899-12-30T05:55:00"/>
    <n v="50.704225351447576"/>
    <s v="UNPLANNED"/>
    <x v="2"/>
    <d v="1899-12-30T15:15:00"/>
    <x v="1"/>
  </r>
  <r>
    <n v="3529"/>
    <x v="12"/>
    <n v="14115271672601"/>
    <x v="1095"/>
    <d v="2022-02-25T21:10:00"/>
    <d v="1899-12-30T05:55:00"/>
    <n v="50.704225351447576"/>
    <s v="UNPLANNED"/>
    <x v="2"/>
    <d v="1899-12-30T15:15:00"/>
    <x v="1"/>
  </r>
  <r>
    <n v="3530"/>
    <x v="5"/>
    <n v="13115271590701"/>
    <x v="1095"/>
    <d v="2022-02-25T21:10:00"/>
    <d v="1899-12-30T05:55:00"/>
    <n v="50.704225351447576"/>
    <s v="UNPLANNED"/>
    <x v="2"/>
    <d v="1899-12-30T15:15:00"/>
    <x v="1"/>
  </r>
  <r>
    <n v="3531"/>
    <x v="11"/>
    <n v="10115271959501"/>
    <x v="1095"/>
    <d v="2022-02-25T21:10:00"/>
    <d v="1899-12-30T05:55:00"/>
    <n v="50.704225351447576"/>
    <s v="UNPLANNED"/>
    <x v="0"/>
    <d v="1899-12-30T15:15:00"/>
    <x v="1"/>
  </r>
  <r>
    <n v="3532"/>
    <x v="11"/>
    <n v="10115271454000"/>
    <x v="1095"/>
    <d v="2022-02-25T21:10:00"/>
    <d v="1899-12-30T05:55:00"/>
    <n v="50.704225351447576"/>
    <s v="UNPLANNED"/>
    <x v="1"/>
    <d v="1899-12-30T15:15:00"/>
    <x v="1"/>
  </r>
  <r>
    <n v="3533"/>
    <x v="7"/>
    <n v="7115271757102"/>
    <x v="1095"/>
    <d v="2022-02-25T21:10:00"/>
    <d v="1899-12-30T05:55:00"/>
    <n v="50.704225351447576"/>
    <s v="UNPLANNED"/>
    <x v="1"/>
    <d v="1899-12-30T15:15:00"/>
    <x v="1"/>
  </r>
  <r>
    <n v="3534"/>
    <x v="7"/>
    <n v="7115271756500"/>
    <x v="1095"/>
    <d v="2022-02-25T21:10:00"/>
    <d v="1899-12-30T05:55:00"/>
    <n v="50.704225351447576"/>
    <s v="UNPLANNED"/>
    <x v="0"/>
    <d v="1899-12-30T15:15:00"/>
    <x v="1"/>
  </r>
  <r>
    <n v="3535"/>
    <x v="13"/>
    <n v="3115270366502"/>
    <x v="1096"/>
    <d v="2022-02-25T23:00:00"/>
    <d v="1899-12-30T00:35:00"/>
    <n v="514.28571430282022"/>
    <s v="UNPLANNED"/>
    <x v="0"/>
    <d v="1899-12-30T22:25:00"/>
    <x v="2"/>
  </r>
  <r>
    <n v="3536"/>
    <x v="9"/>
    <n v="2115270267000"/>
    <x v="1097"/>
    <d v="2022-02-26T01:30:00"/>
    <d v="1899-12-30T00:40:00"/>
    <n v="449.99999994761311"/>
    <s v="UNPLANNED"/>
    <x v="2"/>
    <d v="1899-12-30T00:50:00"/>
    <x v="2"/>
  </r>
  <r>
    <n v="3537"/>
    <x v="5"/>
    <n v="13115271591501"/>
    <x v="1098"/>
    <d v="2022-02-26T03:00:00"/>
    <d v="1899-12-30T01:15:00"/>
    <n v="239.99999998882413"/>
    <s v="UNPLANNED"/>
    <x v="0"/>
    <d v="1899-12-30T01:45:00"/>
    <x v="2"/>
  </r>
  <r>
    <n v="3538"/>
    <x v="9"/>
    <n v="2115270221500"/>
    <x v="1098"/>
    <d v="2022-02-26T03:00:00"/>
    <d v="1899-12-30T01:15:00"/>
    <n v="239.99999998882413"/>
    <s v="UNPLANNED"/>
    <x v="1"/>
    <d v="1899-12-30T01:45:00"/>
    <x v="2"/>
  </r>
  <r>
    <n v="3539"/>
    <x v="12"/>
    <n v="14115271688755"/>
    <x v="1099"/>
    <d v="2022-02-26T15:04:00"/>
    <d v="1899-12-30T05:42:00"/>
    <n v="52.631578946723458"/>
    <s v="UNPLANNED"/>
    <x v="1"/>
    <d v="1899-12-30T09:22:00"/>
    <x v="0"/>
  </r>
  <r>
    <n v="3540"/>
    <x v="12"/>
    <n v="14115271674713"/>
    <x v="1099"/>
    <d v="2022-02-26T15:04:00"/>
    <d v="1899-12-30T05:42:00"/>
    <n v="52.631578946723458"/>
    <s v="UNPLANNED"/>
    <x v="1"/>
    <d v="1899-12-30T09:22:00"/>
    <x v="0"/>
  </r>
  <r>
    <n v="3541"/>
    <x v="5"/>
    <n v="13115271590901"/>
    <x v="1099"/>
    <d v="2022-02-26T15:04:00"/>
    <d v="1899-12-30T05:42:00"/>
    <n v="52.631578946723458"/>
    <s v="UNPLANNED"/>
    <x v="6"/>
    <d v="1899-12-30T09:22:00"/>
    <x v="0"/>
  </r>
  <r>
    <n v="3542"/>
    <x v="2"/>
    <n v="12115271574908"/>
    <x v="1099"/>
    <d v="2022-02-26T15:04:00"/>
    <d v="1899-12-30T05:42:00"/>
    <n v="52.631578946723458"/>
    <s v="UNPLANNED"/>
    <x v="0"/>
    <d v="1899-12-30T09:22:00"/>
    <x v="0"/>
  </r>
  <r>
    <n v="3543"/>
    <x v="11"/>
    <n v="10115271468601"/>
    <x v="1100"/>
    <d v="2022-02-26T15:04:00"/>
    <d v="1899-12-30T02:44:00"/>
    <n v="109.75609756081978"/>
    <s v="UNPLANNED"/>
    <x v="0"/>
    <d v="1899-12-30T12:20:00"/>
    <x v="0"/>
  </r>
  <r>
    <n v="3544"/>
    <x v="6"/>
    <n v="9115271949400"/>
    <x v="1099"/>
    <d v="2022-02-26T15:04:00"/>
    <d v="1899-12-30T05:42:00"/>
    <n v="52.631578946723458"/>
    <s v="UNPLANNED"/>
    <x v="0"/>
    <d v="1899-12-30T09:22:00"/>
    <x v="0"/>
  </r>
  <r>
    <n v="3545"/>
    <x v="3"/>
    <n v="8115271809908"/>
    <x v="1099"/>
    <d v="2022-02-26T15:04:00"/>
    <d v="1899-12-30T05:42:00"/>
    <n v="52.631578946723458"/>
    <s v="UNPLANNED"/>
    <x v="0"/>
    <d v="1899-12-30T09:22:00"/>
    <x v="0"/>
  </r>
  <r>
    <n v="3546"/>
    <x v="7"/>
    <n v="7115271783201"/>
    <x v="1099"/>
    <d v="2022-02-26T15:04:00"/>
    <d v="1899-12-30T05:42:00"/>
    <n v="52.631578946723458"/>
    <s v="UNPLANNED"/>
    <x v="0"/>
    <d v="1899-12-30T09:22:00"/>
    <x v="0"/>
  </r>
  <r>
    <n v="3547"/>
    <x v="7"/>
    <n v="7115271758900"/>
    <x v="1099"/>
    <d v="2022-02-26T15:04:00"/>
    <d v="1899-12-30T05:42:00"/>
    <n v="52.631578946723458"/>
    <s v="UNPLANNED"/>
    <x v="0"/>
    <d v="1899-12-30T09:22:00"/>
    <x v="0"/>
  </r>
  <r>
    <n v="3548"/>
    <x v="1"/>
    <n v="6115271741600"/>
    <x v="1100"/>
    <d v="2022-02-26T15:04:00"/>
    <d v="1899-12-30T02:44:00"/>
    <n v="109.75609756081978"/>
    <s v="UNPLANNED"/>
    <x v="0"/>
    <d v="1899-12-30T12:20:00"/>
    <x v="0"/>
  </r>
  <r>
    <n v="3549"/>
    <x v="8"/>
    <n v="4115270826901"/>
    <x v="1100"/>
    <d v="2022-02-26T15:04:00"/>
    <d v="1899-12-30T02:44:00"/>
    <n v="109.75609756081978"/>
    <s v="UNPLANNED"/>
    <x v="1"/>
    <d v="1899-12-30T12:20:00"/>
    <x v="0"/>
  </r>
  <r>
    <n v="3550"/>
    <x v="11"/>
    <n v="10115271468900"/>
    <x v="1101"/>
    <d v="2022-02-26T17:10:00"/>
    <d v="1899-12-30T01:40:00"/>
    <n v="179.99999999790452"/>
    <s v="UNPLANNED"/>
    <x v="1"/>
    <d v="1899-12-30T15:30:00"/>
    <x v="1"/>
  </r>
  <r>
    <n v="3551"/>
    <x v="13"/>
    <n v="3115270355900"/>
    <x v="1101"/>
    <d v="2022-02-26T17:10:00"/>
    <d v="1899-12-30T01:40:00"/>
    <n v="179.99999999790452"/>
    <s v="UNPLANNED"/>
    <x v="1"/>
    <d v="1899-12-30T15:30:00"/>
    <x v="1"/>
  </r>
  <r>
    <n v="3552"/>
    <x v="10"/>
    <n v="11115271508600"/>
    <x v="1102"/>
    <d v="2022-02-26T19:40:00"/>
    <d v="1899-12-30T02:22:00"/>
    <n v="126.76056337861894"/>
    <s v="UNPLANNED"/>
    <x v="1"/>
    <d v="1899-12-30T17:18:00"/>
    <x v="1"/>
  </r>
  <r>
    <n v="3553"/>
    <x v="7"/>
    <n v="7115271768202"/>
    <x v="1102"/>
    <d v="2022-02-26T19:40:00"/>
    <d v="1899-12-30T02:22:00"/>
    <n v="126.76056337861894"/>
    <s v="UNPLANNED"/>
    <x v="1"/>
    <d v="1899-12-30T17:18:00"/>
    <x v="1"/>
  </r>
  <r>
    <n v="3554"/>
    <x v="1"/>
    <n v="6115271715800"/>
    <x v="1102"/>
    <d v="2022-02-26T19:40:00"/>
    <d v="1899-12-30T02:22:00"/>
    <n v="126.76056337861894"/>
    <s v="UNPLANNED"/>
    <x v="1"/>
    <d v="1899-12-30T17:18:00"/>
    <x v="1"/>
  </r>
  <r>
    <n v="3555"/>
    <x v="13"/>
    <n v="3115270367100"/>
    <x v="1102"/>
    <d v="2022-02-26T19:40:00"/>
    <d v="1899-12-30T02:22:00"/>
    <n v="126.76056337861894"/>
    <s v="UNPLANNED"/>
    <x v="6"/>
    <d v="1899-12-30T17:18:00"/>
    <x v="1"/>
  </r>
  <r>
    <n v="3556"/>
    <x v="14"/>
    <n v="1115270143301"/>
    <x v="1102"/>
    <d v="2022-02-26T19:40:00"/>
    <d v="1899-12-30T02:22:00"/>
    <n v="126.76056337861894"/>
    <s v="UNPLANNED"/>
    <x v="6"/>
    <d v="1899-12-30T17:18:00"/>
    <x v="1"/>
  </r>
  <r>
    <n v="3557"/>
    <x v="14"/>
    <n v="1115270097300"/>
    <x v="1102"/>
    <d v="2022-02-26T19:40:00"/>
    <d v="1899-12-30T02:22:00"/>
    <n v="126.76056337861894"/>
    <s v="UNPLANNED"/>
    <x v="1"/>
    <d v="1899-12-30T17:18:00"/>
    <x v="1"/>
  </r>
  <r>
    <n v="3558"/>
    <x v="12"/>
    <n v="14115271672905"/>
    <x v="1103"/>
    <d v="2022-02-26T21:05:00"/>
    <d v="1899-12-30T00:50:00"/>
    <n v="360.00000003352761"/>
    <s v="UNPLANNED"/>
    <x v="1"/>
    <d v="1899-12-30T20:15:00"/>
    <x v="1"/>
  </r>
  <r>
    <n v="3559"/>
    <x v="14"/>
    <n v="1115270110800"/>
    <x v="1103"/>
    <d v="2022-02-26T21:05:00"/>
    <d v="1899-12-30T00:50:00"/>
    <n v="360.00000003352761"/>
    <s v="UNPLANNED"/>
    <x v="2"/>
    <d v="1899-12-30T20:15:00"/>
    <x v="1"/>
  </r>
  <r>
    <n v="3560"/>
    <x v="13"/>
    <n v="3115270341005"/>
    <x v="1104"/>
    <d v="2022-02-26T22:00:00"/>
    <d v="1899-12-30T00:35:00"/>
    <n v="514.28571430282022"/>
    <s v="UNPLANNED"/>
    <x v="1"/>
    <d v="1899-12-30T21:25:00"/>
    <x v="1"/>
  </r>
  <r>
    <n v="3561"/>
    <x v="11"/>
    <n v="10115271454206"/>
    <x v="1105"/>
    <d v="2022-02-27T00:00:01"/>
    <d v="1899-12-30T01:40:01"/>
    <n v="179.97000499006151"/>
    <s v="UNPLANNED"/>
    <x v="1"/>
    <d v="1899-12-30T22:20:00"/>
    <x v="2"/>
  </r>
  <r>
    <n v="3562"/>
    <x v="2"/>
    <n v="12115271566801"/>
    <x v="1106"/>
    <d v="2022-02-27T01:15:00"/>
    <d v="1899-12-30T00:45:00"/>
    <n v="400"/>
    <s v="UNPLANNED"/>
    <x v="1"/>
    <d v="1899-12-30T00:30:00"/>
    <x v="2"/>
  </r>
  <r>
    <n v="3563"/>
    <x v="3"/>
    <n v="8115271833900"/>
    <x v="1106"/>
    <d v="2022-02-27T01:15:00"/>
    <d v="1899-12-30T00:45:00"/>
    <n v="400"/>
    <s v="UNPLANNED"/>
    <x v="0"/>
    <d v="1899-12-30T00:30:00"/>
    <x v="2"/>
  </r>
  <r>
    <n v="3564"/>
    <x v="12"/>
    <n v="14115271687624"/>
    <x v="1107"/>
    <d v="2022-02-27T14:15:00"/>
    <d v="1899-12-30T03:30:00"/>
    <n v="85.714285712860217"/>
    <s v="UNPLANNED"/>
    <x v="0"/>
    <d v="1899-12-30T10:45:00"/>
    <x v="0"/>
  </r>
  <r>
    <n v="3565"/>
    <x v="2"/>
    <n v="12115271571055"/>
    <x v="1107"/>
    <d v="2022-02-27T14:15:00"/>
    <d v="1899-12-30T03:30:00"/>
    <n v="85.714285712860217"/>
    <s v="UNPLANNED"/>
    <x v="0"/>
    <d v="1899-12-30T10:45:00"/>
    <x v="0"/>
  </r>
  <r>
    <n v="3566"/>
    <x v="10"/>
    <n v="11115271542511"/>
    <x v="1107"/>
    <d v="2022-02-27T14:15:00"/>
    <d v="1899-12-30T03:30:00"/>
    <n v="85.714285712860217"/>
    <s v="UNPLANNED"/>
    <x v="0"/>
    <d v="1899-12-30T10:45:00"/>
    <x v="0"/>
  </r>
  <r>
    <n v="3567"/>
    <x v="3"/>
    <n v="8115271878302"/>
    <x v="1108"/>
    <d v="2022-02-27T14:15:00"/>
    <d v="1899-12-30T00:45:00"/>
    <n v="400"/>
    <s v="UNPLANNED"/>
    <x v="0"/>
    <d v="1899-12-30T13:30:00"/>
    <x v="0"/>
  </r>
  <r>
    <n v="3568"/>
    <x v="7"/>
    <n v="7115271783902"/>
    <x v="1108"/>
    <d v="2022-02-27T14:15:00"/>
    <d v="1899-12-30T00:45:00"/>
    <n v="400"/>
    <s v="UNPLANNED"/>
    <x v="0"/>
    <d v="1899-12-30T13:30:00"/>
    <x v="0"/>
  </r>
  <r>
    <n v="3569"/>
    <x v="1"/>
    <n v="6115271773730"/>
    <x v="1107"/>
    <d v="2022-02-27T14:15:00"/>
    <d v="1899-12-30T03:30:00"/>
    <n v="85.714285712860217"/>
    <s v="UNPLANNED"/>
    <x v="0"/>
    <d v="1899-12-30T10:45:00"/>
    <x v="0"/>
  </r>
  <r>
    <n v="3570"/>
    <x v="13"/>
    <n v="3115270366706"/>
    <x v="1109"/>
    <d v="2022-02-27T14:15:00"/>
    <d v="1899-12-30T02:05:00"/>
    <n v="144.00000000134111"/>
    <s v="UNPLANNED"/>
    <x v="1"/>
    <d v="1899-12-30T12:10:00"/>
    <x v="0"/>
  </r>
  <r>
    <n v="3571"/>
    <x v="14"/>
    <n v="1115270071500"/>
    <x v="1109"/>
    <d v="2022-02-27T14:15:00"/>
    <d v="1899-12-30T02:05:00"/>
    <n v="144.00000000134111"/>
    <s v="UNPLANNED"/>
    <x v="1"/>
    <d v="1899-12-30T12:10:00"/>
    <x v="0"/>
  </r>
  <r>
    <n v="3572"/>
    <x v="7"/>
    <n v="7115271768201"/>
    <x v="1110"/>
    <d v="2022-02-27T16:25:00"/>
    <d v="1899-12-30T00:57:00"/>
    <n v="315.78947364164316"/>
    <s v="UNPLANNED"/>
    <x v="0"/>
    <d v="1899-12-30T15:28:00"/>
    <x v="1"/>
  </r>
  <r>
    <n v="3573"/>
    <x v="1"/>
    <n v="6115271745800"/>
    <x v="1110"/>
    <d v="2022-02-27T16:25:00"/>
    <d v="1899-12-30T00:57:00"/>
    <n v="315.78947364164316"/>
    <s v="UNPLANNED"/>
    <x v="0"/>
    <d v="1899-12-30T15:28:00"/>
    <x v="1"/>
  </r>
  <r>
    <n v="3574"/>
    <x v="14"/>
    <n v="1115270112500"/>
    <x v="1111"/>
    <d v="2022-02-27T19:50:00"/>
    <d v="1899-12-30T00:50:00"/>
    <n v="359.99999995809048"/>
    <s v="UNPLANNED"/>
    <x v="0"/>
    <d v="1899-12-30T19:00:00"/>
    <x v="1"/>
  </r>
  <r>
    <n v="3575"/>
    <x v="2"/>
    <n v="12115271571058"/>
    <x v="1112"/>
    <d v="2022-02-27T21:35:00"/>
    <d v="1899-12-30T01:40:00"/>
    <n v="179.99999999790452"/>
    <s v="UNPLANNED"/>
    <x v="0"/>
    <d v="1899-12-30T19:55:00"/>
    <x v="1"/>
  </r>
  <r>
    <n v="3576"/>
    <x v="13"/>
    <n v="3115270366800"/>
    <x v="1113"/>
    <d v="2022-02-28T00:50:00"/>
    <d v="1899-12-30T02:05:00"/>
    <n v="144.00000000134111"/>
    <s v="UNPLANNED"/>
    <x v="0"/>
    <d v="1899-12-30T22:45:00"/>
    <x v="2"/>
  </r>
  <r>
    <n v="3577"/>
    <x v="9"/>
    <n v="2115270200801"/>
    <x v="1113"/>
    <d v="2022-02-28T00:50:00"/>
    <d v="1899-12-30T02:05:00"/>
    <n v="144.00000000134111"/>
    <s v="UNPLANNED"/>
    <x v="6"/>
    <d v="1899-12-30T22:45:00"/>
    <x v="2"/>
  </r>
  <r>
    <n v="3578"/>
    <x v="7"/>
    <n v="7115271787212"/>
    <x v="1114"/>
    <d v="2022-02-28T02:20:00"/>
    <d v="1899-12-30T00:45:00"/>
    <n v="400"/>
    <s v="UNPLANNED"/>
    <x v="0"/>
    <d v="1899-12-30T01:35:00"/>
    <x v="2"/>
  </r>
  <r>
    <n v="3579"/>
    <x v="2"/>
    <n v="12115271581003"/>
    <x v="1115"/>
    <d v="2022-02-28T04:20:00"/>
    <d v="1899-12-30T01:05:00"/>
    <n v="276.9230769131575"/>
    <s v="UNPLANNED"/>
    <x v="1"/>
    <d v="1899-12-30T03:15:00"/>
    <x v="2"/>
  </r>
  <r>
    <n v="3580"/>
    <x v="7"/>
    <n v="7115271795607"/>
    <x v="1115"/>
    <d v="2022-02-28T04:20:00"/>
    <d v="1899-12-30T01:05:00"/>
    <n v="276.9230769131575"/>
    <s v="UNPLANNED"/>
    <x v="1"/>
    <d v="1899-12-30T03:15:00"/>
    <x v="2"/>
  </r>
  <r>
    <n v="3581"/>
    <x v="2"/>
    <n v="12115271573213"/>
    <x v="1116"/>
    <d v="2022-02-28T09:15:00"/>
    <d v="1899-12-30T00:30:00"/>
    <n v="600.00000013969839"/>
    <s v="UNPLANNED"/>
    <x v="1"/>
    <d v="1899-12-30T08:45:00"/>
    <x v="0"/>
  </r>
  <r>
    <n v="3582"/>
    <x v="12"/>
    <n v="14115271672607"/>
    <x v="1117"/>
    <d v="2022-02-28T14:00:00"/>
    <d v="1899-12-30T02:45:00"/>
    <n v="109.09090908860001"/>
    <s v="UNPLANNED"/>
    <x v="0"/>
    <d v="1899-12-30T11:15:00"/>
    <x v="0"/>
  </r>
  <r>
    <n v="3583"/>
    <x v="5"/>
    <n v="13115271591204"/>
    <x v="1117"/>
    <d v="2022-02-28T14:00:00"/>
    <d v="1899-12-30T02:45:00"/>
    <n v="109.09090908860001"/>
    <s v="UNPLANNED"/>
    <x v="0"/>
    <d v="1899-12-30T11:15:00"/>
    <x v="0"/>
  </r>
  <r>
    <n v="3584"/>
    <x v="11"/>
    <n v="10115271454100"/>
    <x v="1117"/>
    <d v="2022-02-28T14:00:00"/>
    <d v="1899-12-30T02:45:00"/>
    <n v="109.09090908860001"/>
    <s v="UNPLANNED"/>
    <x v="1"/>
    <d v="1899-12-30T11:15:00"/>
    <x v="0"/>
  </r>
  <r>
    <n v="3585"/>
    <x v="7"/>
    <n v="7115271783900"/>
    <x v="1118"/>
    <d v="2022-02-28T14:00:00"/>
    <d v="1899-12-30T00:40:00"/>
    <n v="449.99999994761311"/>
    <s v="UNPLANNED"/>
    <x v="0"/>
    <d v="1899-12-30T13:20:00"/>
    <x v="0"/>
  </r>
  <r>
    <n v="3586"/>
    <x v="1"/>
    <n v="6115271723505"/>
    <x v="1117"/>
    <d v="2022-02-28T14:00:00"/>
    <d v="1899-12-30T02:45:00"/>
    <n v="109.09090908860001"/>
    <s v="UNPLANNED"/>
    <x v="0"/>
    <d v="1899-12-30T11:15:00"/>
    <x v="0"/>
  </r>
  <r>
    <n v="3587"/>
    <x v="13"/>
    <n v="3115270386302"/>
    <x v="1119"/>
    <d v="2022-02-28T14:00:00"/>
    <d v="1899-12-30T01:15:00"/>
    <n v="239.99999998882413"/>
    <s v="UNPLANNED"/>
    <x v="0"/>
    <d v="1899-12-30T12:45:00"/>
    <x v="0"/>
  </r>
  <r>
    <n v="3588"/>
    <x v="14"/>
    <n v="1115270066900"/>
    <x v="1120"/>
    <d v="2022-02-28T17:00:00"/>
    <d v="1899-12-30T02:10:00"/>
    <n v="138.46153845657875"/>
    <s v="UNPLANNED"/>
    <x v="0"/>
    <d v="1899-12-30T14:50:00"/>
    <x v="1"/>
  </r>
  <r>
    <n v="3589"/>
    <x v="7"/>
    <n v="7115271787213"/>
    <x v="1121"/>
    <d v="2022-02-28T21:35:00"/>
    <d v="1899-12-30T03:05:00"/>
    <n v="97.297297299746361"/>
    <s v="UNPLANNED"/>
    <x v="0"/>
    <d v="1899-12-30T18:30:00"/>
    <x v="1"/>
  </r>
  <r>
    <n v="3590"/>
    <x v="0"/>
    <n v="5115271256500"/>
    <x v="1121"/>
    <d v="2022-02-28T21:35:00"/>
    <d v="1899-12-30T03:05:00"/>
    <n v="97.297297299746361"/>
    <s v="UNPLANNED"/>
    <x v="0"/>
    <d v="1899-12-30T18:30:00"/>
    <x v="1"/>
  </r>
  <r>
    <n v="3591"/>
    <x v="14"/>
    <n v="1115270097105"/>
    <x v="1121"/>
    <d v="2022-02-28T21:35:00"/>
    <d v="1899-12-30T03:05:00"/>
    <n v="97.297297299746361"/>
    <s v="UNPLANNED"/>
    <x v="0"/>
    <d v="1899-12-30T18:30:00"/>
    <x v="1"/>
  </r>
  <r>
    <n v="3592"/>
    <x v="10"/>
    <n v="11115271508805"/>
    <x v="1122"/>
    <d v="2022-03-01T12:30:00"/>
    <d v="1899-12-30T01:00:00"/>
    <n v="299.9999999650754"/>
    <s v="UNPLANNED"/>
    <x v="1"/>
    <d v="1899-12-30T11:30:00"/>
    <x v="0"/>
  </r>
  <r>
    <n v="3593"/>
    <x v="8"/>
    <n v="4115270836500"/>
    <x v="1122"/>
    <d v="2022-03-01T12:30:00"/>
    <d v="1899-12-30T01:00:00"/>
    <n v="299.9999999650754"/>
    <s v="UNPLANNED"/>
    <x v="0"/>
    <d v="1899-12-30T11:30:00"/>
    <x v="0"/>
  </r>
  <r>
    <n v="3594"/>
    <x v="2"/>
    <n v="12115271560132"/>
    <x v="1123"/>
    <d v="2022-03-01T17:30:00"/>
    <d v="1899-12-30T02:55:00"/>
    <n v="102.85714286056404"/>
    <s v="UNPLANNED"/>
    <x v="0"/>
    <d v="1899-12-30T14:35:00"/>
    <x v="1"/>
  </r>
  <r>
    <n v="3595"/>
    <x v="11"/>
    <n v="10115271433500"/>
    <x v="1123"/>
    <d v="2022-03-01T17:30:00"/>
    <d v="1899-12-30T02:55:00"/>
    <n v="102.85714286056404"/>
    <s v="UNPLANNED"/>
    <x v="1"/>
    <d v="1899-12-30T14:35:00"/>
    <x v="1"/>
  </r>
  <r>
    <n v="3596"/>
    <x v="14"/>
    <n v="1115270074500"/>
    <x v="1123"/>
    <d v="2022-03-01T17:30:00"/>
    <d v="1899-12-30T02:55:00"/>
    <n v="102.85714286056404"/>
    <s v="UNPLANNED"/>
    <x v="0"/>
    <d v="1899-12-30T14:35:00"/>
    <x v="1"/>
  </r>
  <r>
    <n v="3597"/>
    <x v="10"/>
    <n v="11115271542703"/>
    <x v="1124"/>
    <d v="2022-03-02T13:50:00"/>
    <d v="1899-12-30T03:35:00"/>
    <n v="83.720930233011458"/>
    <s v="UNPLANNED"/>
    <x v="1"/>
    <d v="1899-12-30T10:15:00"/>
    <x v="0"/>
  </r>
  <r>
    <n v="3598"/>
    <x v="6"/>
    <n v="9115271944000"/>
    <x v="1124"/>
    <d v="2022-03-02T13:50:00"/>
    <d v="1899-12-30T03:35:00"/>
    <n v="83.720930233011458"/>
    <s v="UNPLANNED"/>
    <x v="0"/>
    <d v="1899-12-30T10:15:00"/>
    <x v="0"/>
  </r>
  <r>
    <n v="3599"/>
    <x v="7"/>
    <n v="7115271757800"/>
    <x v="1124"/>
    <d v="2022-03-02T13:50:00"/>
    <d v="1899-12-30T03:35:00"/>
    <n v="83.720930233011458"/>
    <s v="UNPLANNED"/>
    <x v="2"/>
    <d v="1899-12-30T10:15:00"/>
    <x v="0"/>
  </r>
  <r>
    <n v="3600"/>
    <x v="0"/>
    <n v="5115271259500"/>
    <x v="1125"/>
    <d v="2022-03-02T13:50:00"/>
    <d v="1899-12-30T03:55:00"/>
    <n v="76.595744680471626"/>
    <s v="UNPLANNED"/>
    <x v="0"/>
    <d v="1899-12-30T09:55:00"/>
    <x v="0"/>
  </r>
  <r>
    <n v="3601"/>
    <x v="13"/>
    <n v="3115270367100"/>
    <x v="1126"/>
    <d v="2022-03-02T13:50:00"/>
    <d v="1899-12-30T04:05:00"/>
    <n v="73.46938775440384"/>
    <s v="UNPLANNED"/>
    <x v="0"/>
    <d v="1899-12-30T09:45:00"/>
    <x v="0"/>
  </r>
  <r>
    <n v="3602"/>
    <x v="2"/>
    <n v="12115271571057"/>
    <x v="1127"/>
    <d v="2022-03-02T20:30:00"/>
    <d v="1899-12-30T02:20:00"/>
    <n v="128.57142857570506"/>
    <s v="UNPLANNED"/>
    <x v="0"/>
    <d v="1899-12-30T18:10:00"/>
    <x v="1"/>
  </r>
  <r>
    <n v="3603"/>
    <x v="11"/>
    <n v="10115271967900"/>
    <x v="1127"/>
    <d v="2022-03-02T20:30:00"/>
    <d v="1899-12-30T02:20:00"/>
    <n v="128.57142857570506"/>
    <s v="UNPLANNED"/>
    <x v="0"/>
    <d v="1899-12-30T18:10:00"/>
    <x v="1"/>
  </r>
  <r>
    <n v="3604"/>
    <x v="7"/>
    <n v="7115271768107"/>
    <x v="1127"/>
    <d v="2022-03-02T20:30:00"/>
    <d v="1899-12-30T02:20:00"/>
    <n v="128.57142857570506"/>
    <s v="UNPLANNED"/>
    <x v="0"/>
    <d v="1899-12-30T18:10:00"/>
    <x v="1"/>
  </r>
  <r>
    <n v="3605"/>
    <x v="9"/>
    <n v="2115270221300"/>
    <x v="1127"/>
    <d v="2022-03-02T20:30:00"/>
    <d v="1899-12-30T02:20:00"/>
    <n v="128.57142857570506"/>
    <s v="UNPLANNED"/>
    <x v="0"/>
    <d v="1899-12-30T18:10:00"/>
    <x v="1"/>
  </r>
  <r>
    <n v="3606"/>
    <x v="8"/>
    <n v="4115270827200"/>
    <x v="1128"/>
    <d v="2022-03-03T00:40:00"/>
    <d v="1899-12-30T00:39:59"/>
    <n v="450.18757814900204"/>
    <s v="UNPLANNED"/>
    <x v="0"/>
    <d v="1899-12-30T00:00:01"/>
    <x v="2"/>
  </r>
  <r>
    <n v="3607"/>
    <x v="0"/>
    <n v="5115271296409"/>
    <x v="1129"/>
    <d v="2022-03-03T02:45:00"/>
    <d v="1899-12-30T01:30:00"/>
    <n v="200"/>
    <s v="UNPLANNED"/>
    <x v="2"/>
    <d v="1899-12-30T01:15:00"/>
    <x v="2"/>
  </r>
  <r>
    <n v="3608"/>
    <x v="9"/>
    <n v="2115270218301"/>
    <x v="1129"/>
    <d v="2022-03-03T02:45:00"/>
    <d v="1899-12-30T01:30:00"/>
    <n v="200"/>
    <s v="UNPLANNED"/>
    <x v="1"/>
    <d v="1899-12-30T01:15:00"/>
    <x v="2"/>
  </r>
  <r>
    <n v="3609"/>
    <x v="2"/>
    <n v="12115271560131"/>
    <x v="1130"/>
    <d v="2022-03-03T10:30:00"/>
    <d v="1899-12-30T02:15:00"/>
    <n v="133.33333333333331"/>
    <s v="UNPLANNED"/>
    <x v="0"/>
    <d v="1899-12-30T08:15:00"/>
    <x v="0"/>
  </r>
  <r>
    <n v="3610"/>
    <x v="7"/>
    <n v="7115271768108"/>
    <x v="1130"/>
    <d v="2022-03-03T10:30:00"/>
    <d v="1899-12-30T02:15:00"/>
    <n v="133.33333333333331"/>
    <s v="UNPLANNED"/>
    <x v="1"/>
    <d v="1899-12-30T08:15:00"/>
    <x v="0"/>
  </r>
  <r>
    <n v="3611"/>
    <x v="9"/>
    <n v="2115270295304"/>
    <x v="1131"/>
    <d v="2022-03-03T10:30:00"/>
    <d v="1899-12-30T01:40:00"/>
    <n v="179.99999999790452"/>
    <s v="UNPLANNED"/>
    <x v="0"/>
    <d v="1899-12-30T08:50:00"/>
    <x v="0"/>
  </r>
  <r>
    <n v="3612"/>
    <x v="5"/>
    <n v="13115271591705"/>
    <x v="1132"/>
    <d v="2022-03-03T11:45:00"/>
    <d v="1899-12-30T00:45:00"/>
    <n v="400"/>
    <s v="UNPLANNED"/>
    <x v="0"/>
    <d v="1899-12-30T11:00:00"/>
    <x v="0"/>
  </r>
  <r>
    <n v="3613"/>
    <x v="12"/>
    <n v="14115271683403"/>
    <x v="1133"/>
    <d v="2022-03-03T20:45:00"/>
    <d v="1899-12-30T04:15:00"/>
    <n v="70.588235293150888"/>
    <s v="UNPLANNED"/>
    <x v="0"/>
    <d v="1899-12-30T16:30:00"/>
    <x v="1"/>
  </r>
  <r>
    <n v="3614"/>
    <x v="12"/>
    <n v="14115271677400"/>
    <x v="1133"/>
    <d v="2022-03-03T20:45:00"/>
    <d v="1899-12-30T04:15:00"/>
    <n v="70.588235293150888"/>
    <s v="UNPLANNED"/>
    <x v="1"/>
    <d v="1899-12-30T16:30:00"/>
    <x v="1"/>
  </r>
  <r>
    <n v="3615"/>
    <x v="12"/>
    <n v="14115271675316"/>
    <x v="1133"/>
    <d v="2022-03-03T20:45:00"/>
    <d v="1899-12-30T04:15:00"/>
    <n v="70.588235293150888"/>
    <s v="UNPLANNED"/>
    <x v="0"/>
    <d v="1899-12-30T16:30:00"/>
    <x v="1"/>
  </r>
  <r>
    <n v="3616"/>
    <x v="12"/>
    <n v="14115271672410"/>
    <x v="1133"/>
    <d v="2022-03-03T20:45:00"/>
    <d v="1899-12-30T04:15:00"/>
    <n v="70.588235293150888"/>
    <s v="UNPLANNED"/>
    <x v="0"/>
    <d v="1899-12-30T16:30:00"/>
    <x v="1"/>
  </r>
  <r>
    <n v="3617"/>
    <x v="5"/>
    <n v="13115271662100"/>
    <x v="1133"/>
    <d v="2022-03-03T20:45:00"/>
    <d v="1899-12-30T04:15:00"/>
    <n v="70.588235293150888"/>
    <s v="UNPLANNED"/>
    <x v="0"/>
    <d v="1899-12-30T16:30:00"/>
    <x v="1"/>
  </r>
  <r>
    <n v="3618"/>
    <x v="2"/>
    <n v="12115271590203"/>
    <x v="1133"/>
    <d v="2022-03-03T20:45:00"/>
    <d v="1899-12-30T04:15:00"/>
    <n v="70.588235293150888"/>
    <s v="UNPLANNED"/>
    <x v="0"/>
    <d v="1899-12-30T16:30:00"/>
    <x v="1"/>
  </r>
  <r>
    <n v="3619"/>
    <x v="1"/>
    <n v="6115271704005"/>
    <x v="1133"/>
    <d v="2022-03-03T20:45:00"/>
    <d v="1899-12-30T04:15:00"/>
    <n v="70.588235293150888"/>
    <s v="UNPLANNED"/>
    <x v="0"/>
    <d v="1899-12-30T16:30:00"/>
    <x v="1"/>
  </r>
  <r>
    <n v="3620"/>
    <x v="9"/>
    <n v="2115270233401"/>
    <x v="1133"/>
    <d v="2022-03-03T20:45:00"/>
    <d v="1899-12-30T04:15:00"/>
    <n v="70.588235293150888"/>
    <s v="UNPLANNED"/>
    <x v="2"/>
    <d v="1899-12-30T16:30:00"/>
    <x v="1"/>
  </r>
  <r>
    <n v="3621"/>
    <x v="12"/>
    <n v="14115271672900"/>
    <x v="1134"/>
    <d v="2022-03-04T01:00:00"/>
    <d v="1899-12-30T02:00:00"/>
    <n v="150.00000000873115"/>
    <s v="UNPLANNED"/>
    <x v="1"/>
    <d v="1899-12-30T23:00:00"/>
    <x v="2"/>
  </r>
  <r>
    <n v="3622"/>
    <x v="1"/>
    <n v="6115271717223"/>
    <x v="1134"/>
    <d v="2022-03-04T01:00:00"/>
    <d v="1899-12-30T02:00:00"/>
    <n v="150.00000000873115"/>
    <s v="UNPLANNED"/>
    <x v="0"/>
    <d v="1899-12-30T23:00:00"/>
    <x v="2"/>
  </r>
  <r>
    <n v="3623"/>
    <x v="14"/>
    <n v="1115270050900"/>
    <x v="1134"/>
    <d v="2022-03-04T01:00:00"/>
    <d v="1899-12-30T02:00:00"/>
    <n v="150.00000000873115"/>
    <s v="UNPLANNED"/>
    <x v="0"/>
    <d v="1899-12-30T23:00:00"/>
    <x v="2"/>
  </r>
  <r>
    <n v="3624"/>
    <x v="4"/>
    <n v="15115271743806"/>
    <x v="1135"/>
    <d v="2022-03-04T05:20:00"/>
    <d v="1899-12-30T00:50:00"/>
    <n v="360.00000003352761"/>
    <s v="UNPLANNED"/>
    <x v="2"/>
    <d v="1899-12-30T04:30:00"/>
    <x v="2"/>
  </r>
  <r>
    <n v="3625"/>
    <x v="2"/>
    <n v="12115271560118"/>
    <x v="1136"/>
    <d v="2022-03-04T13:00:00"/>
    <d v="1899-12-30T01:35:00"/>
    <n v="189.47368421981375"/>
    <s v="UNPLANNED"/>
    <x v="0"/>
    <d v="1899-12-30T11:25:00"/>
    <x v="0"/>
  </r>
  <r>
    <n v="3626"/>
    <x v="10"/>
    <n v="11115271542800"/>
    <x v="1137"/>
    <d v="2022-03-04T13:00:00"/>
    <d v="1899-12-30T03:30:00"/>
    <n v="85.714285717136704"/>
    <s v="UNPLANNED"/>
    <x v="0"/>
    <d v="1899-12-30T09:30:00"/>
    <x v="0"/>
  </r>
  <r>
    <n v="3627"/>
    <x v="14"/>
    <n v="1115270074500"/>
    <x v="1138"/>
    <d v="2022-03-04T13:00:00"/>
    <d v="1899-12-30T01:00:00"/>
    <n v="300.0000000174623"/>
    <s v="UNPLANNED"/>
    <x v="3"/>
    <d v="1899-12-30T12:00:00"/>
    <x v="0"/>
  </r>
  <r>
    <n v="3628"/>
    <x v="5"/>
    <n v="13115271591107"/>
    <x v="1139"/>
    <d v="2022-03-04T16:05:00"/>
    <d v="1899-12-30T00:47:00"/>
    <n v="382.97872335113323"/>
    <s v="UNPLANNED"/>
    <x v="1"/>
    <d v="1899-12-30T15:18:00"/>
    <x v="1"/>
  </r>
  <r>
    <n v="3629"/>
    <x v="2"/>
    <n v="12115271561714"/>
    <x v="1139"/>
    <d v="2022-03-04T16:05:00"/>
    <d v="1899-12-30T00:47:00"/>
    <n v="382.97872335113323"/>
    <s v="UNPLANNED"/>
    <x v="0"/>
    <d v="1899-12-30T15:18:00"/>
    <x v="1"/>
  </r>
  <r>
    <n v="3630"/>
    <x v="14"/>
    <n v="1115270127500"/>
    <x v="1140"/>
    <d v="2022-03-04T18:28:00"/>
    <d v="1899-12-30T01:16:00"/>
    <n v="236.84210527476716"/>
    <s v="UNPLANNED"/>
    <x v="3"/>
    <d v="1899-12-30T17:12:00"/>
    <x v="1"/>
  </r>
  <r>
    <n v="3631"/>
    <x v="12"/>
    <n v="14115271683801"/>
    <x v="1141"/>
    <d v="2022-03-04T21:30:00"/>
    <d v="1899-12-30T02:45:00"/>
    <n v="109.09090908860001"/>
    <s v="UNPLANNED"/>
    <x v="0"/>
    <d v="1899-12-30T18:45:00"/>
    <x v="1"/>
  </r>
  <r>
    <n v="3632"/>
    <x v="7"/>
    <n v="7115271768202"/>
    <x v="1141"/>
    <d v="2022-03-04T21:30:00"/>
    <d v="1899-12-30T02:45:00"/>
    <n v="109.09090908860001"/>
    <s v="UNPLANNED"/>
    <x v="0"/>
    <d v="1899-12-30T18:45:00"/>
    <x v="1"/>
  </r>
  <r>
    <n v="3633"/>
    <x v="14"/>
    <n v="1115270019200"/>
    <x v="1141"/>
    <d v="2022-03-04T21:30:00"/>
    <d v="1899-12-30T02:45:00"/>
    <n v="109.09090908860001"/>
    <s v="UNPLANNED"/>
    <x v="0"/>
    <d v="1899-12-30T18:45:00"/>
    <x v="1"/>
  </r>
  <r>
    <n v="3634"/>
    <x v="2"/>
    <n v="12115271574405"/>
    <x v="1142"/>
    <d v="2022-03-05T00:15:00"/>
    <d v="1899-12-30T01:05:00"/>
    <n v="276.92307695779488"/>
    <s v="UNPLANNED"/>
    <x v="0"/>
    <d v="1899-12-30T23:10:00"/>
    <x v="2"/>
  </r>
  <r>
    <n v="3635"/>
    <x v="13"/>
    <n v="3115270306404"/>
    <x v="1142"/>
    <d v="2022-03-05T00:15:00"/>
    <d v="1899-12-30T01:05:00"/>
    <n v="276.92307695779488"/>
    <s v="UNPLANNED"/>
    <x v="0"/>
    <d v="1899-12-30T23:10:00"/>
    <x v="2"/>
  </r>
  <r>
    <n v="3636"/>
    <x v="10"/>
    <n v="11115271488609"/>
    <x v="1143"/>
    <d v="2022-03-05T01:30:00"/>
    <d v="1899-12-30T00:40:00"/>
    <n v="449.99999994761311"/>
    <s v="UNPLANNED"/>
    <x v="0"/>
    <d v="1899-12-30T00:50:00"/>
    <x v="2"/>
  </r>
  <r>
    <n v="3637"/>
    <x v="14"/>
    <n v="1115270075401"/>
    <x v="1144"/>
    <d v="2022-03-05T05:50:00"/>
    <d v="1899-12-30T01:05:00"/>
    <n v="276.9230769131575"/>
    <s v="UNPLANNED"/>
    <x v="0"/>
    <d v="1899-12-30T04:45:00"/>
    <x v="2"/>
  </r>
  <r>
    <n v="3638"/>
    <x v="3"/>
    <n v="8115271820900"/>
    <x v="1145"/>
    <d v="2022-03-05T09:50:00"/>
    <d v="1899-12-30T01:47:00"/>
    <n v="168.22429907713428"/>
    <s v="UNPLANNED"/>
    <x v="0"/>
    <d v="1899-12-30T08:03:00"/>
    <x v="0"/>
  </r>
  <r>
    <n v="3639"/>
    <x v="3"/>
    <n v="8115271810102"/>
    <x v="1145"/>
    <d v="2022-03-05T09:50:00"/>
    <d v="1899-12-30T01:47:00"/>
    <n v="168.22429907713428"/>
    <s v="UNPLANNED"/>
    <x v="1"/>
    <d v="1899-12-30T08:03:00"/>
    <x v="0"/>
  </r>
  <r>
    <n v="3640"/>
    <x v="7"/>
    <n v="7115271761101"/>
    <x v="1145"/>
    <d v="2022-03-05T09:50:00"/>
    <d v="1899-12-30T01:47:00"/>
    <n v="168.22429907713428"/>
    <s v="UNPLANNED"/>
    <x v="0"/>
    <d v="1899-12-30T08:03:00"/>
    <x v="0"/>
  </r>
  <r>
    <n v="3641"/>
    <x v="12"/>
    <n v="14115271673150"/>
    <x v="1146"/>
    <d v="2022-03-05T14:39:00"/>
    <d v="1899-12-30T04:09:00"/>
    <n v="72.28915662508652"/>
    <s v="UNPLANNED"/>
    <x v="2"/>
    <d v="1899-12-30T10:30:00"/>
    <x v="0"/>
  </r>
  <r>
    <n v="3642"/>
    <x v="12"/>
    <n v="14115271672510"/>
    <x v="1146"/>
    <d v="2022-03-05T14:39:00"/>
    <d v="1899-12-30T04:09:00"/>
    <n v="72.28915662508652"/>
    <s v="UNPLANNED"/>
    <x v="1"/>
    <d v="1899-12-30T10:30:00"/>
    <x v="0"/>
  </r>
  <r>
    <n v="3643"/>
    <x v="7"/>
    <n v="7115271783208"/>
    <x v="1146"/>
    <d v="2022-03-05T14:39:00"/>
    <d v="1899-12-30T04:09:00"/>
    <n v="72.28915662508652"/>
    <s v="UNPLANNED"/>
    <x v="1"/>
    <d v="1899-12-30T10:30:00"/>
    <x v="0"/>
  </r>
  <r>
    <n v="3644"/>
    <x v="14"/>
    <n v="1115270083900"/>
    <x v="1146"/>
    <d v="2022-03-05T14:39:00"/>
    <d v="1899-12-30T04:09:00"/>
    <n v="72.28915662508652"/>
    <s v="UNPLANNED"/>
    <x v="2"/>
    <d v="1899-12-30T10:30:00"/>
    <x v="0"/>
  </r>
  <r>
    <n v="3645"/>
    <x v="2"/>
    <n v="12115271567413"/>
    <x v="1147"/>
    <d v="2022-03-05T18:20:00"/>
    <d v="1899-12-30T01:50:00"/>
    <n v="163.63636363290004"/>
    <s v="UNPLANNED"/>
    <x v="2"/>
    <d v="1899-12-30T16:30:00"/>
    <x v="1"/>
  </r>
  <r>
    <n v="3646"/>
    <x v="2"/>
    <n v="12115271565407"/>
    <x v="1147"/>
    <d v="2022-03-05T18:20:00"/>
    <d v="1899-12-30T01:50:00"/>
    <n v="163.63636363290004"/>
    <s v="UNPLANNED"/>
    <x v="1"/>
    <d v="1899-12-30T16:30:00"/>
    <x v="1"/>
  </r>
  <r>
    <n v="3647"/>
    <x v="7"/>
    <n v="7115271768108"/>
    <x v="1147"/>
    <d v="2022-03-05T18:20:00"/>
    <d v="1899-12-30T01:50:00"/>
    <n v="163.63636363290004"/>
    <s v="UNPLANNED"/>
    <x v="1"/>
    <d v="1899-12-30T16:30:00"/>
    <x v="1"/>
  </r>
  <r>
    <n v="3648"/>
    <x v="0"/>
    <n v="5115271259100"/>
    <x v="1147"/>
    <d v="2022-03-05T18:20:00"/>
    <d v="1899-12-30T01:50:00"/>
    <n v="163.63636363290004"/>
    <s v="UNPLANNED"/>
    <x v="6"/>
    <d v="1899-12-30T16:30:00"/>
    <x v="1"/>
  </r>
  <r>
    <n v="3649"/>
    <x v="7"/>
    <n v="7115271767803"/>
    <x v="1148"/>
    <d v="2022-03-05T20:05:00"/>
    <d v="1899-12-30T00:35:00"/>
    <n v="514.28571430282022"/>
    <s v="UNPLANNED"/>
    <x v="1"/>
    <d v="1899-12-30T19:30:00"/>
    <x v="1"/>
  </r>
  <r>
    <n v="3650"/>
    <x v="14"/>
    <n v="1115270093401"/>
    <x v="1148"/>
    <d v="2022-03-05T20:05:00"/>
    <d v="1899-12-30T00:35:00"/>
    <n v="514.28571430282022"/>
    <s v="UNPLANNED"/>
    <x v="2"/>
    <d v="1899-12-30T19:30:00"/>
    <x v="1"/>
  </r>
  <r>
    <n v="3651"/>
    <x v="9"/>
    <n v="2115270217700"/>
    <x v="1149"/>
    <d v="2022-03-05T23:45:00"/>
    <d v="1899-12-30T00:55:00"/>
    <n v="327.27272726580009"/>
    <s v="UNPLANNED"/>
    <x v="0"/>
    <d v="1899-12-30T22:50:00"/>
    <x v="2"/>
  </r>
  <r>
    <n v="3652"/>
    <x v="14"/>
    <n v="1115270147100"/>
    <x v="1149"/>
    <d v="2022-03-05T23:45:00"/>
    <d v="1899-12-30T00:55:00"/>
    <n v="327.27272726580009"/>
    <s v="UNPLANNED"/>
    <x v="3"/>
    <d v="1899-12-30T22:50:00"/>
    <x v="2"/>
  </r>
  <r>
    <n v="3653"/>
    <x v="0"/>
    <n v="5115270974806"/>
    <x v="1150"/>
    <d v="2022-03-06T02:00:00"/>
    <d v="1899-12-30T01:00:00"/>
    <n v="299.9999999650754"/>
    <s v="UNPLANNED"/>
    <x v="0"/>
    <d v="1899-12-30T01:00:00"/>
    <x v="2"/>
  </r>
  <r>
    <n v="3654"/>
    <x v="2"/>
    <n v="12115271560309"/>
    <x v="1151"/>
    <d v="2022-03-06T09:30:00"/>
    <d v="1899-12-30T00:42:00"/>
    <n v="428.57142856430113"/>
    <s v="UNPLANNED"/>
    <x v="2"/>
    <d v="1899-12-30T08:48:00"/>
    <x v="0"/>
  </r>
  <r>
    <n v="3655"/>
    <x v="10"/>
    <n v="11115271541002"/>
    <x v="1152"/>
    <d v="2022-03-06T13:00:00"/>
    <d v="1899-12-30T03:15:00"/>
    <n v="92.307692309345541"/>
    <s v="UNPLANNED"/>
    <x v="1"/>
    <d v="1899-12-30T09:45:00"/>
    <x v="0"/>
  </r>
  <r>
    <n v="3656"/>
    <x v="6"/>
    <n v="9115271952500"/>
    <x v="1152"/>
    <d v="2022-03-06T13:00:00"/>
    <d v="1899-12-30T03:15:00"/>
    <n v="92.307692309345541"/>
    <s v="UNPLANNED"/>
    <x v="0"/>
    <d v="1899-12-30T09:45:00"/>
    <x v="0"/>
  </r>
  <r>
    <n v="3657"/>
    <x v="7"/>
    <n v="7115271768202"/>
    <x v="1153"/>
    <d v="2022-03-06T13:00:00"/>
    <d v="1899-12-30T02:05:00"/>
    <n v="144.00000000134111"/>
    <s v="UNPLANNED"/>
    <x v="0"/>
    <d v="1899-12-30T10:55:00"/>
    <x v="0"/>
  </r>
  <r>
    <n v="3658"/>
    <x v="9"/>
    <n v="2115270280300"/>
    <x v="1154"/>
    <d v="2022-03-06T13:00:00"/>
    <d v="1899-12-30T02:40:00"/>
    <n v="112.50000000163709"/>
    <s v="UNPLANNED"/>
    <x v="2"/>
    <d v="1899-12-30T10:20:00"/>
    <x v="0"/>
  </r>
  <r>
    <n v="3659"/>
    <x v="4"/>
    <n v="15115271765302"/>
    <x v="1155"/>
    <d v="2022-03-06T17:35:00"/>
    <d v="1899-12-30T01:20:00"/>
    <n v="225.00000000327418"/>
    <s v="UNPLANNED"/>
    <x v="0"/>
    <d v="1899-12-30T16:15:00"/>
    <x v="1"/>
  </r>
  <r>
    <n v="3660"/>
    <x v="10"/>
    <n v="11115271508600"/>
    <x v="1155"/>
    <d v="2022-03-06T17:35:00"/>
    <d v="1899-12-30T01:20:00"/>
    <n v="225.00000000327418"/>
    <s v="UNPLANNED"/>
    <x v="0"/>
    <d v="1899-12-30T16:15:00"/>
    <x v="1"/>
  </r>
  <r>
    <n v="3661"/>
    <x v="4"/>
    <n v="15115271777100"/>
    <x v="1156"/>
    <d v="2022-03-06T22:30:00"/>
    <d v="1899-12-30T03:20:00"/>
    <n v="89.999999998952262"/>
    <s v="UNPLANNED"/>
    <x v="0"/>
    <d v="1899-12-30T19:10:00"/>
    <x v="1"/>
  </r>
  <r>
    <n v="3662"/>
    <x v="4"/>
    <n v="15115271743705"/>
    <x v="1156"/>
    <d v="2022-03-06T22:30:00"/>
    <d v="1899-12-30T03:20:00"/>
    <n v="89.999999998952262"/>
    <s v="UNPLANNED"/>
    <x v="0"/>
    <d v="1899-12-30T19:10:00"/>
    <x v="1"/>
  </r>
  <r>
    <n v="3663"/>
    <x v="8"/>
    <n v="4115270827000"/>
    <x v="1156"/>
    <d v="2022-03-06T22:30:00"/>
    <d v="1899-12-30T03:20:00"/>
    <n v="89.999999998952262"/>
    <s v="UNPLANNED"/>
    <x v="0"/>
    <d v="1899-12-30T19:10:00"/>
    <x v="1"/>
  </r>
  <r>
    <n v="3664"/>
    <x v="12"/>
    <n v="14115271675202"/>
    <x v="1157"/>
    <d v="2022-03-07T00:15:00"/>
    <d v="1899-12-30T01:15:00"/>
    <n v="240.00000002235174"/>
    <s v="UNPLANNED"/>
    <x v="1"/>
    <d v="1899-12-30T23:00:00"/>
    <x v="2"/>
  </r>
  <r>
    <n v="3665"/>
    <x v="11"/>
    <n v="10115271964201"/>
    <x v="1157"/>
    <d v="2022-03-07T00:15:00"/>
    <d v="1899-12-30T01:15:00"/>
    <n v="240.00000002235174"/>
    <s v="UNPLANNED"/>
    <x v="0"/>
    <d v="1899-12-30T23:00:00"/>
    <x v="2"/>
  </r>
  <r>
    <n v="3666"/>
    <x v="14"/>
    <n v="1115270143500"/>
    <x v="1158"/>
    <d v="2022-03-07T02:10:00"/>
    <d v="1899-12-30T01:40:00"/>
    <n v="179.99999999790452"/>
    <s v="UNPLANNED"/>
    <x v="1"/>
    <d v="1899-12-30T00:30:00"/>
    <x v="2"/>
  </r>
  <r>
    <n v="3667"/>
    <x v="2"/>
    <n v="12115271560819"/>
    <x v="1159"/>
    <d v="2022-03-07T11:35:00"/>
    <d v="1899-12-30T02:05:00"/>
    <n v="144.00000000134111"/>
    <s v="UNPLANNED"/>
    <x v="0"/>
    <d v="1899-12-30T09:30:00"/>
    <x v="0"/>
  </r>
  <r>
    <n v="3668"/>
    <x v="13"/>
    <n v="3115270309002"/>
    <x v="1159"/>
    <d v="2022-03-07T11:35:00"/>
    <d v="1899-12-30T02:05:00"/>
    <n v="144.00000000134111"/>
    <s v="UNPLANNED"/>
    <x v="0"/>
    <d v="1899-12-30T09:30:00"/>
    <x v="0"/>
  </r>
  <r>
    <n v="3669"/>
    <x v="12"/>
    <n v="14115271673153"/>
    <x v="1160"/>
    <d v="2022-03-07T18:18:00"/>
    <d v="1899-12-30T02:03:00"/>
    <n v="146.34146342377562"/>
    <s v="UNPLANNED"/>
    <x v="0"/>
    <d v="1899-12-30T16:15:00"/>
    <x v="1"/>
  </r>
  <r>
    <n v="3670"/>
    <x v="5"/>
    <n v="13115271590905"/>
    <x v="1161"/>
    <d v="2022-03-07T20:00:00"/>
    <d v="1899-12-30T01:10:00"/>
    <n v="257.14285711292177"/>
    <s v="UNPLANNED"/>
    <x v="1"/>
    <d v="1899-12-30T18:50:00"/>
    <x v="1"/>
  </r>
  <r>
    <n v="3671"/>
    <x v="14"/>
    <n v="1115270072500"/>
    <x v="1161"/>
    <d v="2022-03-07T20:00:00"/>
    <d v="1899-12-30T01:10:00"/>
    <n v="257.14285711292177"/>
    <s v="UNPLANNED"/>
    <x v="1"/>
    <d v="1899-12-30T18:50:00"/>
    <x v="1"/>
  </r>
  <r>
    <n v="3672"/>
    <x v="13"/>
    <n v="3115270321601"/>
    <x v="1162"/>
    <d v="2022-03-07T21:40:00"/>
    <d v="1899-12-30T01:00:00"/>
    <n v="299.9999999650754"/>
    <s v="UNPLANNED"/>
    <x v="2"/>
    <d v="1899-12-30T20:40:00"/>
    <x v="1"/>
  </r>
  <r>
    <n v="3673"/>
    <x v="10"/>
    <n v="11115271542703"/>
    <x v="1163"/>
    <d v="2022-03-08T02:45:00"/>
    <d v="1899-12-30T02:35:00"/>
    <n v="116.1290322563201"/>
    <s v="UNPLANNED"/>
    <x v="0"/>
    <d v="1899-12-30T00:10:00"/>
    <x v="2"/>
  </r>
  <r>
    <n v="3674"/>
    <x v="7"/>
    <n v="7115271758902"/>
    <x v="1163"/>
    <d v="2022-03-08T02:45:00"/>
    <d v="1899-12-30T02:35:00"/>
    <n v="116.1290322563201"/>
    <s v="UNPLANNED"/>
    <x v="1"/>
    <d v="1899-12-30T00:10:00"/>
    <x v="2"/>
  </r>
  <r>
    <n v="3675"/>
    <x v="14"/>
    <n v="1115270125900"/>
    <x v="1163"/>
    <d v="2022-03-08T02:45:00"/>
    <d v="1899-12-30T02:35:00"/>
    <n v="116.1290322563201"/>
    <s v="UNPLANNED"/>
    <x v="2"/>
    <d v="1899-12-30T00:10:00"/>
    <x v="2"/>
  </r>
  <r>
    <n v="3676"/>
    <x v="8"/>
    <n v="4115270875302"/>
    <x v="1164"/>
    <d v="2022-03-08T10:30:00"/>
    <d v="1899-12-30T02:15:00"/>
    <n v="133.33333333333331"/>
    <s v="UNPLANNED"/>
    <x v="1"/>
    <d v="1899-12-30T08:15:00"/>
    <x v="0"/>
  </r>
  <r>
    <n v="3677"/>
    <x v="13"/>
    <n v="3115270310001"/>
    <x v="1165"/>
    <d v="2022-03-08T12:00:00"/>
    <d v="1899-12-30T00:55:00"/>
    <n v="327.27272726580009"/>
    <s v="UNPLANNED"/>
    <x v="3"/>
    <d v="1899-12-30T11:05:00"/>
    <x v="0"/>
  </r>
  <r>
    <n v="3678"/>
    <x v="7"/>
    <n v="7115271768106"/>
    <x v="1166"/>
    <d v="2022-03-08T17:55:00"/>
    <d v="1899-12-30T00:55:00"/>
    <n v="327.27272726580009"/>
    <s v="UNPLANNED"/>
    <x v="0"/>
    <d v="1899-12-30T17:00:00"/>
    <x v="1"/>
  </r>
  <r>
    <n v="3679"/>
    <x v="5"/>
    <n v="13115271592414"/>
    <x v="1167"/>
    <d v="2022-03-08T23:45:00"/>
    <d v="1899-12-30T00:55:00"/>
    <n v="327.27272726580009"/>
    <s v="UNPLANNED"/>
    <x v="1"/>
    <d v="1899-12-30T22:50:00"/>
    <x v="2"/>
  </r>
  <r>
    <n v="3680"/>
    <x v="5"/>
    <n v="13115271590701"/>
    <x v="1168"/>
    <d v="2022-03-09T14:08:00"/>
    <d v="1899-12-30T02:18:00"/>
    <n v="130.43478260935586"/>
    <s v="UNPLANNED"/>
    <x v="1"/>
    <d v="1899-12-30T11:50:00"/>
    <x v="0"/>
  </r>
  <r>
    <n v="3681"/>
    <x v="5"/>
    <n v="13115271590605"/>
    <x v="1168"/>
    <d v="2022-03-09T14:08:00"/>
    <d v="1899-12-30T02:18:00"/>
    <n v="130.43478260935586"/>
    <s v="UNPLANNED"/>
    <x v="0"/>
    <d v="1899-12-30T11:50:00"/>
    <x v="0"/>
  </r>
  <r>
    <n v="3682"/>
    <x v="10"/>
    <n v="11115271542800"/>
    <x v="1169"/>
    <d v="2022-03-09T14:08:00"/>
    <d v="1899-12-30T05:38:00"/>
    <n v="53.254437869565699"/>
    <s v="UNPLANNED"/>
    <x v="0"/>
    <d v="1899-12-30T08:30:00"/>
    <x v="0"/>
  </r>
  <r>
    <n v="3683"/>
    <x v="10"/>
    <n v="11115271488700"/>
    <x v="1168"/>
    <d v="2022-03-09T14:08:00"/>
    <d v="1899-12-30T02:18:00"/>
    <n v="130.43478260935586"/>
    <s v="UNPLANNED"/>
    <x v="2"/>
    <d v="1899-12-30T11:50:00"/>
    <x v="0"/>
  </r>
  <r>
    <n v="3684"/>
    <x v="3"/>
    <n v="8115271809908"/>
    <x v="1170"/>
    <d v="2022-03-09T14:08:00"/>
    <d v="1899-12-30T04:38:00"/>
    <n v="64.748201440096167"/>
    <s v="UNPLANNED"/>
    <x v="1"/>
    <d v="1899-12-30T09:30:00"/>
    <x v="0"/>
  </r>
  <r>
    <n v="3685"/>
    <x v="7"/>
    <n v="7115271787400"/>
    <x v="1168"/>
    <d v="2022-03-09T14:08:00"/>
    <d v="1899-12-30T02:18:00"/>
    <n v="130.43478260935586"/>
    <s v="UNPLANNED"/>
    <x v="1"/>
    <d v="1899-12-30T11:50:00"/>
    <x v="0"/>
  </r>
  <r>
    <n v="3686"/>
    <x v="1"/>
    <n v="6115271698102"/>
    <x v="1170"/>
    <d v="2022-03-09T14:08:00"/>
    <d v="1899-12-30T04:38:00"/>
    <n v="64.748201440096167"/>
    <s v="UNPLANNED"/>
    <x v="1"/>
    <d v="1899-12-30T09:30:00"/>
    <x v="0"/>
  </r>
  <r>
    <n v="3687"/>
    <x v="9"/>
    <n v="2115270245600"/>
    <x v="1168"/>
    <d v="2022-03-09T14:08:00"/>
    <d v="1899-12-30T02:18:00"/>
    <n v="130.43478260935586"/>
    <s v="UNPLANNED"/>
    <x v="2"/>
    <d v="1899-12-30T11:50:00"/>
    <x v="0"/>
  </r>
  <r>
    <n v="3688"/>
    <x v="10"/>
    <n v="11115271509300"/>
    <x v="1171"/>
    <d v="2022-03-09T19:50:00"/>
    <d v="1899-12-30T02:13:00"/>
    <n v="135.33834586063392"/>
    <s v="UNPLANNED"/>
    <x v="2"/>
    <d v="1899-12-30T17:37:00"/>
    <x v="1"/>
  </r>
  <r>
    <n v="3689"/>
    <x v="13"/>
    <n v="3115270306902"/>
    <x v="1171"/>
    <d v="2022-03-09T19:50:00"/>
    <d v="1899-12-30T02:13:00"/>
    <n v="135.33834586063392"/>
    <s v="UNPLANNED"/>
    <x v="1"/>
    <d v="1899-12-30T17:37:00"/>
    <x v="1"/>
  </r>
  <r>
    <n v="3690"/>
    <x v="14"/>
    <n v="1115270110400"/>
    <x v="1171"/>
    <d v="2022-03-09T19:50:00"/>
    <d v="1899-12-30T02:13:00"/>
    <n v="135.33834586063392"/>
    <s v="UNPLANNED"/>
    <x v="0"/>
    <d v="1899-12-30T17:37:00"/>
    <x v="1"/>
  </r>
  <r>
    <n v="3691"/>
    <x v="3"/>
    <n v="8115271810105"/>
    <x v="1172"/>
    <d v="2022-03-09T21:50:00"/>
    <d v="1899-12-30T01:50:00"/>
    <n v="163.63636364848622"/>
    <s v="UNPLANNED"/>
    <x v="1"/>
    <d v="1899-12-30T20:00:00"/>
    <x v="1"/>
  </r>
  <r>
    <n v="3692"/>
    <x v="7"/>
    <n v="7115271759011"/>
    <x v="1172"/>
    <d v="2022-03-09T21:50:00"/>
    <d v="1899-12-30T01:50:00"/>
    <n v="163.63636364848622"/>
    <s v="UNPLANNED"/>
    <x v="1"/>
    <d v="1899-12-30T20:00:00"/>
    <x v="1"/>
  </r>
  <r>
    <n v="3693"/>
    <x v="1"/>
    <n v="6115271745801"/>
    <x v="1172"/>
    <d v="2022-03-09T21:50:00"/>
    <d v="1899-12-30T01:50:00"/>
    <n v="163.63636364848622"/>
    <s v="UNPLANNED"/>
    <x v="0"/>
    <d v="1899-12-30T20:00:00"/>
    <x v="1"/>
  </r>
  <r>
    <n v="3694"/>
    <x v="5"/>
    <n v="13115271612256"/>
    <x v="1173"/>
    <d v="2022-03-10T00:25:00"/>
    <d v="1899-12-30T01:10:00"/>
    <n v="257.14285715141011"/>
    <s v="UNPLANNED"/>
    <x v="1"/>
    <d v="1899-12-30T23:15:00"/>
    <x v="2"/>
  </r>
  <r>
    <n v="3695"/>
    <x v="11"/>
    <n v="10115271479500"/>
    <x v="1174"/>
    <d v="2022-03-10T02:15:00"/>
    <d v="1899-12-30T01:15:00"/>
    <n v="239.99999998882413"/>
    <s v="UNPLANNED"/>
    <x v="1"/>
    <d v="1899-12-30T01:00:00"/>
    <x v="2"/>
  </r>
  <r>
    <n v="3696"/>
    <x v="0"/>
    <n v="5115271289600"/>
    <x v="1174"/>
    <d v="2022-03-10T02:15:00"/>
    <d v="1899-12-30T01:15:00"/>
    <n v="239.99999998882413"/>
    <s v="UNPLANNED"/>
    <x v="1"/>
    <d v="1899-12-30T01:00:00"/>
    <x v="2"/>
  </r>
  <r>
    <n v="3697"/>
    <x v="13"/>
    <n v="3115270306800"/>
    <x v="1174"/>
    <d v="2022-03-10T02:15:00"/>
    <d v="1899-12-30T01:15:00"/>
    <n v="239.99999998882413"/>
    <s v="UNPLANNED"/>
    <x v="6"/>
    <d v="1899-12-30T01:00:00"/>
    <x v="2"/>
  </r>
  <r>
    <n v="3698"/>
    <x v="2"/>
    <n v="12115271569900"/>
    <x v="1175"/>
    <d v="2022-03-10T04:00:00"/>
    <d v="1899-12-30T01:20:00"/>
    <n v="225.00000000327418"/>
    <s v="UNPLANNED"/>
    <x v="1"/>
    <d v="1899-12-30T02:40:00"/>
    <x v="2"/>
  </r>
  <r>
    <n v="3699"/>
    <x v="10"/>
    <n v="11115271052912"/>
    <x v="1175"/>
    <d v="2022-03-10T04:00:00"/>
    <d v="1899-12-30T01:20:00"/>
    <n v="225.00000000327418"/>
    <s v="UNPLANNED"/>
    <x v="0"/>
    <d v="1899-12-30T02:40:00"/>
    <x v="2"/>
  </r>
  <r>
    <n v="3700"/>
    <x v="10"/>
    <n v="11115271536706"/>
    <x v="1176"/>
    <d v="2022-03-10T13:30:00"/>
    <d v="1899-12-30T03:00:00"/>
    <n v="100"/>
    <s v="UNPLANNED"/>
    <x v="1"/>
    <d v="1899-12-30T10:30:00"/>
    <x v="0"/>
  </r>
  <r>
    <n v="3701"/>
    <x v="10"/>
    <n v="11115271536700"/>
    <x v="1177"/>
    <d v="2022-03-10T13:30:00"/>
    <d v="1899-12-30T04:45:00"/>
    <n v="63.157894737616061"/>
    <s v="UNPLANNED"/>
    <x v="0"/>
    <d v="1899-12-30T08:45:00"/>
    <x v="0"/>
  </r>
  <r>
    <n v="3702"/>
    <x v="3"/>
    <n v="8115271812412"/>
    <x v="1176"/>
    <d v="2022-03-10T13:30:00"/>
    <d v="1899-12-30T03:00:00"/>
    <n v="100"/>
    <s v="UNPLANNED"/>
    <x v="1"/>
    <d v="1899-12-30T10:30:00"/>
    <x v="0"/>
  </r>
  <r>
    <n v="3703"/>
    <x v="1"/>
    <n v="6115271731400"/>
    <x v="1176"/>
    <d v="2022-03-10T13:30:00"/>
    <d v="1899-12-30T03:00:00"/>
    <n v="100"/>
    <s v="UNPLANNED"/>
    <x v="1"/>
    <d v="1899-12-30T10:30:00"/>
    <x v="0"/>
  </r>
  <r>
    <n v="3704"/>
    <x v="0"/>
    <n v="5115271239400"/>
    <x v="1176"/>
    <d v="2022-03-10T13:30:00"/>
    <d v="1899-12-30T03:00:00"/>
    <n v="100"/>
    <s v="UNPLANNED"/>
    <x v="0"/>
    <d v="1899-12-30T10:30:00"/>
    <x v="0"/>
  </r>
  <r>
    <n v="3705"/>
    <x v="13"/>
    <n v="3115270393000"/>
    <x v="1178"/>
    <d v="2022-03-10T13:30:00"/>
    <d v="1899-12-30T04:00:00"/>
    <n v="75.000000001091394"/>
    <s v="UNPLANNED"/>
    <x v="1"/>
    <d v="1899-12-30T09:30:00"/>
    <x v="0"/>
  </r>
  <r>
    <n v="3706"/>
    <x v="13"/>
    <n v="3115270360201"/>
    <x v="1176"/>
    <d v="2022-03-10T13:30:00"/>
    <d v="1899-12-30T03:00:00"/>
    <n v="100"/>
    <s v="UNPLANNED"/>
    <x v="0"/>
    <d v="1899-12-30T10:30:00"/>
    <x v="0"/>
  </r>
  <r>
    <n v="3707"/>
    <x v="14"/>
    <n v="1115270055500"/>
    <x v="1177"/>
    <d v="2022-03-10T13:30:00"/>
    <d v="1899-12-30T04:45:00"/>
    <n v="63.157894737616061"/>
    <s v="UNPLANNED"/>
    <x v="1"/>
    <d v="1899-12-30T08:45:00"/>
    <x v="0"/>
  </r>
  <r>
    <n v="3708"/>
    <x v="2"/>
    <n v="12115271560128"/>
    <x v="1179"/>
    <d v="2022-03-10T19:30:00"/>
    <d v="1899-12-30T03:15:00"/>
    <n v="92.307692309345541"/>
    <s v="UNPLANNED"/>
    <x v="1"/>
    <d v="1899-12-30T16:15:00"/>
    <x v="1"/>
  </r>
  <r>
    <n v="3709"/>
    <x v="3"/>
    <n v="8115271820902"/>
    <x v="1179"/>
    <d v="2022-03-10T19:30:00"/>
    <d v="1899-12-30T03:15:00"/>
    <n v="92.307692309345541"/>
    <s v="UNPLANNED"/>
    <x v="1"/>
    <d v="1899-12-30T16:15:00"/>
    <x v="1"/>
  </r>
  <r>
    <n v="3710"/>
    <x v="7"/>
    <n v="7115271793801"/>
    <x v="1179"/>
    <d v="2022-03-10T19:30:00"/>
    <d v="1899-12-30T03:15:00"/>
    <n v="92.307692309345541"/>
    <s v="UNPLANNED"/>
    <x v="2"/>
    <d v="1899-12-30T16:15:00"/>
    <x v="1"/>
  </r>
  <r>
    <n v="3711"/>
    <x v="7"/>
    <n v="7115271757500"/>
    <x v="1179"/>
    <d v="2022-03-10T19:30:00"/>
    <d v="1899-12-30T03:15:00"/>
    <n v="92.307692309345541"/>
    <s v="UNPLANNED"/>
    <x v="1"/>
    <d v="1899-12-30T16:15:00"/>
    <x v="1"/>
  </r>
  <r>
    <n v="3712"/>
    <x v="1"/>
    <n v="6115271731900"/>
    <x v="1179"/>
    <d v="2022-03-10T19:30:00"/>
    <d v="1899-12-30T03:15:00"/>
    <n v="92.307692309345541"/>
    <s v="UNPLANNED"/>
    <x v="1"/>
    <d v="1899-12-30T16:15:00"/>
    <x v="1"/>
  </r>
  <r>
    <n v="3713"/>
    <x v="2"/>
    <n v="12115271561706"/>
    <x v="1180"/>
    <d v="2022-03-11T00:00:01"/>
    <d v="1899-12-30T00:30:01"/>
    <n v="599.66685160142242"/>
    <s v="UNPLANNED"/>
    <x v="1"/>
    <d v="1899-12-30T23:30:00"/>
    <x v="2"/>
  </r>
  <r>
    <n v="3714"/>
    <x v="1"/>
    <n v="6115271704100"/>
    <x v="1181"/>
    <d v="2022-03-11T02:10:00"/>
    <d v="1899-12-30T01:45:00"/>
    <n v="171.42857141716746"/>
    <s v="UNPLANNED"/>
    <x v="0"/>
    <d v="1899-12-30T00:25:00"/>
    <x v="2"/>
  </r>
  <r>
    <n v="3715"/>
    <x v="0"/>
    <n v="5115271676005"/>
    <x v="1181"/>
    <d v="2022-03-11T02:10:00"/>
    <d v="1899-12-30T01:45:00"/>
    <n v="171.42857141716746"/>
    <s v="UNPLANNED"/>
    <x v="1"/>
    <d v="1899-12-30T00:25:00"/>
    <x v="2"/>
  </r>
  <r>
    <n v="3716"/>
    <x v="5"/>
    <n v="13115271613300"/>
    <x v="1182"/>
    <d v="2022-03-11T14:23:00"/>
    <d v="1899-12-30T05:23:00"/>
    <n v="55.727554178682816"/>
    <s v="UNPLANNED"/>
    <x v="0"/>
    <d v="1899-12-30T09:00:00"/>
    <x v="0"/>
  </r>
  <r>
    <n v="3717"/>
    <x v="10"/>
    <n v="11115271525901"/>
    <x v="1183"/>
    <d v="2022-03-11T14:23:00"/>
    <d v="1899-12-30T04:03:00"/>
    <n v="74.074074072157771"/>
    <s v="UNPLANNED"/>
    <x v="0"/>
    <d v="1899-12-30T10:20:00"/>
    <x v="0"/>
  </r>
  <r>
    <n v="3718"/>
    <x v="6"/>
    <n v="9115271957900"/>
    <x v="1184"/>
    <d v="2022-03-11T14:23:00"/>
    <d v="1899-12-30T02:18:00"/>
    <n v="130.43478259945286"/>
    <s v="UNPLANNED"/>
    <x v="0"/>
    <d v="1899-12-30T12:05:00"/>
    <x v="0"/>
  </r>
  <r>
    <n v="3719"/>
    <x v="6"/>
    <n v="9115271952800"/>
    <x v="1183"/>
    <d v="2022-03-11T14:23:00"/>
    <d v="1899-12-30T04:03:00"/>
    <n v="74.074074072157771"/>
    <s v="UNPLANNED"/>
    <x v="1"/>
    <d v="1899-12-30T10:20:00"/>
    <x v="0"/>
  </r>
  <r>
    <n v="3720"/>
    <x v="7"/>
    <n v="7115271806201"/>
    <x v="1182"/>
    <d v="2022-03-11T14:23:00"/>
    <d v="1899-12-30T05:23:00"/>
    <n v="55.727554178682816"/>
    <s v="UNPLANNED"/>
    <x v="0"/>
    <d v="1899-12-30T09:00:00"/>
    <x v="0"/>
  </r>
  <r>
    <n v="3721"/>
    <x v="1"/>
    <n v="6115271715301"/>
    <x v="1182"/>
    <d v="2022-03-11T14:23:00"/>
    <d v="1899-12-30T05:23:00"/>
    <n v="55.727554178682816"/>
    <s v="UNPLANNED"/>
    <x v="0"/>
    <d v="1899-12-30T09:00:00"/>
    <x v="0"/>
  </r>
  <r>
    <n v="3722"/>
    <x v="13"/>
    <n v="3115270366500"/>
    <x v="1183"/>
    <d v="2022-03-11T14:23:00"/>
    <d v="1899-12-30T04:03:00"/>
    <n v="74.074074072157771"/>
    <s v="UNPLANNED"/>
    <x v="1"/>
    <d v="1899-12-30T10:20:00"/>
    <x v="0"/>
  </r>
  <r>
    <n v="3723"/>
    <x v="14"/>
    <n v="1115270074000"/>
    <x v="1182"/>
    <d v="2022-03-11T14:23:00"/>
    <d v="1899-12-30T05:23:00"/>
    <n v="55.727554178682816"/>
    <s v="UNPLANNED"/>
    <x v="0"/>
    <d v="1899-12-30T09:00:00"/>
    <x v="0"/>
  </r>
  <r>
    <n v="3724"/>
    <x v="5"/>
    <n v="13115271591501"/>
    <x v="1185"/>
    <d v="2022-03-11T17:15:00"/>
    <d v="1899-12-30T01:38:00"/>
    <n v="183.67346937815483"/>
    <s v="UNPLANNED"/>
    <x v="0"/>
    <d v="1899-12-30T15:37:00"/>
    <x v="1"/>
  </r>
  <r>
    <n v="3725"/>
    <x v="1"/>
    <n v="6115271720829"/>
    <x v="1185"/>
    <d v="2022-03-11T17:15:00"/>
    <d v="1899-12-30T01:38:00"/>
    <n v="183.67346937815483"/>
    <s v="UNPLANNED"/>
    <x v="0"/>
    <d v="1899-12-30T15:37:00"/>
    <x v="1"/>
  </r>
  <r>
    <n v="3726"/>
    <x v="5"/>
    <n v="13115271600300"/>
    <x v="1186"/>
    <d v="2022-03-11T20:10:00"/>
    <d v="1899-12-30T02:05:00"/>
    <n v="143.99999998927115"/>
    <s v="UNPLANNED"/>
    <x v="0"/>
    <d v="1899-12-30T18:05:00"/>
    <x v="1"/>
  </r>
  <r>
    <n v="3727"/>
    <x v="2"/>
    <n v="12115271561607"/>
    <x v="1186"/>
    <d v="2022-03-11T20:10:00"/>
    <d v="1899-12-30T02:05:00"/>
    <n v="143.99999998927115"/>
    <s v="UNPLANNED"/>
    <x v="0"/>
    <d v="1899-12-30T18:05:00"/>
    <x v="1"/>
  </r>
  <r>
    <n v="3728"/>
    <x v="6"/>
    <n v="9115271927501"/>
    <x v="1186"/>
    <d v="2022-03-11T20:10:00"/>
    <d v="1899-12-30T02:05:00"/>
    <n v="143.99999998927115"/>
    <s v="UNPLANNED"/>
    <x v="2"/>
    <d v="1899-12-30T18:05:00"/>
    <x v="1"/>
  </r>
  <r>
    <n v="3729"/>
    <x v="13"/>
    <n v="3115270409300"/>
    <x v="1186"/>
    <d v="2022-03-11T20:10:00"/>
    <d v="1899-12-30T02:05:00"/>
    <n v="143.99999998927115"/>
    <s v="UNPLANNED"/>
    <x v="0"/>
    <d v="1899-12-30T18:05:00"/>
    <x v="1"/>
  </r>
  <r>
    <n v="3730"/>
    <x v="13"/>
    <n v="3115270393400"/>
    <x v="1186"/>
    <d v="2022-03-11T20:10:00"/>
    <d v="1899-12-30T02:05:00"/>
    <n v="143.99999998927115"/>
    <s v="UNPLANNED"/>
    <x v="0"/>
    <d v="1899-12-30T18:05:00"/>
    <x v="1"/>
  </r>
  <r>
    <n v="3731"/>
    <x v="13"/>
    <n v="3115270333400"/>
    <x v="1187"/>
    <d v="2022-03-12T00:00:01"/>
    <d v="1899-12-30T00:45:01"/>
    <n v="399.851906666616"/>
    <s v="UNPLANNED"/>
    <x v="0"/>
    <d v="1899-12-30T23:15:00"/>
    <x v="2"/>
  </r>
  <r>
    <n v="3732"/>
    <x v="3"/>
    <n v="8115271811510"/>
    <x v="1188"/>
    <d v="2022-03-12T02:15:00"/>
    <d v="1899-12-30T01:55:00"/>
    <n v="156.52173913360375"/>
    <s v="UNPLANNED"/>
    <x v="0"/>
    <d v="1899-12-30T00:20:00"/>
    <x v="2"/>
  </r>
  <r>
    <n v="3733"/>
    <x v="7"/>
    <n v="7115271756901"/>
    <x v="1188"/>
    <d v="2022-03-12T02:15:00"/>
    <d v="1899-12-30T01:55:00"/>
    <n v="156.52173913360375"/>
    <s v="UNPLANNED"/>
    <x v="0"/>
    <d v="1899-12-30T00:20:00"/>
    <x v="2"/>
  </r>
  <r>
    <n v="3734"/>
    <x v="4"/>
    <n v="15115271743802"/>
    <x v="1189"/>
    <d v="2022-03-12T14:05:00"/>
    <d v="1899-12-30T01:35:00"/>
    <n v="189.47368421981375"/>
    <s v="UNPLANNED"/>
    <x v="0"/>
    <d v="1899-12-30T12:30:00"/>
    <x v="0"/>
  </r>
  <r>
    <n v="3735"/>
    <x v="1"/>
    <n v="6115271713100"/>
    <x v="1189"/>
    <d v="2022-03-12T14:05:00"/>
    <d v="1899-12-30T01:35:00"/>
    <n v="189.47368421981375"/>
    <s v="UNPLANNED"/>
    <x v="0"/>
    <d v="1899-12-30T12:30:00"/>
    <x v="0"/>
  </r>
  <r>
    <n v="3736"/>
    <x v="13"/>
    <n v="3115270308700"/>
    <x v="1190"/>
    <d v="2022-03-12T14:05:00"/>
    <d v="1899-12-30T03:20:00"/>
    <n v="89.999999998952262"/>
    <s v="UNPLANNED"/>
    <x v="1"/>
    <d v="1899-12-30T10:45:00"/>
    <x v="0"/>
  </r>
  <r>
    <n v="3737"/>
    <x v="13"/>
    <n v="3115270307700"/>
    <x v="1191"/>
    <d v="2022-03-12T14:05:00"/>
    <d v="1899-12-30T02:35:00"/>
    <n v="116.1290322563201"/>
    <s v="UNPLANNED"/>
    <x v="1"/>
    <d v="1899-12-30T11:30:00"/>
    <x v="0"/>
  </r>
  <r>
    <n v="3738"/>
    <x v="14"/>
    <n v="1115270024500"/>
    <x v="1192"/>
    <d v="2022-03-12T14:05:00"/>
    <d v="1899-12-30T02:20:00"/>
    <n v="128.57142857570506"/>
    <s v="UNPLANNED"/>
    <x v="0"/>
    <d v="1899-12-30T11:45:00"/>
    <x v="0"/>
  </r>
  <r>
    <n v="3739"/>
    <x v="5"/>
    <n v="13115271590905"/>
    <x v="1193"/>
    <d v="2022-03-12T22:30:00"/>
    <d v="1899-12-30T06:00:00"/>
    <n v="50"/>
    <s v="UNPLANNED"/>
    <x v="2"/>
    <d v="1899-12-30T16:30:00"/>
    <x v="1"/>
  </r>
  <r>
    <n v="3740"/>
    <x v="10"/>
    <n v="11115271551900"/>
    <x v="1193"/>
    <d v="2022-03-12T22:30:00"/>
    <d v="1899-12-30T06:00:00"/>
    <n v="50"/>
    <s v="UNPLANNED"/>
    <x v="0"/>
    <d v="1899-12-30T16:30:00"/>
    <x v="1"/>
  </r>
  <r>
    <n v="3741"/>
    <x v="10"/>
    <n v="11115271542801"/>
    <x v="1193"/>
    <d v="2022-03-12T22:30:00"/>
    <d v="1899-12-30T06:00:00"/>
    <n v="50"/>
    <s v="UNPLANNED"/>
    <x v="0"/>
    <d v="1899-12-30T16:30:00"/>
    <x v="1"/>
  </r>
  <r>
    <n v="3742"/>
    <x v="7"/>
    <n v="7115271757102"/>
    <x v="1193"/>
    <d v="2022-03-12T22:30:00"/>
    <d v="1899-12-30T06:00:00"/>
    <n v="50"/>
    <s v="UNPLANNED"/>
    <x v="0"/>
    <d v="1899-12-30T16:30:00"/>
    <x v="1"/>
  </r>
  <r>
    <n v="3743"/>
    <x v="1"/>
    <n v="6115271704102"/>
    <x v="1193"/>
    <d v="2022-03-12T22:30:00"/>
    <d v="1899-12-30T06:00:00"/>
    <n v="50"/>
    <s v="UNPLANNED"/>
    <x v="0"/>
    <d v="1899-12-30T16:30:00"/>
    <x v="1"/>
  </r>
  <r>
    <n v="3744"/>
    <x v="0"/>
    <n v="5115271289500"/>
    <x v="1193"/>
    <d v="2022-03-12T22:30:00"/>
    <d v="1899-12-30T06:00:00"/>
    <n v="50"/>
    <s v="UNPLANNED"/>
    <x v="0"/>
    <d v="1899-12-30T16:30:00"/>
    <x v="1"/>
  </r>
  <r>
    <n v="3745"/>
    <x v="0"/>
    <n v="5115271285702"/>
    <x v="1193"/>
    <d v="2022-03-12T22:30:00"/>
    <d v="1899-12-30T06:00:00"/>
    <n v="50"/>
    <s v="UNPLANNED"/>
    <x v="0"/>
    <d v="1899-12-30T16:30:00"/>
    <x v="1"/>
  </r>
  <r>
    <n v="3746"/>
    <x v="12"/>
    <n v="14115271672502"/>
    <x v="1194"/>
    <d v="2022-03-13T01:10:00"/>
    <d v="1899-12-30T01:55:00"/>
    <n v="156.52173913360375"/>
    <s v="UNPLANNED"/>
    <x v="0"/>
    <d v="1899-12-30T23:15:00"/>
    <x v="2"/>
  </r>
  <r>
    <n v="3747"/>
    <x v="9"/>
    <n v="2115270274600"/>
    <x v="1194"/>
    <d v="2022-03-13T01:10:00"/>
    <d v="1899-12-30T01:55:00"/>
    <n v="156.52173913360375"/>
    <s v="UNPLANNED"/>
    <x v="0"/>
    <d v="1899-12-30T23:15:00"/>
    <x v="2"/>
  </r>
  <r>
    <n v="3748"/>
    <x v="13"/>
    <n v="3115270378500"/>
    <x v="1195"/>
    <d v="2022-03-13T12:50:00"/>
    <d v="1899-12-30T01:30:00"/>
    <n v="200"/>
    <s v="UNPLANNED"/>
    <x v="0"/>
    <d v="1899-12-30T11:20:00"/>
    <x v="0"/>
  </r>
  <r>
    <n v="3749"/>
    <x v="12"/>
    <n v="14115271672501"/>
    <x v="1196"/>
    <d v="2022-03-13T14:05:00"/>
    <d v="1899-12-30T03:30:00"/>
    <n v="85.714285712860217"/>
    <s v="UNPLANNED"/>
    <x v="3"/>
    <d v="1899-12-30T10:35:00"/>
    <x v="0"/>
  </r>
  <r>
    <n v="3750"/>
    <x v="5"/>
    <n v="13115271624100"/>
    <x v="1197"/>
    <d v="2022-03-13T14:05:00"/>
    <d v="1899-12-30T04:15:00"/>
    <n v="70.588235293150888"/>
    <s v="UNPLANNED"/>
    <x v="0"/>
    <d v="1899-12-30T09:50:00"/>
    <x v="0"/>
  </r>
  <r>
    <n v="3751"/>
    <x v="6"/>
    <n v="9115271907102"/>
    <x v="1195"/>
    <d v="2022-03-13T14:05:00"/>
    <d v="1899-12-30T02:45:00"/>
    <n v="109.09090908860001"/>
    <s v="UNPLANNED"/>
    <x v="1"/>
    <d v="1899-12-30T11:20:00"/>
    <x v="0"/>
  </r>
  <r>
    <n v="3752"/>
    <x v="7"/>
    <n v="7115271759003"/>
    <x v="1198"/>
    <d v="2022-03-13T14:05:00"/>
    <d v="1899-12-30T04:05:00"/>
    <n v="73.46938775440384"/>
    <s v="UNPLANNED"/>
    <x v="0"/>
    <d v="1899-12-30T10:00:00"/>
    <x v="0"/>
  </r>
  <r>
    <n v="3753"/>
    <x v="13"/>
    <n v="3115270392700"/>
    <x v="1199"/>
    <d v="2022-03-13T14:05:00"/>
    <d v="1899-12-30T01:30:00"/>
    <n v="200"/>
    <s v="UNPLANNED"/>
    <x v="0"/>
    <d v="1899-12-30T12:35:00"/>
    <x v="0"/>
  </r>
  <r>
    <n v="3754"/>
    <x v="14"/>
    <n v="1115270127400"/>
    <x v="1199"/>
    <d v="2022-03-13T14:05:00"/>
    <d v="1899-12-30T01:30:00"/>
    <n v="200"/>
    <s v="UNPLANNED"/>
    <x v="0"/>
    <d v="1899-12-30T12:35:00"/>
    <x v="0"/>
  </r>
  <r>
    <n v="3755"/>
    <x v="11"/>
    <n v="10115270953300"/>
    <x v="1200"/>
    <d v="2022-03-13T17:50:00"/>
    <d v="1899-12-30T02:10:00"/>
    <n v="138.46153846773811"/>
    <s v="UNPLANNED"/>
    <x v="3"/>
    <d v="1899-12-30T15:40:00"/>
    <x v="1"/>
  </r>
  <r>
    <n v="3756"/>
    <x v="1"/>
    <n v="6115271691301"/>
    <x v="1200"/>
    <d v="2022-03-13T17:50:00"/>
    <d v="1899-12-30T02:10:00"/>
    <n v="138.46153846773811"/>
    <s v="UNPLANNED"/>
    <x v="6"/>
    <d v="1899-12-30T15:40:00"/>
    <x v="1"/>
  </r>
  <r>
    <n v="3757"/>
    <x v="0"/>
    <n v="5115271272704"/>
    <x v="1200"/>
    <d v="2022-03-13T17:50:00"/>
    <d v="1899-12-30T02:10:00"/>
    <n v="138.46153846773811"/>
    <s v="UNPLANNED"/>
    <x v="0"/>
    <d v="1899-12-30T15:40:00"/>
    <x v="1"/>
  </r>
  <r>
    <n v="3758"/>
    <x v="14"/>
    <n v="1115270112500"/>
    <x v="1201"/>
    <d v="2022-03-13T17:50:00"/>
    <d v="1899-12-30T01:10:00"/>
    <n v="257.14285715141011"/>
    <s v="UNPLANNED"/>
    <x v="1"/>
    <d v="1899-12-30T16:40:00"/>
    <x v="1"/>
  </r>
  <r>
    <n v="3759"/>
    <x v="14"/>
    <n v="1115270064500"/>
    <x v="1202"/>
    <d v="2022-03-13T18:50:00"/>
    <d v="1899-12-30T01:10:00"/>
    <n v="257.14285715141011"/>
    <s v="UNPLANNED"/>
    <x v="0"/>
    <d v="1899-12-30T17:40:00"/>
    <x v="1"/>
  </r>
  <r>
    <n v="3760"/>
    <x v="12"/>
    <n v="14115271689803"/>
    <x v="1203"/>
    <d v="2022-03-13T20:46:00"/>
    <d v="1899-12-30T01:31:00"/>
    <n v="197.80219781788665"/>
    <s v="UNPLANNED"/>
    <x v="0"/>
    <d v="1899-12-30T19:15:00"/>
    <x v="1"/>
  </r>
  <r>
    <n v="3761"/>
    <x v="0"/>
    <n v="5115271259402"/>
    <x v="1203"/>
    <d v="2022-03-13T20:46:00"/>
    <d v="1899-12-30T01:31:00"/>
    <n v="197.80219781788665"/>
    <s v="UNPLANNED"/>
    <x v="1"/>
    <d v="1899-12-30T19:15:00"/>
    <x v="1"/>
  </r>
  <r>
    <n v="3762"/>
    <x v="9"/>
    <n v="2115270266400"/>
    <x v="1203"/>
    <d v="2022-03-13T20:46:00"/>
    <d v="1899-12-30T01:31:00"/>
    <n v="197.80219781788665"/>
    <s v="UNPLANNED"/>
    <x v="0"/>
    <d v="1899-12-30T19:15:00"/>
    <x v="1"/>
  </r>
  <r>
    <n v="3763"/>
    <x v="14"/>
    <n v="1115270067502"/>
    <x v="1204"/>
    <d v="2022-03-13T23:15:00"/>
    <d v="1899-12-30T00:55:00"/>
    <n v="327.27272726580009"/>
    <s v="UNPLANNED"/>
    <x v="0"/>
    <d v="1899-12-30T22:20:00"/>
    <x v="2"/>
  </r>
  <r>
    <n v="3764"/>
    <x v="5"/>
    <n v="13115271590603"/>
    <x v="1205"/>
    <d v="2022-03-14T01:15:00"/>
    <d v="1899-12-30T01:14:59"/>
    <n v="240.05334518911155"/>
    <s v="UNPLANNED"/>
    <x v="0"/>
    <d v="1899-12-30T00:00:01"/>
    <x v="2"/>
  </r>
  <r>
    <n v="3765"/>
    <x v="13"/>
    <n v="3115270350702"/>
    <x v="1205"/>
    <d v="2022-03-14T01:15:00"/>
    <d v="1899-12-30T01:14:59"/>
    <n v="240.05334518911155"/>
    <s v="UNPLANNED"/>
    <x v="0"/>
    <d v="1899-12-30T00:00:01"/>
    <x v="2"/>
  </r>
  <r>
    <n v="3766"/>
    <x v="3"/>
    <n v="8115271855800"/>
    <x v="1206"/>
    <d v="2022-03-14T09:35:00"/>
    <d v="1899-12-30T00:35:00"/>
    <n v="514.28571430282022"/>
    <s v="UNPLANNED"/>
    <x v="6"/>
    <d v="1899-12-30T09:00:00"/>
    <x v="0"/>
  </r>
  <r>
    <n v="3767"/>
    <x v="2"/>
    <n v="12115271563804"/>
    <x v="1207"/>
    <d v="2022-03-14T20:25:00"/>
    <d v="1899-12-30T05:05:00"/>
    <n v="59.016393442848212"/>
    <s v="UNPLANNED"/>
    <x v="0"/>
    <d v="1899-12-30T15:20:00"/>
    <x v="1"/>
  </r>
  <r>
    <n v="3768"/>
    <x v="10"/>
    <n v="11115271542608"/>
    <x v="1207"/>
    <d v="2022-03-14T20:25:00"/>
    <d v="1899-12-30T05:05:00"/>
    <n v="59.016393442848212"/>
    <s v="UNPLANNED"/>
    <x v="1"/>
    <d v="1899-12-30T15:20:00"/>
    <x v="1"/>
  </r>
  <r>
    <n v="3769"/>
    <x v="11"/>
    <n v="10115271432800"/>
    <x v="1207"/>
    <d v="2022-03-14T20:25:00"/>
    <d v="1899-12-30T05:05:00"/>
    <n v="59.016393442848212"/>
    <s v="UNPLANNED"/>
    <x v="0"/>
    <d v="1899-12-30T15:20:00"/>
    <x v="1"/>
  </r>
  <r>
    <n v="3770"/>
    <x v="3"/>
    <n v="8115271810104"/>
    <x v="1207"/>
    <d v="2022-03-14T20:25:00"/>
    <d v="1899-12-30T05:05:00"/>
    <n v="59.016393442848212"/>
    <s v="UNPLANNED"/>
    <x v="0"/>
    <d v="1899-12-30T15:20:00"/>
    <x v="1"/>
  </r>
  <r>
    <n v="3771"/>
    <x v="1"/>
    <n v="6115271715800"/>
    <x v="1207"/>
    <d v="2022-03-14T20:25:00"/>
    <d v="1899-12-30T05:05:00"/>
    <n v="59.016393442848212"/>
    <s v="UNPLANNED"/>
    <x v="0"/>
    <d v="1899-12-30T15:20:00"/>
    <x v="1"/>
  </r>
  <r>
    <n v="3772"/>
    <x v="1"/>
    <n v="6115271660206"/>
    <x v="1207"/>
    <d v="2022-03-14T20:25:00"/>
    <d v="1899-12-30T05:05:00"/>
    <n v="59.016393442848212"/>
    <s v="UNPLANNED"/>
    <x v="0"/>
    <d v="1899-12-30T15:20:00"/>
    <x v="1"/>
  </r>
  <r>
    <n v="3773"/>
    <x v="9"/>
    <n v="2115270193700"/>
    <x v="1207"/>
    <d v="2022-03-14T20:25:00"/>
    <d v="1899-12-30T05:05:00"/>
    <n v="59.016393442848212"/>
    <s v="UNPLANNED"/>
    <x v="0"/>
    <d v="1899-12-30T15:20:00"/>
    <x v="1"/>
  </r>
  <r>
    <n v="3774"/>
    <x v="14"/>
    <n v="1115270112500"/>
    <x v="1207"/>
    <d v="2022-03-14T20:25:00"/>
    <d v="1899-12-30T05:05:00"/>
    <n v="59.016393442848212"/>
    <s v="UNPLANNED"/>
    <x v="1"/>
    <d v="1899-12-30T15:20:00"/>
    <x v="1"/>
  </r>
  <r>
    <n v="3775"/>
    <x v="2"/>
    <n v="12115271567004"/>
    <x v="1208"/>
    <d v="2022-03-14T21:50:00"/>
    <d v="1899-12-30T00:55:00"/>
    <n v="327.27272732814481"/>
    <s v="UNPLANNED"/>
    <x v="1"/>
    <d v="1899-12-30T20:55:00"/>
    <x v="1"/>
  </r>
  <r>
    <n v="3776"/>
    <x v="13"/>
    <n v="3115270365100"/>
    <x v="1208"/>
    <d v="2022-03-14T21:50:00"/>
    <d v="1899-12-30T00:55:00"/>
    <n v="327.27272732814481"/>
    <s v="UNPLANNED"/>
    <x v="1"/>
    <d v="1899-12-30T20:55:00"/>
    <x v="1"/>
  </r>
  <r>
    <n v="3777"/>
    <x v="9"/>
    <n v="2115270169700"/>
    <x v="1209"/>
    <d v="2022-03-15T00:10:00"/>
    <d v="1899-12-30T01:10:00"/>
    <n v="257.14285715141011"/>
    <s v="UNPLANNED"/>
    <x v="0"/>
    <d v="1899-12-30T23:00:00"/>
    <x v="2"/>
  </r>
  <r>
    <n v="3778"/>
    <x v="14"/>
    <n v="1115270142600"/>
    <x v="1209"/>
    <d v="2022-03-15T00:10:00"/>
    <d v="1899-12-30T01:10:00"/>
    <n v="257.14285715141011"/>
    <s v="UNPLANNED"/>
    <x v="1"/>
    <d v="1899-12-30T23:00:00"/>
    <x v="2"/>
  </r>
  <r>
    <n v="3779"/>
    <x v="14"/>
    <n v="1115270169700"/>
    <x v="1210"/>
    <d v="2022-03-15T01:30:00"/>
    <d v="1899-12-30T00:45:00"/>
    <n v="400"/>
    <s v="UNPLANNED"/>
    <x v="0"/>
    <d v="1899-12-30T00:45:00"/>
    <x v="2"/>
  </r>
  <r>
    <n v="3780"/>
    <x v="7"/>
    <n v="7115271757204"/>
    <x v="1211"/>
    <d v="2022-03-15T09:30:00"/>
    <d v="1899-12-30T00:45:00"/>
    <n v="400"/>
    <s v="UNPLANNED"/>
    <x v="0"/>
    <d v="1899-12-30T08:45:00"/>
    <x v="0"/>
  </r>
  <r>
    <n v="3781"/>
    <x v="3"/>
    <n v="8115271855900"/>
    <x v="1212"/>
    <d v="2022-03-15T16:50:00"/>
    <d v="1899-12-30T01:50:00"/>
    <n v="163.63636363290004"/>
    <s v="UNPLANNED"/>
    <x v="0"/>
    <d v="1899-12-30T15:00:00"/>
    <x v="1"/>
  </r>
  <r>
    <n v="3782"/>
    <x v="13"/>
    <n v="3115270366700"/>
    <x v="1213"/>
    <d v="2022-03-15T19:00:00"/>
    <d v="1899-12-30T01:40:00"/>
    <n v="179.99999999790452"/>
    <s v="UNPLANNED"/>
    <x v="0"/>
    <d v="1899-12-30T17:20:00"/>
    <x v="1"/>
  </r>
  <r>
    <n v="3783"/>
    <x v="2"/>
    <n v="12115271567005"/>
    <x v="1214"/>
    <d v="2022-03-15T23:40:00"/>
    <d v="1899-12-30T01:10:00"/>
    <n v="257.14285715141011"/>
    <s v="UNPLANNED"/>
    <x v="0"/>
    <d v="1899-12-30T22:30:00"/>
    <x v="2"/>
  </r>
  <r>
    <n v="3784"/>
    <x v="14"/>
    <n v="1115270062501"/>
    <x v="1215"/>
    <d v="2022-03-16T00:45:00"/>
    <d v="1899-12-30T00:44:59"/>
    <n v="400.14820307281934"/>
    <s v="UNPLANNED"/>
    <x v="0"/>
    <d v="1899-12-30T00:00:01"/>
    <x v="2"/>
  </r>
  <r>
    <n v="3785"/>
    <x v="12"/>
    <n v="14115271672406"/>
    <x v="1216"/>
    <d v="2022-03-16T13:55:00"/>
    <d v="1899-12-30T01:10:00"/>
    <n v="257.14285715141011"/>
    <s v="UNPLANNED"/>
    <x v="1"/>
    <d v="1899-12-30T12:45:00"/>
    <x v="0"/>
  </r>
  <r>
    <n v="3786"/>
    <x v="10"/>
    <n v="11115271543000"/>
    <x v="1217"/>
    <d v="2022-03-16T13:55:00"/>
    <d v="1899-12-30T03:25:00"/>
    <n v="87.804878049777741"/>
    <s v="UNPLANNED"/>
    <x v="0"/>
    <d v="1899-12-30T10:30:00"/>
    <x v="0"/>
  </r>
  <r>
    <n v="3787"/>
    <x v="7"/>
    <n v="7115271756901"/>
    <x v="1217"/>
    <d v="2022-03-16T13:55:00"/>
    <d v="1899-12-30T03:25:00"/>
    <n v="87.804878049777741"/>
    <s v="UNPLANNED"/>
    <x v="0"/>
    <d v="1899-12-30T10:30:00"/>
    <x v="0"/>
  </r>
  <r>
    <n v="3788"/>
    <x v="1"/>
    <n v="6115271722900"/>
    <x v="1216"/>
    <d v="2022-03-16T13:55:00"/>
    <d v="1899-12-30T01:10:00"/>
    <n v="257.14285715141011"/>
    <s v="UNPLANNED"/>
    <x v="1"/>
    <d v="1899-12-30T12:45:00"/>
    <x v="0"/>
  </r>
  <r>
    <n v="3789"/>
    <x v="13"/>
    <n v="3115270336500"/>
    <x v="1216"/>
    <d v="2022-03-16T13:55:00"/>
    <d v="1899-12-30T01:10:00"/>
    <n v="257.14285715141011"/>
    <s v="UNPLANNED"/>
    <x v="1"/>
    <d v="1899-12-30T12:45:00"/>
    <x v="0"/>
  </r>
  <r>
    <n v="3790"/>
    <x v="9"/>
    <n v="2115270222600"/>
    <x v="1217"/>
    <d v="2022-03-16T13:55:00"/>
    <d v="1899-12-30T03:25:00"/>
    <n v="87.804878049777741"/>
    <s v="UNPLANNED"/>
    <x v="0"/>
    <d v="1899-12-30T10:30:00"/>
    <x v="0"/>
  </r>
  <r>
    <n v="3791"/>
    <x v="1"/>
    <n v="6115271723031"/>
    <x v="1218"/>
    <d v="2022-03-16T18:00:00"/>
    <d v="1899-12-30T01:00:00"/>
    <n v="300.0000000174623"/>
    <s v="UNPLANNED"/>
    <x v="1"/>
    <d v="1899-12-30T17:00:00"/>
    <x v="1"/>
  </r>
  <r>
    <n v="3792"/>
    <x v="2"/>
    <n v="12115271575520"/>
    <x v="1219"/>
    <d v="2022-03-16T22:20:00"/>
    <d v="1899-12-30T02:00:00"/>
    <n v="149.99999999563443"/>
    <s v="UNPLANNED"/>
    <x v="1"/>
    <d v="1899-12-30T20:20:00"/>
    <x v="1"/>
  </r>
  <r>
    <n v="3793"/>
    <x v="1"/>
    <n v="6115271719908"/>
    <x v="1220"/>
    <d v="2022-03-17T00:00:01"/>
    <d v="1899-12-30T01:20:01"/>
    <n v="224.9531347559107"/>
    <s v="UNPLANNED"/>
    <x v="0"/>
    <d v="1899-12-30T22:40:00"/>
    <x v="2"/>
  </r>
  <r>
    <n v="3794"/>
    <x v="14"/>
    <n v="1115270102000"/>
    <x v="1221"/>
    <d v="2022-03-17T01:40:00"/>
    <d v="1899-12-30T00:55:00"/>
    <n v="327.27272726580009"/>
    <s v="UNPLANNED"/>
    <x v="1"/>
    <d v="1899-12-30T00:45:00"/>
    <x v="2"/>
  </r>
  <r>
    <n v="3795"/>
    <x v="6"/>
    <n v="9115271934300"/>
    <x v="1222"/>
    <d v="2022-03-17T10:30:00"/>
    <d v="1899-12-30T02:05:00"/>
    <n v="144.00000000134111"/>
    <s v="UNPLANNED"/>
    <x v="1"/>
    <d v="1899-12-30T08:25:00"/>
    <x v="0"/>
  </r>
  <r>
    <n v="3796"/>
    <x v="13"/>
    <n v="3115270443700"/>
    <x v="1223"/>
    <d v="2022-03-17T10:30:00"/>
    <d v="1899-12-30T01:28:00"/>
    <n v="204.5454545362544"/>
    <s v="UNPLANNED"/>
    <x v="1"/>
    <d v="1899-12-30T09:02:00"/>
    <x v="0"/>
  </r>
  <r>
    <n v="3797"/>
    <x v="14"/>
    <n v="1115270099600"/>
    <x v="1224"/>
    <d v="2022-03-17T10:30:00"/>
    <d v="1899-12-30T03:25:00"/>
    <n v="87.804878049777741"/>
    <s v="UNPLANNED"/>
    <x v="1"/>
    <d v="1899-12-30T07:05:00"/>
    <x v="0"/>
  </r>
  <r>
    <n v="3798"/>
    <x v="12"/>
    <n v="14115271686201"/>
    <x v="1225"/>
    <d v="2022-03-17T13:50:00"/>
    <d v="1899-12-30T02:05:00"/>
    <n v="144.00000000134111"/>
    <s v="UNPLANNED"/>
    <x v="0"/>
    <d v="1899-12-30T11:45:00"/>
    <x v="0"/>
  </r>
  <r>
    <n v="3799"/>
    <x v="12"/>
    <n v="14115271672309"/>
    <x v="1225"/>
    <d v="2022-03-17T13:50:00"/>
    <d v="1899-12-30T02:05:00"/>
    <n v="144.00000000134111"/>
    <s v="UNPLANNED"/>
    <x v="0"/>
    <d v="1899-12-30T11:45:00"/>
    <x v="0"/>
  </r>
  <r>
    <n v="3800"/>
    <x v="2"/>
    <n v="12115271575502"/>
    <x v="1226"/>
    <d v="2022-03-17T13:50:00"/>
    <d v="1899-12-30T03:20:00"/>
    <n v="89.999999998952262"/>
    <s v="UNPLANNED"/>
    <x v="0"/>
    <d v="1899-12-30T10:30:00"/>
    <x v="0"/>
  </r>
  <r>
    <n v="3801"/>
    <x v="3"/>
    <n v="8115271820502"/>
    <x v="1226"/>
    <d v="2022-03-17T13:50:00"/>
    <d v="1899-12-30T03:20:00"/>
    <n v="89.999999998952262"/>
    <s v="UNPLANNED"/>
    <x v="0"/>
    <d v="1899-12-30T10:30:00"/>
    <x v="0"/>
  </r>
  <r>
    <n v="3802"/>
    <x v="7"/>
    <n v="7115271783707"/>
    <x v="1226"/>
    <d v="2022-03-17T13:50:00"/>
    <d v="1899-12-30T03:20:00"/>
    <n v="89.999999998952262"/>
    <s v="UNPLANNED"/>
    <x v="0"/>
    <d v="1899-12-30T10:30:00"/>
    <x v="0"/>
  </r>
  <r>
    <n v="3803"/>
    <x v="12"/>
    <n v="14115271679800"/>
    <x v="1227"/>
    <d v="2022-03-17T21:30:00"/>
    <d v="1899-12-30T05:05:00"/>
    <n v="59.016393442848212"/>
    <s v="UNPLANNED"/>
    <x v="1"/>
    <d v="1899-12-30T16:25:00"/>
    <x v="1"/>
  </r>
  <r>
    <n v="3804"/>
    <x v="12"/>
    <n v="14115271673113"/>
    <x v="1228"/>
    <d v="2022-03-17T21:30:00"/>
    <d v="1899-12-30T02:45:00"/>
    <n v="109.09090908860001"/>
    <s v="UNPLANNED"/>
    <x v="1"/>
    <d v="1899-12-30T18:45:00"/>
    <x v="1"/>
  </r>
  <r>
    <n v="3805"/>
    <x v="10"/>
    <n v="11115271542607"/>
    <x v="1229"/>
    <d v="2022-03-17T21:30:00"/>
    <d v="1899-12-30T03:00:00"/>
    <n v="100"/>
    <s v="UNPLANNED"/>
    <x v="0"/>
    <d v="1899-12-30T18:30:00"/>
    <x v="1"/>
  </r>
  <r>
    <n v="3806"/>
    <x v="11"/>
    <n v="10115271410100"/>
    <x v="1229"/>
    <d v="2022-03-17T21:30:00"/>
    <d v="1899-12-30T03:00:00"/>
    <n v="100"/>
    <s v="UNPLANNED"/>
    <x v="0"/>
    <d v="1899-12-30T18:30:00"/>
    <x v="1"/>
  </r>
  <r>
    <n v="3807"/>
    <x v="6"/>
    <n v="9115271948200"/>
    <x v="1227"/>
    <d v="2022-03-17T21:30:00"/>
    <d v="1899-12-30T05:05:00"/>
    <n v="59.016393442848212"/>
    <s v="UNPLANNED"/>
    <x v="1"/>
    <d v="1899-12-30T16:25:00"/>
    <x v="1"/>
  </r>
  <r>
    <n v="3808"/>
    <x v="1"/>
    <n v="6115271744400"/>
    <x v="1227"/>
    <d v="2022-03-17T21:30:00"/>
    <d v="1899-12-30T05:05:00"/>
    <n v="59.016393442848212"/>
    <s v="UNPLANNED"/>
    <x v="1"/>
    <d v="1899-12-30T16:25:00"/>
    <x v="1"/>
  </r>
  <r>
    <n v="3809"/>
    <x v="14"/>
    <n v="1115270029200"/>
    <x v="1230"/>
    <d v="2022-03-17T21:30:00"/>
    <d v="1899-12-30T02:55:00"/>
    <n v="102.85714285440591"/>
    <s v="UNPLANNED"/>
    <x v="1"/>
    <d v="1899-12-30T18:35:00"/>
    <x v="1"/>
  </r>
  <r>
    <n v="3810"/>
    <x v="12"/>
    <n v="14115271672412"/>
    <x v="1231"/>
    <d v="2022-03-18T13:50:00"/>
    <d v="1899-12-30T01:05:00"/>
    <n v="276.9230769131575"/>
    <s v="UNPLANNED"/>
    <x v="1"/>
    <d v="1899-12-30T12:45:00"/>
    <x v="0"/>
  </r>
  <r>
    <n v="3811"/>
    <x v="2"/>
    <n v="12115271567007"/>
    <x v="1232"/>
    <d v="2022-03-18T13:50:00"/>
    <d v="1899-12-30T02:55:00"/>
    <n v="102.85714285440591"/>
    <s v="UNPLANNED"/>
    <x v="1"/>
    <d v="1899-12-30T10:55:00"/>
    <x v="0"/>
  </r>
  <r>
    <n v="3812"/>
    <x v="10"/>
    <n v="11115271543100"/>
    <x v="1233"/>
    <d v="2022-03-18T13:50:00"/>
    <d v="1899-12-30T02:20:00"/>
    <n v="128.57142856608297"/>
    <s v="UNPLANNED"/>
    <x v="0"/>
    <d v="1899-12-30T11:30:00"/>
    <x v="0"/>
  </r>
  <r>
    <n v="3813"/>
    <x v="3"/>
    <n v="8115271825200"/>
    <x v="1234"/>
    <d v="2022-03-18T13:50:00"/>
    <d v="1899-12-30T04:20:00"/>
    <n v="69.230769231079208"/>
    <s v="UNPLANNED"/>
    <x v="1"/>
    <d v="1899-12-30T09:30:00"/>
    <x v="0"/>
  </r>
  <r>
    <n v="3814"/>
    <x v="7"/>
    <n v="7115271761101"/>
    <x v="1234"/>
    <d v="2022-03-18T13:50:00"/>
    <d v="1899-12-30T04:20:00"/>
    <n v="69.230769231079208"/>
    <s v="UNPLANNED"/>
    <x v="1"/>
    <d v="1899-12-30T09:30:00"/>
    <x v="0"/>
  </r>
  <r>
    <n v="3815"/>
    <x v="13"/>
    <n v="3115270341200"/>
    <x v="1233"/>
    <d v="2022-03-18T13:50:00"/>
    <d v="1899-12-30T02:20:00"/>
    <n v="128.57142856608297"/>
    <s v="UNPLANNED"/>
    <x v="0"/>
    <d v="1899-12-30T11:30:00"/>
    <x v="0"/>
  </r>
  <r>
    <n v="3816"/>
    <x v="4"/>
    <n v="15115271743401"/>
    <x v="1235"/>
    <d v="2022-03-18T21:50:00"/>
    <d v="1899-12-30T04:50:00"/>
    <n v="62.068965518985529"/>
    <s v="UNPLANNED"/>
    <x v="0"/>
    <d v="1899-12-30T17:00:00"/>
    <x v="1"/>
  </r>
  <r>
    <n v="3817"/>
    <x v="12"/>
    <n v="14115271690408"/>
    <x v="1236"/>
    <d v="2022-03-18T21:50:00"/>
    <d v="1899-12-30T04:23:00"/>
    <n v="68.441064639267992"/>
    <s v="UNPLANNED"/>
    <x v="0"/>
    <d v="1899-12-30T17:27:00"/>
    <x v="1"/>
  </r>
  <r>
    <n v="3818"/>
    <x v="6"/>
    <n v="9115271939100"/>
    <x v="1235"/>
    <d v="2022-03-18T21:50:00"/>
    <d v="1899-12-30T04:50:00"/>
    <n v="62.068965518985529"/>
    <s v="UNPLANNED"/>
    <x v="0"/>
    <d v="1899-12-30T17:00:00"/>
    <x v="1"/>
  </r>
  <r>
    <n v="3819"/>
    <x v="3"/>
    <n v="8115271835800"/>
    <x v="1235"/>
    <d v="2022-03-18T21:50:00"/>
    <d v="1899-12-30T04:50:00"/>
    <n v="62.068965518985529"/>
    <s v="UNPLANNED"/>
    <x v="0"/>
    <d v="1899-12-30T17:00:00"/>
    <x v="1"/>
  </r>
  <r>
    <n v="3820"/>
    <x v="13"/>
    <n v="3115270388801"/>
    <x v="1235"/>
    <d v="2022-03-18T21:50:00"/>
    <d v="1899-12-30T04:50:00"/>
    <n v="62.068965518985529"/>
    <s v="UNPLANNED"/>
    <x v="0"/>
    <d v="1899-12-30T17:00:00"/>
    <x v="1"/>
  </r>
  <r>
    <n v="3821"/>
    <x v="14"/>
    <n v="1115270101100"/>
    <x v="1237"/>
    <d v="2022-03-18T21:50:00"/>
    <d v="1899-12-30T02:19:00"/>
    <n v="129.49640288507285"/>
    <s v="UNPLANNED"/>
    <x v="1"/>
    <d v="1899-12-30T19:31:00"/>
    <x v="1"/>
  </r>
  <r>
    <n v="3822"/>
    <x v="5"/>
    <n v="13115271608200"/>
    <x v="1238"/>
    <d v="2022-03-19T02:20:00"/>
    <d v="1899-12-30T02:40:00"/>
    <n v="112.50000000163709"/>
    <s v="UNPLANNED"/>
    <x v="1"/>
    <d v="1899-12-30T23:40:00"/>
    <x v="2"/>
  </r>
  <r>
    <n v="3823"/>
    <x v="13"/>
    <n v="3115270421400"/>
    <x v="1239"/>
    <d v="2022-03-19T02:20:00"/>
    <d v="1899-12-30T03:20:00"/>
    <n v="90.000000003667083"/>
    <s v="UNPLANNED"/>
    <x v="0"/>
    <d v="1899-12-30T23:00:00"/>
    <x v="2"/>
  </r>
  <r>
    <n v="3824"/>
    <x v="13"/>
    <n v="3115270393500"/>
    <x v="1240"/>
    <d v="2022-03-19T02:20:00"/>
    <d v="1899-12-30T02:10:00"/>
    <n v="138.46153846773811"/>
    <s v="UNPLANNED"/>
    <x v="1"/>
    <d v="1899-12-30T00:10:00"/>
    <x v="2"/>
  </r>
  <r>
    <n v="3825"/>
    <x v="13"/>
    <n v="3115270306902"/>
    <x v="1239"/>
    <d v="2022-03-19T02:20:00"/>
    <d v="1899-12-30T03:20:00"/>
    <n v="90.000000003667083"/>
    <s v="UNPLANNED"/>
    <x v="1"/>
    <d v="1899-12-30T23:00:00"/>
    <x v="2"/>
  </r>
  <r>
    <n v="3826"/>
    <x v="12"/>
    <n v="14115271673116"/>
    <x v="1241"/>
    <d v="2022-03-19T15:50:00"/>
    <d v="1899-12-30T06:20:00"/>
    <n v="47.368421053647388"/>
    <s v="UNPLANNED"/>
    <x v="1"/>
    <d v="1899-12-30T09:30:00"/>
    <x v="0"/>
  </r>
  <r>
    <n v="3827"/>
    <x v="7"/>
    <n v="7115271760800"/>
    <x v="1241"/>
    <d v="2022-03-19T15:50:00"/>
    <d v="1899-12-30T06:20:00"/>
    <n v="47.368421053647388"/>
    <s v="UNPLANNED"/>
    <x v="1"/>
    <d v="1899-12-30T09:30:00"/>
    <x v="0"/>
  </r>
  <r>
    <n v="3828"/>
    <x v="7"/>
    <n v="7115271757100"/>
    <x v="1241"/>
    <d v="2022-03-19T15:50:00"/>
    <d v="1899-12-30T06:20:00"/>
    <n v="47.368421053647388"/>
    <s v="UNPLANNED"/>
    <x v="1"/>
    <d v="1899-12-30T09:30:00"/>
    <x v="0"/>
  </r>
  <r>
    <n v="3829"/>
    <x v="1"/>
    <n v="6115271717219"/>
    <x v="1241"/>
    <d v="2022-03-19T15:50:00"/>
    <d v="1899-12-30T06:20:00"/>
    <n v="47.368421053647388"/>
    <s v="UNPLANNED"/>
    <x v="0"/>
    <d v="1899-12-30T09:30:00"/>
    <x v="0"/>
  </r>
  <r>
    <n v="3830"/>
    <x v="13"/>
    <n v="3115270333200"/>
    <x v="1241"/>
    <d v="2022-03-19T15:50:00"/>
    <d v="1899-12-30T06:20:00"/>
    <n v="47.368421053647388"/>
    <s v="UNPLANNED"/>
    <x v="0"/>
    <d v="1899-12-30T09:30:00"/>
    <x v="0"/>
  </r>
  <r>
    <n v="3831"/>
    <x v="12"/>
    <n v="14115271672411"/>
    <x v="1242"/>
    <d v="2022-03-19T21:30:00"/>
    <d v="1899-12-30T04:00:00"/>
    <n v="74.999999997817213"/>
    <s v="UNPLANNED"/>
    <x v="0"/>
    <d v="1899-12-30T17:30:00"/>
    <x v="1"/>
  </r>
  <r>
    <n v="3832"/>
    <x v="7"/>
    <n v="7115271787804"/>
    <x v="1242"/>
    <d v="2022-03-19T21:30:00"/>
    <d v="1899-12-30T04:00:00"/>
    <n v="74.999999997817213"/>
    <s v="UNPLANNED"/>
    <x v="1"/>
    <d v="1899-12-30T17:30:00"/>
    <x v="1"/>
  </r>
  <r>
    <n v="3833"/>
    <x v="7"/>
    <n v="7115271787213"/>
    <x v="1242"/>
    <d v="2022-03-19T21:30:00"/>
    <d v="1899-12-30T04:00:00"/>
    <n v="74.999999997817213"/>
    <s v="UNPLANNED"/>
    <x v="0"/>
    <d v="1899-12-30T17:30:00"/>
    <x v="1"/>
  </r>
  <r>
    <n v="3834"/>
    <x v="13"/>
    <n v="3115270349800"/>
    <x v="1242"/>
    <d v="2022-03-19T21:30:00"/>
    <d v="1899-12-30T04:00:00"/>
    <n v="74.999999997817213"/>
    <s v="UNPLANNED"/>
    <x v="0"/>
    <d v="1899-12-30T17:30:00"/>
    <x v="1"/>
  </r>
  <r>
    <n v="3835"/>
    <x v="9"/>
    <n v="2115270250700"/>
    <x v="1242"/>
    <d v="2022-03-19T21:30:00"/>
    <d v="1899-12-30T04:00:00"/>
    <n v="74.999999997817213"/>
    <s v="UNPLANNED"/>
    <x v="0"/>
    <d v="1899-12-30T17:30:00"/>
    <x v="1"/>
  </r>
  <r>
    <n v="3836"/>
    <x v="14"/>
    <n v="1115270062601"/>
    <x v="1242"/>
    <d v="2022-03-19T21:30:00"/>
    <d v="1899-12-30T04:00:00"/>
    <n v="74.999999997817213"/>
    <s v="UNPLANNED"/>
    <x v="0"/>
    <d v="1899-12-30T17:30:00"/>
    <x v="1"/>
  </r>
  <r>
    <n v="3837"/>
    <x v="11"/>
    <n v="10115271433100"/>
    <x v="1243"/>
    <d v="2022-03-20T03:40:00"/>
    <d v="1899-12-30T02:55:00"/>
    <n v="102.85714285440591"/>
    <s v="UNPLANNED"/>
    <x v="1"/>
    <d v="1899-12-30T00:45:00"/>
    <x v="2"/>
  </r>
  <r>
    <n v="3838"/>
    <x v="13"/>
    <n v="3115270326900"/>
    <x v="1243"/>
    <d v="2022-03-20T03:40:00"/>
    <d v="1899-12-30T02:55:00"/>
    <n v="102.85714285440591"/>
    <s v="UNPLANNED"/>
    <x v="1"/>
    <d v="1899-12-30T00:45:00"/>
    <x v="2"/>
  </r>
  <r>
    <n v="3839"/>
    <x v="13"/>
    <n v="3115270306704"/>
    <x v="1243"/>
    <d v="2022-03-20T03:40:00"/>
    <d v="1899-12-30T02:55:00"/>
    <n v="102.85714285440591"/>
    <s v="UNPLANNED"/>
    <x v="0"/>
    <d v="1899-12-30T00:45:00"/>
    <x v="2"/>
  </r>
  <r>
    <n v="3840"/>
    <x v="9"/>
    <n v="2115270225500"/>
    <x v="1243"/>
    <d v="2022-03-20T03:40:00"/>
    <d v="1899-12-30T02:55:00"/>
    <n v="102.85714285440591"/>
    <s v="UNPLANNED"/>
    <x v="0"/>
    <d v="1899-12-30T00:45:00"/>
    <x v="2"/>
  </r>
  <r>
    <n v="3841"/>
    <x v="14"/>
    <n v="1115270101200"/>
    <x v="1243"/>
    <d v="2022-03-20T03:40:00"/>
    <d v="1899-12-30T02:55:00"/>
    <n v="102.85714285440591"/>
    <s v="UNPLANNED"/>
    <x v="0"/>
    <d v="1899-12-30T00:45:00"/>
    <x v="2"/>
  </r>
  <r>
    <n v="3842"/>
    <x v="14"/>
    <n v="1111527010220"/>
    <x v="1243"/>
    <d v="2022-03-20T03:40:00"/>
    <d v="1899-12-30T02:55:00"/>
    <n v="102.85714285440591"/>
    <s v="UNPLANNED"/>
    <x v="0"/>
    <d v="1899-12-30T00:45:00"/>
    <x v="2"/>
  </r>
  <r>
    <n v="3843"/>
    <x v="0"/>
    <n v="5115271239400"/>
    <x v="1244"/>
    <d v="2022-03-20T05:10:00"/>
    <d v="1899-12-30T01:10:00"/>
    <n v="257.14285711292177"/>
    <s v="UNPLANNED"/>
    <x v="1"/>
    <d v="1899-12-30T04:00:00"/>
    <x v="2"/>
  </r>
  <r>
    <n v="3844"/>
    <x v="4"/>
    <n v="15115271743503"/>
    <x v="1245"/>
    <d v="2022-03-20T15:10:00"/>
    <d v="1899-12-30T02:10:00"/>
    <n v="138.46153845657875"/>
    <s v="UNPLANNED"/>
    <x v="0"/>
    <d v="1899-12-30T13:00:00"/>
    <x v="0"/>
  </r>
  <r>
    <n v="3845"/>
    <x v="12"/>
    <n v="14115271677401"/>
    <x v="1246"/>
    <d v="2022-03-20T15:10:00"/>
    <d v="1899-12-30T05:10:00"/>
    <n v="58.064516128160051"/>
    <s v="UNPLANNED"/>
    <x v="1"/>
    <d v="1899-12-30T10:00:00"/>
    <x v="0"/>
  </r>
  <r>
    <n v="3846"/>
    <x v="2"/>
    <n v="12115271567020"/>
    <x v="1245"/>
    <d v="2022-03-20T15:10:00"/>
    <d v="1899-12-30T02:10:00"/>
    <n v="138.46153845657875"/>
    <s v="UNPLANNED"/>
    <x v="1"/>
    <d v="1899-12-30T13:00:00"/>
    <x v="0"/>
  </r>
  <r>
    <n v="3847"/>
    <x v="10"/>
    <n v="11115271532107"/>
    <x v="1247"/>
    <d v="2022-03-20T15:10:00"/>
    <d v="1899-12-30T07:40:00"/>
    <n v="39.130434782509667"/>
    <s v="UNPLANNED"/>
    <x v="1"/>
    <d v="1899-12-30T07:30:00"/>
    <x v="0"/>
  </r>
  <r>
    <n v="3848"/>
    <x v="11"/>
    <n v="10115271453500"/>
    <x v="1245"/>
    <d v="2022-03-20T15:10:00"/>
    <d v="1899-12-30T02:10:00"/>
    <n v="138.46153845657875"/>
    <s v="UNPLANNED"/>
    <x v="0"/>
    <d v="1899-12-30T13:00:00"/>
    <x v="0"/>
  </r>
  <r>
    <n v="3849"/>
    <x v="6"/>
    <n v="9115271934301"/>
    <x v="1248"/>
    <d v="2022-03-20T15:10:00"/>
    <d v="1899-12-30T06:40:00"/>
    <n v="44.999999999476131"/>
    <s v="UNPLANNED"/>
    <x v="1"/>
    <d v="1899-12-30T08:30:00"/>
    <x v="0"/>
  </r>
  <r>
    <n v="3850"/>
    <x v="3"/>
    <n v="8115271820902"/>
    <x v="1246"/>
    <d v="2022-03-20T15:10:00"/>
    <d v="1899-12-30T05:10:00"/>
    <n v="58.064516128160051"/>
    <s v="UNPLANNED"/>
    <x v="1"/>
    <d v="1899-12-30T10:00:00"/>
    <x v="0"/>
  </r>
  <r>
    <n v="3851"/>
    <x v="3"/>
    <n v="8115270614200"/>
    <x v="1245"/>
    <d v="2022-03-20T15:10:00"/>
    <d v="1899-12-30T02:10:00"/>
    <n v="138.46153845657875"/>
    <s v="UNPLANNED"/>
    <x v="0"/>
    <d v="1899-12-30T13:00:00"/>
    <x v="0"/>
  </r>
  <r>
    <n v="3852"/>
    <x v="7"/>
    <n v="7115271769604"/>
    <x v="1245"/>
    <d v="2022-03-20T15:10:00"/>
    <d v="1899-12-30T02:10:00"/>
    <n v="138.46153845657875"/>
    <s v="UNPLANNED"/>
    <x v="0"/>
    <d v="1899-12-30T13:00:00"/>
    <x v="0"/>
  </r>
  <r>
    <n v="3853"/>
    <x v="7"/>
    <n v="7115271757102"/>
    <x v="1247"/>
    <d v="2022-03-20T15:10:00"/>
    <d v="1899-12-30T07:40:00"/>
    <n v="39.130434782509667"/>
    <s v="UNPLANNED"/>
    <x v="1"/>
    <d v="1899-12-30T07:30:00"/>
    <x v="0"/>
  </r>
  <r>
    <n v="3854"/>
    <x v="1"/>
    <n v="6115271733503"/>
    <x v="1247"/>
    <d v="2022-03-20T15:10:00"/>
    <d v="1899-12-30T07:40:00"/>
    <n v="39.130434782509667"/>
    <s v="UNPLANNED"/>
    <x v="1"/>
    <d v="1899-12-30T07:30:00"/>
    <x v="0"/>
  </r>
  <r>
    <n v="3855"/>
    <x v="1"/>
    <n v="6115271722900"/>
    <x v="1246"/>
    <d v="2022-03-20T15:10:00"/>
    <d v="1899-12-30T05:10:00"/>
    <n v="58.064516128160051"/>
    <s v="UNPLANNED"/>
    <x v="1"/>
    <d v="1899-12-30T10:00:00"/>
    <x v="0"/>
  </r>
  <r>
    <n v="3856"/>
    <x v="1"/>
    <n v="6115271722600"/>
    <x v="1246"/>
    <d v="2022-03-20T15:10:00"/>
    <d v="1899-12-30T05:10:00"/>
    <n v="58.064516128160051"/>
    <s v="UNPLANNED"/>
    <x v="0"/>
    <d v="1899-12-30T10:00:00"/>
    <x v="0"/>
  </r>
  <r>
    <n v="3857"/>
    <x v="13"/>
    <n v="3115270421400"/>
    <x v="1246"/>
    <d v="2022-03-20T15:10:00"/>
    <d v="1899-12-30T05:10:00"/>
    <n v="58.064516128160051"/>
    <s v="UNPLANNED"/>
    <x v="0"/>
    <d v="1899-12-30T10:00:00"/>
    <x v="0"/>
  </r>
  <r>
    <n v="3858"/>
    <x v="13"/>
    <n v="3115270350680"/>
    <x v="1245"/>
    <d v="2022-03-20T15:10:00"/>
    <d v="1899-12-30T02:10:00"/>
    <n v="138.46153845657875"/>
    <s v="UNPLANNED"/>
    <x v="1"/>
    <d v="1899-12-30T13:00:00"/>
    <x v="0"/>
  </r>
  <r>
    <n v="3859"/>
    <x v="13"/>
    <n v="3115270306803"/>
    <x v="1249"/>
    <d v="2022-03-20T15:10:00"/>
    <d v="1899-12-30T06:05:00"/>
    <n v="49.315068492364247"/>
    <s v="UNPLANNED"/>
    <x v="0"/>
    <d v="1899-12-30T09:05:00"/>
    <x v="0"/>
  </r>
  <r>
    <n v="3860"/>
    <x v="9"/>
    <n v="2115270250200"/>
    <x v="1245"/>
    <d v="2022-03-20T15:10:00"/>
    <d v="1899-12-30T02:10:00"/>
    <n v="138.46153845657875"/>
    <s v="UNPLANNED"/>
    <x v="1"/>
    <d v="1899-12-30T13:00:00"/>
    <x v="0"/>
  </r>
  <r>
    <n v="3861"/>
    <x v="14"/>
    <n v="1115270122800"/>
    <x v="1246"/>
    <d v="2022-03-20T15:10:00"/>
    <d v="1899-12-30T05:10:00"/>
    <n v="58.064516128160051"/>
    <s v="UNPLANNED"/>
    <x v="1"/>
    <d v="1899-12-30T10:00:00"/>
    <x v="0"/>
  </r>
  <r>
    <n v="3862"/>
    <x v="14"/>
    <n v="1115270112600"/>
    <x v="1247"/>
    <d v="2022-03-20T15:10:00"/>
    <d v="1899-12-30T07:40:00"/>
    <n v="39.130434782509667"/>
    <s v="UNPLANNED"/>
    <x v="0"/>
    <d v="1899-12-30T07:30:00"/>
    <x v="0"/>
  </r>
  <r>
    <n v="3863"/>
    <x v="5"/>
    <n v="13115271590901"/>
    <x v="1250"/>
    <d v="2022-03-20T22:30:00"/>
    <d v="1899-12-30T04:04:00"/>
    <n v="73.770491803560262"/>
    <s v="UNPLANNED"/>
    <x v="0"/>
    <d v="1899-12-30T18:26:00"/>
    <x v="1"/>
  </r>
  <r>
    <n v="3864"/>
    <x v="10"/>
    <n v="11115271559932"/>
    <x v="1251"/>
    <d v="2022-03-20T22:30:00"/>
    <d v="1899-12-30T02:20:00"/>
    <n v="128.57142857570506"/>
    <s v="UNPLANNED"/>
    <x v="1"/>
    <d v="1899-12-30T20:10:00"/>
    <x v="1"/>
  </r>
  <r>
    <n v="3865"/>
    <x v="10"/>
    <n v="11115271543500"/>
    <x v="1252"/>
    <d v="2022-03-20T22:30:00"/>
    <d v="1899-12-30T07:50:00"/>
    <n v="38.297872340235813"/>
    <s v="UNPLANNED"/>
    <x v="0"/>
    <d v="1899-12-30T14:40:00"/>
    <x v="1"/>
  </r>
  <r>
    <n v="3866"/>
    <x v="6"/>
    <n v="9115271934200"/>
    <x v="1252"/>
    <d v="2022-03-20T22:30:00"/>
    <d v="1899-12-30T07:50:00"/>
    <n v="38.297872340235813"/>
    <s v="UNPLANNED"/>
    <x v="0"/>
    <d v="1899-12-30T14:40:00"/>
    <x v="1"/>
  </r>
  <r>
    <n v="3867"/>
    <x v="7"/>
    <n v="7115271757100"/>
    <x v="1252"/>
    <d v="2022-03-20T22:30:00"/>
    <d v="1899-12-30T07:50:00"/>
    <n v="38.297872340235813"/>
    <s v="UNPLANNED"/>
    <x v="0"/>
    <d v="1899-12-30T14:40:00"/>
    <x v="1"/>
  </r>
  <r>
    <n v="3868"/>
    <x v="1"/>
    <n v="6115271737808"/>
    <x v="1251"/>
    <d v="2022-03-20T22:30:00"/>
    <d v="1899-12-30T02:20:00"/>
    <n v="128.57142857570506"/>
    <s v="UNPLANNED"/>
    <x v="0"/>
    <d v="1899-12-30T20:10:00"/>
    <x v="1"/>
  </r>
  <r>
    <n v="3869"/>
    <x v="13"/>
    <n v="3115270366901"/>
    <x v="1252"/>
    <d v="2022-03-20T22:30:00"/>
    <d v="1899-12-30T07:50:00"/>
    <n v="38.297872340235813"/>
    <s v="UNPLANNED"/>
    <x v="0"/>
    <d v="1899-12-30T14:40:00"/>
    <x v="1"/>
  </r>
  <r>
    <n v="3870"/>
    <x v="13"/>
    <n v="3115270306701"/>
    <x v="1252"/>
    <d v="2022-03-20T22:30:00"/>
    <d v="1899-12-30T07:50:00"/>
    <n v="38.297872340235813"/>
    <s v="UNPLANNED"/>
    <x v="0"/>
    <d v="1899-12-30T14:40:00"/>
    <x v="1"/>
  </r>
  <r>
    <n v="3871"/>
    <x v="14"/>
    <n v="1115270122500"/>
    <x v="1252"/>
    <d v="2022-03-20T22:30:00"/>
    <d v="1899-12-30T07:50:00"/>
    <n v="38.297872340235813"/>
    <s v="UNPLANNED"/>
    <x v="0"/>
    <d v="1899-12-30T14:40:00"/>
    <x v="1"/>
  </r>
  <r>
    <n v="3872"/>
    <x v="14"/>
    <n v="1115270079700"/>
    <x v="1250"/>
    <d v="2022-03-20T22:30:00"/>
    <d v="1899-12-30T04:04:00"/>
    <n v="73.770491803560262"/>
    <s v="UNPLANNED"/>
    <x v="0"/>
    <d v="1899-12-30T18:26:00"/>
    <x v="1"/>
  </r>
  <r>
    <n v="3873"/>
    <x v="14"/>
    <n v="1115270122500"/>
    <x v="1253"/>
    <d v="2022-03-21T00:15:00"/>
    <d v="1899-12-30T00:45:00"/>
    <n v="400"/>
    <s v="UNPLANNED"/>
    <x v="1"/>
    <d v="1899-12-30T23:30:00"/>
    <x v="2"/>
  </r>
  <r>
    <n v="3874"/>
    <x v="5"/>
    <n v="13115271592201"/>
    <x v="1254"/>
    <d v="2022-03-21T01:35:00"/>
    <d v="1899-12-30T00:50:00"/>
    <n v="360.00000003352761"/>
    <s v="UNPLANNED"/>
    <x v="0"/>
    <d v="1899-12-30T00:45:00"/>
    <x v="2"/>
  </r>
  <r>
    <n v="3875"/>
    <x v="2"/>
    <n v="12115271575520"/>
    <x v="1254"/>
    <d v="2022-03-21T01:35:00"/>
    <d v="1899-12-30T00:50:00"/>
    <n v="360.00000003352761"/>
    <s v="UNPLANNED"/>
    <x v="1"/>
    <d v="1899-12-30T00:45:00"/>
    <x v="2"/>
  </r>
  <r>
    <n v="3876"/>
    <x v="4"/>
    <n v="15115271743902"/>
    <x v="1255"/>
    <d v="2022-03-21T03:50:00"/>
    <d v="1899-12-30T01:40:00"/>
    <n v="180.00000001676381"/>
    <s v="UNPLANNED"/>
    <x v="0"/>
    <d v="1899-12-30T02:10:00"/>
    <x v="2"/>
  </r>
  <r>
    <n v="3877"/>
    <x v="10"/>
    <n v="11115271522200"/>
    <x v="1255"/>
    <d v="2022-03-21T03:50:00"/>
    <d v="1899-12-30T01:40:00"/>
    <n v="180.00000001676381"/>
    <s v="UNPLANNED"/>
    <x v="0"/>
    <d v="1899-12-30T02:10:00"/>
    <x v="2"/>
  </r>
  <r>
    <n v="3878"/>
    <x v="13"/>
    <n v="3115270308800"/>
    <x v="1255"/>
    <d v="2022-03-21T03:50:00"/>
    <d v="1899-12-30T01:40:00"/>
    <n v="180.00000001676381"/>
    <s v="UNPLANNED"/>
    <x v="2"/>
    <d v="1899-12-30T02:10:00"/>
    <x v="2"/>
  </r>
  <r>
    <n v="3879"/>
    <x v="2"/>
    <n v="12115271567008"/>
    <x v="1256"/>
    <d v="2022-03-21T15:00:00"/>
    <d v="1899-12-30T03:55:00"/>
    <n v="76.595744680471626"/>
    <s v="UNPLANNED"/>
    <x v="1"/>
    <d v="1899-12-30T11:05:00"/>
    <x v="0"/>
  </r>
  <r>
    <n v="3880"/>
    <x v="10"/>
    <n v="11115271522500"/>
    <x v="1256"/>
    <d v="2022-03-21T15:00:00"/>
    <d v="1899-12-30T03:55:00"/>
    <n v="76.595744680471626"/>
    <s v="UNPLANNED"/>
    <x v="1"/>
    <d v="1899-12-30T11:05:00"/>
    <x v="0"/>
  </r>
  <r>
    <n v="3881"/>
    <x v="7"/>
    <n v="7115271768107"/>
    <x v="1257"/>
    <d v="2022-03-21T15:00:00"/>
    <d v="1899-12-30T02:40:00"/>
    <n v="112.50000000163709"/>
    <s v="UNPLANNED"/>
    <x v="1"/>
    <d v="1899-12-30T12:20:00"/>
    <x v="0"/>
  </r>
  <r>
    <n v="3882"/>
    <x v="7"/>
    <n v="7115271761101"/>
    <x v="1256"/>
    <d v="2022-03-21T15:00:00"/>
    <d v="1899-12-30T03:55:00"/>
    <n v="76.595744680471626"/>
    <s v="UNPLANNED"/>
    <x v="6"/>
    <d v="1899-12-30T11:05:00"/>
    <x v="0"/>
  </r>
  <r>
    <n v="3883"/>
    <x v="1"/>
    <n v="6115271691300"/>
    <x v="1257"/>
    <d v="2022-03-21T15:00:00"/>
    <d v="1899-12-30T02:40:00"/>
    <n v="112.50000000163709"/>
    <s v="UNPLANNED"/>
    <x v="1"/>
    <d v="1899-12-30T12:20:00"/>
    <x v="0"/>
  </r>
  <r>
    <n v="3884"/>
    <x v="13"/>
    <n v="3115270856600"/>
    <x v="1258"/>
    <d v="2022-03-21T15:00:00"/>
    <d v="1899-12-30T06:30:00"/>
    <n v="46.153846153432845"/>
    <s v="UNPLANNED"/>
    <x v="1"/>
    <d v="1899-12-30T08:30:00"/>
    <x v="0"/>
  </r>
  <r>
    <n v="3885"/>
    <x v="13"/>
    <n v="3115270423100"/>
    <x v="1259"/>
    <d v="2022-03-21T15:00:00"/>
    <d v="1899-12-30T05:00:00"/>
    <n v="59.999999999301515"/>
    <s v="UNPLANNED"/>
    <x v="2"/>
    <d v="1899-12-30T10:00:00"/>
    <x v="0"/>
  </r>
  <r>
    <n v="3886"/>
    <x v="13"/>
    <n v="3115270326700"/>
    <x v="1258"/>
    <d v="2022-03-21T15:00:00"/>
    <d v="1899-12-30T06:30:00"/>
    <n v="46.153846153432845"/>
    <s v="UNPLANNED"/>
    <x v="0"/>
    <d v="1899-12-30T08:30:00"/>
    <x v="0"/>
  </r>
  <r>
    <n v="3887"/>
    <x v="12"/>
    <n v="14115271672412"/>
    <x v="1260"/>
    <d v="2022-03-21T18:30:00"/>
    <d v="1899-12-30T03:10:00"/>
    <n v="94.736842104682694"/>
    <s v="UNPLANNED"/>
    <x v="1"/>
    <d v="1899-12-30T15:20:00"/>
    <x v="1"/>
  </r>
  <r>
    <n v="3888"/>
    <x v="13"/>
    <n v="3115270447400"/>
    <x v="1260"/>
    <d v="2022-03-21T18:30:00"/>
    <d v="1899-12-30T03:10:00"/>
    <n v="94.736842104682694"/>
    <s v="UNPLANNED"/>
    <x v="0"/>
    <d v="1899-12-30T15:20:00"/>
    <x v="1"/>
  </r>
  <r>
    <n v="3889"/>
    <x v="13"/>
    <n v="3115270392600"/>
    <x v="1260"/>
    <d v="2022-03-21T18:30:00"/>
    <d v="1899-12-30T03:10:00"/>
    <n v="94.736842104682694"/>
    <s v="UNPLANNED"/>
    <x v="0"/>
    <d v="1899-12-30T15:20:00"/>
    <x v="1"/>
  </r>
  <r>
    <n v="3890"/>
    <x v="13"/>
    <n v="3115270326500"/>
    <x v="1260"/>
    <d v="2022-03-21T18:30:00"/>
    <d v="1899-12-30T03:10:00"/>
    <n v="94.736842104682694"/>
    <s v="UNPLANNED"/>
    <x v="1"/>
    <d v="1899-12-30T15:20:00"/>
    <x v="1"/>
  </r>
  <r>
    <n v="3891"/>
    <x v="14"/>
    <n v="1115270066701"/>
    <x v="1260"/>
    <d v="2022-03-21T18:30:00"/>
    <d v="1899-12-30T03:10:00"/>
    <n v="94.736842104682694"/>
    <s v="UNPLANNED"/>
    <x v="0"/>
    <d v="1899-12-30T15:20:00"/>
    <x v="1"/>
  </r>
  <r>
    <n v="3892"/>
    <x v="12"/>
    <n v="14115271672700"/>
    <x v="1261"/>
    <d v="2022-03-21T21:55:00"/>
    <d v="1899-12-30T01:53:00"/>
    <n v="159.2920353959326"/>
    <s v="UNPLANNED"/>
    <x v="1"/>
    <d v="1899-12-30T20:02:00"/>
    <x v="1"/>
  </r>
  <r>
    <n v="3893"/>
    <x v="2"/>
    <n v="12115271573419"/>
    <x v="1262"/>
    <d v="2022-03-21T21:55:00"/>
    <d v="1899-12-30T02:45:00"/>
    <n v="109.09090908860001"/>
    <s v="UNPLANNED"/>
    <x v="0"/>
    <d v="1899-12-30T19:10:00"/>
    <x v="1"/>
  </r>
  <r>
    <n v="3894"/>
    <x v="6"/>
    <n v="9115271936700"/>
    <x v="1262"/>
    <d v="2022-03-21T21:55:00"/>
    <d v="1899-12-30T02:45:00"/>
    <n v="109.09090908860001"/>
    <s v="UNPLANNED"/>
    <x v="1"/>
    <d v="1899-12-30T19:10:00"/>
    <x v="1"/>
  </r>
  <r>
    <n v="3895"/>
    <x v="13"/>
    <n v="3115270366501"/>
    <x v="1263"/>
    <d v="2022-03-21T21:55:00"/>
    <d v="1899-12-30T01:35:00"/>
    <n v="189.47368419891703"/>
    <s v="UNPLANNED"/>
    <x v="2"/>
    <d v="1899-12-30T20:20:00"/>
    <x v="1"/>
  </r>
  <r>
    <n v="3896"/>
    <x v="0"/>
    <n v="5115271235500"/>
    <x v="1264"/>
    <d v="2022-03-22T00:30:00"/>
    <d v="1899-12-30T01:30:00"/>
    <n v="200"/>
    <s v="UNPLANNED"/>
    <x v="1"/>
    <d v="1899-12-30T23:00:00"/>
    <x v="2"/>
  </r>
  <r>
    <n v="3897"/>
    <x v="13"/>
    <n v="3115270352300"/>
    <x v="1264"/>
    <d v="2022-03-22T00:30:00"/>
    <d v="1899-12-30T01:30:00"/>
    <n v="200"/>
    <s v="UNPLANNED"/>
    <x v="1"/>
    <d v="1899-12-30T23:00:00"/>
    <x v="2"/>
  </r>
  <r>
    <n v="3898"/>
    <x v="2"/>
    <n v="12115271573400"/>
    <x v="1265"/>
    <d v="2022-03-22T12:00:00"/>
    <d v="1899-12-30T03:00:00"/>
    <n v="100"/>
    <s v="UNPLANNED"/>
    <x v="1"/>
    <d v="1899-12-30T09:00:00"/>
    <x v="0"/>
  </r>
  <r>
    <n v="3899"/>
    <x v="13"/>
    <n v="3115270319100"/>
    <x v="1266"/>
    <d v="2022-03-22T16:40:00"/>
    <d v="1899-12-30T01:10:00"/>
    <n v="257.14285715141011"/>
    <s v="UNPLANNED"/>
    <x v="1"/>
    <d v="1899-12-30T15:30:00"/>
    <x v="1"/>
  </r>
  <r>
    <n v="3900"/>
    <x v="14"/>
    <n v="1115270062102"/>
    <x v="1267"/>
    <d v="2022-03-22T23:30:00"/>
    <d v="1899-12-30T01:05:00"/>
    <n v="276.92307695779488"/>
    <s v="UNPLANNED"/>
    <x v="1"/>
    <d v="1899-12-30T22:25:00"/>
    <x v="2"/>
  </r>
  <r>
    <n v="3901"/>
    <x v="1"/>
    <n v="6115271723900"/>
    <x v="1268"/>
    <d v="2022-03-23T02:00:00"/>
    <d v="1899-12-30T01:59:59"/>
    <n v="150.02083622775839"/>
    <s v="UNPLANNED"/>
    <x v="0"/>
    <d v="1899-12-30T00:00:01"/>
    <x v="2"/>
  </r>
  <r>
    <n v="3902"/>
    <x v="2"/>
    <n v="12115271573307"/>
    <x v="1269"/>
    <d v="2022-03-23T12:00:00"/>
    <d v="1899-12-30T01:30:00"/>
    <n v="200"/>
    <s v="UNPLANNED"/>
    <x v="0"/>
    <d v="1899-12-30T10:30:00"/>
    <x v="0"/>
  </r>
  <r>
    <n v="3903"/>
    <x v="13"/>
    <n v="3115270815700"/>
    <x v="1269"/>
    <d v="2022-03-23T12:00:00"/>
    <d v="1899-12-30T01:30:00"/>
    <n v="200"/>
    <s v="UNPLANNED"/>
    <x v="0"/>
    <d v="1899-12-30T10:30:00"/>
    <x v="0"/>
  </r>
  <r>
    <n v="3904"/>
    <x v="4"/>
    <n v="15115271719272"/>
    <x v="1270"/>
    <d v="2022-03-23T13:50:00"/>
    <d v="1899-12-30T00:50:00"/>
    <n v="359.99999995809048"/>
    <s v="UNPLANNED"/>
    <x v="1"/>
    <d v="1899-12-30T13:00:00"/>
    <x v="0"/>
  </r>
  <r>
    <n v="3905"/>
    <x v="3"/>
    <n v="8115271820902"/>
    <x v="1270"/>
    <d v="2022-03-23T13:50:00"/>
    <d v="1899-12-30T00:50:00"/>
    <n v="359.99999995809048"/>
    <s v="UNPLANNED"/>
    <x v="0"/>
    <d v="1899-12-30T13:00:00"/>
    <x v="0"/>
  </r>
  <r>
    <n v="3906"/>
    <x v="12"/>
    <n v="14115271672501"/>
    <x v="1271"/>
    <d v="2022-03-23T18:50:00"/>
    <d v="1899-12-30T03:30:00"/>
    <n v="85.714285717136704"/>
    <s v="UNPLANNED"/>
    <x v="0"/>
    <d v="1899-12-30T15:20:00"/>
    <x v="1"/>
  </r>
  <r>
    <n v="3907"/>
    <x v="12"/>
    <n v="14115271672410"/>
    <x v="1271"/>
    <d v="2022-03-23T18:50:00"/>
    <d v="1899-12-30T03:30:00"/>
    <n v="85.714285717136704"/>
    <s v="UNPLANNED"/>
    <x v="2"/>
    <d v="1899-12-30T15:20:00"/>
    <x v="1"/>
  </r>
  <r>
    <n v="3908"/>
    <x v="10"/>
    <n v="11115271547105"/>
    <x v="1271"/>
    <d v="2022-03-23T18:50:00"/>
    <d v="1899-12-30T03:30:00"/>
    <n v="85.714285717136704"/>
    <s v="UNPLANNED"/>
    <x v="0"/>
    <d v="1899-12-30T15:20:00"/>
    <x v="1"/>
  </r>
  <r>
    <n v="3909"/>
    <x v="7"/>
    <n v="7115271787400"/>
    <x v="1271"/>
    <d v="2022-03-23T18:50:00"/>
    <d v="1899-12-30T03:30:00"/>
    <n v="85.714285717136704"/>
    <s v="UNPLANNED"/>
    <x v="2"/>
    <d v="1899-12-30T15:20:00"/>
    <x v="1"/>
  </r>
  <r>
    <n v="3910"/>
    <x v="14"/>
    <n v="1115270067502"/>
    <x v="1271"/>
    <d v="2022-03-23T18:50:00"/>
    <d v="1899-12-30T03:30:00"/>
    <n v="85.714285717136704"/>
    <s v="UNPLANNED"/>
    <x v="0"/>
    <d v="1899-12-30T15:20:00"/>
    <x v="1"/>
  </r>
  <r>
    <n v="3911"/>
    <x v="8"/>
    <n v="4115270833400"/>
    <x v="1272"/>
    <d v="2022-03-23T20:40:00"/>
    <d v="1899-12-30T01:05:00"/>
    <n v="276.9230769131575"/>
    <s v="UNPLANNED"/>
    <x v="0"/>
    <d v="1899-12-30T19:35:00"/>
    <x v="1"/>
  </r>
  <r>
    <n v="3912"/>
    <x v="7"/>
    <n v="7115271757204"/>
    <x v="1273"/>
    <d v="2022-03-24T00:30:00"/>
    <d v="1899-12-30T00:45:00"/>
    <n v="400"/>
    <s v="UNPLANNED"/>
    <x v="0"/>
    <d v="1899-12-30T23:45:00"/>
    <x v="2"/>
  </r>
  <r>
    <n v="3913"/>
    <x v="1"/>
    <n v="6115271720809"/>
    <x v="1273"/>
    <d v="2022-03-24T00:30:00"/>
    <d v="1899-12-30T00:45:00"/>
    <n v="400"/>
    <s v="UNPLANNED"/>
    <x v="2"/>
    <d v="1899-12-30T23:45:00"/>
    <x v="2"/>
  </r>
  <r>
    <n v="3914"/>
    <x v="2"/>
    <n v="12115271571046"/>
    <x v="1274"/>
    <d v="2022-03-24T10:25:00"/>
    <d v="1899-12-30T01:35:00"/>
    <n v="189.47368419891703"/>
    <s v="UNPLANNED"/>
    <x v="1"/>
    <d v="1899-12-30T08:50:00"/>
    <x v="0"/>
  </r>
  <r>
    <n v="3915"/>
    <x v="10"/>
    <n v="11115271558003"/>
    <x v="1275"/>
    <d v="2022-03-24T10:25:00"/>
    <d v="1899-12-30T01:55:00"/>
    <n v="156.52173911934341"/>
    <s v="UNPLANNED"/>
    <x v="1"/>
    <d v="1899-12-30T08:30:00"/>
    <x v="0"/>
  </r>
  <r>
    <n v="3916"/>
    <x v="13"/>
    <n v="3115270385800"/>
    <x v="1274"/>
    <d v="2022-03-24T10:25:00"/>
    <d v="1899-12-30T01:35:00"/>
    <n v="189.47368419891703"/>
    <s v="UNPLANNED"/>
    <x v="1"/>
    <d v="1899-12-30T08:50:00"/>
    <x v="0"/>
  </r>
  <r>
    <n v="3917"/>
    <x v="14"/>
    <n v="1115270097300"/>
    <x v="1276"/>
    <d v="2022-03-24T12:50:00"/>
    <d v="1899-12-30T01:50:00"/>
    <n v="163.63636364848622"/>
    <s v="UNPLANNED"/>
    <x v="1"/>
    <d v="1899-12-30T11:00:00"/>
    <x v="0"/>
  </r>
  <r>
    <n v="3918"/>
    <x v="2"/>
    <n v="12115271566801"/>
    <x v="1277"/>
    <d v="2022-03-24T13:55:00"/>
    <d v="1899-12-30T01:50:00"/>
    <n v="163.63636363290004"/>
    <s v="UNPLANNED"/>
    <x v="0"/>
    <d v="1899-12-30T12:05:00"/>
    <x v="0"/>
  </r>
  <r>
    <n v="3919"/>
    <x v="2"/>
    <n v="12115271560130"/>
    <x v="1276"/>
    <d v="2022-03-24T13:55:00"/>
    <d v="1899-12-30T02:55:00"/>
    <n v="102.85714286056404"/>
    <s v="UNPLANNED"/>
    <x v="0"/>
    <d v="1899-12-30T11:00:00"/>
    <x v="0"/>
  </r>
  <r>
    <n v="3920"/>
    <x v="10"/>
    <n v="11115271508501"/>
    <x v="1278"/>
    <d v="2022-03-24T13:55:00"/>
    <d v="1899-12-30T02:05:00"/>
    <n v="144.00000000134111"/>
    <s v="UNPLANNED"/>
    <x v="1"/>
    <d v="1899-12-30T11:50:00"/>
    <x v="0"/>
  </r>
  <r>
    <n v="3921"/>
    <x v="11"/>
    <n v="10115271476500"/>
    <x v="1278"/>
    <d v="2022-03-24T13:55:00"/>
    <d v="1899-12-30T02:05:00"/>
    <n v="144.00000000134111"/>
    <s v="UNPLANNED"/>
    <x v="0"/>
    <d v="1899-12-30T11:50:00"/>
    <x v="0"/>
  </r>
  <r>
    <n v="3922"/>
    <x v="1"/>
    <n v="6115271289400"/>
    <x v="1277"/>
    <d v="2022-03-24T13:55:00"/>
    <d v="1899-12-30T01:50:00"/>
    <n v="163.63636363290004"/>
    <s v="UNPLANNED"/>
    <x v="1"/>
    <d v="1899-12-30T12:05:00"/>
    <x v="0"/>
  </r>
  <r>
    <n v="3923"/>
    <x v="5"/>
    <n v="13115271607505"/>
    <x v="1279"/>
    <d v="2022-03-24T21:30:00"/>
    <d v="1899-12-30T05:45:00"/>
    <n v="52.173913042950105"/>
    <s v="UNPLANNED"/>
    <x v="0"/>
    <d v="1899-12-30T15:45:00"/>
    <x v="1"/>
  </r>
  <r>
    <n v="3924"/>
    <x v="5"/>
    <n v="13115271590508"/>
    <x v="1279"/>
    <d v="2022-03-24T21:30:00"/>
    <d v="1899-12-30T05:45:00"/>
    <n v="52.173913042950105"/>
    <s v="UNPLANNED"/>
    <x v="2"/>
    <d v="1899-12-30T15:45:00"/>
    <x v="1"/>
  </r>
  <r>
    <n v="3925"/>
    <x v="2"/>
    <n v="12115271569206"/>
    <x v="1280"/>
    <d v="2022-03-24T21:30:00"/>
    <d v="1899-12-30T06:15:00"/>
    <n v="47.999999999105931"/>
    <s v="UNPLANNED"/>
    <x v="2"/>
    <d v="1899-12-30T15:15:00"/>
    <x v="1"/>
  </r>
  <r>
    <n v="3926"/>
    <x v="13"/>
    <n v="3115270392900"/>
    <x v="1279"/>
    <d v="2022-03-24T21:30:00"/>
    <d v="1899-12-30T05:45:00"/>
    <n v="52.173913042950105"/>
    <s v="UNPLANNED"/>
    <x v="2"/>
    <d v="1899-12-30T15:45:00"/>
    <x v="1"/>
  </r>
  <r>
    <n v="3927"/>
    <x v="10"/>
    <n v="11115271051600"/>
    <x v="1281"/>
    <d v="2022-03-24T22:50:00"/>
    <d v="1899-12-30T01:10:00"/>
    <n v="257.14285715141011"/>
    <s v="UNPLANNED"/>
    <x v="1"/>
    <d v="1899-12-30T21:40:00"/>
    <x v="1"/>
  </r>
  <r>
    <n v="3928"/>
    <x v="7"/>
    <n v="7115271766024"/>
    <x v="1281"/>
    <d v="2022-03-24T22:50:00"/>
    <d v="1899-12-30T01:10:00"/>
    <n v="257.14285715141011"/>
    <s v="UNPLANNED"/>
    <x v="2"/>
    <d v="1899-12-30T21:40:00"/>
    <x v="1"/>
  </r>
  <r>
    <n v="3929"/>
    <x v="7"/>
    <n v="7115271769601"/>
    <x v="1282"/>
    <d v="2022-03-25T00:00:01"/>
    <d v="1899-12-30T00:45:01"/>
    <n v="399.851906666616"/>
    <s v="UNPLANNED"/>
    <x v="0"/>
    <d v="1899-12-30T23:15:00"/>
    <x v="2"/>
  </r>
  <r>
    <n v="3930"/>
    <x v="0"/>
    <n v="5115271285700"/>
    <x v="1283"/>
    <d v="2022-03-25T01:15:00"/>
    <d v="1899-12-30T00:55:00"/>
    <n v="327.27272726580009"/>
    <s v="UNPLANNED"/>
    <x v="0"/>
    <d v="1899-12-30T00:20:00"/>
    <x v="2"/>
  </r>
  <r>
    <n v="3931"/>
    <x v="8"/>
    <n v="4115270868900"/>
    <x v="1284"/>
    <d v="2022-03-25T08:25:00"/>
    <d v="1899-12-30T00:39:00"/>
    <n v="461.53846152192921"/>
    <s v="UNPLANNED"/>
    <x v="0"/>
    <d v="1899-12-30T07:46:00"/>
    <x v="0"/>
  </r>
  <r>
    <n v="3932"/>
    <x v="10"/>
    <n v="11115271508101"/>
    <x v="1285"/>
    <d v="2022-03-25T14:56:00"/>
    <d v="1899-12-30T03:36:00"/>
    <n v="83.333333332524901"/>
    <s v="UNPLANNED"/>
    <x v="0"/>
    <d v="1899-12-30T11:20:00"/>
    <x v="0"/>
  </r>
  <r>
    <n v="3933"/>
    <x v="3"/>
    <n v="8115271809908"/>
    <x v="1286"/>
    <d v="2022-03-25T14:56:00"/>
    <d v="1899-12-30T04:01:00"/>
    <n v="74.688796680570078"/>
    <s v="UNPLANNED"/>
    <x v="0"/>
    <d v="1899-12-30T10:55:00"/>
    <x v="0"/>
  </r>
  <r>
    <n v="3934"/>
    <x v="13"/>
    <n v="3115270391800"/>
    <x v="1285"/>
    <d v="2022-03-25T14:56:00"/>
    <d v="1899-12-30T03:36:00"/>
    <n v="83.333333332524901"/>
    <s v="UNPLANNED"/>
    <x v="0"/>
    <d v="1899-12-30T11:20:00"/>
    <x v="0"/>
  </r>
  <r>
    <n v="3935"/>
    <x v="4"/>
    <n v="15115271743403"/>
    <x v="1287"/>
    <d v="2022-03-25T19:40:00"/>
    <d v="1899-12-30T02:15:00"/>
    <n v="133.33333333333331"/>
    <s v="UNPLANNED"/>
    <x v="0"/>
    <d v="1899-12-30T17:25:00"/>
    <x v="1"/>
  </r>
  <r>
    <n v="3936"/>
    <x v="12"/>
    <n v="14115271675101"/>
    <x v="1287"/>
    <d v="2022-03-25T19:40:00"/>
    <d v="1899-12-30T02:15:00"/>
    <n v="133.33333333333331"/>
    <s v="UNPLANNED"/>
    <x v="1"/>
    <d v="1899-12-30T17:25:00"/>
    <x v="1"/>
  </r>
  <r>
    <n v="3937"/>
    <x v="11"/>
    <n v="10115271959001"/>
    <x v="1287"/>
    <d v="2022-03-25T19:40:00"/>
    <d v="1899-12-30T02:15:00"/>
    <n v="133.33333333333331"/>
    <s v="UNPLANNED"/>
    <x v="1"/>
    <d v="1899-12-30T17:25:00"/>
    <x v="1"/>
  </r>
  <r>
    <n v="3938"/>
    <x v="8"/>
    <n v="4115270825601"/>
    <x v="1287"/>
    <d v="2022-03-25T19:40:00"/>
    <d v="1899-12-30T02:15:00"/>
    <n v="133.33333333333331"/>
    <s v="UNPLANNED"/>
    <x v="1"/>
    <d v="1899-12-30T17:25:00"/>
    <x v="1"/>
  </r>
  <r>
    <n v="3939"/>
    <x v="13"/>
    <n v="3115270343700"/>
    <x v="1287"/>
    <d v="2022-03-25T19:40:00"/>
    <d v="1899-12-30T02:15:00"/>
    <n v="133.33333333333331"/>
    <s v="UNPLANNED"/>
    <x v="6"/>
    <d v="1899-12-30T17:25:00"/>
    <x v="1"/>
  </r>
  <r>
    <n v="3940"/>
    <x v="5"/>
    <n v="13115271633608"/>
    <x v="1288"/>
    <d v="2022-03-25T21:50:00"/>
    <d v="1899-12-30T01:20:00"/>
    <n v="225.00000000327418"/>
    <s v="UNPLANNED"/>
    <x v="1"/>
    <d v="1899-12-30T20:30:00"/>
    <x v="1"/>
  </r>
  <r>
    <n v="3941"/>
    <x v="2"/>
    <n v="12115271588208"/>
    <x v="1288"/>
    <d v="2022-03-25T21:50:00"/>
    <d v="1899-12-30T01:20:00"/>
    <n v="225.00000000327418"/>
    <s v="UNPLANNED"/>
    <x v="0"/>
    <d v="1899-12-30T20:30:00"/>
    <x v="1"/>
  </r>
  <r>
    <n v="3942"/>
    <x v="1"/>
    <n v="6115271690600"/>
    <x v="1289"/>
    <d v="2022-03-25T23:40:00"/>
    <d v="1899-12-30T00:40:00"/>
    <n v="450.00000006548362"/>
    <s v="UNPLANNED"/>
    <x v="1"/>
    <d v="1899-12-30T23:00:00"/>
    <x v="2"/>
  </r>
  <r>
    <n v="3943"/>
    <x v="2"/>
    <n v="12115271587815"/>
    <x v="1290"/>
    <d v="2022-03-26T02:10:00"/>
    <d v="1899-12-30T01:50:00"/>
    <n v="163.63636363290004"/>
    <s v="UNPLANNED"/>
    <x v="6"/>
    <d v="1899-12-30T00:20:00"/>
    <x v="2"/>
  </r>
  <r>
    <n v="3944"/>
    <x v="7"/>
    <n v="7115271772308"/>
    <x v="1290"/>
    <d v="2022-03-26T02:10:00"/>
    <d v="1899-12-30T01:50:00"/>
    <n v="163.63636363290004"/>
    <s v="UNPLANNED"/>
    <x v="6"/>
    <d v="1899-12-30T00:20:00"/>
    <x v="2"/>
  </r>
  <r>
    <n v="3945"/>
    <x v="7"/>
    <n v="7115271758907"/>
    <x v="1290"/>
    <d v="2022-03-26T02:10:00"/>
    <d v="1899-12-30T01:50:00"/>
    <n v="163.63636363290004"/>
    <s v="UNPLANNED"/>
    <x v="1"/>
    <d v="1899-12-30T00:20:00"/>
    <x v="2"/>
  </r>
  <r>
    <n v="3946"/>
    <x v="12"/>
    <n v="14115271672405"/>
    <x v="1291"/>
    <d v="2022-03-26T15:30:00"/>
    <d v="1899-12-30T05:00:00"/>
    <n v="59.999999999301515"/>
    <s v="UNPLANNED"/>
    <x v="1"/>
    <d v="1899-12-30T10:30:00"/>
    <x v="0"/>
  </r>
  <r>
    <n v="3947"/>
    <x v="11"/>
    <n v="10115271466102"/>
    <x v="1291"/>
    <d v="2022-03-26T15:30:00"/>
    <d v="1899-12-30T05:00:00"/>
    <n v="59.999999999301515"/>
    <s v="UNPLANNED"/>
    <x v="1"/>
    <d v="1899-12-30T10:30:00"/>
    <x v="0"/>
  </r>
  <r>
    <n v="3948"/>
    <x v="8"/>
    <n v="4115270858601"/>
    <x v="1291"/>
    <d v="2022-03-26T15:30:00"/>
    <d v="1899-12-30T05:00:00"/>
    <n v="59.999999999301515"/>
    <s v="UNPLANNED"/>
    <x v="1"/>
    <d v="1899-12-30T10:30:00"/>
    <x v="0"/>
  </r>
  <r>
    <n v="3949"/>
    <x v="13"/>
    <n v="3115272351400"/>
    <x v="1291"/>
    <d v="2022-03-26T15:30:00"/>
    <d v="1899-12-30T05:00:00"/>
    <n v="59.999999999301515"/>
    <s v="UNPLANNED"/>
    <x v="2"/>
    <d v="1899-12-30T10:30:00"/>
    <x v="0"/>
  </r>
  <r>
    <n v="3950"/>
    <x v="13"/>
    <n v="3115270393001"/>
    <x v="1291"/>
    <d v="2022-03-26T15:30:00"/>
    <d v="1899-12-30T05:00:00"/>
    <n v="59.999999999301515"/>
    <s v="UNPLANNED"/>
    <x v="1"/>
    <d v="1899-12-30T10:30:00"/>
    <x v="0"/>
  </r>
  <r>
    <n v="3951"/>
    <x v="13"/>
    <n v="3115270344700"/>
    <x v="1291"/>
    <d v="2022-03-26T15:30:00"/>
    <d v="1899-12-30T05:00:00"/>
    <n v="59.999999999301515"/>
    <s v="UNPLANNED"/>
    <x v="1"/>
    <d v="1899-12-30T10:30:00"/>
    <x v="0"/>
  </r>
  <r>
    <n v="3952"/>
    <x v="14"/>
    <n v="1115270029200"/>
    <x v="1291"/>
    <d v="2022-03-26T15:30:00"/>
    <d v="1899-12-30T05:00:00"/>
    <n v="59.999999999301515"/>
    <s v="UNPLANNED"/>
    <x v="1"/>
    <d v="1899-12-30T10:30:00"/>
    <x v="0"/>
  </r>
  <r>
    <n v="3953"/>
    <x v="4"/>
    <n v="15115271743401"/>
    <x v="1292"/>
    <d v="2022-03-26T20:45:00"/>
    <d v="1899-12-30T01:40:00"/>
    <n v="179.99999999790452"/>
    <s v="UNPLANNED"/>
    <x v="0"/>
    <d v="1899-12-30T19:05:00"/>
    <x v="1"/>
  </r>
  <r>
    <n v="3954"/>
    <x v="12"/>
    <n v="14115271687625"/>
    <x v="1292"/>
    <d v="2022-03-26T20:45:00"/>
    <d v="1899-12-30T01:40:00"/>
    <n v="179.99999999790452"/>
    <s v="UNPLANNED"/>
    <x v="1"/>
    <d v="1899-12-30T19:05:00"/>
    <x v="1"/>
  </r>
  <r>
    <n v="3955"/>
    <x v="12"/>
    <n v="14115271672412"/>
    <x v="1293"/>
    <d v="2022-03-26T20:45:00"/>
    <d v="1899-12-30T05:30:00"/>
    <n v="54.545454544300007"/>
    <s v="UNPLANNED"/>
    <x v="0"/>
    <d v="1899-12-30T15:15:00"/>
    <x v="1"/>
  </r>
  <r>
    <n v="3956"/>
    <x v="2"/>
    <n v="12115271566803"/>
    <x v="1292"/>
    <d v="2022-03-26T20:45:00"/>
    <d v="1899-12-30T01:40:00"/>
    <n v="179.99999999790452"/>
    <s v="UNPLANNED"/>
    <x v="1"/>
    <d v="1899-12-30T19:05:00"/>
    <x v="1"/>
  </r>
  <r>
    <n v="3957"/>
    <x v="10"/>
    <n v="11115271525600"/>
    <x v="1293"/>
    <d v="2022-03-26T20:45:00"/>
    <d v="1899-12-30T05:30:00"/>
    <n v="54.545454544300007"/>
    <s v="UNPLANNED"/>
    <x v="0"/>
    <d v="1899-12-30T15:15:00"/>
    <x v="1"/>
  </r>
  <r>
    <n v="3958"/>
    <x v="11"/>
    <n v="10115271958800"/>
    <x v="1293"/>
    <d v="2022-03-26T20:45:00"/>
    <d v="1899-12-30T05:30:00"/>
    <n v="54.545454544300007"/>
    <s v="UNPLANNED"/>
    <x v="0"/>
    <d v="1899-12-30T15:15:00"/>
    <x v="1"/>
  </r>
  <r>
    <n v="3959"/>
    <x v="7"/>
    <n v="7115271759006"/>
    <x v="1293"/>
    <d v="2022-03-26T20:45:00"/>
    <d v="1899-12-30T05:30:00"/>
    <n v="54.545454544300007"/>
    <s v="UNPLANNED"/>
    <x v="0"/>
    <d v="1899-12-30T15:15:00"/>
    <x v="1"/>
  </r>
  <r>
    <n v="3960"/>
    <x v="1"/>
    <n v="6115271723702"/>
    <x v="1293"/>
    <d v="2022-03-26T20:45:00"/>
    <d v="1899-12-30T05:30:00"/>
    <n v="54.545454544300007"/>
    <s v="UNPLANNED"/>
    <x v="1"/>
    <d v="1899-12-30T15:15:00"/>
    <x v="1"/>
  </r>
  <r>
    <n v="3961"/>
    <x v="13"/>
    <n v="3115270339900"/>
    <x v="1293"/>
    <d v="2022-03-26T20:45:00"/>
    <d v="1899-12-30T05:30:00"/>
    <n v="54.545454544300007"/>
    <s v="UNPLANNED"/>
    <x v="0"/>
    <d v="1899-12-30T15:15:00"/>
    <x v="1"/>
  </r>
  <r>
    <n v="3962"/>
    <x v="2"/>
    <n v="12115271574522"/>
    <x v="1294"/>
    <d v="2022-03-27T00:30:00"/>
    <d v="1899-12-30T00:50:00"/>
    <n v="359.99999995809048"/>
    <s v="UNPLANNED"/>
    <x v="0"/>
    <d v="1899-12-30T23:40:00"/>
    <x v="2"/>
  </r>
  <r>
    <n v="3963"/>
    <x v="13"/>
    <n v="3115270366600"/>
    <x v="1295"/>
    <d v="2022-03-27T00:30:00"/>
    <d v="1899-12-30T02:00:00"/>
    <n v="149.99999999563443"/>
    <s v="UNPLANNED"/>
    <x v="0"/>
    <d v="1899-12-30T22:30:00"/>
    <x v="2"/>
  </r>
  <r>
    <n v="3964"/>
    <x v="14"/>
    <n v="1115270127500"/>
    <x v="1295"/>
    <d v="2022-03-27T00:30:00"/>
    <d v="1899-12-30T02:00:00"/>
    <n v="149.99999999563443"/>
    <s v="UNPLANNED"/>
    <x v="0"/>
    <d v="1899-12-30T22:30:00"/>
    <x v="2"/>
  </r>
  <r>
    <n v="3965"/>
    <x v="10"/>
    <n v="11115271542800"/>
    <x v="1296"/>
    <d v="2022-03-27T01:50:00"/>
    <d v="1899-12-30T00:55:00"/>
    <n v="327.27272726580009"/>
    <s v="UNPLANNED"/>
    <x v="0"/>
    <d v="1899-12-30T00:55:00"/>
    <x v="2"/>
  </r>
  <r>
    <n v="3966"/>
    <x v="5"/>
    <n v="13115271590301"/>
    <x v="1297"/>
    <d v="2022-03-27T10:45:00"/>
    <d v="1899-12-30T01:15:00"/>
    <n v="240.00000002235174"/>
    <s v="UNPLANNED"/>
    <x v="6"/>
    <d v="1899-12-30T09:30:00"/>
    <x v="0"/>
  </r>
  <r>
    <n v="3967"/>
    <x v="10"/>
    <n v="11115271553100"/>
    <x v="1297"/>
    <d v="2022-03-27T10:45:00"/>
    <d v="1899-12-30T01:15:00"/>
    <n v="240.00000002235174"/>
    <s v="UNPLANNED"/>
    <x v="0"/>
    <d v="1899-12-30T09:30:00"/>
    <x v="0"/>
  </r>
  <r>
    <n v="3968"/>
    <x v="5"/>
    <n v="13115271590401"/>
    <x v="1298"/>
    <d v="2022-03-27T14:00:00"/>
    <d v="1899-12-30T02:15:00"/>
    <n v="133.33333333333331"/>
    <s v="UNPLANNED"/>
    <x v="1"/>
    <d v="1899-12-30T11:45:00"/>
    <x v="0"/>
  </r>
  <r>
    <n v="3969"/>
    <x v="2"/>
    <n v="12115271566604"/>
    <x v="1299"/>
    <d v="2022-03-27T14:00:00"/>
    <d v="1899-12-30T03:00:00"/>
    <n v="100"/>
    <s v="UNPLANNED"/>
    <x v="0"/>
    <d v="1899-12-30T11:00:00"/>
    <x v="0"/>
  </r>
  <r>
    <n v="3970"/>
    <x v="10"/>
    <n v="11115271554501"/>
    <x v="1298"/>
    <d v="2022-03-27T14:00:00"/>
    <d v="1899-12-30T02:15:00"/>
    <n v="133.33333333333331"/>
    <s v="UNPLANNED"/>
    <x v="0"/>
    <d v="1899-12-30T11:45:00"/>
    <x v="0"/>
  </r>
  <r>
    <n v="3971"/>
    <x v="11"/>
    <n v="10115271964700"/>
    <x v="1300"/>
    <d v="2022-03-27T21:20:00"/>
    <d v="1899-12-30T03:43:00"/>
    <n v="80.717488787804982"/>
    <s v="UNPLANNED"/>
    <x v="1"/>
    <d v="1899-12-30T17:37:00"/>
    <x v="1"/>
  </r>
  <r>
    <n v="3972"/>
    <x v="7"/>
    <n v="7115271758505"/>
    <x v="1301"/>
    <d v="2022-03-27T21:20:00"/>
    <d v="1899-12-30T06:10:00"/>
    <n v="48.648648648495588"/>
    <s v="UNPLANNED"/>
    <x v="1"/>
    <d v="1899-12-30T15:10:00"/>
    <x v="1"/>
  </r>
  <r>
    <n v="3973"/>
    <x v="0"/>
    <n v="5115271239305"/>
    <x v="1301"/>
    <d v="2022-03-27T21:20:00"/>
    <d v="1899-12-30T06:10:00"/>
    <n v="48.648648648495588"/>
    <s v="UNPLANNED"/>
    <x v="1"/>
    <d v="1899-12-30T15:10:00"/>
    <x v="1"/>
  </r>
  <r>
    <n v="3974"/>
    <x v="13"/>
    <n v="3115270349200"/>
    <x v="1302"/>
    <d v="2022-03-27T21:20:00"/>
    <d v="1899-12-30T06:00:00"/>
    <n v="50"/>
    <s v="UNPLANNED"/>
    <x v="0"/>
    <d v="1899-12-30T15:20:00"/>
    <x v="1"/>
  </r>
  <r>
    <n v="3975"/>
    <x v="13"/>
    <n v="3115270392200"/>
    <x v="1303"/>
    <d v="2022-03-28T00:20:00"/>
    <d v="1899-12-30T00:50:00"/>
    <n v="359.99999995809048"/>
    <s v="UNPLANNED"/>
    <x v="0"/>
    <d v="1899-12-30T23:30:00"/>
    <x v="2"/>
  </r>
  <r>
    <n v="3976"/>
    <x v="7"/>
    <n v="7115271768300"/>
    <x v="1304"/>
    <d v="2022-03-28T11:00:00"/>
    <d v="1899-12-30T01:45:00"/>
    <n v="171.42857141716746"/>
    <s v="UNPLANNED"/>
    <x v="0"/>
    <d v="1899-12-30T09:15:00"/>
    <x v="0"/>
  </r>
  <r>
    <n v="3977"/>
    <x v="7"/>
    <n v="7115271758902"/>
    <x v="1304"/>
    <d v="2022-03-28T11:00:00"/>
    <d v="1899-12-30T01:45:00"/>
    <n v="171.42857141716746"/>
    <s v="UNPLANNED"/>
    <x v="0"/>
    <d v="1899-12-30T09:15:00"/>
    <x v="0"/>
  </r>
  <r>
    <n v="3978"/>
    <x v="1"/>
    <n v="6115271703500"/>
    <x v="1305"/>
    <d v="2022-03-28T11:00:00"/>
    <d v="1899-12-30T03:00:00"/>
    <n v="100"/>
    <s v="UNPLANNED"/>
    <x v="0"/>
    <d v="1899-12-30T08:00:00"/>
    <x v="0"/>
  </r>
  <r>
    <n v="3979"/>
    <x v="9"/>
    <n v="2115270271500"/>
    <x v="1305"/>
    <d v="2022-03-28T11:00:00"/>
    <d v="1899-12-30T03:00:00"/>
    <n v="100"/>
    <s v="UNPLANNED"/>
    <x v="0"/>
    <d v="1899-12-30T08:00:00"/>
    <x v="0"/>
  </r>
  <r>
    <n v="3980"/>
    <x v="12"/>
    <n v="14115271672299"/>
    <x v="1306"/>
    <d v="2022-03-28T19:10:00"/>
    <d v="1899-12-30T00:45:00"/>
    <n v="400"/>
    <s v="UNPLANNED"/>
    <x v="0"/>
    <d v="1899-12-30T18:25:00"/>
    <x v="1"/>
  </r>
  <r>
    <n v="3981"/>
    <x v="7"/>
    <n v="7115271758907"/>
    <x v="1307"/>
    <d v="2022-03-29T09:00:00"/>
    <d v="1899-12-30T01:15:00"/>
    <n v="239.99999998882413"/>
    <s v="UNPLANNED"/>
    <x v="0"/>
    <d v="1899-12-30T07:45:00"/>
    <x v="0"/>
  </r>
  <r>
    <n v="3982"/>
    <x v="5"/>
    <n v="13115271591705"/>
    <x v="1308"/>
    <d v="2022-03-29T10:25:00"/>
    <d v="1899-12-30T01:15:00"/>
    <n v="239.99999998882413"/>
    <s v="UNPLANNED"/>
    <x v="0"/>
    <d v="1899-12-30T09:10:00"/>
    <x v="0"/>
  </r>
  <r>
    <n v="3983"/>
    <x v="12"/>
    <n v="14115271673113"/>
    <x v="1309"/>
    <d v="2022-03-29T12:45:00"/>
    <d v="1899-12-30T03:00:00"/>
    <n v="100"/>
    <s v="UNPLANNED"/>
    <x v="1"/>
    <d v="1899-12-30T09:45:00"/>
    <x v="0"/>
  </r>
  <r>
    <n v="3984"/>
    <x v="7"/>
    <n v="7115271776800"/>
    <x v="1309"/>
    <d v="2022-03-29T12:45:00"/>
    <d v="1899-12-30T03:00:00"/>
    <n v="100"/>
    <s v="UNPLANNED"/>
    <x v="0"/>
    <d v="1899-12-30T09:45:00"/>
    <x v="0"/>
  </r>
  <r>
    <n v="3985"/>
    <x v="7"/>
    <n v="7115271773704"/>
    <x v="1309"/>
    <d v="2022-03-29T12:45:00"/>
    <d v="1899-12-30T03:00:00"/>
    <n v="100"/>
    <s v="UNPLANNED"/>
    <x v="1"/>
    <d v="1899-12-30T09:45:00"/>
    <x v="0"/>
  </r>
  <r>
    <n v="3986"/>
    <x v="13"/>
    <n v="3115270363502"/>
    <x v="1309"/>
    <d v="2022-03-29T12:45:00"/>
    <d v="1899-12-30T03:00:00"/>
    <n v="100"/>
    <s v="UNPLANNED"/>
    <x v="0"/>
    <d v="1899-12-30T09:45:00"/>
    <x v="0"/>
  </r>
  <r>
    <n v="3987"/>
    <x v="3"/>
    <n v="8115271856201"/>
    <x v="1310"/>
    <d v="2022-03-29T18:00:00"/>
    <d v="1899-12-30T02:40:00"/>
    <n v="112.50000000163709"/>
    <s v="UNPLANNED"/>
    <x v="0"/>
    <d v="1899-12-30T15:20:00"/>
    <x v="1"/>
  </r>
  <r>
    <n v="3988"/>
    <x v="1"/>
    <n v="6115271741600"/>
    <x v="1311"/>
    <d v="2022-03-29T21:00:00"/>
    <d v="1899-12-30T01:40:00"/>
    <n v="179.99999999790452"/>
    <s v="UNPLANNED"/>
    <x v="0"/>
    <d v="1899-12-30T19:20:00"/>
    <x v="1"/>
  </r>
  <r>
    <n v="3989"/>
    <x v="8"/>
    <n v="4115270854201"/>
    <x v="1312"/>
    <d v="2022-03-30T00:40:00"/>
    <d v="1899-12-30T00:55:00"/>
    <n v="327.27272726580009"/>
    <s v="UNPLANNED"/>
    <x v="0"/>
    <d v="1899-12-30T23:45:00"/>
    <x v="2"/>
  </r>
  <r>
    <n v="3990"/>
    <x v="2"/>
    <n v="12115271569608"/>
    <x v="1313"/>
    <d v="2022-03-30T10:55:00"/>
    <d v="1899-12-30T02:40:00"/>
    <n v="112.50000000163709"/>
    <s v="UNPLANNED"/>
    <x v="2"/>
    <d v="1899-12-30T08:15:00"/>
    <x v="0"/>
  </r>
  <r>
    <n v="3991"/>
    <x v="7"/>
    <n v="7115271769700"/>
    <x v="1314"/>
    <d v="2022-03-30T10:55:00"/>
    <d v="1899-12-30T02:05:00"/>
    <n v="144.00000000134111"/>
    <s v="UNPLANNED"/>
    <x v="1"/>
    <d v="1899-12-30T08:50:00"/>
    <x v="0"/>
  </r>
  <r>
    <n v="3992"/>
    <x v="14"/>
    <n v="1115270017900"/>
    <x v="1314"/>
    <d v="2022-03-30T10:55:00"/>
    <d v="1899-12-30T02:05:00"/>
    <n v="144.00000000134111"/>
    <s v="UNPLANNED"/>
    <x v="0"/>
    <d v="1899-12-30T08:50:00"/>
    <x v="0"/>
  </r>
  <r>
    <n v="3993"/>
    <x v="10"/>
    <n v="11115271552506"/>
    <x v="1315"/>
    <d v="2022-03-30T13:58:00"/>
    <d v="1899-12-30T02:28:00"/>
    <n v="121.62162162123894"/>
    <s v="UNPLANNED"/>
    <x v="0"/>
    <d v="1899-12-30T11:30:00"/>
    <x v="0"/>
  </r>
  <r>
    <n v="3994"/>
    <x v="6"/>
    <n v="9115271934300"/>
    <x v="1316"/>
    <d v="2022-03-30T13:58:00"/>
    <d v="1899-12-30T01:33:00"/>
    <n v="193.54838709822789"/>
    <s v="UNPLANNED"/>
    <x v="0"/>
    <d v="1899-12-30T12:25:00"/>
    <x v="0"/>
  </r>
  <r>
    <n v="3995"/>
    <x v="7"/>
    <n v="7115271774706"/>
    <x v="1316"/>
    <d v="2022-03-30T13:58:00"/>
    <d v="1899-12-30T01:33:00"/>
    <n v="193.54838709822789"/>
    <s v="UNPLANNED"/>
    <x v="0"/>
    <d v="1899-12-30T12:25:00"/>
    <x v="0"/>
  </r>
  <r>
    <n v="3996"/>
    <x v="14"/>
    <n v="1115270067900"/>
    <x v="1317"/>
    <d v="2022-03-30T13:58:00"/>
    <d v="1899-12-30T01:53:00"/>
    <n v="159.2920353959326"/>
    <s v="UNPLANNED"/>
    <x v="0"/>
    <d v="1899-12-30T12:05:00"/>
    <x v="0"/>
  </r>
  <r>
    <n v="3997"/>
    <x v="6"/>
    <n v="9115271909402"/>
    <x v="1318"/>
    <d v="2022-03-30T18:50:00"/>
    <d v="1899-12-30T02:55:00"/>
    <n v="102.85714286056404"/>
    <s v="UNPLANNED"/>
    <x v="0"/>
    <d v="1899-12-30T15:55:00"/>
    <x v="1"/>
  </r>
  <r>
    <n v="3998"/>
    <x v="12"/>
    <n v="14115271703500"/>
    <x v="1319"/>
    <d v="2022-03-30T21:30:00"/>
    <d v="1899-12-30T02:15:00"/>
    <n v="133.33333333333331"/>
    <s v="UNPLANNED"/>
    <x v="1"/>
    <d v="1899-12-30T19:15:00"/>
    <x v="1"/>
  </r>
  <r>
    <n v="3999"/>
    <x v="7"/>
    <n v="7115271767803"/>
    <x v="1319"/>
    <d v="2022-03-30T21:30:00"/>
    <d v="1899-12-30T02:15:00"/>
    <n v="133.33333333333331"/>
    <s v="UNPLANNED"/>
    <x v="2"/>
    <d v="1899-12-30T19:15:00"/>
    <x v="1"/>
  </r>
  <r>
    <n v="4000"/>
    <x v="0"/>
    <n v="5115271259502"/>
    <x v="1319"/>
    <d v="2022-03-30T21:30:00"/>
    <d v="1899-12-30T02:15:00"/>
    <n v="133.33333333333331"/>
    <s v="UNPLANNED"/>
    <x v="1"/>
    <d v="1899-12-30T19:15:00"/>
    <x v="1"/>
  </r>
  <r>
    <n v="4001"/>
    <x v="0"/>
    <n v="5115271257608"/>
    <x v="1320"/>
    <d v="2022-03-30T23:10:00"/>
    <d v="1899-12-30T00:55:00"/>
    <n v="327.27272726580009"/>
    <s v="UNPLANNED"/>
    <x v="0"/>
    <d v="1899-12-30T22:15:00"/>
    <x v="2"/>
  </r>
  <r>
    <n v="4002"/>
    <x v="5"/>
    <n v="13115271622400"/>
    <x v="1321"/>
    <d v="2022-03-31T02:35:00"/>
    <d v="1899-12-30T02:50:00"/>
    <n v="105.88235294190156"/>
    <s v="UNPLANNED"/>
    <x v="2"/>
    <d v="1899-12-30T23:45:00"/>
    <x v="2"/>
  </r>
  <r>
    <n v="4003"/>
    <x v="11"/>
    <n v="10115271452000"/>
    <x v="1321"/>
    <d v="2022-03-31T02:35:00"/>
    <d v="1899-12-30T02:50:00"/>
    <n v="105.88235294190156"/>
    <s v="UNPLANNED"/>
    <x v="0"/>
    <d v="1899-12-30T23:45:00"/>
    <x v="2"/>
  </r>
  <r>
    <n v="4004"/>
    <x v="1"/>
    <n v="6115271690510"/>
    <x v="1321"/>
    <d v="2022-03-31T02:35:00"/>
    <d v="1899-12-30T02:50:00"/>
    <n v="105.88235294190156"/>
    <s v="UNPLANNED"/>
    <x v="0"/>
    <d v="1899-12-30T23:45:00"/>
    <x v="2"/>
  </r>
  <r>
    <n v="4005"/>
    <x v="10"/>
    <n v="11115271500400"/>
    <x v="1322"/>
    <d v="2022-03-31T11:20:00"/>
    <d v="1899-12-30T03:25:00"/>
    <n v="87.804878049777741"/>
    <s v="UNPLANNED"/>
    <x v="0"/>
    <d v="1899-12-30T07:55:00"/>
    <x v="0"/>
  </r>
  <r>
    <n v="4006"/>
    <x v="11"/>
    <n v="10115271952600"/>
    <x v="1323"/>
    <d v="2022-03-31T11:20:00"/>
    <d v="1899-12-30T03:50:00"/>
    <n v="78.260869566801873"/>
    <s v="UNPLANNED"/>
    <x v="0"/>
    <d v="1899-12-30T07:30:00"/>
    <x v="0"/>
  </r>
  <r>
    <n v="4007"/>
    <x v="8"/>
    <n v="4115270826500"/>
    <x v="1323"/>
    <d v="2022-03-31T11:20:00"/>
    <d v="1899-12-30T03:50:00"/>
    <n v="78.260869566801873"/>
    <s v="UNPLANNED"/>
    <x v="0"/>
    <d v="1899-12-30T07:30:00"/>
    <x v="0"/>
  </r>
  <r>
    <n v="4008"/>
    <x v="14"/>
    <n v="1115270022603"/>
    <x v="1324"/>
    <d v="2022-03-31T11:20:00"/>
    <d v="1899-12-30T03:00:00"/>
    <n v="100"/>
    <s v="UNPLANNED"/>
    <x v="0"/>
    <d v="1899-12-30T08:20:00"/>
    <x v="0"/>
  </r>
  <r>
    <n v="4009"/>
    <x v="2"/>
    <n v="12115271560196"/>
    <x v="1325"/>
    <d v="2022-03-31T16:50:00"/>
    <d v="1899-12-30T01:20:00"/>
    <n v="225.00000000327418"/>
    <s v="UNPLANNED"/>
    <x v="1"/>
    <d v="1899-12-30T15:30:00"/>
    <x v="1"/>
  </r>
  <r>
    <n v="4010"/>
    <x v="10"/>
    <n v="11115271486300"/>
    <x v="1325"/>
    <d v="2022-03-31T16:50:00"/>
    <d v="1899-12-30T01:20:00"/>
    <n v="225.00000000327418"/>
    <s v="UNPLANNED"/>
    <x v="0"/>
    <d v="1899-12-30T15:30:00"/>
    <x v="1"/>
  </r>
  <r>
    <n v="4011"/>
    <x v="6"/>
    <n v="9115271909406"/>
    <x v="1326"/>
    <d v="2022-03-31T20:15:00"/>
    <d v="1899-12-30T01:10:00"/>
    <n v="257.14285715141011"/>
    <s v="UNPLANNED"/>
    <x v="0"/>
    <d v="1899-12-30T19:05:00"/>
    <x v="1"/>
  </r>
  <r>
    <n v="4012"/>
    <x v="1"/>
    <n v="6115271690607"/>
    <x v="1327"/>
    <d v="2022-03-31T21:45:00"/>
    <d v="1899-12-30T00:35:00"/>
    <n v="514.28571430282022"/>
    <s v="UNPLANNED"/>
    <x v="0"/>
    <d v="1899-12-30T21:10:00"/>
    <x v="1"/>
  </r>
  <r>
    <n v="4013"/>
    <x v="3"/>
    <n v="8115271820700"/>
    <x v="1328"/>
    <d v="2022-03-31T23:59:00"/>
    <d v="1899-12-30T00:39:00"/>
    <n v="461.53846152192921"/>
    <s v="UNPLANNED"/>
    <x v="0"/>
    <d v="1899-12-30T23:20:00"/>
    <x v="2"/>
  </r>
  <r>
    <n v="4014"/>
    <x v="14"/>
    <n v="1115270087900"/>
    <x v="1329"/>
    <d v="2022-04-01T02:15:00"/>
    <d v="1899-12-30T01:05:00"/>
    <n v="276.9230769131575"/>
    <s v="UNPLANNED"/>
    <x v="1"/>
    <d v="1899-12-30T01:10:00"/>
    <x v="2"/>
  </r>
  <r>
    <n v="4015"/>
    <x v="2"/>
    <n v="12115271567807"/>
    <x v="1330"/>
    <d v="2022-04-01T13:55:00"/>
    <d v="1899-12-30T00:55:00"/>
    <n v="327.27272726580009"/>
    <s v="UNPLANNED"/>
    <x v="1"/>
    <d v="1899-12-30T13:00:00"/>
    <x v="0"/>
  </r>
  <r>
    <n v="4016"/>
    <x v="2"/>
    <n v="12115271566220"/>
    <x v="1331"/>
    <d v="2022-04-01T13:55:00"/>
    <d v="1899-12-30T04:55:00"/>
    <n v="61.016949153023958"/>
    <s v="UNPLANNED"/>
    <x v="3"/>
    <d v="1899-12-30T09:00:00"/>
    <x v="0"/>
  </r>
  <r>
    <n v="4017"/>
    <x v="2"/>
    <n v="12115271560189"/>
    <x v="1331"/>
    <d v="2022-04-01T13:55:00"/>
    <d v="1899-12-30T04:55:00"/>
    <n v="61.016949153023958"/>
    <s v="UNPLANNED"/>
    <x v="0"/>
    <d v="1899-12-30T09:00:00"/>
    <x v="0"/>
  </r>
  <r>
    <n v="4018"/>
    <x v="3"/>
    <n v="8115271809908"/>
    <x v="1331"/>
    <d v="2022-04-01T13:55:00"/>
    <d v="1899-12-30T04:55:00"/>
    <n v="61.016949153023958"/>
    <s v="UNPLANNED"/>
    <x v="0"/>
    <d v="1899-12-30T09:00:00"/>
    <x v="0"/>
  </r>
  <r>
    <n v="4019"/>
    <x v="8"/>
    <n v="4115270877400"/>
    <x v="1331"/>
    <d v="2022-04-01T13:55:00"/>
    <d v="1899-12-30T04:55:00"/>
    <n v="61.016949153023958"/>
    <s v="UNPLANNED"/>
    <x v="2"/>
    <d v="1899-12-30T09:00:00"/>
    <x v="0"/>
  </r>
  <r>
    <n v="4020"/>
    <x v="9"/>
    <n v="2115270274600"/>
    <x v="1332"/>
    <d v="2022-04-01T13:55:00"/>
    <d v="1899-12-30T00:35:00"/>
    <n v="514.28571430282022"/>
    <s v="UNPLANNED"/>
    <x v="3"/>
    <d v="1899-12-30T13:20:00"/>
    <x v="0"/>
  </r>
  <r>
    <n v="4021"/>
    <x v="9"/>
    <n v="2115270217800"/>
    <x v="1333"/>
    <d v="2022-04-01T13:55:00"/>
    <d v="1899-12-30T01:15:00"/>
    <n v="240.00000002235174"/>
    <s v="UNPLANNED"/>
    <x v="0"/>
    <d v="1899-12-30T12:40:00"/>
    <x v="0"/>
  </r>
  <r>
    <n v="4022"/>
    <x v="6"/>
    <n v="9115271910401"/>
    <x v="1334"/>
    <d v="2022-04-01T19:55:00"/>
    <d v="1899-12-30T03:45:00"/>
    <n v="80"/>
    <s v="UNPLANNED"/>
    <x v="0"/>
    <d v="1899-12-30T16:10:00"/>
    <x v="1"/>
  </r>
  <r>
    <n v="4023"/>
    <x v="0"/>
    <n v="5115270974503"/>
    <x v="1334"/>
    <d v="2022-04-01T19:55:00"/>
    <d v="1899-12-30T03:45:00"/>
    <n v="80"/>
    <s v="UNPLANNED"/>
    <x v="0"/>
    <d v="1899-12-30T16:10:00"/>
    <x v="1"/>
  </r>
  <r>
    <n v="4024"/>
    <x v="9"/>
    <n v="2115270275200"/>
    <x v="1334"/>
    <d v="2022-04-01T19:55:00"/>
    <d v="1899-12-30T03:45:00"/>
    <n v="80"/>
    <s v="UNPLANNED"/>
    <x v="0"/>
    <d v="1899-12-30T16:10:00"/>
    <x v="1"/>
  </r>
  <r>
    <n v="4025"/>
    <x v="9"/>
    <n v="2115270168200"/>
    <x v="1335"/>
    <d v="2022-04-01T19:55:00"/>
    <d v="1899-12-30T02:45:00"/>
    <n v="109.09090909552721"/>
    <s v="UNPLANNED"/>
    <x v="0"/>
    <d v="1899-12-30T17:10:00"/>
    <x v="1"/>
  </r>
  <r>
    <n v="4026"/>
    <x v="14"/>
    <n v="1115270101100"/>
    <x v="1335"/>
    <d v="2022-04-01T19:55:00"/>
    <d v="1899-12-30T02:45:00"/>
    <n v="109.09090909552721"/>
    <s v="UNPLANNED"/>
    <x v="0"/>
    <d v="1899-12-30T17:10:00"/>
    <x v="1"/>
  </r>
  <r>
    <n v="4027"/>
    <x v="13"/>
    <n v="3115270447400"/>
    <x v="1336"/>
    <d v="2022-04-01T21:55:00"/>
    <d v="1899-12-30T01:25:00"/>
    <n v="211.7647058707517"/>
    <s v="UNPLANNED"/>
    <x v="0"/>
    <d v="1899-12-30T20:30:00"/>
    <x v="1"/>
  </r>
  <r>
    <n v="4028"/>
    <x v="13"/>
    <n v="3115270341100"/>
    <x v="1336"/>
    <d v="2022-04-01T21:55:00"/>
    <d v="1899-12-30T01:25:00"/>
    <n v="211.7647058707517"/>
    <s v="UNPLANNED"/>
    <x v="0"/>
    <d v="1899-12-30T20:30:00"/>
    <x v="1"/>
  </r>
  <r>
    <n v="4029"/>
    <x v="4"/>
    <n v="15115271793800"/>
    <x v="1337"/>
    <d v="2022-04-02T14:36:00"/>
    <d v="1899-12-30T04:30:00"/>
    <n v="66.666666666666657"/>
    <s v="UNPLANNED"/>
    <x v="2"/>
    <d v="1899-12-30T10:06:00"/>
    <x v="0"/>
  </r>
  <r>
    <n v="4030"/>
    <x v="2"/>
    <n v="12115271571066"/>
    <x v="1337"/>
    <d v="2022-04-02T14:36:00"/>
    <d v="1899-12-30T04:30:00"/>
    <n v="66.666666666666657"/>
    <s v="UNPLANNED"/>
    <x v="1"/>
    <d v="1899-12-30T10:06:00"/>
    <x v="0"/>
  </r>
  <r>
    <n v="4031"/>
    <x v="2"/>
    <n v="12115271566215"/>
    <x v="1337"/>
    <d v="2022-04-02T14:36:00"/>
    <d v="1899-12-30T04:30:00"/>
    <n v="66.666666666666657"/>
    <s v="UNPLANNED"/>
    <x v="1"/>
    <d v="1899-12-30T10:06:00"/>
    <x v="0"/>
  </r>
  <r>
    <n v="4032"/>
    <x v="10"/>
    <n v="11115271520700"/>
    <x v="1337"/>
    <d v="2022-04-02T14:36:00"/>
    <d v="1899-12-30T04:30:00"/>
    <n v="66.666666666666657"/>
    <s v="UNPLANNED"/>
    <x v="2"/>
    <d v="1899-12-30T10:06:00"/>
    <x v="0"/>
  </r>
  <r>
    <n v="4033"/>
    <x v="11"/>
    <n v="10115271452102"/>
    <x v="1337"/>
    <d v="2022-04-02T14:36:00"/>
    <d v="1899-12-30T04:30:00"/>
    <n v="66.666666666666657"/>
    <s v="UNPLANNED"/>
    <x v="0"/>
    <d v="1899-12-30T10:06:00"/>
    <x v="0"/>
  </r>
  <r>
    <n v="4034"/>
    <x v="7"/>
    <n v="7115271777600"/>
    <x v="1337"/>
    <d v="2022-04-02T14:36:00"/>
    <d v="1899-12-30T04:30:00"/>
    <n v="66.666666666666657"/>
    <s v="UNPLANNED"/>
    <x v="1"/>
    <d v="1899-12-30T10:06:00"/>
    <x v="0"/>
  </r>
  <r>
    <n v="4035"/>
    <x v="1"/>
    <n v="6115271741307"/>
    <x v="1337"/>
    <d v="2022-04-02T14:36:00"/>
    <d v="1899-12-30T04:30:00"/>
    <n v="66.666666666666657"/>
    <s v="UNPLANNED"/>
    <x v="0"/>
    <d v="1899-12-30T10:06:00"/>
    <x v="0"/>
  </r>
  <r>
    <n v="4036"/>
    <x v="12"/>
    <n v="14115271673112"/>
    <x v="1338"/>
    <d v="2022-04-02T18:45:00"/>
    <d v="1899-12-30T02:05:00"/>
    <n v="144.00000000134111"/>
    <s v="UNPLANNED"/>
    <x v="1"/>
    <d v="1899-12-30T16:40:00"/>
    <x v="1"/>
  </r>
  <r>
    <n v="4037"/>
    <x v="6"/>
    <n v="9115271909307"/>
    <x v="1338"/>
    <d v="2022-04-02T18:45:00"/>
    <d v="1899-12-30T02:05:00"/>
    <n v="144.00000000134111"/>
    <s v="UNPLANNED"/>
    <x v="1"/>
    <d v="1899-12-30T16:40:00"/>
    <x v="1"/>
  </r>
  <r>
    <n v="4038"/>
    <x v="9"/>
    <n v="2115270297300"/>
    <x v="1338"/>
    <d v="2022-04-02T18:45:00"/>
    <d v="1899-12-30T02:05:00"/>
    <n v="144.00000000134111"/>
    <s v="UNPLANNED"/>
    <x v="6"/>
    <d v="1899-12-30T16:40:00"/>
    <x v="1"/>
  </r>
  <r>
    <n v="4039"/>
    <x v="10"/>
    <n v="11115271552600"/>
    <x v="1339"/>
    <d v="2022-04-02T20:40:00"/>
    <d v="1899-12-30T01:50:00"/>
    <n v="163.63636363290004"/>
    <s v="UNPLANNED"/>
    <x v="2"/>
    <d v="1899-12-30T18:50:00"/>
    <x v="1"/>
  </r>
  <r>
    <n v="4040"/>
    <x v="9"/>
    <n v="2115270156500"/>
    <x v="1340"/>
    <d v="2022-04-02T23:50:00"/>
    <d v="1899-12-30T00:40:00"/>
    <n v="450.00000006548362"/>
    <s v="UNPLANNED"/>
    <x v="2"/>
    <d v="1899-12-30T23:10:00"/>
    <x v="2"/>
  </r>
  <r>
    <n v="4041"/>
    <x v="3"/>
    <n v="8115271835700"/>
    <x v="1341"/>
    <d v="2022-04-03T01:05:00"/>
    <d v="1899-12-30T01:04:59"/>
    <n v="276.99410105823421"/>
    <s v="UNPLANNED"/>
    <x v="1"/>
    <d v="1899-12-30T00:00:01"/>
    <x v="2"/>
  </r>
  <r>
    <n v="4042"/>
    <x v="2"/>
    <n v="12115271566214"/>
    <x v="1342"/>
    <d v="2022-04-03T09:30:00"/>
    <d v="1899-12-30T01:30:00"/>
    <n v="200"/>
    <s v="UNPLANNED"/>
    <x v="3"/>
    <d v="1899-12-30T08:00:00"/>
    <x v="0"/>
  </r>
  <r>
    <n v="4043"/>
    <x v="10"/>
    <n v="11115271540300"/>
    <x v="1343"/>
    <d v="2022-04-03T09:30:00"/>
    <d v="1899-12-30T01:10:00"/>
    <n v="257.14285711292177"/>
    <s v="UNPLANNED"/>
    <x v="0"/>
    <d v="1899-12-30T08:20:00"/>
    <x v="0"/>
  </r>
  <r>
    <n v="4044"/>
    <x v="12"/>
    <n v="14115271673113"/>
    <x v="1344"/>
    <d v="2022-04-03T14:00:00"/>
    <d v="1899-12-30T01:40:00"/>
    <n v="179.99999999790452"/>
    <s v="UNPLANNED"/>
    <x v="0"/>
    <d v="1899-12-30T12:20:00"/>
    <x v="0"/>
  </r>
  <r>
    <n v="4045"/>
    <x v="1"/>
    <n v="6115271731201"/>
    <x v="1345"/>
    <d v="2022-04-03T14:00:00"/>
    <d v="1899-12-30T02:30:00"/>
    <n v="119.99999999441206"/>
    <s v="UNPLANNED"/>
    <x v="2"/>
    <d v="1899-12-30T11:30:00"/>
    <x v="0"/>
  </r>
  <r>
    <n v="4046"/>
    <x v="8"/>
    <n v="4115270847506"/>
    <x v="1346"/>
    <d v="2022-04-03T14:00:00"/>
    <d v="1899-12-30T03:45:00"/>
    <n v="80"/>
    <s v="UNPLANNED"/>
    <x v="0"/>
    <d v="1899-12-30T10:15:00"/>
    <x v="0"/>
  </r>
  <r>
    <n v="4047"/>
    <x v="4"/>
    <n v="15115271744101"/>
    <x v="1347"/>
    <d v="2022-04-03T20:00:00"/>
    <d v="1899-12-30T02:05:00"/>
    <n v="144.00000000134111"/>
    <s v="UNPLANNED"/>
    <x v="2"/>
    <d v="1899-12-30T17:55:00"/>
    <x v="1"/>
  </r>
  <r>
    <n v="4048"/>
    <x v="1"/>
    <n v="6115271732100"/>
    <x v="1347"/>
    <d v="2022-04-03T20:00:00"/>
    <d v="1899-12-30T02:05:00"/>
    <n v="144.00000000134111"/>
    <s v="UNPLANNED"/>
    <x v="1"/>
    <d v="1899-12-30T17:55:00"/>
    <x v="1"/>
  </r>
  <r>
    <n v="4049"/>
    <x v="6"/>
    <n v="9115271925000"/>
    <x v="1348"/>
    <d v="2022-04-04T12:55:00"/>
    <d v="1899-12-30T01:55:00"/>
    <n v="156.52173913360375"/>
    <s v="UNPLANNED"/>
    <x v="0"/>
    <d v="1899-12-30T11:00:00"/>
    <x v="0"/>
  </r>
  <r>
    <n v="4050"/>
    <x v="3"/>
    <n v="8115271809910"/>
    <x v="1349"/>
    <d v="2022-04-04T11:15:00"/>
    <d v="1899-12-30T01:00:00"/>
    <n v="300.0000000174623"/>
    <s v="UNPLANNED"/>
    <x v="0"/>
    <d v="1899-12-30T10:15:00"/>
    <x v="0"/>
  </r>
  <r>
    <n v="4051"/>
    <x v="13"/>
    <n v="3115270350300"/>
    <x v="1350"/>
    <d v="2022-04-04T11:15:00"/>
    <d v="1899-12-30T01:18:00"/>
    <n v="230.7692307609646"/>
    <s v="UNPLANNED"/>
    <x v="0"/>
    <d v="1899-12-30T09:57:00"/>
    <x v="0"/>
  </r>
  <r>
    <n v="4052"/>
    <x v="7"/>
    <n v="7115271785609"/>
    <x v="1351"/>
    <d v="2022-04-04T13:50:00"/>
    <d v="1899-12-30T02:05:00"/>
    <n v="144.00000000134111"/>
    <s v="UNPLANNED"/>
    <x v="0"/>
    <d v="1899-12-30T11:45:00"/>
    <x v="0"/>
  </r>
  <r>
    <n v="4053"/>
    <x v="0"/>
    <n v="5115271289400"/>
    <x v="1351"/>
    <d v="2022-04-04T13:50:00"/>
    <d v="1899-12-30T02:05:00"/>
    <n v="144.00000000134111"/>
    <s v="UNPLANNED"/>
    <x v="0"/>
    <d v="1899-12-30T11:45:00"/>
    <x v="0"/>
  </r>
  <r>
    <n v="4054"/>
    <x v="13"/>
    <n v="3115270366902"/>
    <x v="1351"/>
    <d v="2022-04-04T13:50:00"/>
    <d v="1899-12-30T02:05:00"/>
    <n v="144.00000000134111"/>
    <s v="UNPLANNED"/>
    <x v="0"/>
    <d v="1899-12-30T11:45:00"/>
    <x v="0"/>
  </r>
  <r>
    <n v="4055"/>
    <x v="13"/>
    <n v="3115270306902"/>
    <x v="1351"/>
    <d v="2022-04-04T13:50:00"/>
    <d v="1899-12-30T02:05:00"/>
    <n v="144.00000000134111"/>
    <s v="UNPLANNED"/>
    <x v="0"/>
    <d v="1899-12-30T11:45:00"/>
    <x v="0"/>
  </r>
  <r>
    <n v="4056"/>
    <x v="3"/>
    <n v="8115271830505"/>
    <x v="1352"/>
    <d v="2022-04-04T19:15:00"/>
    <d v="1899-12-30T03:30:00"/>
    <n v="85.714285712860217"/>
    <s v="UNPLANNED"/>
    <x v="1"/>
    <d v="1899-12-30T15:45:00"/>
    <x v="1"/>
  </r>
  <r>
    <n v="4057"/>
    <x v="7"/>
    <n v="7115271760901"/>
    <x v="1352"/>
    <d v="2022-04-04T19:15:00"/>
    <d v="1899-12-30T03:30:00"/>
    <n v="85.714285712860217"/>
    <s v="UNPLANNED"/>
    <x v="1"/>
    <d v="1899-12-30T15:45:00"/>
    <x v="1"/>
  </r>
  <r>
    <n v="4058"/>
    <x v="2"/>
    <n v="12115271560188"/>
    <x v="1353"/>
    <d v="2022-04-04T20:30:00"/>
    <d v="1899-12-30T00:40:00"/>
    <n v="450.00000006548362"/>
    <s v="UNPLANNED"/>
    <x v="0"/>
    <d v="1899-12-30T19:50:00"/>
    <x v="1"/>
  </r>
  <r>
    <n v="4059"/>
    <x v="11"/>
    <n v="10115270954401"/>
    <x v="1353"/>
    <d v="2022-04-04T20:30:00"/>
    <d v="1899-12-30T00:40:00"/>
    <n v="450.00000006548362"/>
    <s v="UNPLANNED"/>
    <x v="0"/>
    <d v="1899-12-30T19:50:00"/>
    <x v="1"/>
  </r>
  <r>
    <n v="4060"/>
    <x v="10"/>
    <n v="11115271552507"/>
    <x v="1354"/>
    <d v="2022-04-05T00:25:00"/>
    <d v="1899-12-30T00:40:00"/>
    <n v="450.00000006548362"/>
    <s v="UNPLANNED"/>
    <x v="0"/>
    <d v="1899-12-30T23:45:00"/>
    <x v="2"/>
  </r>
  <r>
    <n v="4061"/>
    <x v="5"/>
    <n v="13115271602205"/>
    <x v="1355"/>
    <d v="2022-04-05T02:20:00"/>
    <d v="1899-12-30T01:05:00"/>
    <n v="276.92307695779488"/>
    <s v="UNPLANNED"/>
    <x v="1"/>
    <d v="1899-12-30T01:15:00"/>
    <x v="2"/>
  </r>
  <r>
    <n v="4062"/>
    <x v="2"/>
    <n v="12115271571052"/>
    <x v="1356"/>
    <d v="2022-04-05T10:15:00"/>
    <d v="1899-12-30T00:45:00"/>
    <n v="400"/>
    <s v="UNPLANNED"/>
    <x v="1"/>
    <d v="1899-12-30T09:30:00"/>
    <x v="0"/>
  </r>
  <r>
    <n v="4063"/>
    <x v="3"/>
    <n v="8115271820402"/>
    <x v="1357"/>
    <d v="2022-04-05T19:00:00"/>
    <d v="1899-12-30T03:30:00"/>
    <n v="85.714285717136704"/>
    <s v="UNPLANNED"/>
    <x v="1"/>
    <d v="1899-12-30T15:30:00"/>
    <x v="1"/>
  </r>
  <r>
    <n v="4064"/>
    <x v="7"/>
    <n v="7115271776011"/>
    <x v="1357"/>
    <d v="2022-04-05T19:00:00"/>
    <d v="1899-12-30T03:30:00"/>
    <n v="85.714285717136704"/>
    <s v="UNPLANNED"/>
    <x v="0"/>
    <d v="1899-12-30T15:30:00"/>
    <x v="1"/>
  </r>
  <r>
    <n v="4065"/>
    <x v="0"/>
    <n v="5115271258103"/>
    <x v="1357"/>
    <d v="2022-04-05T19:00:00"/>
    <d v="1899-12-30T03:30:00"/>
    <n v="85.714285717136704"/>
    <s v="UNPLANNED"/>
    <x v="1"/>
    <d v="1899-12-30T15:30:00"/>
    <x v="1"/>
  </r>
  <r>
    <n v="4066"/>
    <x v="13"/>
    <n v="3115270306606"/>
    <x v="1357"/>
    <d v="2022-04-05T19:00:00"/>
    <d v="1899-12-30T03:30:00"/>
    <n v="85.714285717136704"/>
    <s v="UNPLANNED"/>
    <x v="2"/>
    <d v="1899-12-30T15:30:00"/>
    <x v="1"/>
  </r>
  <r>
    <n v="4067"/>
    <x v="14"/>
    <n v="1115270052501"/>
    <x v="1357"/>
    <d v="2022-04-05T19:00:00"/>
    <d v="1899-12-30T03:30:00"/>
    <n v="85.714285717136704"/>
    <s v="UNPLANNED"/>
    <x v="2"/>
    <d v="1899-12-30T15:30:00"/>
    <x v="1"/>
  </r>
  <r>
    <n v="4068"/>
    <x v="1"/>
    <n v="6115271741302"/>
    <x v="1358"/>
    <d v="2022-04-05T23:30:00"/>
    <d v="1899-12-30T01:10:00"/>
    <n v="257.14285715141011"/>
    <s v="UNPLANNED"/>
    <x v="3"/>
    <d v="1899-12-30T22:20:00"/>
    <x v="2"/>
  </r>
  <r>
    <n v="4069"/>
    <x v="2"/>
    <n v="12115271572500"/>
    <x v="1359"/>
    <d v="2022-04-06T00:20:00"/>
    <d v="1899-12-30T00:45:00"/>
    <n v="400"/>
    <s v="UNPLANNED"/>
    <x v="0"/>
    <d v="1899-12-30T23:35:00"/>
    <x v="2"/>
  </r>
  <r>
    <n v="4070"/>
    <x v="11"/>
    <n v="10115271960400"/>
    <x v="1360"/>
    <d v="2022-04-06T01:30:00"/>
    <d v="1899-12-30T00:40:00"/>
    <n v="449.99999994761311"/>
    <s v="UNPLANNED"/>
    <x v="1"/>
    <d v="1899-12-30T00:50:00"/>
    <x v="2"/>
  </r>
  <r>
    <n v="4071"/>
    <x v="12"/>
    <n v="14115271703100"/>
    <x v="1361"/>
    <d v="2022-04-06T09:30:00"/>
    <d v="1899-12-30T01:50:00"/>
    <n v="163.63636363290004"/>
    <s v="UNPLANNED"/>
    <x v="1"/>
    <d v="1899-12-30T07:40:00"/>
    <x v="0"/>
  </r>
  <r>
    <n v="4072"/>
    <x v="2"/>
    <n v="12115271581300"/>
    <x v="1361"/>
    <d v="2022-04-06T09:30:00"/>
    <d v="1899-12-30T01:50:00"/>
    <n v="163.63636363290004"/>
    <s v="UNPLANNED"/>
    <x v="0"/>
    <d v="1899-12-30T07:40:00"/>
    <x v="0"/>
  </r>
  <r>
    <n v="4073"/>
    <x v="2"/>
    <n v="12115271560315"/>
    <x v="1362"/>
    <d v="2022-04-06T14:00:00"/>
    <d v="1899-12-30T03:45:00"/>
    <n v="80"/>
    <s v="UNPLANNED"/>
    <x v="0"/>
    <d v="1899-12-30T10:15:00"/>
    <x v="0"/>
  </r>
  <r>
    <n v="4074"/>
    <x v="10"/>
    <n v="11115271508900"/>
    <x v="1362"/>
    <d v="2022-04-06T14:00:00"/>
    <d v="1899-12-30T03:45:00"/>
    <n v="80"/>
    <s v="UNPLANNED"/>
    <x v="2"/>
    <d v="1899-12-30T10:15:00"/>
    <x v="0"/>
  </r>
  <r>
    <n v="4075"/>
    <x v="13"/>
    <n v="3115270366901"/>
    <x v="1362"/>
    <d v="2022-04-06T14:00:00"/>
    <d v="1899-12-30T03:45:00"/>
    <n v="80"/>
    <s v="UNPLANNED"/>
    <x v="1"/>
    <d v="1899-12-30T10:15:00"/>
    <x v="0"/>
  </r>
  <r>
    <n v="4076"/>
    <x v="13"/>
    <n v="3115270340700"/>
    <x v="1362"/>
    <d v="2022-04-06T14:00:00"/>
    <d v="1899-12-30T03:45:00"/>
    <n v="80"/>
    <s v="UNPLANNED"/>
    <x v="2"/>
    <d v="1899-12-30T10:15:00"/>
    <x v="0"/>
  </r>
  <r>
    <n v="4077"/>
    <x v="14"/>
    <n v="1115270052301"/>
    <x v="1362"/>
    <d v="2022-04-06T14:00:00"/>
    <d v="1899-12-30T03:45:00"/>
    <n v="80"/>
    <s v="UNPLANNED"/>
    <x v="1"/>
    <d v="1899-12-30T10:15:00"/>
    <x v="0"/>
  </r>
  <r>
    <n v="4078"/>
    <x v="11"/>
    <n v="10115270963400"/>
    <x v="1363"/>
    <d v="2022-04-06T20:30:00"/>
    <d v="1899-12-30T01:15:00"/>
    <n v="240.00000002235174"/>
    <s v="UNPLANNED"/>
    <x v="1"/>
    <d v="1899-12-30T19:15:00"/>
    <x v="1"/>
  </r>
  <r>
    <n v="4079"/>
    <x v="3"/>
    <n v="8115271820709"/>
    <x v="1364"/>
    <d v="2022-04-06T20:30:00"/>
    <d v="1899-12-30T03:40:00"/>
    <n v="81.818181820346567"/>
    <s v="UNPLANNED"/>
    <x v="1"/>
    <d v="1899-12-30T16:50:00"/>
    <x v="1"/>
  </r>
  <r>
    <n v="4080"/>
    <x v="7"/>
    <n v="7115271760900"/>
    <x v="1364"/>
    <d v="2022-04-06T20:30:00"/>
    <d v="1899-12-30T03:40:00"/>
    <n v="81.818181820346567"/>
    <s v="UNPLANNED"/>
    <x v="0"/>
    <d v="1899-12-30T16:50:00"/>
    <x v="1"/>
  </r>
  <r>
    <n v="4081"/>
    <x v="1"/>
    <n v="6115271731400"/>
    <x v="1363"/>
    <d v="2022-04-06T20:30:00"/>
    <d v="1899-12-30T01:15:00"/>
    <n v="240.00000002235174"/>
    <s v="UNPLANNED"/>
    <x v="0"/>
    <d v="1899-12-30T19:15:00"/>
    <x v="1"/>
  </r>
  <r>
    <n v="4082"/>
    <x v="8"/>
    <n v="4115270888700"/>
    <x v="1364"/>
    <d v="2022-04-06T20:30:00"/>
    <d v="1899-12-30T03:40:00"/>
    <n v="81.818181820346567"/>
    <s v="UNPLANNED"/>
    <x v="1"/>
    <d v="1899-12-30T16:50:00"/>
    <x v="1"/>
  </r>
  <r>
    <n v="4083"/>
    <x v="13"/>
    <n v="3115270386101"/>
    <x v="1365"/>
    <d v="2022-04-06T20:30:00"/>
    <d v="1899-12-30T03:25:00"/>
    <n v="87.804878049777741"/>
    <s v="UNPLANNED"/>
    <x v="2"/>
    <d v="1899-12-30T17:05:00"/>
    <x v="1"/>
  </r>
  <r>
    <n v="4084"/>
    <x v="0"/>
    <n v="5115271239202"/>
    <x v="1366"/>
    <d v="2022-04-06T22:50:00"/>
    <d v="1899-12-30T01:25:00"/>
    <n v="211.7647058707517"/>
    <s v="UNPLANNED"/>
    <x v="1"/>
    <d v="1899-12-30T21:25:00"/>
    <x v="1"/>
  </r>
  <r>
    <n v="4085"/>
    <x v="5"/>
    <n v="13115271612604"/>
    <x v="1367"/>
    <d v="2022-04-06T23:20:00"/>
    <d v="1899-12-30T00:50:00"/>
    <n v="360.00000003352761"/>
    <s v="UNPLANNED"/>
    <x v="6"/>
    <d v="1899-12-30T22:30:00"/>
    <x v="2"/>
  </r>
  <r>
    <n v="4086"/>
    <x v="5"/>
    <n v="13115271591709"/>
    <x v="1367"/>
    <d v="2022-04-06T23:20:00"/>
    <d v="1899-12-30T00:50:00"/>
    <n v="360.00000003352761"/>
    <s v="UNPLANNED"/>
    <x v="1"/>
    <d v="1899-12-30T22:30:00"/>
    <x v="2"/>
  </r>
  <r>
    <n v="4087"/>
    <x v="5"/>
    <n v="13115271634302"/>
    <x v="1368"/>
    <d v="2022-04-07T02:15:00"/>
    <d v="1899-12-30T01:30:00"/>
    <n v="200"/>
    <s v="UNPLANNED"/>
    <x v="1"/>
    <d v="1899-12-30T00:45:00"/>
    <x v="2"/>
  </r>
  <r>
    <n v="4088"/>
    <x v="14"/>
    <n v="1115270127500"/>
    <x v="1368"/>
    <d v="2022-04-07T02:15:00"/>
    <d v="1899-12-30T01:30:00"/>
    <n v="200"/>
    <s v="UNPLANNED"/>
    <x v="1"/>
    <d v="1899-12-30T00:45:00"/>
    <x v="2"/>
  </r>
  <r>
    <n v="4089"/>
    <x v="5"/>
    <n v="13115271622300"/>
    <x v="1369"/>
    <d v="2022-04-07T13:30:00"/>
    <d v="1899-12-30T04:00:00"/>
    <n v="75.000000001091394"/>
    <s v="UNPLANNED"/>
    <x v="1"/>
    <d v="1899-12-30T09:30:00"/>
    <x v="0"/>
  </r>
  <r>
    <n v="4090"/>
    <x v="2"/>
    <n v="12115271569911"/>
    <x v="1370"/>
    <d v="2022-04-07T13:30:00"/>
    <d v="1899-12-30T02:50:00"/>
    <n v="105.88235294190156"/>
    <s v="UNPLANNED"/>
    <x v="0"/>
    <d v="1899-12-30T10:40:00"/>
    <x v="0"/>
  </r>
  <r>
    <n v="4091"/>
    <x v="1"/>
    <n v="6115271703600"/>
    <x v="1370"/>
    <d v="2022-04-07T13:30:00"/>
    <d v="1899-12-30T02:50:00"/>
    <n v="105.88235294190156"/>
    <s v="UNPLANNED"/>
    <x v="0"/>
    <d v="1899-12-30T10:40:00"/>
    <x v="0"/>
  </r>
  <r>
    <n v="4092"/>
    <x v="13"/>
    <n v="3115270447600"/>
    <x v="1369"/>
    <d v="2022-04-07T13:30:00"/>
    <d v="1899-12-30T04:00:00"/>
    <n v="75.000000001091394"/>
    <s v="UNPLANNED"/>
    <x v="1"/>
    <d v="1899-12-30T09:30:00"/>
    <x v="0"/>
  </r>
  <r>
    <n v="4093"/>
    <x v="13"/>
    <n v="3115270386200"/>
    <x v="1369"/>
    <d v="2022-04-07T13:30:00"/>
    <d v="1899-12-30T04:00:00"/>
    <n v="75.000000001091394"/>
    <s v="UNPLANNED"/>
    <x v="0"/>
    <d v="1899-12-30T09:30:00"/>
    <x v="0"/>
  </r>
  <r>
    <n v="4094"/>
    <x v="14"/>
    <n v="1115270139800"/>
    <x v="1370"/>
    <d v="2022-04-07T13:30:00"/>
    <d v="1899-12-30T02:50:00"/>
    <n v="105.88235294190156"/>
    <s v="UNPLANNED"/>
    <x v="1"/>
    <d v="1899-12-30T10:40:00"/>
    <x v="0"/>
  </r>
  <r>
    <n v="4095"/>
    <x v="14"/>
    <n v="1115270052501"/>
    <x v="1370"/>
    <d v="2022-04-07T13:30:00"/>
    <d v="1899-12-30T02:50:00"/>
    <n v="105.88235294190156"/>
    <s v="UNPLANNED"/>
    <x v="0"/>
    <d v="1899-12-30T10:40:00"/>
    <x v="0"/>
  </r>
  <r>
    <n v="4096"/>
    <x v="12"/>
    <n v="14115271673113"/>
    <x v="1371"/>
    <d v="2022-04-07T18:45:00"/>
    <d v="1899-12-30T02:41:00"/>
    <n v="111.80124223537813"/>
    <s v="UNPLANNED"/>
    <x v="1"/>
    <d v="1899-12-30T16:04:00"/>
    <x v="1"/>
  </r>
  <r>
    <n v="4097"/>
    <x v="11"/>
    <n v="10115271426103"/>
    <x v="1372"/>
    <d v="2022-04-07T18:45:00"/>
    <d v="1899-12-30T03:20:00"/>
    <n v="89.999999998952262"/>
    <s v="UNPLANNED"/>
    <x v="1"/>
    <d v="1899-12-30T15:25:00"/>
    <x v="1"/>
  </r>
  <r>
    <n v="4098"/>
    <x v="7"/>
    <n v="7115271783718"/>
    <x v="1373"/>
    <d v="2022-04-07T18:45:00"/>
    <d v="1899-12-30T00:55:00"/>
    <n v="327.27272726580009"/>
    <s v="UNPLANNED"/>
    <x v="1"/>
    <d v="1899-12-30T17:50:00"/>
    <x v="1"/>
  </r>
  <r>
    <n v="4099"/>
    <x v="7"/>
    <n v="7115271769604"/>
    <x v="1374"/>
    <d v="2022-04-07T18:45:00"/>
    <d v="1899-12-30T01:15:00"/>
    <n v="239.99999998882413"/>
    <s v="UNPLANNED"/>
    <x v="1"/>
    <d v="1899-12-30T17:30:00"/>
    <x v="1"/>
  </r>
  <r>
    <n v="4100"/>
    <x v="9"/>
    <n v="2115270297501"/>
    <x v="1372"/>
    <d v="2022-04-07T18:45:00"/>
    <d v="1899-12-30T03:20:00"/>
    <n v="89.999999998952262"/>
    <s v="UNPLANNED"/>
    <x v="1"/>
    <d v="1899-12-30T15:25:00"/>
    <x v="1"/>
  </r>
  <r>
    <n v="4101"/>
    <x v="9"/>
    <n v="2115270274500"/>
    <x v="1375"/>
    <d v="2022-04-08T00:20:00"/>
    <d v="1899-12-30T00:35:00"/>
    <n v="514.28571430282022"/>
    <s v="UNPLANNED"/>
    <x v="2"/>
    <d v="1899-12-30T23:45:00"/>
    <x v="2"/>
  </r>
  <r>
    <n v="4102"/>
    <x v="7"/>
    <n v="7115271777900"/>
    <x v="1376"/>
    <d v="2022-04-08T01:10:00"/>
    <d v="1899-12-30T00:35:00"/>
    <n v="514.28571430282022"/>
    <s v="UNPLANNED"/>
    <x v="1"/>
    <d v="1899-12-30T00:35:00"/>
    <x v="2"/>
  </r>
  <r>
    <n v="4103"/>
    <x v="1"/>
    <n v="6115271731602"/>
    <x v="1377"/>
    <d v="2022-04-08T03:20:00"/>
    <d v="1899-12-30T01:05:00"/>
    <n v="276.9230769131575"/>
    <s v="UNPLANNED"/>
    <x v="1"/>
    <d v="1899-12-30T02:15:00"/>
    <x v="2"/>
  </r>
  <r>
    <n v="4104"/>
    <x v="10"/>
    <n v="11115271552302"/>
    <x v="1378"/>
    <d v="2022-04-08T09:30:00"/>
    <d v="1899-12-30T01:25:00"/>
    <n v="211.7647058707517"/>
    <s v="UNPLANNED"/>
    <x v="0"/>
    <d v="1899-12-30T08:05:00"/>
    <x v="0"/>
  </r>
  <r>
    <n v="4105"/>
    <x v="3"/>
    <n v="8115271809902"/>
    <x v="1378"/>
    <d v="2022-04-08T09:30:00"/>
    <d v="1899-12-30T01:25:00"/>
    <n v="211.7647058707517"/>
    <s v="UNPLANNED"/>
    <x v="1"/>
    <d v="1899-12-30T08:05:00"/>
    <x v="0"/>
  </r>
  <r>
    <n v="4106"/>
    <x v="0"/>
    <n v="5115271673200"/>
    <x v="1378"/>
    <d v="2022-04-08T09:30:00"/>
    <d v="1899-12-30T01:25:00"/>
    <n v="211.7647058707517"/>
    <s v="UNPLANNED"/>
    <x v="1"/>
    <d v="1899-12-30T08:05:00"/>
    <x v="0"/>
  </r>
  <r>
    <n v="4107"/>
    <x v="5"/>
    <n v="13115271635904"/>
    <x v="1379"/>
    <d v="2022-04-08T14:45:00"/>
    <d v="1899-12-30T03:00:00"/>
    <n v="100"/>
    <s v="UNPLANNED"/>
    <x v="0"/>
    <d v="1899-12-30T11:45:00"/>
    <x v="0"/>
  </r>
  <r>
    <n v="4108"/>
    <x v="10"/>
    <n v="11115271525500"/>
    <x v="1380"/>
    <d v="2022-04-08T14:45:00"/>
    <d v="1899-12-30T03:45:00"/>
    <n v="80"/>
    <s v="UNPLANNED"/>
    <x v="0"/>
    <d v="1899-12-30T11:00:00"/>
    <x v="0"/>
  </r>
  <r>
    <n v="4109"/>
    <x v="7"/>
    <n v="7115271757000"/>
    <x v="1381"/>
    <d v="2022-04-08T14:45:00"/>
    <d v="1899-12-30T01:45:00"/>
    <n v="171.42857141716746"/>
    <s v="UNPLANNED"/>
    <x v="1"/>
    <d v="1899-12-30T13:00:00"/>
    <x v="0"/>
  </r>
  <r>
    <n v="4110"/>
    <x v="1"/>
    <n v="6115271703600"/>
    <x v="1381"/>
    <d v="2022-04-08T14:45:00"/>
    <d v="1899-12-30T01:45:00"/>
    <n v="171.42857141716746"/>
    <s v="UNPLANNED"/>
    <x v="0"/>
    <d v="1899-12-30T13:00:00"/>
    <x v="0"/>
  </r>
  <r>
    <n v="4111"/>
    <x v="0"/>
    <n v="5115271259502"/>
    <x v="1379"/>
    <d v="2022-04-08T14:45:00"/>
    <d v="1899-12-30T03:00:00"/>
    <n v="100"/>
    <s v="UNPLANNED"/>
    <x v="0"/>
    <d v="1899-12-30T11:45:00"/>
    <x v="0"/>
  </r>
  <r>
    <n v="4112"/>
    <x v="14"/>
    <n v="1115270088200"/>
    <x v="1382"/>
    <d v="2022-04-08T18:40:00"/>
    <d v="1899-12-30T01:35:00"/>
    <n v="189.47368419891703"/>
    <s v="UNPLANNED"/>
    <x v="0"/>
    <d v="1899-12-30T17:05:00"/>
    <x v="1"/>
  </r>
  <r>
    <n v="4113"/>
    <x v="14"/>
    <n v="1115270054502"/>
    <x v="1382"/>
    <d v="2022-04-08T18:40:00"/>
    <d v="1899-12-30T01:35:00"/>
    <n v="189.47368419891703"/>
    <s v="UNPLANNED"/>
    <x v="1"/>
    <d v="1899-12-30T17:05:00"/>
    <x v="1"/>
  </r>
  <r>
    <n v="4114"/>
    <x v="5"/>
    <n v="13115271591705"/>
    <x v="1383"/>
    <d v="2022-04-09T02:15:00"/>
    <d v="1899-12-30T01:05:00"/>
    <n v="276.9230769131575"/>
    <s v="UNPLANNED"/>
    <x v="6"/>
    <d v="1899-12-30T01:10:00"/>
    <x v="2"/>
  </r>
  <r>
    <n v="4115"/>
    <x v="10"/>
    <n v="11115271531105"/>
    <x v="1384"/>
    <d v="2022-04-09T03:30:00"/>
    <d v="1899-12-30T00:50:00"/>
    <n v="359.99999995809048"/>
    <s v="UNPLANNED"/>
    <x v="1"/>
    <d v="1899-12-30T02:40:00"/>
    <x v="2"/>
  </r>
  <r>
    <n v="4116"/>
    <x v="2"/>
    <n v="12115271560309"/>
    <x v="1385"/>
    <d v="2022-04-09T13:10:00"/>
    <d v="1899-12-30T03:10:00"/>
    <n v="94.736842104682694"/>
    <s v="UNPLANNED"/>
    <x v="1"/>
    <d v="1899-12-30T10:00:00"/>
    <x v="0"/>
  </r>
  <r>
    <n v="4117"/>
    <x v="11"/>
    <n v="10115270971901"/>
    <x v="1386"/>
    <d v="2022-04-09T13:10:00"/>
    <d v="1899-12-30T01:25:00"/>
    <n v="211.76470589685451"/>
    <s v="UNPLANNED"/>
    <x v="0"/>
    <d v="1899-12-30T11:45:00"/>
    <x v="0"/>
  </r>
  <r>
    <n v="4118"/>
    <x v="7"/>
    <n v="7115271766018"/>
    <x v="1386"/>
    <d v="2022-04-09T13:10:00"/>
    <d v="1899-12-30T01:25:00"/>
    <n v="211.76470589685451"/>
    <s v="UNPLANNED"/>
    <x v="0"/>
    <d v="1899-12-30T11:45:00"/>
    <x v="0"/>
  </r>
  <r>
    <n v="4119"/>
    <x v="14"/>
    <n v="1115270143500"/>
    <x v="1387"/>
    <d v="2022-04-09T13:45:00"/>
    <d v="1899-12-30T03:00:00"/>
    <n v="100"/>
    <s v="UNPLANNED"/>
    <x v="1"/>
    <d v="1899-12-30T10:45:00"/>
    <x v="0"/>
  </r>
  <r>
    <n v="4120"/>
    <x v="12"/>
    <n v="14115271681309"/>
    <x v="1388"/>
    <d v="2022-04-09T21:55:00"/>
    <d v="1899-12-30T02:56:00"/>
    <n v="102.27272727421554"/>
    <s v="UNPLANNED"/>
    <x v="6"/>
    <d v="1899-12-30T18:59:00"/>
    <x v="1"/>
  </r>
  <r>
    <n v="4121"/>
    <x v="2"/>
    <n v="12115271560148"/>
    <x v="1388"/>
    <d v="2022-04-09T21:55:00"/>
    <d v="1899-12-30T02:56:00"/>
    <n v="102.27272727421554"/>
    <s v="UNPLANNED"/>
    <x v="1"/>
    <d v="1899-12-30T18:59:00"/>
    <x v="1"/>
  </r>
  <r>
    <n v="4122"/>
    <x v="11"/>
    <n v="10115271432001"/>
    <x v="1389"/>
    <d v="2022-04-09T21:55:00"/>
    <d v="1899-12-30T04:55:00"/>
    <n v="61.016949153023958"/>
    <s v="UNPLANNED"/>
    <x v="1"/>
    <d v="1899-12-30T17:00:00"/>
    <x v="1"/>
  </r>
  <r>
    <n v="4123"/>
    <x v="14"/>
    <n v="1115270122700"/>
    <x v="1390"/>
    <d v="2022-04-09T21:55:00"/>
    <d v="1899-12-30T05:30:00"/>
    <n v="54.545454546031813"/>
    <s v="UNPLANNED"/>
    <x v="1"/>
    <d v="1899-12-30T16:25:00"/>
    <x v="1"/>
  </r>
  <r>
    <n v="4124"/>
    <x v="2"/>
    <n v="12115271571070"/>
    <x v="1391"/>
    <d v="2022-04-10T02:50:00"/>
    <d v="1899-12-30T01:30:00"/>
    <n v="200"/>
    <s v="UNPLANNED"/>
    <x v="1"/>
    <d v="1899-12-30T01:20:00"/>
    <x v="2"/>
  </r>
  <r>
    <n v="4125"/>
    <x v="3"/>
    <n v="8115271820700"/>
    <x v="1392"/>
    <d v="2022-04-10T02:50:00"/>
    <d v="1899-12-30T02:20:00"/>
    <n v="128.57142857570506"/>
    <s v="UNPLANNED"/>
    <x v="6"/>
    <d v="1899-12-30T00:30:00"/>
    <x v="2"/>
  </r>
  <r>
    <n v="4126"/>
    <x v="13"/>
    <n v="3115270366500"/>
    <x v="1393"/>
    <d v="2022-04-10T04:25:00"/>
    <d v="1899-12-30T00:55:00"/>
    <n v="327.27272726580009"/>
    <s v="UNPLANNED"/>
    <x v="1"/>
    <d v="1899-12-30T03:30:00"/>
    <x v="2"/>
  </r>
  <r>
    <n v="4127"/>
    <x v="12"/>
    <n v="14115271672700"/>
    <x v="1394"/>
    <d v="2022-04-10T14:45:00"/>
    <d v="1899-12-30T02:35:00"/>
    <n v="116.1290322563201"/>
    <s v="UNPLANNED"/>
    <x v="1"/>
    <d v="1899-12-30T12:10:00"/>
    <x v="0"/>
  </r>
  <r>
    <n v="4128"/>
    <x v="5"/>
    <n v="13115271613800"/>
    <x v="1395"/>
    <d v="2022-04-10T14:45:00"/>
    <d v="1899-12-30T05:00:00"/>
    <n v="59.999999999301515"/>
    <s v="UNPLANNED"/>
    <x v="1"/>
    <d v="1899-12-30T09:45:00"/>
    <x v="0"/>
  </r>
  <r>
    <n v="4129"/>
    <x v="2"/>
    <n v="12115271561615"/>
    <x v="1394"/>
    <d v="2022-04-10T14:45:00"/>
    <d v="1899-12-30T02:35:00"/>
    <n v="116.1290322563201"/>
    <s v="UNPLANNED"/>
    <x v="0"/>
    <d v="1899-12-30T12:10:00"/>
    <x v="0"/>
  </r>
  <r>
    <n v="4130"/>
    <x v="7"/>
    <n v="7115271793804"/>
    <x v="1394"/>
    <d v="2022-04-10T14:45:00"/>
    <d v="1899-12-30T02:35:00"/>
    <n v="116.1290322563201"/>
    <s v="UNPLANNED"/>
    <x v="1"/>
    <d v="1899-12-30T12:10:00"/>
    <x v="0"/>
  </r>
  <r>
    <n v="4131"/>
    <x v="7"/>
    <n v="7115271792504"/>
    <x v="1396"/>
    <d v="2022-04-10T14:45:00"/>
    <d v="1899-12-30T01:30:00"/>
    <n v="200"/>
    <s v="UNPLANNED"/>
    <x v="0"/>
    <d v="1899-12-30T13:15:00"/>
    <x v="0"/>
  </r>
  <r>
    <n v="4132"/>
    <x v="7"/>
    <n v="7115271783101"/>
    <x v="1396"/>
    <d v="2022-04-10T14:45:00"/>
    <d v="1899-12-30T01:30:00"/>
    <n v="200"/>
    <s v="UNPLANNED"/>
    <x v="0"/>
    <d v="1899-12-30T13:15:00"/>
    <x v="0"/>
  </r>
  <r>
    <n v="4133"/>
    <x v="9"/>
    <n v="2115270261500"/>
    <x v="1395"/>
    <d v="2022-04-10T14:45:00"/>
    <d v="1899-12-30T05:00:00"/>
    <n v="59.999999999301515"/>
    <s v="UNPLANNED"/>
    <x v="1"/>
    <d v="1899-12-30T09:45:00"/>
    <x v="0"/>
  </r>
  <r>
    <n v="4134"/>
    <x v="9"/>
    <n v="2115270199000"/>
    <x v="1395"/>
    <d v="2022-04-10T14:45:00"/>
    <d v="1899-12-30T05:00:00"/>
    <n v="59.999999999301515"/>
    <s v="UNPLANNED"/>
    <x v="2"/>
    <d v="1899-12-30T09:45:00"/>
    <x v="0"/>
  </r>
  <r>
    <n v="4135"/>
    <x v="9"/>
    <n v="2115270195800"/>
    <x v="1395"/>
    <d v="2022-04-10T14:45:00"/>
    <d v="1899-12-30T05:00:00"/>
    <n v="59.999999999301515"/>
    <s v="UNPLANNED"/>
    <x v="1"/>
    <d v="1899-12-30T09:45:00"/>
    <x v="0"/>
  </r>
  <r>
    <n v="4136"/>
    <x v="6"/>
    <n v="9115271909400"/>
    <x v="1397"/>
    <d v="2022-04-10T22:30:00"/>
    <d v="1899-12-30T01:00:00"/>
    <n v="300.0000000174623"/>
    <s v="UNPLANNED"/>
    <x v="0"/>
    <d v="1899-12-30T21:30:00"/>
    <x v="1"/>
  </r>
  <r>
    <n v="4137"/>
    <x v="0"/>
    <n v="5115271258100"/>
    <x v="1398"/>
    <d v="2022-04-11T01:30:00"/>
    <d v="1899-12-30T00:45:00"/>
    <n v="400"/>
    <s v="UNPLANNED"/>
    <x v="0"/>
    <d v="1899-12-30T00:45:00"/>
    <x v="2"/>
  </r>
  <r>
    <n v="4138"/>
    <x v="12"/>
    <n v="14115271711501"/>
    <x v="1399"/>
    <d v="2022-04-11T13:55:00"/>
    <d v="1899-12-30T03:10:00"/>
    <n v="94.736842104682694"/>
    <s v="UNPLANNED"/>
    <x v="1"/>
    <d v="1899-12-30T10:45:00"/>
    <x v="0"/>
  </r>
  <r>
    <n v="4139"/>
    <x v="12"/>
    <n v="14115271672600"/>
    <x v="1400"/>
    <d v="2022-04-11T13:55:00"/>
    <d v="1899-12-30T04:27:00"/>
    <n v="67.415730336902286"/>
    <s v="UNPLANNED"/>
    <x v="1"/>
    <d v="1899-12-30T09:28:00"/>
    <x v="0"/>
  </r>
  <r>
    <n v="4140"/>
    <x v="5"/>
    <n v="13115271591800"/>
    <x v="1401"/>
    <d v="2022-04-11T13:55:00"/>
    <d v="1899-12-30T00:40:00"/>
    <n v="450.00000006548362"/>
    <s v="UNPLANNED"/>
    <x v="0"/>
    <d v="1899-12-30T13:15:00"/>
    <x v="0"/>
  </r>
  <r>
    <n v="4141"/>
    <x v="10"/>
    <n v="11115271546201"/>
    <x v="1402"/>
    <d v="2022-04-11T13:55:00"/>
    <d v="1899-12-30T01:55:00"/>
    <n v="156.52173913360375"/>
    <s v="UNPLANNED"/>
    <x v="0"/>
    <d v="1899-12-30T12:00:00"/>
    <x v="0"/>
  </r>
  <r>
    <n v="4142"/>
    <x v="11"/>
    <n v="10115271962600"/>
    <x v="1402"/>
    <d v="2022-04-11T13:55:00"/>
    <d v="1899-12-30T01:55:00"/>
    <n v="156.52173913360375"/>
    <s v="UNPLANNED"/>
    <x v="0"/>
    <d v="1899-12-30T12:00:00"/>
    <x v="0"/>
  </r>
  <r>
    <n v="4143"/>
    <x v="7"/>
    <n v="7115271769515"/>
    <x v="1402"/>
    <d v="2022-04-11T13:55:00"/>
    <d v="1899-12-30T01:55:00"/>
    <n v="156.52173913360375"/>
    <s v="UNPLANNED"/>
    <x v="0"/>
    <d v="1899-12-30T12:00:00"/>
    <x v="0"/>
  </r>
  <r>
    <n v="4144"/>
    <x v="9"/>
    <n v="2115270194600"/>
    <x v="1403"/>
    <d v="2022-04-11T13:55:00"/>
    <d v="1899-12-30T02:40:00"/>
    <n v="112.50000000163709"/>
    <s v="UNPLANNED"/>
    <x v="0"/>
    <d v="1899-12-30T11:15:00"/>
    <x v="0"/>
  </r>
  <r>
    <n v="4145"/>
    <x v="11"/>
    <n v="10115271960200"/>
    <x v="1404"/>
    <d v="2022-04-11T22:15:00"/>
    <d v="1899-12-30T01:54:00"/>
    <n v="157.89473683533316"/>
    <s v="UNPLANNED"/>
    <x v="0"/>
    <d v="1899-12-30T20:21:00"/>
    <x v="1"/>
  </r>
  <r>
    <n v="4146"/>
    <x v="0"/>
    <n v="5115271259502"/>
    <x v="1404"/>
    <d v="2022-04-11T22:15:00"/>
    <d v="1899-12-30T01:54:00"/>
    <n v="157.89473683533316"/>
    <s v="UNPLANNED"/>
    <x v="0"/>
    <d v="1899-12-30T20:21:00"/>
    <x v="1"/>
  </r>
  <r>
    <n v="4147"/>
    <x v="8"/>
    <n v="4115270826700"/>
    <x v="1404"/>
    <d v="2022-04-11T22:15:00"/>
    <d v="1899-12-30T01:54:00"/>
    <n v="157.89473683533316"/>
    <s v="UNPLANNED"/>
    <x v="6"/>
    <d v="1899-12-30T20:21:00"/>
    <x v="1"/>
  </r>
  <r>
    <n v="4148"/>
    <x v="13"/>
    <n v="3115270340700"/>
    <x v="1404"/>
    <d v="2022-04-11T22:15:00"/>
    <d v="1899-12-30T01:54:00"/>
    <n v="157.89473683533316"/>
    <s v="UNPLANNED"/>
    <x v="0"/>
    <d v="1899-12-30T20:21:00"/>
    <x v="1"/>
  </r>
  <r>
    <n v="4149"/>
    <x v="7"/>
    <n v="7115271769701"/>
    <x v="1405"/>
    <d v="2022-04-12T00:30:00"/>
    <d v="1899-12-30T00:29:59"/>
    <n v="600.3335186295368"/>
    <s v="UNPLANNED"/>
    <x v="1"/>
    <d v="1899-12-30T00:00:01"/>
    <x v="2"/>
  </r>
  <r>
    <n v="4150"/>
    <x v="12"/>
    <n v="14115271693305"/>
    <x v="1406"/>
    <d v="2022-04-12T02:30:00"/>
    <d v="1899-12-30T01:15:00"/>
    <n v="240.00000002235174"/>
    <s v="UNPLANNED"/>
    <x v="1"/>
    <d v="1899-12-30T01:15:00"/>
    <x v="2"/>
  </r>
  <r>
    <n v="4151"/>
    <x v="13"/>
    <n v="3115270350300"/>
    <x v="1406"/>
    <d v="2022-04-12T02:30:00"/>
    <d v="1899-12-30T01:15:00"/>
    <n v="240.00000002235174"/>
    <s v="UNPLANNED"/>
    <x v="1"/>
    <d v="1899-12-30T01:15:00"/>
    <x v="2"/>
  </r>
  <r>
    <n v="4152"/>
    <x v="9"/>
    <n v="2115270185100"/>
    <x v="1407"/>
    <d v="2022-04-12T12:10:00"/>
    <d v="1899-12-30T01:20:00"/>
    <n v="225.00000000327418"/>
    <s v="UNPLANNED"/>
    <x v="1"/>
    <d v="1899-12-30T10:50:00"/>
    <x v="0"/>
  </r>
  <r>
    <n v="4153"/>
    <x v="14"/>
    <n v="1115270109700"/>
    <x v="1408"/>
    <d v="2022-04-12T11:10:00"/>
    <d v="1899-12-30T01:27:00"/>
    <n v="206.89655172247683"/>
    <s v="UNPLANNED"/>
    <x v="0"/>
    <d v="1899-12-30T09:43:00"/>
    <x v="0"/>
  </r>
  <r>
    <n v="4154"/>
    <x v="5"/>
    <n v="13115271591904"/>
    <x v="1409"/>
    <d v="2022-04-12T12:46:00"/>
    <d v="1899-12-30T01:11:00"/>
    <n v="253.52112675723788"/>
    <s v="UNPLANNED"/>
    <x v="0"/>
    <d v="1899-12-30T11:35:00"/>
    <x v="0"/>
  </r>
  <r>
    <n v="4155"/>
    <x v="7"/>
    <n v="7115271778100"/>
    <x v="1410"/>
    <d v="2022-04-12T18:00:00"/>
    <d v="1899-12-30T01:00:00"/>
    <n v="300.0000000174623"/>
    <s v="UNPLANNED"/>
    <x v="0"/>
    <d v="1899-12-30T17:00:00"/>
    <x v="1"/>
  </r>
  <r>
    <n v="4156"/>
    <x v="2"/>
    <n v="12115271566601"/>
    <x v="1411"/>
    <d v="2022-04-12T19:30:00"/>
    <d v="1899-12-30T00:45:00"/>
    <n v="400"/>
    <s v="UNPLANNED"/>
    <x v="0"/>
    <d v="1899-12-30T18:45:00"/>
    <x v="1"/>
  </r>
  <r>
    <n v="4157"/>
    <x v="2"/>
    <n v="12115271560318"/>
    <x v="1412"/>
    <d v="2022-04-12T23:55:00"/>
    <d v="1899-12-30T00:45:00"/>
    <n v="400"/>
    <s v="UNPLANNED"/>
    <x v="0"/>
    <d v="1899-12-30T23:10:00"/>
    <x v="2"/>
  </r>
  <r>
    <n v="4158"/>
    <x v="0"/>
    <n v="5115271682100"/>
    <x v="1413"/>
    <d v="2022-04-13T09:25:00"/>
    <d v="1899-12-30T01:05:00"/>
    <n v="276.9230769131575"/>
    <s v="UNPLANNED"/>
    <x v="0"/>
    <d v="1899-12-30T08:20:00"/>
    <x v="0"/>
  </r>
  <r>
    <n v="4159"/>
    <x v="12"/>
    <n v="14115271672609"/>
    <x v="1414"/>
    <d v="2022-04-13T13:50:00"/>
    <d v="1899-12-30T02:30:00"/>
    <n v="119.99999999441206"/>
    <s v="UNPLANNED"/>
    <x v="1"/>
    <d v="1899-12-30T11:20:00"/>
    <x v="0"/>
  </r>
  <r>
    <n v="4160"/>
    <x v="12"/>
    <n v="14115271672605"/>
    <x v="1415"/>
    <d v="2022-04-13T13:50:00"/>
    <d v="1899-12-30T03:20:00"/>
    <n v="89.999999998952262"/>
    <s v="UNPLANNED"/>
    <x v="0"/>
    <d v="1899-12-30T10:30:00"/>
    <x v="0"/>
  </r>
  <r>
    <n v="4161"/>
    <x v="13"/>
    <n v="3115270365200"/>
    <x v="1416"/>
    <d v="2022-04-13T13:50:00"/>
    <d v="1899-12-30T00:50:00"/>
    <n v="359.99999995809048"/>
    <s v="UNPLANNED"/>
    <x v="0"/>
    <d v="1899-12-30T13:00:00"/>
    <x v="0"/>
  </r>
  <r>
    <n v="4162"/>
    <x v="9"/>
    <n v="2115270291601"/>
    <x v="1415"/>
    <d v="2022-04-13T13:50:00"/>
    <d v="1899-12-30T03:20:00"/>
    <n v="89.999999998952262"/>
    <s v="UNPLANNED"/>
    <x v="0"/>
    <d v="1899-12-30T10:30:00"/>
    <x v="0"/>
  </r>
  <r>
    <n v="4163"/>
    <x v="9"/>
    <n v="2115270263500"/>
    <x v="1414"/>
    <d v="2022-04-13T13:50:00"/>
    <d v="1899-12-30T02:30:00"/>
    <n v="119.99999999441206"/>
    <s v="UNPLANNED"/>
    <x v="0"/>
    <d v="1899-12-30T11:20:00"/>
    <x v="0"/>
  </r>
  <r>
    <n v="4164"/>
    <x v="9"/>
    <n v="2115270221500"/>
    <x v="1417"/>
    <d v="2022-04-13T13:50:00"/>
    <d v="1899-12-30T03:55:00"/>
    <n v="76.595744680471626"/>
    <s v="UNPLANNED"/>
    <x v="0"/>
    <d v="1899-12-30T09:55:00"/>
    <x v="0"/>
  </r>
  <r>
    <n v="4165"/>
    <x v="5"/>
    <n v="13115271600209"/>
    <x v="1418"/>
    <d v="2022-04-13T19:20:00"/>
    <d v="1899-12-30T01:15:00"/>
    <n v="239.99999998882413"/>
    <s v="UNPLANNED"/>
    <x v="0"/>
    <d v="1899-12-30T18:05:00"/>
    <x v="1"/>
  </r>
  <r>
    <n v="4166"/>
    <x v="13"/>
    <n v="3115270421800"/>
    <x v="1418"/>
    <d v="2022-04-13T19:20:00"/>
    <d v="1899-12-30T01:15:00"/>
    <n v="239.99999998882413"/>
    <s v="UNPLANNED"/>
    <x v="1"/>
    <d v="1899-12-30T18:05:00"/>
    <x v="1"/>
  </r>
  <r>
    <n v="4167"/>
    <x v="3"/>
    <n v="8115271825800"/>
    <x v="1419"/>
    <d v="2022-04-13T21:50:00"/>
    <d v="1899-12-30T00:50:00"/>
    <n v="360.00000003352761"/>
    <s v="UNPLANNED"/>
    <x v="0"/>
    <d v="1899-12-30T21:00:00"/>
    <x v="1"/>
  </r>
  <r>
    <n v="4168"/>
    <x v="6"/>
    <n v="9115271934300"/>
    <x v="1420"/>
    <d v="2022-04-14T01:25:00"/>
    <d v="1899-12-30T00:55:00"/>
    <n v="327.27272726580009"/>
    <s v="UNPLANNED"/>
    <x v="0"/>
    <d v="1899-12-30T00:30:00"/>
    <x v="2"/>
  </r>
  <r>
    <n v="4169"/>
    <x v="9"/>
    <n v="2115270168000"/>
    <x v="1421"/>
    <d v="2022-04-14T09:15:00"/>
    <d v="1899-12-30T01:30:00"/>
    <n v="200"/>
    <s v="UNPLANNED"/>
    <x v="2"/>
    <d v="1899-12-30T07:45:00"/>
    <x v="0"/>
  </r>
  <r>
    <n v="4170"/>
    <x v="12"/>
    <n v="14115271673205"/>
    <x v="1422"/>
    <d v="2022-04-14T13:45:00"/>
    <d v="1899-12-30T03:45:00"/>
    <n v="80"/>
    <s v="UNPLANNED"/>
    <x v="0"/>
    <d v="1899-12-30T10:00:00"/>
    <x v="0"/>
  </r>
  <r>
    <n v="4171"/>
    <x v="10"/>
    <n v="11115271481100"/>
    <x v="1422"/>
    <d v="2022-04-14T13:45:00"/>
    <d v="1899-12-30T03:45:00"/>
    <n v="80"/>
    <s v="UNPLANNED"/>
    <x v="0"/>
    <d v="1899-12-30T10:00:00"/>
    <x v="0"/>
  </r>
  <r>
    <n v="4172"/>
    <x v="3"/>
    <n v="8115271820400"/>
    <x v="1422"/>
    <d v="2022-04-14T13:45:00"/>
    <d v="1899-12-30T03:45:00"/>
    <n v="80"/>
    <s v="UNPLANNED"/>
    <x v="1"/>
    <d v="1899-12-30T10:00:00"/>
    <x v="0"/>
  </r>
  <r>
    <n v="4173"/>
    <x v="7"/>
    <n v="7115271767805"/>
    <x v="1422"/>
    <d v="2022-04-14T13:45:00"/>
    <d v="1899-12-30T03:45:00"/>
    <n v="80"/>
    <s v="UNPLANNED"/>
    <x v="0"/>
    <d v="1899-12-30T10:00:00"/>
    <x v="0"/>
  </r>
  <r>
    <n v="4174"/>
    <x v="7"/>
    <n v="7115271787212"/>
    <x v="1423"/>
    <d v="2022-04-14T17:30:00"/>
    <d v="1899-12-30T01:45:00"/>
    <n v="171.42857143427341"/>
    <s v="UNPLANNED"/>
    <x v="0"/>
    <d v="1899-12-30T15:45:00"/>
    <x v="1"/>
  </r>
  <r>
    <n v="4175"/>
    <x v="13"/>
    <n v="3115270410500"/>
    <x v="1423"/>
    <d v="2022-04-14T17:30:00"/>
    <d v="1899-12-30T01:45:00"/>
    <n v="171.42857143427341"/>
    <s v="UNPLANNED"/>
    <x v="0"/>
    <d v="1899-12-30T15:45:00"/>
    <x v="1"/>
  </r>
  <r>
    <n v="4176"/>
    <x v="4"/>
    <n v="15115271755600"/>
    <x v="1424"/>
    <d v="2022-04-14T21:30:00"/>
    <d v="1899-12-30T02:46:00"/>
    <n v="108.43373493534847"/>
    <s v="UNPLANNED"/>
    <x v="2"/>
    <d v="1899-12-30T18:44:00"/>
    <x v="1"/>
  </r>
  <r>
    <n v="4177"/>
    <x v="5"/>
    <n v="13115271602201"/>
    <x v="1424"/>
    <d v="2022-04-14T21:30:00"/>
    <d v="1899-12-30T02:46:00"/>
    <n v="108.43373493534847"/>
    <s v="UNPLANNED"/>
    <x v="1"/>
    <d v="1899-12-30T18:44:00"/>
    <x v="1"/>
  </r>
  <r>
    <n v="4178"/>
    <x v="2"/>
    <n v="12115271560314"/>
    <x v="1424"/>
    <d v="2022-04-14T21:30:00"/>
    <d v="1899-12-30T02:46:00"/>
    <n v="108.43373493534847"/>
    <s v="UNPLANNED"/>
    <x v="0"/>
    <d v="1899-12-30T18:44:00"/>
    <x v="1"/>
  </r>
  <r>
    <n v="4179"/>
    <x v="4"/>
    <n v="15115271778006"/>
    <x v="1425"/>
    <d v="2022-04-14T23:35:00"/>
    <d v="1899-12-30T00:55:00"/>
    <n v="327.27272726580009"/>
    <s v="UNPLANNED"/>
    <x v="1"/>
    <d v="1899-12-30T22:40:00"/>
    <x v="2"/>
  </r>
  <r>
    <n v="4180"/>
    <x v="5"/>
    <n v="13115271600229"/>
    <x v="1426"/>
    <d v="2022-04-15T01:25:00"/>
    <d v="1899-12-30T01:05:00"/>
    <n v="276.9230769131575"/>
    <s v="UNPLANNED"/>
    <x v="0"/>
    <d v="1899-12-30T00:20:00"/>
    <x v="2"/>
  </r>
  <r>
    <n v="4181"/>
    <x v="8"/>
    <n v="4115270828600"/>
    <x v="1427"/>
    <d v="2022-04-15T03:30:00"/>
    <d v="1899-12-30T00:50:00"/>
    <n v="359.99999995809048"/>
    <s v="UNPLANNED"/>
    <x v="0"/>
    <d v="1899-12-30T02:40:00"/>
    <x v="2"/>
  </r>
  <r>
    <n v="4182"/>
    <x v="2"/>
    <n v="12115271572930"/>
    <x v="1428"/>
    <d v="2022-04-15T10:20:00"/>
    <d v="1899-12-30T01:11:00"/>
    <n v="253.52112675723788"/>
    <s v="UNPLANNED"/>
    <x v="0"/>
    <d v="1899-12-30T09:09:00"/>
    <x v="0"/>
  </r>
  <r>
    <n v="4183"/>
    <x v="2"/>
    <n v="12115271566514"/>
    <x v="1429"/>
    <d v="2022-04-15T14:00:00"/>
    <d v="1899-12-30T01:45:00"/>
    <n v="171.42857141716746"/>
    <s v="UNPLANNED"/>
    <x v="0"/>
    <d v="1899-12-30T12:15:00"/>
    <x v="0"/>
  </r>
  <r>
    <n v="4184"/>
    <x v="10"/>
    <n v="11115271552301"/>
    <x v="1429"/>
    <d v="2022-04-15T14:00:00"/>
    <d v="1899-12-30T01:45:00"/>
    <n v="171.42857141716746"/>
    <s v="UNPLANNED"/>
    <x v="0"/>
    <d v="1899-12-30T12:15:00"/>
    <x v="0"/>
  </r>
  <r>
    <n v="4185"/>
    <x v="10"/>
    <n v="11115271512600"/>
    <x v="1430"/>
    <d v="2022-04-15T14:00:00"/>
    <d v="1899-12-30T02:30:00"/>
    <n v="119.99999999441206"/>
    <s v="UNPLANNED"/>
    <x v="0"/>
    <d v="1899-12-30T11:30:00"/>
    <x v="0"/>
  </r>
  <r>
    <n v="4186"/>
    <x v="11"/>
    <n v="10115271478000"/>
    <x v="1430"/>
    <d v="2022-04-15T14:00:00"/>
    <d v="1899-12-30T02:30:00"/>
    <n v="119.99999999441206"/>
    <s v="UNPLANNED"/>
    <x v="0"/>
    <d v="1899-12-30T11:30:00"/>
    <x v="0"/>
  </r>
  <r>
    <n v="4187"/>
    <x v="7"/>
    <n v="7115271793205"/>
    <x v="1429"/>
    <d v="2022-04-15T14:00:00"/>
    <d v="1899-12-30T01:45:00"/>
    <n v="171.42857141716746"/>
    <s v="UNPLANNED"/>
    <x v="0"/>
    <d v="1899-12-30T12:15:00"/>
    <x v="0"/>
  </r>
  <r>
    <n v="4188"/>
    <x v="14"/>
    <n v="1115270093401"/>
    <x v="1431"/>
    <d v="2022-04-15T14:00:00"/>
    <d v="1899-12-30T03:05:00"/>
    <n v="97.297297294235975"/>
    <s v="UNPLANNED"/>
    <x v="2"/>
    <d v="1899-12-30T10:55:00"/>
    <x v="0"/>
  </r>
  <r>
    <n v="4189"/>
    <x v="2"/>
    <n v="12115271567410"/>
    <x v="1432"/>
    <d v="2022-04-15T16:10:00"/>
    <d v="1899-12-30T01:05:00"/>
    <n v="276.9230769131575"/>
    <s v="UNPLANNED"/>
    <x v="1"/>
    <d v="1899-12-30T15:05:00"/>
    <x v="1"/>
  </r>
  <r>
    <n v="4190"/>
    <x v="11"/>
    <n v="10115271467100"/>
    <x v="1433"/>
    <d v="2022-04-15T21:30:00"/>
    <d v="1899-12-30T03:15:00"/>
    <n v="92.307692304385839"/>
    <s v="UNPLANNED"/>
    <x v="2"/>
    <d v="1899-12-30T18:15:00"/>
    <x v="1"/>
  </r>
  <r>
    <n v="4191"/>
    <x v="7"/>
    <n v="7115271783001"/>
    <x v="1433"/>
    <d v="2022-04-15T21:30:00"/>
    <d v="1899-12-30T03:15:00"/>
    <n v="92.307692304385839"/>
    <s v="UNPLANNED"/>
    <x v="1"/>
    <d v="1899-12-30T18:15:00"/>
    <x v="1"/>
  </r>
  <r>
    <n v="4192"/>
    <x v="0"/>
    <n v="5115271259402"/>
    <x v="1433"/>
    <d v="2022-04-15T21:30:00"/>
    <d v="1899-12-30T03:15:00"/>
    <n v="92.307692304385839"/>
    <s v="UNPLANNED"/>
    <x v="0"/>
    <d v="1899-12-30T18:15:00"/>
    <x v="1"/>
  </r>
  <r>
    <n v="4193"/>
    <x v="9"/>
    <n v="2115270267900"/>
    <x v="1433"/>
    <d v="2022-04-15T21:30:00"/>
    <d v="1899-12-30T03:15:00"/>
    <n v="92.307692304385839"/>
    <s v="UNPLANNED"/>
    <x v="0"/>
    <d v="1899-12-30T18:15:00"/>
    <x v="1"/>
  </r>
  <r>
    <n v="4194"/>
    <x v="14"/>
    <n v="1115270062301"/>
    <x v="1433"/>
    <d v="2022-04-15T21:30:00"/>
    <d v="1899-12-30T03:15:00"/>
    <n v="92.307692304385839"/>
    <s v="UNPLANNED"/>
    <x v="0"/>
    <d v="1899-12-30T18:15:00"/>
    <x v="1"/>
  </r>
  <r>
    <n v="4195"/>
    <x v="11"/>
    <n v="10115271478000"/>
    <x v="1434"/>
    <d v="2022-04-16T05:20:00"/>
    <d v="1899-12-30T06:55:00"/>
    <n v="43.373493976876979"/>
    <s v="UNPLANNED"/>
    <x v="0"/>
    <d v="1899-12-30T22:25:00"/>
    <x v="2"/>
  </r>
  <r>
    <n v="4196"/>
    <x v="7"/>
    <n v="7115271783301"/>
    <x v="1434"/>
    <d v="2022-04-16T05:20:00"/>
    <d v="1899-12-30T06:55:00"/>
    <n v="43.373493976876979"/>
    <s v="UNPLANNED"/>
    <x v="3"/>
    <d v="1899-12-30T22:25:00"/>
    <x v="2"/>
  </r>
  <r>
    <n v="4197"/>
    <x v="7"/>
    <n v="7115271782201"/>
    <x v="1434"/>
    <d v="2022-04-16T05:20:00"/>
    <d v="1899-12-30T06:55:00"/>
    <n v="43.373493976876979"/>
    <s v="UNPLANNED"/>
    <x v="0"/>
    <d v="1899-12-30T22:25:00"/>
    <x v="2"/>
  </r>
  <r>
    <n v="4198"/>
    <x v="14"/>
    <n v="1115270062301"/>
    <x v="1434"/>
    <d v="2022-04-16T05:20:00"/>
    <d v="1899-12-30T06:55:00"/>
    <n v="43.373493976876979"/>
    <s v="UNPLANNED"/>
    <x v="0"/>
    <d v="1899-12-30T22:25:00"/>
    <x v="2"/>
  </r>
  <r>
    <n v="4199"/>
    <x v="16"/>
    <n v="27115270363104"/>
    <x v="1435"/>
    <d v="2022-04-16T14:30:00"/>
    <d v="1899-12-30T03:00:00"/>
    <n v="100"/>
    <s v="UNPLANNED"/>
    <x v="1"/>
    <d v="1899-12-30T11:30:00"/>
    <x v="0"/>
  </r>
  <r>
    <n v="4200"/>
    <x v="12"/>
    <n v="14115271730619"/>
    <x v="1435"/>
    <d v="2022-04-16T14:30:00"/>
    <d v="1899-12-30T03:00:00"/>
    <n v="100"/>
    <s v="UNPLANNED"/>
    <x v="2"/>
    <d v="1899-12-30T11:30:00"/>
    <x v="0"/>
  </r>
  <r>
    <n v="4201"/>
    <x v="12"/>
    <n v="14115271717311"/>
    <x v="1436"/>
    <d v="2022-04-16T14:30:00"/>
    <d v="1899-12-30T06:40:00"/>
    <n v="45.000000000654836"/>
    <s v="UNPLANNED"/>
    <x v="0"/>
    <d v="1899-12-30T07:50:00"/>
    <x v="0"/>
  </r>
  <r>
    <n v="4202"/>
    <x v="10"/>
    <n v="11115271507100"/>
    <x v="1437"/>
    <d v="2022-04-16T14:30:00"/>
    <d v="1899-12-30T04:15:00"/>
    <n v="70.588235296051195"/>
    <s v="UNPLANNED"/>
    <x v="0"/>
    <d v="1899-12-30T10:15:00"/>
    <x v="0"/>
  </r>
  <r>
    <n v="4203"/>
    <x v="6"/>
    <n v="9115271942200"/>
    <x v="1438"/>
    <d v="2022-04-16T14:30:00"/>
    <d v="1899-12-30T03:45:00"/>
    <n v="80"/>
    <s v="UNPLANNED"/>
    <x v="0"/>
    <d v="1899-12-30T10:45:00"/>
    <x v="0"/>
  </r>
  <r>
    <n v="4204"/>
    <x v="3"/>
    <n v="8115271821700"/>
    <x v="1439"/>
    <d v="2022-04-16T14:30:00"/>
    <d v="1899-12-30T01:45:00"/>
    <n v="171.42857143427341"/>
    <s v="UNPLANNED"/>
    <x v="2"/>
    <d v="1899-12-30T12:45:00"/>
    <x v="0"/>
  </r>
  <r>
    <n v="4205"/>
    <x v="7"/>
    <n v="7115271768201"/>
    <x v="1439"/>
    <d v="2022-04-16T14:30:00"/>
    <d v="1899-12-30T01:45:00"/>
    <n v="171.42857143427341"/>
    <s v="UNPLANNED"/>
    <x v="1"/>
    <d v="1899-12-30T12:45:00"/>
    <x v="0"/>
  </r>
  <r>
    <n v="4206"/>
    <x v="1"/>
    <n v="6115271703400"/>
    <x v="1440"/>
    <d v="2022-04-16T14:30:00"/>
    <d v="1899-12-30T02:30:00"/>
    <n v="120.00000000279397"/>
    <s v="UNPLANNED"/>
    <x v="1"/>
    <d v="1899-12-30T12:00:00"/>
    <x v="0"/>
  </r>
  <r>
    <n v="4207"/>
    <x v="0"/>
    <n v="5115271689501"/>
    <x v="1441"/>
    <d v="2022-04-16T14:30:00"/>
    <d v="1899-12-30T03:05:00"/>
    <n v="97.297297299746361"/>
    <s v="UNPLANNED"/>
    <x v="1"/>
    <d v="1899-12-30T11:25:00"/>
    <x v="0"/>
  </r>
  <r>
    <n v="4208"/>
    <x v="0"/>
    <n v="5115271680213"/>
    <x v="1436"/>
    <d v="2022-04-16T14:30:00"/>
    <d v="1899-12-30T06:40:00"/>
    <n v="45.000000000654836"/>
    <s v="UNPLANNED"/>
    <x v="0"/>
    <d v="1899-12-30T07:50:00"/>
    <x v="0"/>
  </r>
  <r>
    <n v="4209"/>
    <x v="0"/>
    <n v="5115271250700"/>
    <x v="1437"/>
    <d v="2022-04-16T14:30:00"/>
    <d v="1899-12-30T04:15:00"/>
    <n v="70.588235296051195"/>
    <s v="UNPLANNED"/>
    <x v="0"/>
    <d v="1899-12-30T10:15:00"/>
    <x v="0"/>
  </r>
  <r>
    <n v="4210"/>
    <x v="8"/>
    <n v="4115270842600"/>
    <x v="1435"/>
    <d v="2022-04-16T14:30:00"/>
    <d v="1899-12-30T03:00:00"/>
    <n v="100"/>
    <s v="UNPLANNED"/>
    <x v="0"/>
    <d v="1899-12-30T11:30:00"/>
    <x v="0"/>
  </r>
  <r>
    <n v="4211"/>
    <x v="13"/>
    <n v="3115270392300"/>
    <x v="1442"/>
    <d v="2022-04-16T14:30:00"/>
    <d v="1899-12-30T03:30:00"/>
    <n v="85.714285717136704"/>
    <s v="UNPLANNED"/>
    <x v="0"/>
    <d v="1899-12-30T11:00:00"/>
    <x v="0"/>
  </r>
  <r>
    <n v="4212"/>
    <x v="13"/>
    <n v="3115270341005"/>
    <x v="1443"/>
    <d v="2022-04-16T14:30:00"/>
    <d v="1899-12-30T07:15:00"/>
    <n v="41.37931034549203"/>
    <s v="UNPLANNED"/>
    <x v="3"/>
    <d v="1899-12-30T07:15:00"/>
    <x v="0"/>
  </r>
  <r>
    <n v="4213"/>
    <x v="13"/>
    <n v="3115270324200"/>
    <x v="1438"/>
    <d v="2022-04-16T14:30:00"/>
    <d v="1899-12-30T03:45:00"/>
    <n v="80"/>
    <s v="UNPLANNED"/>
    <x v="0"/>
    <d v="1899-12-30T10:45:00"/>
    <x v="0"/>
  </r>
  <r>
    <n v="4214"/>
    <x v="9"/>
    <n v="2115270267900"/>
    <x v="1443"/>
    <d v="2022-04-16T14:30:00"/>
    <d v="1899-12-30T07:15:00"/>
    <n v="41.37931034549203"/>
    <s v="UNPLANNED"/>
    <x v="1"/>
    <d v="1899-12-30T07:15:00"/>
    <x v="0"/>
  </r>
  <r>
    <n v="4215"/>
    <x v="9"/>
    <n v="2115270263500"/>
    <x v="1439"/>
    <d v="2022-04-16T14:30:00"/>
    <d v="1899-12-30T01:45:00"/>
    <n v="171.42857143427341"/>
    <s v="UNPLANNED"/>
    <x v="1"/>
    <d v="1899-12-30T12:45:00"/>
    <x v="0"/>
  </r>
  <r>
    <n v="4216"/>
    <x v="9"/>
    <n v="2115270198500"/>
    <x v="1439"/>
    <d v="2022-04-16T14:30:00"/>
    <d v="1899-12-30T01:45:00"/>
    <n v="171.42857143427341"/>
    <s v="UNPLANNED"/>
    <x v="6"/>
    <d v="1899-12-30T12:45:00"/>
    <x v="0"/>
  </r>
  <r>
    <n v="4217"/>
    <x v="14"/>
    <n v="1115270067900"/>
    <x v="1439"/>
    <d v="2022-04-16T14:30:00"/>
    <d v="1899-12-30T01:45:00"/>
    <n v="171.42857143427341"/>
    <s v="UNPLANNED"/>
    <x v="2"/>
    <d v="1899-12-30T12:45:00"/>
    <x v="0"/>
  </r>
  <r>
    <n v="4218"/>
    <x v="14"/>
    <n v="1115270062301"/>
    <x v="1442"/>
    <d v="2022-04-16T14:30:00"/>
    <d v="1899-12-30T03:30:00"/>
    <n v="85.714285717136704"/>
    <s v="UNPLANNED"/>
    <x v="0"/>
    <d v="1899-12-30T11:00:00"/>
    <x v="0"/>
  </r>
  <r>
    <n v="4219"/>
    <x v="12"/>
    <n v="14115271672605"/>
    <x v="1444"/>
    <d v="2022-04-16T22:00:00"/>
    <d v="1899-12-30T07:00:00"/>
    <n v="42.857142857499234"/>
    <s v="UNPLANNED"/>
    <x v="2"/>
    <d v="1899-12-30T15:00:00"/>
    <x v="1"/>
  </r>
  <r>
    <n v="4220"/>
    <x v="5"/>
    <n v="13115271612262"/>
    <x v="1445"/>
    <d v="2022-04-16T22:00:00"/>
    <d v="1899-12-30T04:00:00"/>
    <n v="75.000000001091394"/>
    <s v="UNPLANNED"/>
    <x v="0"/>
    <d v="1899-12-30T18:00:00"/>
    <x v="1"/>
  </r>
  <r>
    <n v="4221"/>
    <x v="5"/>
    <n v="13115271591300"/>
    <x v="1445"/>
    <d v="2022-04-16T22:00:00"/>
    <d v="1899-12-30T04:00:00"/>
    <n v="75.000000001091394"/>
    <s v="UNPLANNED"/>
    <x v="1"/>
    <d v="1899-12-30T18:00:00"/>
    <x v="1"/>
  </r>
  <r>
    <n v="4222"/>
    <x v="2"/>
    <n v="12115271580200"/>
    <x v="1444"/>
    <d v="2022-04-16T22:00:00"/>
    <d v="1899-12-30T07:00:00"/>
    <n v="42.857142857499234"/>
    <s v="UNPLANNED"/>
    <x v="1"/>
    <d v="1899-12-30T15:00:00"/>
    <x v="1"/>
  </r>
  <r>
    <n v="4223"/>
    <x v="2"/>
    <n v="12115271579807"/>
    <x v="1444"/>
    <d v="2022-04-16T22:00:00"/>
    <d v="1899-12-30T07:00:00"/>
    <n v="42.857142857499234"/>
    <s v="UNPLANNED"/>
    <x v="0"/>
    <d v="1899-12-30T15:00:00"/>
    <x v="1"/>
  </r>
  <r>
    <n v="4224"/>
    <x v="2"/>
    <n v="12115271573202"/>
    <x v="1445"/>
    <d v="2022-04-16T22:00:00"/>
    <d v="1899-12-30T04:00:00"/>
    <n v="75.000000001091394"/>
    <s v="UNPLANNED"/>
    <x v="1"/>
    <d v="1899-12-30T18:00:00"/>
    <x v="1"/>
  </r>
  <r>
    <n v="4225"/>
    <x v="11"/>
    <n v="10115271453806"/>
    <x v="1444"/>
    <d v="2022-04-16T22:00:00"/>
    <d v="1899-12-30T07:00:00"/>
    <n v="42.857142857499234"/>
    <s v="UNPLANNED"/>
    <x v="2"/>
    <d v="1899-12-30T15:00:00"/>
    <x v="1"/>
  </r>
  <r>
    <n v="4226"/>
    <x v="7"/>
    <n v="7115271783716"/>
    <x v="1444"/>
    <d v="2022-04-16T22:00:00"/>
    <d v="1899-12-30T07:00:00"/>
    <n v="42.857142857499234"/>
    <s v="UNPLANNED"/>
    <x v="0"/>
    <d v="1899-12-30T15:00:00"/>
    <x v="1"/>
  </r>
  <r>
    <n v="4227"/>
    <x v="7"/>
    <n v="7115271757102"/>
    <x v="1445"/>
    <d v="2022-04-16T22:00:00"/>
    <d v="1899-12-30T04:00:00"/>
    <n v="75.000000001091394"/>
    <s v="UNPLANNED"/>
    <x v="0"/>
    <d v="1899-12-30T18:00:00"/>
    <x v="1"/>
  </r>
  <r>
    <n v="4228"/>
    <x v="1"/>
    <n v="6115271741302"/>
    <x v="1444"/>
    <d v="2022-04-16T22:00:00"/>
    <d v="1899-12-30T07:00:00"/>
    <n v="42.857142857499234"/>
    <s v="UNPLANNED"/>
    <x v="0"/>
    <d v="1899-12-30T15:00:00"/>
    <x v="1"/>
  </r>
  <r>
    <n v="4229"/>
    <x v="1"/>
    <n v="6115271736601"/>
    <x v="1444"/>
    <d v="2022-04-16T22:00:00"/>
    <d v="1899-12-30T07:00:00"/>
    <n v="42.857142857499234"/>
    <s v="UNPLANNED"/>
    <x v="3"/>
    <d v="1899-12-30T15:00:00"/>
    <x v="1"/>
  </r>
  <r>
    <n v="4230"/>
    <x v="1"/>
    <n v="6115271733505"/>
    <x v="1446"/>
    <d v="2022-04-16T22:00:00"/>
    <d v="1899-12-30T06:00:00"/>
    <n v="50"/>
    <s v="UNPLANNED"/>
    <x v="0"/>
    <d v="1899-12-30T16:00:00"/>
    <x v="1"/>
  </r>
  <r>
    <n v="4231"/>
    <x v="1"/>
    <n v="6115271733503"/>
    <x v="1444"/>
    <d v="2022-04-16T22:00:00"/>
    <d v="1899-12-30T07:00:00"/>
    <n v="42.857142857499234"/>
    <s v="UNPLANNED"/>
    <x v="1"/>
    <d v="1899-12-30T15:00:00"/>
    <x v="1"/>
  </r>
  <r>
    <n v="4232"/>
    <x v="0"/>
    <n v="5115271259502"/>
    <x v="1446"/>
    <d v="2022-04-16T22:00:00"/>
    <d v="1899-12-30T06:00:00"/>
    <n v="50"/>
    <s v="UNPLANNED"/>
    <x v="0"/>
    <d v="1899-12-30T16:00:00"/>
    <x v="1"/>
  </r>
  <r>
    <n v="4233"/>
    <x v="13"/>
    <n v="3115270366500"/>
    <x v="1445"/>
    <d v="2022-04-16T22:00:00"/>
    <d v="1899-12-30T04:00:00"/>
    <n v="75.000000001091394"/>
    <s v="UNPLANNED"/>
    <x v="0"/>
    <d v="1899-12-30T18:00:00"/>
    <x v="1"/>
  </r>
  <r>
    <n v="4234"/>
    <x v="13"/>
    <n v="3115270341100"/>
    <x v="1446"/>
    <d v="2022-04-16T22:00:00"/>
    <d v="1899-12-30T06:00:00"/>
    <n v="50"/>
    <s v="UNPLANNED"/>
    <x v="0"/>
    <d v="1899-12-30T16:00:00"/>
    <x v="1"/>
  </r>
  <r>
    <n v="4235"/>
    <x v="13"/>
    <n v="3115270321400"/>
    <x v="1445"/>
    <d v="2022-04-16T22:00:00"/>
    <d v="1899-12-30T04:00:00"/>
    <n v="75.000000001091394"/>
    <s v="UNPLANNED"/>
    <x v="0"/>
    <d v="1899-12-30T18:00:00"/>
    <x v="1"/>
  </r>
  <r>
    <n v="4236"/>
    <x v="9"/>
    <n v="2115270261500"/>
    <x v="1445"/>
    <d v="2022-04-16T22:00:00"/>
    <d v="1899-12-30T04:00:00"/>
    <n v="75.000000001091394"/>
    <s v="UNPLANNED"/>
    <x v="0"/>
    <d v="1899-12-30T18:00:00"/>
    <x v="1"/>
  </r>
  <r>
    <n v="4237"/>
    <x v="9"/>
    <n v="2115270222600"/>
    <x v="1444"/>
    <d v="2022-04-16T22:00:00"/>
    <d v="1899-12-30T07:00:00"/>
    <n v="42.857142857499234"/>
    <s v="UNPLANNED"/>
    <x v="2"/>
    <d v="1899-12-30T15:00:00"/>
    <x v="1"/>
  </r>
  <r>
    <n v="4238"/>
    <x v="12"/>
    <n v="14115271678703"/>
    <x v="1447"/>
    <d v="2022-04-17T15:45:00"/>
    <d v="1899-12-30T01:50:00"/>
    <n v="163.63636363290004"/>
    <s v="UNPLANNED"/>
    <x v="0"/>
    <d v="1899-12-30T13:55:00"/>
    <x v="0"/>
  </r>
  <r>
    <n v="4239"/>
    <x v="12"/>
    <n v="14115271674602"/>
    <x v="1448"/>
    <d v="2022-04-17T15:45:00"/>
    <d v="1899-12-30T05:15:00"/>
    <n v="57.142857142857139"/>
    <s v="UNPLANNED"/>
    <x v="1"/>
    <d v="1899-12-30T10:30:00"/>
    <x v="0"/>
  </r>
  <r>
    <n v="4240"/>
    <x v="12"/>
    <n v="14115271672411"/>
    <x v="1449"/>
    <d v="2022-04-17T15:45:00"/>
    <d v="1899-12-30T06:15:00"/>
    <n v="48.000000000447038"/>
    <s v="UNPLANNED"/>
    <x v="0"/>
    <d v="1899-12-30T09:30:00"/>
    <x v="0"/>
  </r>
  <r>
    <n v="4241"/>
    <x v="12"/>
    <n v="14115271672407"/>
    <x v="1448"/>
    <d v="2022-04-17T15:45:00"/>
    <d v="1899-12-30T05:15:00"/>
    <n v="57.142857142857139"/>
    <s v="UNPLANNED"/>
    <x v="0"/>
    <d v="1899-12-30T10:30:00"/>
    <x v="0"/>
  </r>
  <r>
    <n v="4242"/>
    <x v="5"/>
    <n v="13115271634803"/>
    <x v="1449"/>
    <d v="2022-04-17T15:45:00"/>
    <d v="1899-12-30T06:15:00"/>
    <n v="48.000000000447038"/>
    <s v="UNPLANNED"/>
    <x v="1"/>
    <d v="1899-12-30T09:30:00"/>
    <x v="0"/>
  </r>
  <r>
    <n v="4243"/>
    <x v="5"/>
    <n v="13115271634800"/>
    <x v="1450"/>
    <d v="2022-04-17T15:45:00"/>
    <d v="1899-12-30T01:25:00"/>
    <n v="211.7647058707517"/>
    <s v="UNPLANNED"/>
    <x v="0"/>
    <d v="1899-12-30T14:20:00"/>
    <x v="1"/>
  </r>
  <r>
    <n v="4244"/>
    <x v="5"/>
    <n v="13115271612205"/>
    <x v="1449"/>
    <d v="2022-04-17T15:45:00"/>
    <d v="1899-12-30T06:15:00"/>
    <n v="48.000000000447038"/>
    <s v="UNPLANNED"/>
    <x v="2"/>
    <d v="1899-12-30T09:30:00"/>
    <x v="0"/>
  </r>
  <r>
    <n v="4245"/>
    <x v="10"/>
    <n v="11115271487800"/>
    <x v="1449"/>
    <d v="2022-04-17T15:45:00"/>
    <d v="1899-12-30T06:15:00"/>
    <n v="48.000000000447038"/>
    <s v="UNPLANNED"/>
    <x v="2"/>
    <d v="1899-12-30T09:30:00"/>
    <x v="0"/>
  </r>
  <r>
    <n v="4246"/>
    <x v="3"/>
    <n v="8115271820700"/>
    <x v="1451"/>
    <d v="2022-04-17T15:45:00"/>
    <d v="1899-12-30T03:55:00"/>
    <n v="76.595744680471626"/>
    <s v="UNPLANNED"/>
    <x v="1"/>
    <d v="1899-12-30T11:50:00"/>
    <x v="0"/>
  </r>
  <r>
    <n v="4247"/>
    <x v="3"/>
    <n v="8115271809912"/>
    <x v="1449"/>
    <d v="2022-04-17T15:45:00"/>
    <d v="1899-12-30T06:15:00"/>
    <n v="48.000000000447038"/>
    <s v="UNPLANNED"/>
    <x v="1"/>
    <d v="1899-12-30T09:30:00"/>
    <x v="0"/>
  </r>
  <r>
    <n v="4248"/>
    <x v="7"/>
    <n v="7115271787212"/>
    <x v="1448"/>
    <d v="2022-04-17T15:45:00"/>
    <d v="1899-12-30T05:15:00"/>
    <n v="57.142857142857139"/>
    <s v="UNPLANNED"/>
    <x v="3"/>
    <d v="1899-12-30T10:30:00"/>
    <x v="0"/>
  </r>
  <r>
    <n v="4249"/>
    <x v="7"/>
    <n v="7115271781095"/>
    <x v="1452"/>
    <d v="2022-04-17T15:45:00"/>
    <d v="1899-12-30T03:45:00"/>
    <n v="80"/>
    <s v="UNPLANNED"/>
    <x v="2"/>
    <d v="1899-12-30T12:00:00"/>
    <x v="0"/>
  </r>
  <r>
    <n v="4250"/>
    <x v="7"/>
    <n v="7115271780604"/>
    <x v="1453"/>
    <d v="2022-04-17T15:45:00"/>
    <d v="1899-12-30T02:45:00"/>
    <n v="109.09090908860001"/>
    <s v="UNPLANNED"/>
    <x v="2"/>
    <d v="1899-12-30T13:00:00"/>
    <x v="0"/>
  </r>
  <r>
    <n v="4251"/>
    <x v="1"/>
    <n v="6115271741307"/>
    <x v="1454"/>
    <d v="2022-04-17T15:45:00"/>
    <d v="1899-12-30T01:30:00"/>
    <n v="200"/>
    <s v="UNPLANNED"/>
    <x v="1"/>
    <d v="1899-12-30T14:15:00"/>
    <x v="1"/>
  </r>
  <r>
    <n v="4252"/>
    <x v="0"/>
    <n v="5115270974400"/>
    <x v="1449"/>
    <d v="2022-04-17T15:45:00"/>
    <d v="1899-12-30T06:15:00"/>
    <n v="48.000000000447038"/>
    <s v="UNPLANNED"/>
    <x v="1"/>
    <d v="1899-12-30T09:30:00"/>
    <x v="0"/>
  </r>
  <r>
    <n v="4253"/>
    <x v="13"/>
    <n v="3115270421800"/>
    <x v="1451"/>
    <d v="2022-04-17T15:45:00"/>
    <d v="1899-12-30T03:55:00"/>
    <n v="76.595744680471626"/>
    <s v="UNPLANNED"/>
    <x v="0"/>
    <d v="1899-12-30T11:50:00"/>
    <x v="0"/>
  </r>
  <r>
    <n v="4254"/>
    <x v="13"/>
    <n v="3115270421300"/>
    <x v="1449"/>
    <d v="2022-04-17T15:45:00"/>
    <d v="1899-12-30T06:15:00"/>
    <n v="48.000000000447038"/>
    <s v="UNPLANNED"/>
    <x v="0"/>
    <d v="1899-12-30T09:30:00"/>
    <x v="0"/>
  </r>
  <r>
    <n v="4255"/>
    <x v="13"/>
    <n v="3115270326700"/>
    <x v="1449"/>
    <d v="2022-04-17T15:45:00"/>
    <d v="1899-12-30T06:15:00"/>
    <n v="48.000000000447038"/>
    <s v="UNPLANNED"/>
    <x v="0"/>
    <d v="1899-12-30T09:30:00"/>
    <x v="0"/>
  </r>
  <r>
    <n v="4256"/>
    <x v="9"/>
    <n v="2115270232000"/>
    <x v="1452"/>
    <d v="2022-04-17T15:45:00"/>
    <d v="1899-12-30T03:45:00"/>
    <n v="80"/>
    <s v="UNPLANNED"/>
    <x v="1"/>
    <d v="1899-12-30T12:00:00"/>
    <x v="0"/>
  </r>
  <r>
    <n v="4257"/>
    <x v="14"/>
    <n v="1115270127800"/>
    <x v="1448"/>
    <d v="2022-04-17T15:45:00"/>
    <d v="1899-12-30T05:15:00"/>
    <n v="57.142857142857139"/>
    <s v="UNPLANNED"/>
    <x v="1"/>
    <d v="1899-12-30T10:30:00"/>
    <x v="0"/>
  </r>
  <r>
    <n v="4258"/>
    <x v="14"/>
    <n v="1115270064500"/>
    <x v="1453"/>
    <d v="2022-04-17T15:45:00"/>
    <d v="1899-12-30T02:45:00"/>
    <n v="109.09090908860001"/>
    <s v="UNPLANNED"/>
    <x v="1"/>
    <d v="1899-12-30T13:00:00"/>
    <x v="0"/>
  </r>
  <r>
    <n v="4259"/>
    <x v="12"/>
    <n v="14115271672500"/>
    <x v="1455"/>
    <d v="2022-04-17T22:20:00"/>
    <d v="1899-12-30T06:15:00"/>
    <n v="48.000000000447038"/>
    <s v="UNPLANNED"/>
    <x v="1"/>
    <d v="1899-12-30T16:05:00"/>
    <x v="1"/>
  </r>
  <r>
    <n v="4260"/>
    <x v="10"/>
    <n v="11115271533900"/>
    <x v="1455"/>
    <d v="2022-04-17T22:20:00"/>
    <d v="1899-12-30T06:15:00"/>
    <n v="48.000000000447038"/>
    <s v="UNPLANNED"/>
    <x v="1"/>
    <d v="1899-12-30T16:05:00"/>
    <x v="1"/>
  </r>
  <r>
    <n v="4261"/>
    <x v="3"/>
    <n v="8115271855800"/>
    <x v="1456"/>
    <d v="2022-04-17T22:20:00"/>
    <d v="1899-12-30T03:50:00"/>
    <n v="78.260869566801873"/>
    <s v="UNPLANNED"/>
    <x v="1"/>
    <d v="1899-12-30T18:30:00"/>
    <x v="1"/>
  </r>
  <r>
    <n v="4262"/>
    <x v="7"/>
    <n v="7115271776900"/>
    <x v="1455"/>
    <d v="2022-04-17T22:20:00"/>
    <d v="1899-12-30T06:15:00"/>
    <n v="48.000000000447038"/>
    <s v="UNPLANNED"/>
    <x v="1"/>
    <d v="1899-12-30T16:05:00"/>
    <x v="1"/>
  </r>
  <r>
    <n v="4263"/>
    <x v="7"/>
    <n v="7115271753900"/>
    <x v="1456"/>
    <d v="2022-04-17T22:20:00"/>
    <d v="1899-12-30T03:50:00"/>
    <n v="78.260869566801873"/>
    <s v="UNPLANNED"/>
    <x v="0"/>
    <d v="1899-12-30T18:30:00"/>
    <x v="1"/>
  </r>
  <r>
    <n v="4264"/>
    <x v="1"/>
    <n v="6115271745802"/>
    <x v="1455"/>
    <d v="2022-04-17T22:20:00"/>
    <d v="1899-12-30T06:15:00"/>
    <n v="48.000000000447038"/>
    <s v="UNPLANNED"/>
    <x v="0"/>
    <d v="1899-12-30T16:05:00"/>
    <x v="1"/>
  </r>
  <r>
    <n v="4265"/>
    <x v="0"/>
    <n v="5115271239500"/>
    <x v="1456"/>
    <d v="2022-04-17T22:20:00"/>
    <d v="1899-12-30T03:50:00"/>
    <n v="78.260869566801873"/>
    <s v="UNPLANNED"/>
    <x v="1"/>
    <d v="1899-12-30T18:30:00"/>
    <x v="1"/>
  </r>
  <r>
    <n v="4266"/>
    <x v="13"/>
    <n v="3115270386302"/>
    <x v="1455"/>
    <d v="2022-04-17T22:20:00"/>
    <d v="1899-12-30T06:15:00"/>
    <n v="48.000000000447038"/>
    <s v="UNPLANNED"/>
    <x v="2"/>
    <d v="1899-12-30T16:05:00"/>
    <x v="1"/>
  </r>
  <r>
    <n v="4267"/>
    <x v="9"/>
    <n v="2115270272800"/>
    <x v="1455"/>
    <d v="2022-04-17T22:20:00"/>
    <d v="1899-12-30T06:15:00"/>
    <n v="48.000000000447038"/>
    <s v="UNPLANNED"/>
    <x v="1"/>
    <d v="1899-12-30T16:05:00"/>
    <x v="1"/>
  </r>
  <r>
    <n v="4268"/>
    <x v="9"/>
    <n v="2115270230100"/>
    <x v="1456"/>
    <d v="2022-04-17T22:20:00"/>
    <d v="1899-12-30T03:50:00"/>
    <n v="78.260869566801873"/>
    <s v="UNPLANNED"/>
    <x v="6"/>
    <d v="1899-12-30T18:30:00"/>
    <x v="1"/>
  </r>
  <r>
    <n v="4269"/>
    <x v="10"/>
    <n v="11115271547404"/>
    <x v="1457"/>
    <d v="2022-04-18T00:00:01"/>
    <d v="1899-12-30T01:10:01"/>
    <n v="257.0816472210945"/>
    <s v="UNPLANNED"/>
    <x v="0"/>
    <d v="1899-12-30T22:50:00"/>
    <x v="2"/>
  </r>
  <r>
    <n v="4270"/>
    <x v="1"/>
    <n v="6115271690602"/>
    <x v="1457"/>
    <d v="2022-04-18T00:00:01"/>
    <d v="1899-12-30T01:10:01"/>
    <n v="257.0816472210945"/>
    <s v="UNPLANNED"/>
    <x v="1"/>
    <d v="1899-12-30T22:50:00"/>
    <x v="2"/>
  </r>
  <r>
    <n v="4271"/>
    <x v="2"/>
    <n v="12115271560119"/>
    <x v="1458"/>
    <d v="2022-04-18T02:15:00"/>
    <d v="1899-12-30T01:50:00"/>
    <n v="163.63636363290004"/>
    <s v="UNPLANNED"/>
    <x v="0"/>
    <d v="1899-12-30T00:25:00"/>
    <x v="2"/>
  </r>
  <r>
    <n v="4272"/>
    <x v="7"/>
    <n v="7115271769701"/>
    <x v="1458"/>
    <d v="2022-04-18T02:15:00"/>
    <d v="1899-12-30T01:50:00"/>
    <n v="163.63636363290004"/>
    <s v="UNPLANNED"/>
    <x v="0"/>
    <d v="1899-12-30T00:25:00"/>
    <x v="2"/>
  </r>
  <r>
    <n v="4273"/>
    <x v="13"/>
    <n v="3115270335900"/>
    <x v="1458"/>
    <d v="2022-04-18T02:15:00"/>
    <d v="1899-12-30T01:50:00"/>
    <n v="163.63636363290004"/>
    <s v="UNPLANNED"/>
    <x v="1"/>
    <d v="1899-12-30T00:25:00"/>
    <x v="2"/>
  </r>
  <r>
    <n v="4274"/>
    <x v="12"/>
    <n v="14115271672500"/>
    <x v="1459"/>
    <d v="2022-04-18T15:20:00"/>
    <d v="1899-12-30T06:20:00"/>
    <n v="47.368421052341347"/>
    <s v="UNPLANNED"/>
    <x v="1"/>
    <d v="1899-12-30T09:00:00"/>
    <x v="0"/>
  </r>
  <r>
    <n v="4275"/>
    <x v="12"/>
    <n v="14115271672404"/>
    <x v="1460"/>
    <d v="2022-04-18T15:20:00"/>
    <d v="1899-12-30T02:05:00"/>
    <n v="144.00000000134111"/>
    <s v="UNPLANNED"/>
    <x v="0"/>
    <d v="1899-12-30T13:15:00"/>
    <x v="0"/>
  </r>
  <r>
    <n v="4276"/>
    <x v="2"/>
    <n v="12115271566706"/>
    <x v="1461"/>
    <d v="2022-04-18T15:20:00"/>
    <d v="1899-12-30T03:20:00"/>
    <n v="89.999999998952262"/>
    <s v="UNPLANNED"/>
    <x v="1"/>
    <d v="1899-12-30T12:00:00"/>
    <x v="0"/>
  </r>
  <r>
    <n v="4277"/>
    <x v="2"/>
    <n v="12115271560164"/>
    <x v="1462"/>
    <d v="2022-04-18T15:20:00"/>
    <d v="1899-12-30T04:05:00"/>
    <n v="73.46938775440384"/>
    <s v="UNPLANNED"/>
    <x v="1"/>
    <d v="1899-12-30T11:15:00"/>
    <x v="0"/>
  </r>
  <r>
    <n v="4278"/>
    <x v="11"/>
    <n v="10115271452800"/>
    <x v="1461"/>
    <d v="2022-04-18T15:20:00"/>
    <d v="1899-12-30T03:20:00"/>
    <n v="89.999999998952262"/>
    <s v="UNPLANNED"/>
    <x v="1"/>
    <d v="1899-12-30T12:00:00"/>
    <x v="0"/>
  </r>
  <r>
    <n v="4279"/>
    <x v="6"/>
    <n v="9115271953400"/>
    <x v="1462"/>
    <d v="2022-04-18T15:20:00"/>
    <d v="1899-12-30T04:05:00"/>
    <n v="73.46938775440384"/>
    <s v="UNPLANNED"/>
    <x v="2"/>
    <d v="1899-12-30T11:15:00"/>
    <x v="0"/>
  </r>
  <r>
    <n v="4280"/>
    <x v="3"/>
    <n v="8115271820900"/>
    <x v="1459"/>
    <d v="2022-04-18T15:20:00"/>
    <d v="1899-12-30T06:20:00"/>
    <n v="47.368421052341347"/>
    <s v="UNPLANNED"/>
    <x v="1"/>
    <d v="1899-12-30T09:00:00"/>
    <x v="0"/>
  </r>
  <r>
    <n v="4281"/>
    <x v="7"/>
    <n v="7115271769604"/>
    <x v="1463"/>
    <d v="2022-04-18T15:20:00"/>
    <d v="1899-12-30T01:50:00"/>
    <n v="163.63636363290004"/>
    <s v="UNPLANNED"/>
    <x v="0"/>
    <d v="1899-12-30T13:30:00"/>
    <x v="0"/>
  </r>
  <r>
    <n v="4282"/>
    <x v="1"/>
    <n v="6115271729700"/>
    <x v="1459"/>
    <d v="2022-04-18T15:20:00"/>
    <d v="1899-12-30T06:20:00"/>
    <n v="47.368421052341347"/>
    <s v="UNPLANNED"/>
    <x v="1"/>
    <d v="1899-12-30T09:00:00"/>
    <x v="0"/>
  </r>
  <r>
    <n v="4283"/>
    <x v="0"/>
    <n v="5115271289900"/>
    <x v="1462"/>
    <d v="2022-04-18T15:20:00"/>
    <d v="1899-12-30T04:05:00"/>
    <n v="73.46938775440384"/>
    <s v="UNPLANNED"/>
    <x v="1"/>
    <d v="1899-12-30T11:15:00"/>
    <x v="0"/>
  </r>
  <r>
    <n v="4284"/>
    <x v="13"/>
    <n v="3115270365100"/>
    <x v="1459"/>
    <d v="2022-04-18T15:20:00"/>
    <d v="1899-12-30T06:20:00"/>
    <n v="47.368421052341347"/>
    <s v="UNPLANNED"/>
    <x v="1"/>
    <d v="1899-12-30T09:00:00"/>
    <x v="0"/>
  </r>
  <r>
    <n v="4285"/>
    <x v="13"/>
    <n v="3115270361500"/>
    <x v="1461"/>
    <d v="2022-04-18T15:20:00"/>
    <d v="1899-12-30T03:20:00"/>
    <n v="89.999999998952262"/>
    <s v="UNPLANNED"/>
    <x v="1"/>
    <d v="1899-12-30T12:00:00"/>
    <x v="0"/>
  </r>
  <r>
    <n v="4286"/>
    <x v="14"/>
    <n v="1115270110700"/>
    <x v="1460"/>
    <d v="2022-04-18T15:20:00"/>
    <d v="1899-12-30T02:05:00"/>
    <n v="144.00000000134111"/>
    <s v="UNPLANNED"/>
    <x v="0"/>
    <d v="1899-12-30T13:15:00"/>
    <x v="0"/>
  </r>
  <r>
    <n v="4287"/>
    <x v="16"/>
    <n v="27115270386429"/>
    <x v="1464"/>
    <d v="2022-04-18T20:15:00"/>
    <d v="1899-12-30T04:35:00"/>
    <n v="65.4545454556538"/>
    <s v="UNPLANNED"/>
    <x v="1"/>
    <d v="1899-12-30T15:40:00"/>
    <x v="1"/>
  </r>
  <r>
    <n v="4288"/>
    <x v="11"/>
    <n v="10115271958203"/>
    <x v="1465"/>
    <d v="2022-04-18T20:15:00"/>
    <d v="1899-12-30T03:01:00"/>
    <n v="99.447513810363745"/>
    <s v="UNPLANNED"/>
    <x v="0"/>
    <d v="1899-12-30T17:14:00"/>
    <x v="1"/>
  </r>
  <r>
    <n v="4289"/>
    <x v="1"/>
    <n v="6115271691207"/>
    <x v="1464"/>
    <d v="2022-04-18T20:15:00"/>
    <d v="1899-12-30T04:35:00"/>
    <n v="65.4545454556538"/>
    <s v="UNPLANNED"/>
    <x v="0"/>
    <d v="1899-12-30T15:40:00"/>
    <x v="1"/>
  </r>
  <r>
    <n v="4290"/>
    <x v="9"/>
    <n v="2115270218100"/>
    <x v="1465"/>
    <d v="2022-04-18T20:15:00"/>
    <d v="1899-12-30T03:01:00"/>
    <n v="99.447513810363745"/>
    <s v="UNPLANNED"/>
    <x v="1"/>
    <d v="1899-12-30T17:14:00"/>
    <x v="1"/>
  </r>
  <r>
    <n v="4291"/>
    <x v="14"/>
    <n v="1115270088300"/>
    <x v="1464"/>
    <d v="2022-04-18T20:15:00"/>
    <d v="1899-12-30T04:35:00"/>
    <n v="65.4545454556538"/>
    <s v="UNPLANNED"/>
    <x v="0"/>
    <d v="1899-12-30T15:40:00"/>
    <x v="1"/>
  </r>
  <r>
    <n v="4292"/>
    <x v="7"/>
    <n v="7115271769500"/>
    <x v="1466"/>
    <d v="2022-04-18T21:50:00"/>
    <d v="1899-12-30T01:10:00"/>
    <n v="257.14285715141011"/>
    <s v="UNPLANNED"/>
    <x v="2"/>
    <d v="1899-12-30T20:40:00"/>
    <x v="1"/>
  </r>
  <r>
    <n v="4293"/>
    <x v="13"/>
    <n v="3115270306605"/>
    <x v="1466"/>
    <d v="2022-04-18T21:50:00"/>
    <d v="1899-12-30T01:10:00"/>
    <n v="257.14285715141011"/>
    <s v="UNPLANNED"/>
    <x v="3"/>
    <d v="1899-12-30T20:40:00"/>
    <x v="1"/>
  </r>
  <r>
    <n v="4294"/>
    <x v="4"/>
    <n v="15115271719272"/>
    <x v="1467"/>
    <d v="2022-04-19T13:14:00"/>
    <d v="1899-12-30T02:34:00"/>
    <n v="116.88311688382373"/>
    <s v="UNPLANNED"/>
    <x v="1"/>
    <d v="1899-12-30T10:40:00"/>
    <x v="0"/>
  </r>
  <r>
    <n v="4295"/>
    <x v="12"/>
    <n v="14115271672605"/>
    <x v="1467"/>
    <d v="2022-04-19T13:14:00"/>
    <d v="1899-12-30T02:34:00"/>
    <n v="116.88311688382373"/>
    <s v="UNPLANNED"/>
    <x v="6"/>
    <d v="1899-12-30T10:40:00"/>
    <x v="0"/>
  </r>
  <r>
    <n v="4296"/>
    <x v="2"/>
    <n v="12115271582001"/>
    <x v="1467"/>
    <d v="2022-04-19T13:14:00"/>
    <d v="1899-12-30T02:34:00"/>
    <n v="116.88311688382373"/>
    <s v="UNPLANNED"/>
    <x v="1"/>
    <d v="1899-12-30T10:40:00"/>
    <x v="0"/>
  </r>
  <r>
    <n v="4297"/>
    <x v="2"/>
    <n v="12115271581917"/>
    <x v="1467"/>
    <d v="2022-04-19T13:14:00"/>
    <d v="1899-12-30T02:34:00"/>
    <n v="116.88311688382373"/>
    <s v="UNPLANNED"/>
    <x v="1"/>
    <d v="1899-12-30T10:40:00"/>
    <x v="0"/>
  </r>
  <r>
    <n v="4298"/>
    <x v="7"/>
    <n v="7115271791006"/>
    <x v="1467"/>
    <d v="2022-04-19T13:14:00"/>
    <d v="1899-12-30T02:34:00"/>
    <n v="116.88311688382373"/>
    <s v="UNPLANNED"/>
    <x v="1"/>
    <d v="1899-12-30T10:40:00"/>
    <x v="0"/>
  </r>
  <r>
    <n v="4299"/>
    <x v="0"/>
    <n v="5115271289401"/>
    <x v="1467"/>
    <d v="2022-04-19T13:14:00"/>
    <d v="1899-12-30T02:34:00"/>
    <n v="116.88311688382373"/>
    <s v="UNPLANNED"/>
    <x v="1"/>
    <d v="1899-12-30T10:40:00"/>
    <x v="0"/>
  </r>
  <r>
    <n v="4300"/>
    <x v="13"/>
    <n v="3115270362300"/>
    <x v="1467"/>
    <d v="2022-04-19T13:14:00"/>
    <d v="1899-12-30T02:34:00"/>
    <n v="116.88311688382373"/>
    <s v="UNPLANNED"/>
    <x v="2"/>
    <d v="1899-12-30T10:40:00"/>
    <x v="0"/>
  </r>
  <r>
    <n v="4301"/>
    <x v="2"/>
    <n v="12115271572313"/>
    <x v="1468"/>
    <d v="2022-04-19T19:00:00"/>
    <d v="1899-12-30T01:45:00"/>
    <n v="171.42857143427341"/>
    <s v="UNPLANNED"/>
    <x v="0"/>
    <d v="1899-12-30T17:15:00"/>
    <x v="1"/>
  </r>
  <r>
    <n v="4302"/>
    <x v="1"/>
    <n v="6115271718602"/>
    <x v="1468"/>
    <d v="2022-04-19T19:00:00"/>
    <d v="1899-12-30T01:45:00"/>
    <n v="171.42857143427341"/>
    <s v="UNPLANNED"/>
    <x v="1"/>
    <d v="1899-12-30T17:15:00"/>
    <x v="1"/>
  </r>
  <r>
    <n v="4303"/>
    <x v="12"/>
    <n v="14115271673113"/>
    <x v="1469"/>
    <d v="2022-04-20T00:00:01"/>
    <d v="1899-12-30T01:30:01"/>
    <n v="199.96296981174899"/>
    <s v="UNPLANNED"/>
    <x v="0"/>
    <d v="1899-12-30T22:30:00"/>
    <x v="2"/>
  </r>
  <r>
    <n v="4304"/>
    <x v="12"/>
    <n v="14115271675202"/>
    <x v="1470"/>
    <d v="2022-04-20T14:45:00"/>
    <d v="1899-12-30T02:45:00"/>
    <n v="109.09090908860001"/>
    <s v="UNPLANNED"/>
    <x v="0"/>
    <d v="1899-12-30T12:00:00"/>
    <x v="0"/>
  </r>
  <r>
    <n v="4305"/>
    <x v="2"/>
    <n v="12115271573214"/>
    <x v="1471"/>
    <d v="2022-04-20T14:45:00"/>
    <d v="1899-12-30T04:56:00"/>
    <n v="60.810810810619472"/>
    <s v="UNPLANNED"/>
    <x v="0"/>
    <d v="1899-12-30T09:49:00"/>
    <x v="0"/>
  </r>
  <r>
    <n v="4306"/>
    <x v="7"/>
    <n v="7115271759014"/>
    <x v="1472"/>
    <d v="2022-04-20T14:45:00"/>
    <d v="1899-12-30T02:15:00"/>
    <n v="133.33333333333331"/>
    <s v="UNPLANNED"/>
    <x v="2"/>
    <d v="1899-12-30T12:30:00"/>
    <x v="0"/>
  </r>
  <r>
    <n v="4307"/>
    <x v="7"/>
    <n v="7115271758506"/>
    <x v="1473"/>
    <d v="2022-04-20T14:45:00"/>
    <d v="1899-12-30T00:46:00"/>
    <n v="391.30434779835855"/>
    <s v="UNPLANNED"/>
    <x v="1"/>
    <d v="1899-12-30T13:59:00"/>
    <x v="0"/>
  </r>
  <r>
    <n v="4308"/>
    <x v="1"/>
    <n v="6115271715101"/>
    <x v="1472"/>
    <d v="2022-04-20T14:45:00"/>
    <d v="1899-12-30T02:15:00"/>
    <n v="133.33333333333331"/>
    <s v="UNPLANNED"/>
    <x v="3"/>
    <d v="1899-12-30T12:30:00"/>
    <x v="0"/>
  </r>
  <r>
    <n v="4309"/>
    <x v="13"/>
    <n v="3115270366000"/>
    <x v="1471"/>
    <d v="2022-04-20T14:45:00"/>
    <d v="1899-12-30T04:56:00"/>
    <n v="60.810810810619472"/>
    <s v="UNPLANNED"/>
    <x v="2"/>
    <d v="1899-12-30T09:49:00"/>
    <x v="0"/>
  </r>
  <r>
    <n v="4310"/>
    <x v="13"/>
    <n v="3115270355900"/>
    <x v="1471"/>
    <d v="2022-04-20T14:45:00"/>
    <d v="1899-12-30T04:56:00"/>
    <n v="60.810810810619472"/>
    <s v="UNPLANNED"/>
    <x v="0"/>
    <d v="1899-12-30T09:49:00"/>
    <x v="0"/>
  </r>
  <r>
    <n v="4311"/>
    <x v="13"/>
    <n v="3115270306801"/>
    <x v="1471"/>
    <d v="2022-04-20T14:45:00"/>
    <d v="1899-12-30T04:56:00"/>
    <n v="60.810810810619472"/>
    <s v="UNPLANNED"/>
    <x v="1"/>
    <d v="1899-12-30T09:49:00"/>
    <x v="0"/>
  </r>
  <r>
    <n v="4312"/>
    <x v="13"/>
    <n v="3115270305801"/>
    <x v="1471"/>
    <d v="2022-04-20T14:45:00"/>
    <d v="1899-12-30T04:56:00"/>
    <n v="60.810810810619472"/>
    <s v="UNPLANNED"/>
    <x v="1"/>
    <d v="1899-12-30T09:49:00"/>
    <x v="0"/>
  </r>
  <r>
    <n v="4313"/>
    <x v="14"/>
    <n v="1115270001700"/>
    <x v="1474"/>
    <d v="2022-04-20T14:45:00"/>
    <d v="1899-12-30T01:30:00"/>
    <n v="200"/>
    <s v="UNPLANNED"/>
    <x v="0"/>
    <d v="1899-12-30T13:15:00"/>
    <x v="0"/>
  </r>
  <r>
    <n v="4314"/>
    <x v="2"/>
    <n v="12115271565701"/>
    <x v="1475"/>
    <d v="2022-04-20T22:20:00"/>
    <d v="1899-12-30T06:20:00"/>
    <n v="47.368421052341347"/>
    <s v="UNPLANNED"/>
    <x v="1"/>
    <d v="1899-12-30T16:00:00"/>
    <x v="1"/>
  </r>
  <r>
    <n v="4315"/>
    <x v="11"/>
    <n v="10115271453401"/>
    <x v="1476"/>
    <d v="2022-04-20T22:20:00"/>
    <d v="1899-12-30T01:20:00"/>
    <n v="225.00000000327418"/>
    <s v="UNPLANNED"/>
    <x v="0"/>
    <d v="1899-12-30T21:00:00"/>
    <x v="1"/>
  </r>
  <r>
    <n v="4316"/>
    <x v="6"/>
    <n v="9115271898700"/>
    <x v="1477"/>
    <d v="2022-04-20T22:20:00"/>
    <d v="1899-12-30T02:14:00"/>
    <n v="134.32835821222284"/>
    <s v="UNPLANNED"/>
    <x v="0"/>
    <d v="1899-12-30T20:06:00"/>
    <x v="1"/>
  </r>
  <r>
    <n v="4317"/>
    <x v="3"/>
    <n v="8115271820503"/>
    <x v="1478"/>
    <d v="2022-04-20T22:20:00"/>
    <d v="1899-12-30T02:35:00"/>
    <n v="116.1290322563201"/>
    <s v="UNPLANNED"/>
    <x v="1"/>
    <d v="1899-12-30T19:45:00"/>
    <x v="1"/>
  </r>
  <r>
    <n v="4318"/>
    <x v="3"/>
    <n v="8115271810102"/>
    <x v="1475"/>
    <d v="2022-04-20T22:20:00"/>
    <d v="1899-12-30T06:20:00"/>
    <n v="47.368421052341347"/>
    <s v="UNPLANNED"/>
    <x v="0"/>
    <d v="1899-12-30T16:00:00"/>
    <x v="1"/>
  </r>
  <r>
    <n v="4319"/>
    <x v="14"/>
    <n v="1115270026803"/>
    <x v="1475"/>
    <d v="2022-04-20T22:20:00"/>
    <d v="1899-12-30T06:20:00"/>
    <n v="47.368421052341347"/>
    <s v="UNPLANNED"/>
    <x v="0"/>
    <d v="1899-12-30T16:00:00"/>
    <x v="1"/>
  </r>
  <r>
    <n v="4320"/>
    <x v="13"/>
    <n v="3115270360207"/>
    <x v="1479"/>
    <d v="2022-04-21T09:30:00"/>
    <d v="1899-12-30T00:45:00"/>
    <n v="400"/>
    <s v="UNPLANNED"/>
    <x v="1"/>
    <d v="1899-12-30T08:45:00"/>
    <x v="0"/>
  </r>
  <r>
    <n v="4321"/>
    <x v="4"/>
    <n v="15115271778354"/>
    <x v="1480"/>
    <d v="2022-04-21T13:45:00"/>
    <d v="1899-12-30T01:55:00"/>
    <n v="156.52173913360375"/>
    <s v="UNPLANNED"/>
    <x v="1"/>
    <d v="1899-12-30T11:50:00"/>
    <x v="0"/>
  </r>
  <r>
    <n v="4322"/>
    <x v="2"/>
    <n v="12115271565702"/>
    <x v="1481"/>
    <d v="2022-04-21T13:45:00"/>
    <d v="1899-12-30T03:30:00"/>
    <n v="85.714285717136704"/>
    <s v="UNPLANNED"/>
    <x v="1"/>
    <d v="1899-12-30T10:15:00"/>
    <x v="0"/>
  </r>
  <r>
    <n v="4323"/>
    <x v="10"/>
    <n v="11115271073301"/>
    <x v="1482"/>
    <d v="2022-04-21T13:45:00"/>
    <d v="1899-12-30T02:45:00"/>
    <n v="109.09090909552721"/>
    <s v="UNPLANNED"/>
    <x v="3"/>
    <d v="1899-12-30T11:00:00"/>
    <x v="0"/>
  </r>
  <r>
    <n v="4324"/>
    <x v="7"/>
    <n v="7115271804518"/>
    <x v="1483"/>
    <d v="2022-04-21T13:45:00"/>
    <d v="1899-12-30T01:30:00"/>
    <n v="200"/>
    <s v="UNPLANNED"/>
    <x v="3"/>
    <d v="1899-12-30T12:15:00"/>
    <x v="0"/>
  </r>
  <r>
    <n v="4325"/>
    <x v="4"/>
    <n v="15115271743402"/>
    <x v="1484"/>
    <d v="2022-04-21T19:50:00"/>
    <d v="1899-12-30T02:15:00"/>
    <n v="133.33333333333331"/>
    <s v="UNPLANNED"/>
    <x v="2"/>
    <d v="1899-12-30T17:35:00"/>
    <x v="1"/>
  </r>
  <r>
    <n v="4326"/>
    <x v="1"/>
    <n v="6115271736801"/>
    <x v="1484"/>
    <d v="2022-04-21T19:50:00"/>
    <d v="1899-12-30T02:15:00"/>
    <n v="133.33333333333331"/>
    <s v="UNPLANNED"/>
    <x v="0"/>
    <d v="1899-12-30T17:35:00"/>
    <x v="1"/>
  </r>
  <r>
    <n v="4327"/>
    <x v="13"/>
    <n v="3115270386200"/>
    <x v="1484"/>
    <d v="2022-04-21T19:50:00"/>
    <d v="1899-12-30T02:15:00"/>
    <n v="133.33333333333331"/>
    <s v="UNPLANNED"/>
    <x v="0"/>
    <d v="1899-12-30T17:35:00"/>
    <x v="1"/>
  </r>
  <r>
    <n v="4328"/>
    <x v="12"/>
    <n v="14115271672409"/>
    <x v="1485"/>
    <d v="2022-04-21T21:50:00"/>
    <d v="1899-12-30T01:00:00"/>
    <n v="300.0000000174623"/>
    <s v="UNPLANNED"/>
    <x v="1"/>
    <d v="1899-12-30T20:50:00"/>
    <x v="1"/>
  </r>
  <r>
    <n v="4329"/>
    <x v="7"/>
    <n v="7115271804506"/>
    <x v="1486"/>
    <d v="2022-04-21T23:50:00"/>
    <d v="1899-12-30T02:14:00"/>
    <n v="134.32835821222284"/>
    <s v="UNPLANNED"/>
    <x v="0"/>
    <d v="1899-12-30T21:36:00"/>
    <x v="1"/>
  </r>
  <r>
    <n v="4330"/>
    <x v="12"/>
    <n v="14115271674710"/>
    <x v="1487"/>
    <d v="2022-04-22T02:30:00"/>
    <d v="1899-12-30T02:50:00"/>
    <n v="105.88235294190156"/>
    <s v="UNPLANNED"/>
    <x v="0"/>
    <d v="1899-12-30T23:40:00"/>
    <x v="2"/>
  </r>
  <r>
    <n v="4331"/>
    <x v="2"/>
    <n v="12115271560173"/>
    <x v="1488"/>
    <d v="2022-04-22T02:30:00"/>
    <d v="1899-12-30T02:10:00"/>
    <n v="138.46153846773811"/>
    <s v="UNPLANNED"/>
    <x v="1"/>
    <d v="1899-12-30T00:20:00"/>
    <x v="2"/>
  </r>
  <r>
    <n v="4332"/>
    <x v="3"/>
    <n v="8115271820900"/>
    <x v="1489"/>
    <d v="2022-04-22T02:30:00"/>
    <d v="1899-12-30T01:15:00"/>
    <n v="240.00000002235174"/>
    <s v="UNPLANNED"/>
    <x v="0"/>
    <d v="1899-12-30T01:15:00"/>
    <x v="2"/>
  </r>
  <r>
    <n v="4333"/>
    <x v="13"/>
    <n v="3115270366700"/>
    <x v="1490"/>
    <d v="2022-04-22T02:30:00"/>
    <d v="1899-12-30T04:00:00"/>
    <n v="75.000000001091394"/>
    <s v="UNPLANNED"/>
    <x v="1"/>
    <d v="1899-12-30T22:30:00"/>
    <x v="2"/>
  </r>
  <r>
    <n v="4334"/>
    <x v="14"/>
    <n v="1115270097105"/>
    <x v="1490"/>
    <d v="2022-04-22T02:30:00"/>
    <d v="1899-12-30T04:00:00"/>
    <n v="75.000000001091394"/>
    <s v="UNPLANNED"/>
    <x v="0"/>
    <d v="1899-12-30T22:30:00"/>
    <x v="2"/>
  </r>
  <r>
    <n v="4335"/>
    <x v="14"/>
    <n v="1115270060900"/>
    <x v="1491"/>
    <d v="2022-04-23T03:30:00"/>
    <d v="1899-12-30T04:55:00"/>
    <n v="61.016949150856846"/>
    <s v="UNPLANNED"/>
    <x v="2"/>
    <d v="1899-12-30T22:35:00"/>
    <x v="2"/>
  </r>
  <r>
    <n v="4336"/>
    <x v="4"/>
    <n v="15115271746102"/>
    <x v="1492"/>
    <d v="2022-04-22T14:40:00"/>
    <d v="1899-12-30T01:25:00"/>
    <n v="211.76470589685451"/>
    <s v="UNPLANNED"/>
    <x v="0"/>
    <d v="1899-12-30T13:15:00"/>
    <x v="0"/>
  </r>
  <r>
    <n v="4337"/>
    <x v="10"/>
    <n v="11115271547400"/>
    <x v="1493"/>
    <d v="2022-04-22T14:40:00"/>
    <d v="1899-12-30T04:40:00"/>
    <n v="64.285714285447"/>
    <s v="UNPLANNED"/>
    <x v="3"/>
    <d v="1899-12-30T10:00:00"/>
    <x v="0"/>
  </r>
  <r>
    <n v="4338"/>
    <x v="10"/>
    <n v="11115271508300"/>
    <x v="1493"/>
    <d v="2022-04-22T14:40:00"/>
    <d v="1899-12-30T04:40:00"/>
    <n v="64.285714285447"/>
    <s v="UNPLANNED"/>
    <x v="0"/>
    <d v="1899-12-30T10:00:00"/>
    <x v="0"/>
  </r>
  <r>
    <n v="4339"/>
    <x v="11"/>
    <n v="10115271433500"/>
    <x v="1493"/>
    <d v="2022-04-22T14:40:00"/>
    <d v="1899-12-30T04:40:00"/>
    <n v="64.285714285447"/>
    <s v="UNPLANNED"/>
    <x v="1"/>
    <d v="1899-12-30T10:00:00"/>
    <x v="0"/>
  </r>
  <r>
    <n v="4340"/>
    <x v="14"/>
    <n v="1115270052301"/>
    <x v="1493"/>
    <d v="2022-04-22T14:40:00"/>
    <d v="1899-12-30T04:40:00"/>
    <n v="64.285714285447"/>
    <s v="UNPLANNED"/>
    <x v="0"/>
    <d v="1899-12-30T10:00:00"/>
    <x v="0"/>
  </r>
  <r>
    <n v="4341"/>
    <x v="12"/>
    <n v="14115271675406"/>
    <x v="1494"/>
    <d v="2022-04-22T22:20:00"/>
    <d v="1899-12-30T03:20:00"/>
    <n v="89.999999998952262"/>
    <s v="UNPLANNED"/>
    <x v="0"/>
    <d v="1899-12-30T19:00:00"/>
    <x v="1"/>
  </r>
  <r>
    <n v="4342"/>
    <x v="12"/>
    <n v="14115271672256"/>
    <x v="1495"/>
    <d v="2022-04-22T22:20:00"/>
    <d v="1899-12-30T06:20:00"/>
    <n v="47.368421052341347"/>
    <s v="UNPLANNED"/>
    <x v="0"/>
    <d v="1899-12-30T16:00:00"/>
    <x v="1"/>
  </r>
  <r>
    <n v="4343"/>
    <x v="13"/>
    <n v="3115270421800"/>
    <x v="1495"/>
    <d v="2022-04-22T22:20:00"/>
    <d v="1899-12-30T06:20:00"/>
    <n v="47.368421052341347"/>
    <s v="UNPLANNED"/>
    <x v="0"/>
    <d v="1899-12-30T16:00:00"/>
    <x v="1"/>
  </r>
  <r>
    <n v="4344"/>
    <x v="13"/>
    <n v="3115270365400"/>
    <x v="1495"/>
    <d v="2022-04-22T22:20:00"/>
    <d v="1899-12-30T06:20:00"/>
    <n v="47.368421052341347"/>
    <s v="UNPLANNED"/>
    <x v="0"/>
    <d v="1899-12-30T16:00:00"/>
    <x v="1"/>
  </r>
  <r>
    <n v="4345"/>
    <x v="12"/>
    <n v="14115271683700"/>
    <x v="1491"/>
    <d v="2022-04-23T03:30:00"/>
    <d v="1899-12-30T04:55:00"/>
    <n v="61.016949150856846"/>
    <s v="UNPLANNED"/>
    <x v="0"/>
    <d v="1899-12-30T22:35:00"/>
    <x v="2"/>
  </r>
  <r>
    <n v="4346"/>
    <x v="12"/>
    <n v="14115271673803"/>
    <x v="1491"/>
    <d v="2022-04-23T03:30:00"/>
    <d v="1899-12-30T04:55:00"/>
    <n v="61.016949150856846"/>
    <s v="UNPLANNED"/>
    <x v="1"/>
    <d v="1899-12-30T22:35:00"/>
    <x v="2"/>
  </r>
  <r>
    <n v="4347"/>
    <x v="12"/>
    <n v="14115271669001"/>
    <x v="1491"/>
    <d v="2022-04-23T03:30:00"/>
    <d v="1899-12-30T04:55:00"/>
    <n v="61.016949150856846"/>
    <s v="UNPLANNED"/>
    <x v="2"/>
    <d v="1899-12-30T22:35:00"/>
    <x v="2"/>
  </r>
  <r>
    <n v="4348"/>
    <x v="5"/>
    <n v="13115271634803"/>
    <x v="1496"/>
    <d v="2022-04-23T03:30:00"/>
    <d v="1899-12-30T03:10:00"/>
    <n v="94.736842104682694"/>
    <s v="UNPLANNED"/>
    <x v="0"/>
    <d v="1899-12-30T00:20:00"/>
    <x v="2"/>
  </r>
  <r>
    <n v="4349"/>
    <x v="2"/>
    <n v="12115271581101"/>
    <x v="1497"/>
    <d v="2022-04-23T03:30:00"/>
    <d v="1899-12-30T02:30:00"/>
    <n v="119.99999999441206"/>
    <s v="UNPLANNED"/>
    <x v="0"/>
    <d v="1899-12-30T01:00:00"/>
    <x v="2"/>
  </r>
  <r>
    <n v="4350"/>
    <x v="9"/>
    <n v="2115270261500"/>
    <x v="1498"/>
    <d v="2022-04-23T03:30:00"/>
    <d v="1899-12-30T03:50:00"/>
    <n v="78.260869563236795"/>
    <s v="UNPLANNED"/>
    <x v="0"/>
    <d v="1899-12-30T23:40:00"/>
    <x v="2"/>
  </r>
  <r>
    <n v="4351"/>
    <x v="14"/>
    <n v="1115270022309"/>
    <x v="1499"/>
    <d v="2022-04-23T03:30:00"/>
    <d v="1899-12-30T01:55:00"/>
    <n v="156.52173911934341"/>
    <s v="UNPLANNED"/>
    <x v="0"/>
    <d v="1899-12-30T01:35:00"/>
    <x v="2"/>
  </r>
  <r>
    <n v="4352"/>
    <x v="1"/>
    <n v="6115271741400"/>
    <x v="1500"/>
    <d v="2022-04-23T14:16:00"/>
    <d v="1899-12-30T02:16:00"/>
    <n v="132.35294117329838"/>
    <s v="UNPLANNED"/>
    <x v="0"/>
    <d v="1899-12-30T12:00:00"/>
    <x v="0"/>
  </r>
  <r>
    <n v="4353"/>
    <x v="0"/>
    <n v="5115271685022"/>
    <x v="1501"/>
    <d v="2022-04-23T14:16:00"/>
    <d v="1899-12-30T01:24:00"/>
    <n v="214.28571428215056"/>
    <s v="UNPLANNED"/>
    <x v="1"/>
    <d v="1899-12-30T12:52:00"/>
    <x v="0"/>
  </r>
  <r>
    <n v="4354"/>
    <x v="13"/>
    <n v="3115270366900"/>
    <x v="1500"/>
    <d v="2022-04-23T14:16:00"/>
    <d v="1899-12-30T02:16:00"/>
    <n v="132.35294117329838"/>
    <s v="UNPLANNED"/>
    <x v="0"/>
    <d v="1899-12-30T12:00:00"/>
    <x v="0"/>
  </r>
  <r>
    <n v="4355"/>
    <x v="14"/>
    <n v="1115270060900"/>
    <x v="1500"/>
    <d v="2022-04-23T14:16:00"/>
    <d v="1899-12-30T02:16:00"/>
    <n v="132.35294117329838"/>
    <s v="UNPLANNED"/>
    <x v="0"/>
    <d v="1899-12-30T12:00:00"/>
    <x v="0"/>
  </r>
  <r>
    <n v="4356"/>
    <x v="2"/>
    <n v="12115271580303"/>
    <x v="1502"/>
    <d v="2022-04-23T21:20:00"/>
    <d v="1899-12-30T04:50:00"/>
    <n v="62.068965516743049"/>
    <s v="UNPLANNED"/>
    <x v="0"/>
    <d v="1899-12-30T16:30:00"/>
    <x v="1"/>
  </r>
  <r>
    <n v="4357"/>
    <x v="13"/>
    <n v="3115270393400"/>
    <x v="1502"/>
    <d v="2022-04-23T21:20:00"/>
    <d v="1899-12-30T04:50:00"/>
    <n v="62.068965516743049"/>
    <s v="UNPLANNED"/>
    <x v="1"/>
    <d v="1899-12-30T16:30:00"/>
    <x v="1"/>
  </r>
  <r>
    <n v="4358"/>
    <x v="13"/>
    <n v="3115270360207"/>
    <x v="1502"/>
    <d v="2022-04-23T21:20:00"/>
    <d v="1899-12-30T04:50:00"/>
    <n v="62.068965516743049"/>
    <s v="UNPLANNED"/>
    <x v="0"/>
    <d v="1899-12-30T16:30:00"/>
    <x v="1"/>
  </r>
  <r>
    <n v="4359"/>
    <x v="9"/>
    <n v="2115270213304"/>
    <x v="1502"/>
    <d v="2022-04-23T21:20:00"/>
    <d v="1899-12-30T04:50:00"/>
    <n v="62.068965516743049"/>
    <s v="UNPLANNED"/>
    <x v="0"/>
    <d v="1899-12-30T16:30:00"/>
    <x v="1"/>
  </r>
  <r>
    <n v="4360"/>
    <x v="12"/>
    <n v="14115271572409"/>
    <x v="1503"/>
    <d v="2022-04-23T23:30:00"/>
    <d v="1899-12-30T00:40:00"/>
    <n v="450.00000006548362"/>
    <s v="UNPLANNED"/>
    <x v="0"/>
    <d v="1899-12-30T22:50:00"/>
    <x v="2"/>
  </r>
  <r>
    <n v="4361"/>
    <x v="5"/>
    <n v="13115271590501"/>
    <x v="1504"/>
    <d v="2022-04-25T02:40:00"/>
    <d v="1899-12-30T03:30:00"/>
    <n v="85.714285717136704"/>
    <s v="UNPLANNED"/>
    <x v="1"/>
    <d v="1899-12-30T23:10:00"/>
    <x v="2"/>
  </r>
  <r>
    <n v="4362"/>
    <x v="2"/>
    <n v="12115271571634"/>
    <x v="1505"/>
    <d v="2022-04-24T05:45:00"/>
    <d v="1899-12-30T05:05:00"/>
    <n v="59.016393442848212"/>
    <s v="UNPLANNED"/>
    <x v="0"/>
    <d v="1899-12-30T00:40:00"/>
    <x v="2"/>
  </r>
  <r>
    <n v="4363"/>
    <x v="2"/>
    <n v="12115271567452"/>
    <x v="1505"/>
    <d v="2022-04-24T05:45:00"/>
    <d v="1899-12-30T05:05:00"/>
    <n v="59.016393442848212"/>
    <s v="UNPLANNED"/>
    <x v="0"/>
    <d v="1899-12-30T00:40:00"/>
    <x v="2"/>
  </r>
  <r>
    <n v="4364"/>
    <x v="3"/>
    <n v="8115271839800"/>
    <x v="1505"/>
    <d v="2022-04-24T05:45:00"/>
    <d v="1899-12-30T05:05:00"/>
    <n v="59.016393442848212"/>
    <s v="UNPLANNED"/>
    <x v="0"/>
    <d v="1899-12-30T00:40:00"/>
    <x v="2"/>
  </r>
  <r>
    <n v="4365"/>
    <x v="3"/>
    <n v="8115271820500"/>
    <x v="1505"/>
    <d v="2022-04-24T05:45:00"/>
    <d v="1899-12-30T05:05:00"/>
    <n v="59.016393442848212"/>
    <s v="UNPLANNED"/>
    <x v="0"/>
    <d v="1899-12-30T00:40:00"/>
    <x v="2"/>
  </r>
  <r>
    <n v="4366"/>
    <x v="1"/>
    <n v="6115271741600"/>
    <x v="1506"/>
    <d v="2022-04-24T05:45:00"/>
    <d v="1899-12-30T04:05:00"/>
    <n v="73.46938775440384"/>
    <s v="UNPLANNED"/>
    <x v="0"/>
    <d v="1899-12-30T01:40:00"/>
    <x v="2"/>
  </r>
  <r>
    <n v="4367"/>
    <x v="0"/>
    <n v="5115271269900"/>
    <x v="1505"/>
    <d v="2022-04-24T05:45:00"/>
    <d v="1899-12-30T05:05:00"/>
    <n v="59.016393442848212"/>
    <s v="UNPLANNED"/>
    <x v="0"/>
    <d v="1899-12-30T00:40:00"/>
    <x v="2"/>
  </r>
  <r>
    <n v="4368"/>
    <x v="8"/>
    <n v="4115270875800"/>
    <x v="1505"/>
    <d v="2022-04-24T05:45:00"/>
    <d v="1899-12-30T05:05:00"/>
    <n v="59.016393442848212"/>
    <s v="UNPLANNED"/>
    <x v="0"/>
    <d v="1899-12-30T00:40:00"/>
    <x v="2"/>
  </r>
  <r>
    <n v="4369"/>
    <x v="13"/>
    <n v="3115270324301"/>
    <x v="1507"/>
    <d v="2022-04-24T05:45:00"/>
    <d v="1899-12-30T03:30:00"/>
    <n v="85.714285712860217"/>
    <s v="UNPLANNED"/>
    <x v="1"/>
    <d v="1899-12-30T02:15:00"/>
    <x v="2"/>
  </r>
  <r>
    <n v="4370"/>
    <x v="9"/>
    <n v="2115270221900"/>
    <x v="1508"/>
    <d v="2022-04-24T05:45:00"/>
    <d v="1899-12-30T02:20:00"/>
    <n v="128.57142856608297"/>
    <s v="UNPLANNED"/>
    <x v="1"/>
    <d v="1899-12-30T03:25:00"/>
    <x v="2"/>
  </r>
  <r>
    <n v="4371"/>
    <x v="17"/>
    <n v="46115279656310"/>
    <x v="1509"/>
    <d v="2022-04-24T14:10:00"/>
    <d v="1899-12-30T03:40:00"/>
    <n v="81.818181816450021"/>
    <s v="UNPLANNED"/>
    <x v="1"/>
    <d v="1899-12-30T10:30:00"/>
    <x v="0"/>
  </r>
  <r>
    <n v="4372"/>
    <x v="17"/>
    <n v="46115272423901"/>
    <x v="1509"/>
    <d v="2022-04-24T14:10:00"/>
    <d v="1899-12-30T03:40:00"/>
    <n v="81.818181816450021"/>
    <s v="UNPLANNED"/>
    <x v="0"/>
    <d v="1899-12-30T10:30:00"/>
    <x v="0"/>
  </r>
  <r>
    <n v="4373"/>
    <x v="12"/>
    <n v="14115271724505"/>
    <x v="1510"/>
    <d v="2022-04-24T14:10:00"/>
    <d v="1899-12-30T02:40:00"/>
    <n v="112.49999999427018"/>
    <s v="UNPLANNED"/>
    <x v="1"/>
    <d v="1899-12-30T11:30:00"/>
    <x v="0"/>
  </r>
  <r>
    <n v="4374"/>
    <x v="12"/>
    <n v="14115271672400"/>
    <x v="1511"/>
    <d v="2022-04-24T14:10:00"/>
    <d v="1899-12-30T01:40:00"/>
    <n v="179.99999999790452"/>
    <s v="UNPLANNED"/>
    <x v="0"/>
    <d v="1899-12-30T12:30:00"/>
    <x v="0"/>
  </r>
  <r>
    <n v="4375"/>
    <x v="5"/>
    <n v="13115271590400"/>
    <x v="1512"/>
    <d v="2022-04-24T14:10:00"/>
    <d v="1899-12-30T00:55:00"/>
    <n v="327.27272726580009"/>
    <s v="UNPLANNED"/>
    <x v="0"/>
    <d v="1899-12-30T13:15:00"/>
    <x v="0"/>
  </r>
  <r>
    <n v="4376"/>
    <x v="10"/>
    <n v="11115271536001"/>
    <x v="1513"/>
    <d v="2022-04-24T14:10:00"/>
    <d v="1899-12-30T05:45:00"/>
    <n v="52.173913042950105"/>
    <s v="UNPLANNED"/>
    <x v="0"/>
    <d v="1899-12-30T08:25:00"/>
    <x v="0"/>
  </r>
  <r>
    <n v="4377"/>
    <x v="6"/>
    <n v="9115271909205"/>
    <x v="1512"/>
    <d v="2022-04-24T14:10:00"/>
    <d v="1899-12-30T00:55:00"/>
    <n v="327.27272726580009"/>
    <s v="UNPLANNED"/>
    <x v="0"/>
    <d v="1899-12-30T13:15:00"/>
    <x v="0"/>
  </r>
  <r>
    <n v="4378"/>
    <x v="7"/>
    <n v="7115271769521"/>
    <x v="1512"/>
    <d v="2022-04-24T14:10:00"/>
    <d v="1899-12-30T00:55:00"/>
    <n v="327.27272726580009"/>
    <s v="UNPLANNED"/>
    <x v="0"/>
    <d v="1899-12-30T13:15:00"/>
    <x v="0"/>
  </r>
  <r>
    <n v="4379"/>
    <x v="7"/>
    <n v="7115271758800"/>
    <x v="1514"/>
    <d v="2022-04-24T14:10:00"/>
    <d v="1899-12-30T07:01:00"/>
    <n v="42.7553444180759"/>
    <s v="UNPLANNED"/>
    <x v="1"/>
    <d v="1899-12-30T07:09:00"/>
    <x v="0"/>
  </r>
  <r>
    <n v="4380"/>
    <x v="1"/>
    <n v="6115271690604"/>
    <x v="1514"/>
    <d v="2022-04-24T14:10:00"/>
    <d v="1899-12-30T07:01:00"/>
    <n v="42.7553444180759"/>
    <s v="UNPLANNED"/>
    <x v="3"/>
    <d v="1899-12-30T07:09:00"/>
    <x v="0"/>
  </r>
  <r>
    <n v="4381"/>
    <x v="0"/>
    <n v="5115270974400"/>
    <x v="1515"/>
    <d v="2022-04-24T14:10:00"/>
    <d v="1899-12-30T04:10:00"/>
    <n v="71.999999997653063"/>
    <s v="UNPLANNED"/>
    <x v="2"/>
    <d v="1899-12-30T10:00:00"/>
    <x v="0"/>
  </r>
  <r>
    <n v="4382"/>
    <x v="13"/>
    <n v="3115270421800"/>
    <x v="1514"/>
    <d v="2022-04-24T14:10:00"/>
    <d v="1899-12-30T07:01:00"/>
    <n v="42.7553444180759"/>
    <s v="UNPLANNED"/>
    <x v="1"/>
    <d v="1899-12-30T07:09:00"/>
    <x v="0"/>
  </r>
  <r>
    <n v="4383"/>
    <x v="9"/>
    <n v="2115270222300"/>
    <x v="1512"/>
    <d v="2022-04-24T14:10:00"/>
    <d v="1899-12-30T00:55:00"/>
    <n v="327.27272726580009"/>
    <s v="UNPLANNED"/>
    <x v="0"/>
    <d v="1899-12-30T13:15:00"/>
    <x v="0"/>
  </r>
  <r>
    <n v="4384"/>
    <x v="14"/>
    <n v="1115270066500"/>
    <x v="1509"/>
    <d v="2022-04-24T14:10:00"/>
    <d v="1899-12-30T03:40:00"/>
    <n v="81.818181816450021"/>
    <s v="UNPLANNED"/>
    <x v="1"/>
    <d v="1899-12-30T10:30:00"/>
    <x v="0"/>
  </r>
  <r>
    <n v="4385"/>
    <x v="14"/>
    <n v="1115270023602"/>
    <x v="1513"/>
    <d v="2022-04-24T14:10:00"/>
    <d v="1899-12-30T05:45:00"/>
    <n v="52.173913042950105"/>
    <s v="UNPLANNED"/>
    <x v="0"/>
    <d v="1899-12-30T08:25:00"/>
    <x v="0"/>
  </r>
  <r>
    <n v="4386"/>
    <x v="5"/>
    <n v="13115271591107"/>
    <x v="1516"/>
    <d v="2022-04-24T20:45:00"/>
    <d v="1899-12-30T04:55:00"/>
    <n v="61.016949150856846"/>
    <s v="UNPLANNED"/>
    <x v="0"/>
    <d v="1899-12-30T15:50:00"/>
    <x v="1"/>
  </r>
  <r>
    <n v="4387"/>
    <x v="11"/>
    <n v="10115271963600"/>
    <x v="1516"/>
    <d v="2022-04-24T20:45:00"/>
    <d v="1899-12-30T04:55:00"/>
    <n v="61.016949150856846"/>
    <s v="UNPLANNED"/>
    <x v="1"/>
    <d v="1899-12-30T15:50:00"/>
    <x v="1"/>
  </r>
  <r>
    <n v="4388"/>
    <x v="6"/>
    <n v="9115271944300"/>
    <x v="1516"/>
    <d v="2022-04-24T20:45:00"/>
    <d v="1899-12-30T04:55:00"/>
    <n v="61.016949150856846"/>
    <s v="UNPLANNED"/>
    <x v="0"/>
    <d v="1899-12-30T15:50:00"/>
    <x v="1"/>
  </r>
  <r>
    <n v="4389"/>
    <x v="7"/>
    <n v="7115271804515"/>
    <x v="1516"/>
    <d v="2022-04-24T20:45:00"/>
    <d v="1899-12-30T04:55:00"/>
    <n v="61.016949150856846"/>
    <s v="UNPLANNED"/>
    <x v="1"/>
    <d v="1899-12-30T15:50:00"/>
    <x v="1"/>
  </r>
  <r>
    <n v="4390"/>
    <x v="7"/>
    <n v="7115271786606"/>
    <x v="1516"/>
    <d v="2022-04-24T20:45:00"/>
    <d v="1899-12-30T04:55:00"/>
    <n v="61.016949150856846"/>
    <s v="UNPLANNED"/>
    <x v="2"/>
    <d v="1899-12-30T15:50:00"/>
    <x v="1"/>
  </r>
  <r>
    <n v="4391"/>
    <x v="1"/>
    <n v="6115271733900"/>
    <x v="1516"/>
    <d v="2022-04-24T20:45:00"/>
    <d v="1899-12-30T04:55:00"/>
    <n v="61.016949150856846"/>
    <s v="UNPLANNED"/>
    <x v="1"/>
    <d v="1899-12-30T15:50:00"/>
    <x v="1"/>
  </r>
  <r>
    <n v="4392"/>
    <x v="8"/>
    <n v="4115270826600"/>
    <x v="1516"/>
    <d v="2022-04-24T20:45:00"/>
    <d v="1899-12-30T04:55:00"/>
    <n v="61.016949150856846"/>
    <s v="UNPLANNED"/>
    <x v="1"/>
    <d v="1899-12-30T15:50:00"/>
    <x v="1"/>
  </r>
  <r>
    <n v="4393"/>
    <x v="14"/>
    <n v="1115270112500"/>
    <x v="1516"/>
    <d v="2022-04-24T20:45:00"/>
    <d v="1899-12-30T04:55:00"/>
    <n v="61.016949150856846"/>
    <s v="UNPLANNED"/>
    <x v="0"/>
    <d v="1899-12-30T15:50:00"/>
    <x v="1"/>
  </r>
  <r>
    <n v="4394"/>
    <x v="11"/>
    <n v="10115271456900"/>
    <x v="1517"/>
    <d v="2022-04-24T22:10:00"/>
    <d v="1899-12-30T00:50:00"/>
    <n v="360.00000003352761"/>
    <s v="UNPLANNED"/>
    <x v="0"/>
    <d v="1899-12-30T21:20:00"/>
    <x v="1"/>
  </r>
  <r>
    <n v="4395"/>
    <x v="13"/>
    <n v="3115270434400"/>
    <x v="1517"/>
    <d v="2022-04-24T22:10:00"/>
    <d v="1899-12-30T00:50:00"/>
    <n v="360.00000003352761"/>
    <s v="UNPLANNED"/>
    <x v="0"/>
    <d v="1899-12-30T21:20:00"/>
    <x v="1"/>
  </r>
  <r>
    <n v="4396"/>
    <x v="2"/>
    <n v="12115271565904"/>
    <x v="1504"/>
    <d v="2022-04-25T02:40:00"/>
    <d v="1899-12-30T03:30:00"/>
    <n v="85.714285717136704"/>
    <s v="UNPLANNED"/>
    <x v="0"/>
    <d v="1899-12-30T23:10:00"/>
    <x v="2"/>
  </r>
  <r>
    <n v="4397"/>
    <x v="2"/>
    <n v="12115271561603"/>
    <x v="1504"/>
    <d v="2022-04-25T02:40:00"/>
    <d v="1899-12-30T03:30:00"/>
    <n v="85.714285717136704"/>
    <s v="UNPLANNED"/>
    <x v="1"/>
    <d v="1899-12-30T23:10:00"/>
    <x v="2"/>
  </r>
  <r>
    <n v="4398"/>
    <x v="3"/>
    <n v="8115271825800"/>
    <x v="1504"/>
    <d v="2022-04-25T02:40:00"/>
    <d v="1899-12-30T03:30:00"/>
    <n v="85.714285717136704"/>
    <s v="UNPLANNED"/>
    <x v="0"/>
    <d v="1899-12-30T23:10:00"/>
    <x v="2"/>
  </r>
  <r>
    <n v="4399"/>
    <x v="7"/>
    <n v="7115271757102"/>
    <x v="1504"/>
    <d v="2022-04-25T02:40:00"/>
    <d v="1899-12-30T03:30:00"/>
    <n v="85.714285717136704"/>
    <s v="UNPLANNED"/>
    <x v="0"/>
    <d v="1899-12-30T23:10:00"/>
    <x v="2"/>
  </r>
  <r>
    <n v="4400"/>
    <x v="10"/>
    <n v="11115271542703"/>
    <x v="1518"/>
    <d v="2022-04-25T12:35:00"/>
    <d v="1899-12-30T02:05:00"/>
    <n v="144.00000000134111"/>
    <s v="UNPLANNED"/>
    <x v="1"/>
    <d v="1899-12-30T10:30:00"/>
    <x v="0"/>
  </r>
  <r>
    <n v="4401"/>
    <x v="12"/>
    <n v="14115271675102"/>
    <x v="1519"/>
    <d v="2022-04-25T14:10:00"/>
    <d v="1899-12-30T05:10:00"/>
    <n v="58.064516128160051"/>
    <s v="UNPLANNED"/>
    <x v="1"/>
    <d v="1899-12-30T09:00:00"/>
    <x v="0"/>
  </r>
  <r>
    <n v="4402"/>
    <x v="10"/>
    <n v="11115271542106"/>
    <x v="1520"/>
    <d v="2022-04-25T14:10:00"/>
    <d v="1899-12-30T03:30:00"/>
    <n v="85.714285712860217"/>
    <s v="UNPLANNED"/>
    <x v="0"/>
    <d v="1899-12-30T10:40:00"/>
    <x v="0"/>
  </r>
  <r>
    <n v="4403"/>
    <x v="6"/>
    <n v="9115271909403"/>
    <x v="1520"/>
    <d v="2022-04-25T14:10:00"/>
    <d v="1899-12-30T03:30:00"/>
    <n v="85.714285712860217"/>
    <s v="UNPLANNED"/>
    <x v="1"/>
    <d v="1899-12-30T10:40:00"/>
    <x v="0"/>
  </r>
  <r>
    <n v="4404"/>
    <x v="7"/>
    <n v="7115271768101"/>
    <x v="1520"/>
    <d v="2022-04-25T14:10:00"/>
    <d v="1899-12-30T03:30:00"/>
    <n v="85.714285712860217"/>
    <s v="UNPLANNED"/>
    <x v="0"/>
    <d v="1899-12-30T10:40:00"/>
    <x v="0"/>
  </r>
  <r>
    <n v="4405"/>
    <x v="1"/>
    <n v="6115271744902"/>
    <x v="1521"/>
    <d v="2022-04-25T14:10:00"/>
    <d v="1899-12-30T04:10:00"/>
    <n v="71.999999997653063"/>
    <s v="UNPLANNED"/>
    <x v="0"/>
    <d v="1899-12-30T10:00:00"/>
    <x v="0"/>
  </r>
  <r>
    <n v="4406"/>
    <x v="1"/>
    <n v="6115271733307"/>
    <x v="1521"/>
    <d v="2022-04-25T14:10:00"/>
    <d v="1899-12-30T04:10:00"/>
    <n v="71.999999997653063"/>
    <s v="UNPLANNED"/>
    <x v="0"/>
    <d v="1899-12-30T10:00:00"/>
    <x v="0"/>
  </r>
  <r>
    <n v="4407"/>
    <x v="13"/>
    <n v="3115270316803"/>
    <x v="1519"/>
    <d v="2022-04-25T14:10:00"/>
    <d v="1899-12-30T05:10:00"/>
    <n v="58.064516128160051"/>
    <s v="UNPLANNED"/>
    <x v="0"/>
    <d v="1899-12-30T09:00:00"/>
    <x v="0"/>
  </r>
  <r>
    <n v="4408"/>
    <x v="9"/>
    <n v="2115270167500"/>
    <x v="1520"/>
    <d v="2022-04-25T14:10:00"/>
    <d v="1899-12-30T03:30:00"/>
    <n v="85.714285712860217"/>
    <s v="UNPLANNED"/>
    <x v="1"/>
    <d v="1899-12-30T10:40:00"/>
    <x v="0"/>
  </r>
  <r>
    <n v="4409"/>
    <x v="4"/>
    <n v="15115271743401"/>
    <x v="1522"/>
    <d v="2022-04-25T20:59:00"/>
    <d v="1899-12-30T01:46:00"/>
    <n v="169.81132075508998"/>
    <s v="UNPLANNED"/>
    <x v="1"/>
    <d v="1899-12-30T19:13:00"/>
    <x v="1"/>
  </r>
  <r>
    <n v="4410"/>
    <x v="11"/>
    <n v="10115271433700"/>
    <x v="1523"/>
    <d v="2022-04-25T20:59:00"/>
    <d v="1899-12-30T04:24:00"/>
    <n v="68.181818181457388"/>
    <s v="UNPLANNED"/>
    <x v="0"/>
    <d v="1899-12-30T16:35:00"/>
    <x v="1"/>
  </r>
  <r>
    <n v="4411"/>
    <x v="3"/>
    <n v="8115271820402"/>
    <x v="1523"/>
    <d v="2022-04-25T20:59:00"/>
    <d v="1899-12-30T04:24:00"/>
    <n v="68.181818181457388"/>
    <s v="UNPLANNED"/>
    <x v="0"/>
    <d v="1899-12-30T16:35:00"/>
    <x v="1"/>
  </r>
  <r>
    <n v="4412"/>
    <x v="0"/>
    <n v="5115271238500"/>
    <x v="1523"/>
    <d v="2022-04-25T20:59:00"/>
    <d v="1899-12-30T04:24:00"/>
    <n v="68.181818181457388"/>
    <s v="UNPLANNED"/>
    <x v="0"/>
    <d v="1899-12-30T16:35:00"/>
    <x v="1"/>
  </r>
  <r>
    <n v="4413"/>
    <x v="12"/>
    <n v="14115271673113"/>
    <x v="1524"/>
    <d v="2022-04-26T22:00:00"/>
    <d v="1899-12-30T01:45:00"/>
    <n v="171.42857143427341"/>
    <s v="UNPLANNED"/>
    <x v="1"/>
    <d v="1899-12-30T20:15:00"/>
    <x v="1"/>
  </r>
  <r>
    <n v="4414"/>
    <x v="9"/>
    <n v="2115270265100"/>
    <x v="1524"/>
    <d v="2022-04-26T22:00:00"/>
    <d v="1899-12-30T01:45:00"/>
    <n v="171.42857143427341"/>
    <s v="UNPLANNED"/>
    <x v="0"/>
    <d v="1899-12-30T20:15:00"/>
    <x v="1"/>
  </r>
  <r>
    <n v="4415"/>
    <x v="13"/>
    <n v="3115270306602"/>
    <x v="1525"/>
    <d v="2022-04-27T09:00:00"/>
    <d v="1899-12-30T00:30:00"/>
    <n v="599.99999993015081"/>
    <s v="UNPLANNED"/>
    <x v="1"/>
    <d v="1899-12-30T08:30:00"/>
    <x v="0"/>
  </r>
  <r>
    <n v="4416"/>
    <x v="4"/>
    <n v="15115271782108"/>
    <x v="1526"/>
    <d v="2022-04-27T14:05:00"/>
    <d v="1899-12-30T02:05:00"/>
    <n v="144.00000000134111"/>
    <s v="UNPLANNED"/>
    <x v="0"/>
    <d v="1899-12-30T12:00:00"/>
    <x v="0"/>
  </r>
  <r>
    <n v="4417"/>
    <x v="2"/>
    <n v="12115271579800"/>
    <x v="1526"/>
    <d v="2022-04-27T14:05:00"/>
    <d v="1899-12-30T02:05:00"/>
    <n v="144.00000000134111"/>
    <s v="UNPLANNED"/>
    <x v="1"/>
    <d v="1899-12-30T12:00:00"/>
    <x v="0"/>
  </r>
  <r>
    <n v="4418"/>
    <x v="11"/>
    <n v="10115271410100"/>
    <x v="1527"/>
    <d v="2022-04-27T14:05:00"/>
    <d v="1899-12-30T03:55:00"/>
    <n v="76.595744680471626"/>
    <s v="UNPLANNED"/>
    <x v="1"/>
    <d v="1899-12-30T10:10:00"/>
    <x v="0"/>
  </r>
  <r>
    <n v="4419"/>
    <x v="7"/>
    <n v="7115271782902"/>
    <x v="1528"/>
    <d v="2022-04-27T14:05:00"/>
    <d v="1899-12-30T03:35:00"/>
    <n v="83.720930233011458"/>
    <s v="UNPLANNED"/>
    <x v="1"/>
    <d v="1899-12-30T10:30:00"/>
    <x v="0"/>
  </r>
  <r>
    <n v="4420"/>
    <x v="1"/>
    <n v="6115271692206"/>
    <x v="1529"/>
    <d v="2022-04-27T14:05:00"/>
    <d v="1899-12-30T02:20:00"/>
    <n v="128.57142857570506"/>
    <s v="UNPLANNED"/>
    <x v="1"/>
    <d v="1899-12-30T11:45:00"/>
    <x v="0"/>
  </r>
  <r>
    <n v="4421"/>
    <x v="14"/>
    <n v="1115270063601"/>
    <x v="1526"/>
    <d v="2022-04-27T14:05:00"/>
    <d v="1899-12-30T02:05:00"/>
    <n v="144.00000000134111"/>
    <s v="UNPLANNED"/>
    <x v="0"/>
    <d v="1899-12-30T12:00:00"/>
    <x v="0"/>
  </r>
  <r>
    <n v="4422"/>
    <x v="5"/>
    <n v="13115271655301"/>
    <x v="1530"/>
    <d v="2022-04-27T22:15:00"/>
    <d v="1899-12-30T01:15:00"/>
    <n v="239.99999998882413"/>
    <s v="UNPLANNED"/>
    <x v="0"/>
    <d v="1899-12-30T21:00:00"/>
    <x v="1"/>
  </r>
  <r>
    <n v="4423"/>
    <x v="2"/>
    <n v="12115271581900"/>
    <x v="1531"/>
    <d v="2022-04-27T22:15:00"/>
    <d v="1899-12-30T03:45:00"/>
    <n v="80"/>
    <s v="UNPLANNED"/>
    <x v="1"/>
    <d v="1899-12-30T18:30:00"/>
    <x v="1"/>
  </r>
  <r>
    <n v="4424"/>
    <x v="7"/>
    <n v="7115271771010"/>
    <x v="1531"/>
    <d v="2022-04-27T22:15:00"/>
    <d v="1899-12-30T03:45:00"/>
    <n v="80"/>
    <s v="UNPLANNED"/>
    <x v="0"/>
    <d v="1899-12-30T18:30:00"/>
    <x v="1"/>
  </r>
  <r>
    <n v="4425"/>
    <x v="1"/>
    <n v="6115271698300"/>
    <x v="1531"/>
    <d v="2022-04-27T22:15:00"/>
    <d v="1899-12-30T03:45:00"/>
    <n v="80"/>
    <s v="UNPLANNED"/>
    <x v="1"/>
    <d v="1899-12-30T18:30:00"/>
    <x v="1"/>
  </r>
  <r>
    <n v="4426"/>
    <x v="14"/>
    <n v="1115270032100"/>
    <x v="1532"/>
    <d v="2022-04-27T22:15:00"/>
    <d v="1899-12-30T02:32:00"/>
    <n v="118.4210526292208"/>
    <s v="UNPLANNED"/>
    <x v="6"/>
    <d v="1899-12-30T19:43:00"/>
    <x v="1"/>
  </r>
  <r>
    <n v="4427"/>
    <x v="11"/>
    <n v="10115271958401"/>
    <x v="1533"/>
    <d v="2022-04-28T02:40:00"/>
    <d v="1899-12-30T01:20:00"/>
    <n v="225.00000000327418"/>
    <s v="UNPLANNED"/>
    <x v="0"/>
    <d v="1899-12-30T01:20:00"/>
    <x v="2"/>
  </r>
  <r>
    <n v="4428"/>
    <x v="7"/>
    <n v="7115271769607"/>
    <x v="1533"/>
    <d v="2022-04-28T02:40:00"/>
    <d v="1899-12-30T01:20:00"/>
    <n v="225.00000000327418"/>
    <s v="UNPLANNED"/>
    <x v="0"/>
    <d v="1899-12-30T01:20:00"/>
    <x v="2"/>
  </r>
  <r>
    <n v="4429"/>
    <x v="1"/>
    <n v="6115271733505"/>
    <x v="1533"/>
    <d v="2022-04-28T02:40:00"/>
    <d v="1899-12-30T01:20:00"/>
    <n v="225.00000000327418"/>
    <s v="UNPLANNED"/>
    <x v="2"/>
    <d v="1899-12-30T01:20:00"/>
    <x v="2"/>
  </r>
  <r>
    <n v="4430"/>
    <x v="5"/>
    <n v="13115271590901"/>
    <x v="1534"/>
    <d v="2022-04-28T10:00:00"/>
    <d v="1899-12-30T02:00:00"/>
    <n v="150.00000000873115"/>
    <s v="UNPLANNED"/>
    <x v="3"/>
    <d v="1899-12-30T08:00:00"/>
    <x v="0"/>
  </r>
  <r>
    <n v="4431"/>
    <x v="2"/>
    <n v="12115271560113"/>
    <x v="1535"/>
    <d v="2022-04-28T10:00:00"/>
    <d v="1899-12-30T02:15:00"/>
    <n v="133.33333333333331"/>
    <s v="UNPLANNED"/>
    <x v="0"/>
    <d v="1899-12-30T07:45:00"/>
    <x v="0"/>
  </r>
  <r>
    <n v="4432"/>
    <x v="8"/>
    <n v="4115270812600"/>
    <x v="1536"/>
    <d v="2022-04-28T14:10:00"/>
    <d v="1899-12-30T01:10:00"/>
    <n v="257.14285711292177"/>
    <s v="UNPLANNED"/>
    <x v="0"/>
    <d v="1899-12-30T13:00:00"/>
    <x v="0"/>
  </r>
  <r>
    <n v="4433"/>
    <x v="12"/>
    <n v="14115271679800"/>
    <x v="1537"/>
    <d v="2022-04-28T20:15:00"/>
    <d v="1899-12-30T04:15:00"/>
    <n v="70.588235293150888"/>
    <s v="UNPLANNED"/>
    <x v="0"/>
    <d v="1899-12-30T16:00:00"/>
    <x v="1"/>
  </r>
  <r>
    <n v="4434"/>
    <x v="2"/>
    <n v="12115271581916"/>
    <x v="1537"/>
    <d v="2022-04-28T20:15:00"/>
    <d v="1899-12-30T04:15:00"/>
    <n v="70.588235293150888"/>
    <s v="UNPLANNED"/>
    <x v="3"/>
    <d v="1899-12-30T16:00:00"/>
    <x v="1"/>
  </r>
  <r>
    <n v="4435"/>
    <x v="2"/>
    <n v="12115271560810"/>
    <x v="1538"/>
    <d v="2022-04-28T20:15:00"/>
    <d v="1899-12-30T03:40:00"/>
    <n v="81.818181816450021"/>
    <s v="UNPLANNED"/>
    <x v="1"/>
    <d v="1899-12-30T16:35:00"/>
    <x v="1"/>
  </r>
  <r>
    <n v="4436"/>
    <x v="11"/>
    <n v="10115271453906"/>
    <x v="1537"/>
    <d v="2022-04-28T20:15:00"/>
    <d v="1899-12-30T04:15:00"/>
    <n v="70.588235293150888"/>
    <s v="UNPLANNED"/>
    <x v="0"/>
    <d v="1899-12-30T16:00:00"/>
    <x v="1"/>
  </r>
  <r>
    <n v="4437"/>
    <x v="14"/>
    <n v="1115270052500"/>
    <x v="1538"/>
    <d v="2022-04-28T20:15:00"/>
    <d v="1899-12-30T03:40:00"/>
    <n v="81.818181816450021"/>
    <s v="UNPLANNED"/>
    <x v="0"/>
    <d v="1899-12-30T16:35:00"/>
    <x v="1"/>
  </r>
  <r>
    <n v="4438"/>
    <x v="7"/>
    <n v="7115271757501"/>
    <x v="1539"/>
    <d v="2022-04-28T21:50:00"/>
    <d v="1899-12-30T01:10:00"/>
    <n v="257.14285715141011"/>
    <s v="UNPLANNED"/>
    <x v="1"/>
    <d v="1899-12-30T20:40:00"/>
    <x v="1"/>
  </r>
  <r>
    <n v="4439"/>
    <x v="1"/>
    <n v="6115271733505"/>
    <x v="1539"/>
    <d v="2022-04-28T21:50:00"/>
    <d v="1899-12-30T01:10:00"/>
    <n v="257.14285715141011"/>
    <s v="UNPLANNED"/>
    <x v="1"/>
    <d v="1899-12-30T20:40:00"/>
    <x v="1"/>
  </r>
  <r>
    <n v="4440"/>
    <x v="17"/>
    <n v="46115272723400"/>
    <x v="1540"/>
    <d v="2022-04-29T00:50:00"/>
    <d v="1899-12-30T01:20:00"/>
    <n v="225.00000000327418"/>
    <s v="UNPLANNED"/>
    <x v="2"/>
    <d v="1899-12-30T23:30:00"/>
    <x v="2"/>
  </r>
  <r>
    <n v="4441"/>
    <x v="13"/>
    <n v="3115270316804"/>
    <x v="1540"/>
    <d v="2022-04-29T00:50:00"/>
    <d v="1899-12-30T01:20:00"/>
    <n v="225.00000000327418"/>
    <s v="UNPLANNED"/>
    <x v="2"/>
    <d v="1899-12-30T23:30:00"/>
    <x v="2"/>
  </r>
  <r>
    <n v="4442"/>
    <x v="12"/>
    <n v="14115271715102"/>
    <x v="1541"/>
    <d v="2022-04-29T02:50:00"/>
    <d v="1899-12-30T01:30:00"/>
    <n v="200"/>
    <s v="UNPLANNED"/>
    <x v="1"/>
    <d v="1899-12-30T01:20:00"/>
    <x v="2"/>
  </r>
  <r>
    <n v="4443"/>
    <x v="0"/>
    <n v="5115270974205"/>
    <x v="1541"/>
    <d v="2022-04-29T02:50:00"/>
    <d v="1899-12-30T01:30:00"/>
    <n v="200"/>
    <s v="UNPLANNED"/>
    <x v="1"/>
    <d v="1899-12-30T01:20:00"/>
    <x v="2"/>
  </r>
  <r>
    <n v="4444"/>
    <x v="9"/>
    <n v="2115270188400"/>
    <x v="1542"/>
    <d v="2022-04-29T10:15:00"/>
    <d v="1899-12-30T01:30:00"/>
    <n v="200"/>
    <s v="UNPLANNED"/>
    <x v="0"/>
    <d v="1899-12-30T08:45:00"/>
    <x v="0"/>
  </r>
  <r>
    <n v="4445"/>
    <x v="14"/>
    <n v="1115270010300"/>
    <x v="1542"/>
    <d v="2022-04-29T10:15:00"/>
    <d v="1899-12-30T01:30:00"/>
    <n v="200"/>
    <s v="UNPLANNED"/>
    <x v="0"/>
    <d v="1899-12-30T08:45:00"/>
    <x v="0"/>
  </r>
  <r>
    <n v="4446"/>
    <x v="2"/>
    <n v="12115271573210"/>
    <x v="1543"/>
    <d v="2022-04-29T14:25:00"/>
    <d v="1899-12-30T03:25:00"/>
    <n v="87.804878049777741"/>
    <s v="UNPLANNED"/>
    <x v="2"/>
    <d v="1899-12-30T11:00:00"/>
    <x v="0"/>
  </r>
  <r>
    <n v="4447"/>
    <x v="11"/>
    <n v="10115271461100"/>
    <x v="1543"/>
    <d v="2022-04-29T14:25:00"/>
    <d v="1899-12-30T03:25:00"/>
    <n v="87.804878049777741"/>
    <s v="UNPLANNED"/>
    <x v="0"/>
    <d v="1899-12-30T11:00:00"/>
    <x v="0"/>
  </r>
  <r>
    <n v="4448"/>
    <x v="11"/>
    <n v="10115271441700"/>
    <x v="1543"/>
    <d v="2022-04-29T14:25:00"/>
    <d v="1899-12-30T03:25:00"/>
    <n v="87.804878049777741"/>
    <s v="UNPLANNED"/>
    <x v="1"/>
    <d v="1899-12-30T11:00:00"/>
    <x v="0"/>
  </r>
  <r>
    <n v="4449"/>
    <x v="3"/>
    <n v="8115271810101"/>
    <x v="1543"/>
    <d v="2022-04-29T14:25:00"/>
    <d v="1899-12-30T03:25:00"/>
    <n v="87.804878049777741"/>
    <s v="UNPLANNED"/>
    <x v="1"/>
    <d v="1899-12-30T11:00:00"/>
    <x v="0"/>
  </r>
  <r>
    <n v="4450"/>
    <x v="7"/>
    <n v="7115271757100"/>
    <x v="1543"/>
    <d v="2022-04-29T14:25:00"/>
    <d v="1899-12-30T03:25:00"/>
    <n v="87.804878049777741"/>
    <s v="UNPLANNED"/>
    <x v="1"/>
    <d v="1899-12-30T11:00:00"/>
    <x v="0"/>
  </r>
  <r>
    <n v="4451"/>
    <x v="14"/>
    <n v="1115270062501"/>
    <x v="1543"/>
    <d v="2022-04-29T14:25:00"/>
    <d v="1899-12-30T03:25:00"/>
    <n v="87.804878049777741"/>
    <s v="UNPLANNED"/>
    <x v="0"/>
    <d v="1899-12-30T11:00:00"/>
    <x v="0"/>
  </r>
  <r>
    <n v="4452"/>
    <x v="3"/>
    <n v="8115271856100"/>
    <x v="1544"/>
    <d v="2022-04-29T21:20:00"/>
    <d v="1899-12-30T02:50:00"/>
    <n v="105.88235294190156"/>
    <s v="UNPLANNED"/>
    <x v="0"/>
    <d v="1899-12-30T18:30:00"/>
    <x v="1"/>
  </r>
  <r>
    <n v="4453"/>
    <x v="3"/>
    <n v="8115271855800"/>
    <x v="1545"/>
    <d v="2022-04-29T21:20:00"/>
    <d v="1899-12-30T02:15:00"/>
    <n v="133.33333333333331"/>
    <s v="UNPLANNED"/>
    <x v="3"/>
    <d v="1899-12-30T19:05:00"/>
    <x v="1"/>
  </r>
  <r>
    <n v="4454"/>
    <x v="7"/>
    <n v="7115271793800"/>
    <x v="1545"/>
    <d v="2022-04-29T21:20:00"/>
    <d v="1899-12-30T02:15:00"/>
    <n v="133.33333333333331"/>
    <s v="UNPLANNED"/>
    <x v="1"/>
    <d v="1899-12-30T19:05:00"/>
    <x v="1"/>
  </r>
  <r>
    <n v="4455"/>
    <x v="7"/>
    <n v="7115271757800"/>
    <x v="1544"/>
    <d v="2022-04-29T21:20:00"/>
    <d v="1899-12-30T02:50:00"/>
    <n v="105.88235294190156"/>
    <s v="UNPLANNED"/>
    <x v="1"/>
    <d v="1899-12-30T18:30:00"/>
    <x v="1"/>
  </r>
  <r>
    <n v="4456"/>
    <x v="14"/>
    <n v="1115270098000"/>
    <x v="1544"/>
    <d v="2022-04-29T21:20:00"/>
    <d v="1899-12-30T02:50:00"/>
    <n v="105.88235294190156"/>
    <s v="UNPLANNED"/>
    <x v="0"/>
    <d v="1899-12-30T18:30:00"/>
    <x v="1"/>
  </r>
  <r>
    <n v="4457"/>
    <x v="10"/>
    <n v="11115271508000"/>
    <x v="1546"/>
    <d v="2022-04-30T01:15:00"/>
    <d v="1899-12-30T00:45:00"/>
    <n v="400"/>
    <s v="UNPLANNED"/>
    <x v="1"/>
    <d v="1899-12-30T00:30:00"/>
    <x v="2"/>
  </r>
  <r>
    <n v="4458"/>
    <x v="13"/>
    <n v="3115270380500"/>
    <x v="1547"/>
    <d v="2022-04-30T02:50:00"/>
    <d v="1899-12-30T01:05:00"/>
    <n v="276.9230769131575"/>
    <s v="UNPLANNED"/>
    <x v="1"/>
    <d v="1899-12-30T01:45:00"/>
    <x v="2"/>
  </r>
  <r>
    <n v="4459"/>
    <x v="7"/>
    <n v="7115271783107"/>
    <x v="1548"/>
    <d v="2022-04-30T04:15:00"/>
    <d v="1899-12-30T00:55:00"/>
    <n v="327.27272726580009"/>
    <s v="UNPLANNED"/>
    <x v="1"/>
    <d v="1899-12-30T03:20:00"/>
    <x v="2"/>
  </r>
  <r>
    <n v="4460"/>
    <x v="5"/>
    <n v="13115271590601"/>
    <x v="1549"/>
    <d v="2022-04-30T13:50:00"/>
    <d v="1899-12-30T03:20:00"/>
    <n v="89.999999998952262"/>
    <s v="UNPLANNED"/>
    <x v="1"/>
    <d v="1899-12-30T10:30:00"/>
    <x v="0"/>
  </r>
  <r>
    <n v="4461"/>
    <x v="10"/>
    <n v="11115271508300"/>
    <x v="1550"/>
    <d v="2022-04-30T13:50:00"/>
    <d v="1899-12-30T04:40:00"/>
    <n v="64.285714285447"/>
    <s v="UNPLANNED"/>
    <x v="1"/>
    <d v="1899-12-30T09:10:00"/>
    <x v="0"/>
  </r>
  <r>
    <n v="4462"/>
    <x v="11"/>
    <n v="10115271963700"/>
    <x v="1551"/>
    <d v="2022-04-30T13:50:00"/>
    <d v="1899-12-30T03:35:00"/>
    <n v="83.720930233011458"/>
    <s v="UNPLANNED"/>
    <x v="2"/>
    <d v="1899-12-30T10:15:00"/>
    <x v="0"/>
  </r>
  <r>
    <n v="4463"/>
    <x v="6"/>
    <n v="9115270644701"/>
    <x v="1551"/>
    <d v="2022-04-30T13:50:00"/>
    <d v="1899-12-30T03:35:00"/>
    <n v="83.720930233011458"/>
    <s v="UNPLANNED"/>
    <x v="0"/>
    <d v="1899-12-30T10:15:00"/>
    <x v="0"/>
  </r>
  <r>
    <n v="4464"/>
    <x v="7"/>
    <n v="7115271769601"/>
    <x v="1549"/>
    <d v="2022-04-30T13:50:00"/>
    <d v="1899-12-30T03:20:00"/>
    <n v="89.999999998952262"/>
    <s v="UNPLANNED"/>
    <x v="3"/>
    <d v="1899-12-30T10:30:00"/>
    <x v="0"/>
  </r>
  <r>
    <n v="4465"/>
    <x v="7"/>
    <n v="7115271758907"/>
    <x v="1552"/>
    <d v="2022-04-30T13:50:00"/>
    <d v="1899-12-30T03:50:00"/>
    <n v="78.260869563236795"/>
    <s v="UNPLANNED"/>
    <x v="1"/>
    <d v="1899-12-30T10:00:00"/>
    <x v="0"/>
  </r>
  <r>
    <n v="4466"/>
    <x v="1"/>
    <n v="6115271723903"/>
    <x v="1549"/>
    <d v="2022-04-30T13:50:00"/>
    <d v="1899-12-30T03:20:00"/>
    <n v="89.999999998952262"/>
    <s v="UNPLANNED"/>
    <x v="0"/>
    <d v="1899-12-30T10:30:00"/>
    <x v="0"/>
  </r>
  <r>
    <n v="4467"/>
    <x v="0"/>
    <n v="5115271257900"/>
    <x v="1550"/>
    <d v="2022-04-30T13:50:00"/>
    <d v="1899-12-30T04:40:00"/>
    <n v="64.285714285447"/>
    <s v="UNPLANNED"/>
    <x v="1"/>
    <d v="1899-12-30T09:10:00"/>
    <x v="0"/>
  </r>
  <r>
    <n v="4468"/>
    <x v="13"/>
    <n v="3115270306500"/>
    <x v="1551"/>
    <d v="2022-04-30T13:50:00"/>
    <d v="1899-12-30T03:35:00"/>
    <n v="83.720930233011458"/>
    <s v="UNPLANNED"/>
    <x v="2"/>
    <d v="1899-12-30T10:15:00"/>
    <x v="0"/>
  </r>
  <r>
    <n v="4469"/>
    <x v="2"/>
    <n v="12115271572309"/>
    <x v="1553"/>
    <d v="2022-04-30T22:05:00"/>
    <d v="1899-12-30T05:20:00"/>
    <n v="56.249999998976818"/>
    <s v="UNPLANNED"/>
    <x v="0"/>
    <d v="1899-12-30T16:45:00"/>
    <x v="1"/>
  </r>
  <r>
    <n v="4470"/>
    <x v="7"/>
    <n v="7115271768300"/>
    <x v="1553"/>
    <d v="2022-04-30T22:05:00"/>
    <d v="1899-12-30T05:20:00"/>
    <n v="56.249999998976818"/>
    <s v="UNPLANNED"/>
    <x v="1"/>
    <d v="1899-12-30T16:45:00"/>
    <x v="1"/>
  </r>
  <r>
    <n v="4471"/>
    <x v="1"/>
    <n v="6115271721306"/>
    <x v="1553"/>
    <d v="2022-04-30T22:05:00"/>
    <d v="1899-12-30T05:20:00"/>
    <n v="56.249999998976818"/>
    <s v="UNPLANNED"/>
    <x v="2"/>
    <d v="1899-12-30T16:45:00"/>
    <x v="1"/>
  </r>
  <r>
    <n v="4472"/>
    <x v="0"/>
    <n v="5115271660201"/>
    <x v="1553"/>
    <d v="2022-04-30T22:05:00"/>
    <d v="1899-12-30T05:20:00"/>
    <n v="56.249999998976818"/>
    <s v="UNPLANNED"/>
    <x v="2"/>
    <d v="1899-12-30T16:45:00"/>
    <x v="1"/>
  </r>
  <r>
    <n v="4473"/>
    <x v="13"/>
    <n v="3115270386402"/>
    <x v="1553"/>
    <d v="2022-04-30T22:05:00"/>
    <d v="1899-12-30T05:20:00"/>
    <n v="56.249999998976818"/>
    <s v="UNPLANNED"/>
    <x v="3"/>
    <d v="1899-12-30T16:45:00"/>
    <x v="1"/>
  </r>
  <r>
    <n v="4474"/>
    <x v="12"/>
    <n v="14115271773123"/>
    <x v="1554"/>
    <d v="2022-05-01T12:00:00"/>
    <d v="1899-12-30T00:45:00"/>
    <n v="400"/>
    <s v="UNPLANNED"/>
    <x v="0"/>
    <d v="1899-12-30T11:15:00"/>
    <x v="0"/>
  </r>
  <r>
    <n v="4475"/>
    <x v="2"/>
    <n v="12115271572400"/>
    <x v="1554"/>
    <d v="2022-05-01T12:00:00"/>
    <d v="1899-12-30T00:45:00"/>
    <n v="400"/>
    <s v="UNPLANNED"/>
    <x v="0"/>
    <d v="1899-12-30T11:15:00"/>
    <x v="0"/>
  </r>
  <r>
    <n v="4476"/>
    <x v="1"/>
    <n v="6115271699100"/>
    <x v="1555"/>
    <d v="2022-05-01T12:00:00"/>
    <d v="1899-12-30T02:00:00"/>
    <n v="149.99999999563443"/>
    <s v="UNPLANNED"/>
    <x v="0"/>
    <d v="1899-12-30T10:00:00"/>
    <x v="0"/>
  </r>
  <r>
    <n v="4477"/>
    <x v="5"/>
    <n v="13115271633608"/>
    <x v="1556"/>
    <d v="2022-05-01T13:55:00"/>
    <d v="1899-12-30T00:40:00"/>
    <n v="450.00000006548362"/>
    <s v="UNPLANNED"/>
    <x v="1"/>
    <d v="1899-12-30T13:15:00"/>
    <x v="0"/>
  </r>
  <r>
    <n v="4478"/>
    <x v="11"/>
    <n v="10115271433703"/>
    <x v="1557"/>
    <d v="2022-05-01T13:55:00"/>
    <d v="1899-12-30T00:55:00"/>
    <n v="327.27272726580009"/>
    <s v="UNPLANNED"/>
    <x v="0"/>
    <d v="1899-12-30T13:00:00"/>
    <x v="0"/>
  </r>
  <r>
    <n v="4479"/>
    <x v="7"/>
    <n v="7115271804520"/>
    <x v="1556"/>
    <d v="2022-05-01T13:55:00"/>
    <d v="1899-12-30T00:40:00"/>
    <n v="450.00000006548362"/>
    <s v="UNPLANNED"/>
    <x v="0"/>
    <d v="1899-12-30T13:15:00"/>
    <x v="0"/>
  </r>
  <r>
    <n v="4480"/>
    <x v="2"/>
    <n v="12115271589004"/>
    <x v="1558"/>
    <d v="2022-05-01T21:20:00"/>
    <d v="1899-12-30T04:15:00"/>
    <n v="70.588235293150888"/>
    <s v="UNPLANNED"/>
    <x v="0"/>
    <d v="1899-12-30T17:05:00"/>
    <x v="1"/>
  </r>
  <r>
    <n v="4481"/>
    <x v="2"/>
    <n v="12115271573401"/>
    <x v="1558"/>
    <d v="2022-05-01T21:20:00"/>
    <d v="1899-12-30T04:15:00"/>
    <n v="70.588235293150888"/>
    <s v="UNPLANNED"/>
    <x v="0"/>
    <d v="1899-12-30T17:05:00"/>
    <x v="1"/>
  </r>
  <r>
    <n v="4482"/>
    <x v="2"/>
    <n v="12115271562116"/>
    <x v="1558"/>
    <d v="2022-05-01T21:20:00"/>
    <d v="1899-12-30T04:15:00"/>
    <n v="70.588235293150888"/>
    <s v="UNPLANNED"/>
    <x v="0"/>
    <d v="1899-12-30T17:05:00"/>
    <x v="1"/>
  </r>
  <r>
    <n v="4483"/>
    <x v="1"/>
    <n v="6115271722200"/>
    <x v="1558"/>
    <d v="2022-05-01T21:20:00"/>
    <d v="1899-12-30T04:15:00"/>
    <n v="70.588235293150888"/>
    <s v="UNPLANNED"/>
    <x v="0"/>
    <d v="1899-12-30T17:05:00"/>
    <x v="1"/>
  </r>
  <r>
    <n v="4484"/>
    <x v="0"/>
    <n v="5115271685022"/>
    <x v="1558"/>
    <d v="2022-05-01T21:20:00"/>
    <d v="1899-12-30T04:15:00"/>
    <n v="70.588235293150888"/>
    <s v="UNPLANNED"/>
    <x v="0"/>
    <d v="1899-12-30T17:05:00"/>
    <x v="1"/>
  </r>
  <r>
    <n v="4485"/>
    <x v="0"/>
    <n v="5115271239606"/>
    <x v="1558"/>
    <d v="2022-05-01T21:20:00"/>
    <d v="1899-12-30T04:15:00"/>
    <n v="70.588235293150888"/>
    <s v="UNPLANNED"/>
    <x v="0"/>
    <d v="1899-12-30T17:05:00"/>
    <x v="1"/>
  </r>
  <r>
    <n v="4486"/>
    <x v="13"/>
    <n v="3115270362100"/>
    <x v="1558"/>
    <d v="2022-05-01T21:20:00"/>
    <d v="1899-12-30T04:15:00"/>
    <n v="70.588235293150888"/>
    <s v="UNPLANNED"/>
    <x v="0"/>
    <d v="1899-12-30T17:05:00"/>
    <x v="1"/>
  </r>
  <r>
    <n v="4487"/>
    <x v="13"/>
    <n v="3115270360700"/>
    <x v="1558"/>
    <d v="2022-05-01T21:20:00"/>
    <d v="1899-12-30T04:15:00"/>
    <n v="70.588235293150888"/>
    <s v="UNPLANNED"/>
    <x v="0"/>
    <d v="1899-12-30T17:05:00"/>
    <x v="1"/>
  </r>
  <r>
    <n v="4488"/>
    <x v="1"/>
    <n v="6115271691601"/>
    <x v="1559"/>
    <d v="2022-05-02T00:45:00"/>
    <d v="1899-12-30T01:45:00"/>
    <n v="171.42857143427341"/>
    <s v="UNPLANNED"/>
    <x v="0"/>
    <d v="1899-12-30T23:00:00"/>
    <x v="2"/>
  </r>
  <r>
    <n v="4489"/>
    <x v="12"/>
    <n v="14115271723600"/>
    <x v="1560"/>
    <d v="2022-05-02T02:15:00"/>
    <d v="1899-12-30T01:05:00"/>
    <n v="276.9230769131575"/>
    <s v="UNPLANNED"/>
    <x v="1"/>
    <d v="1899-12-30T01:10:00"/>
    <x v="2"/>
  </r>
  <r>
    <n v="4490"/>
    <x v="7"/>
    <n v="7115271792408"/>
    <x v="1560"/>
    <d v="2022-05-02T02:15:00"/>
    <d v="1899-12-30T01:05:00"/>
    <n v="276.9230769131575"/>
    <s v="UNPLANNED"/>
    <x v="0"/>
    <d v="1899-12-30T01:10:00"/>
    <x v="2"/>
  </r>
  <r>
    <n v="4491"/>
    <x v="12"/>
    <n v="14115271723603"/>
    <x v="1561"/>
    <d v="2022-05-02T13:50:00"/>
    <d v="1899-12-30T01:50:00"/>
    <n v="163.63636363290004"/>
    <s v="UNPLANNED"/>
    <x v="1"/>
    <d v="1899-12-30T12:00:00"/>
    <x v="0"/>
  </r>
  <r>
    <n v="4492"/>
    <x v="2"/>
    <n v="12115271583900"/>
    <x v="1562"/>
    <d v="2022-05-02T13:50:00"/>
    <d v="1899-12-30T02:20:00"/>
    <n v="128.57142856608297"/>
    <s v="UNPLANNED"/>
    <x v="0"/>
    <d v="1899-12-30T11:30:00"/>
    <x v="0"/>
  </r>
  <r>
    <n v="4493"/>
    <x v="13"/>
    <n v="3115270421800"/>
    <x v="1561"/>
    <d v="2022-05-02T13:50:00"/>
    <d v="1899-12-30T01:50:00"/>
    <n v="163.63636363290004"/>
    <s v="UNPLANNED"/>
    <x v="0"/>
    <d v="1899-12-30T12:00:00"/>
    <x v="0"/>
  </r>
  <r>
    <n v="4494"/>
    <x v="14"/>
    <n v="1115270107800"/>
    <x v="1561"/>
    <d v="2022-05-02T13:50:00"/>
    <d v="1899-12-30T01:50:00"/>
    <n v="163.63636363290004"/>
    <s v="UNPLANNED"/>
    <x v="0"/>
    <d v="1899-12-30T12:00:00"/>
    <x v="0"/>
  </r>
  <r>
    <n v="4495"/>
    <x v="4"/>
    <n v="15115271743402"/>
    <x v="1563"/>
    <d v="2022-05-02T21:40:00"/>
    <d v="1899-12-30T05:23:00"/>
    <n v="55.727554178682816"/>
    <s v="UNPLANNED"/>
    <x v="2"/>
    <d v="1899-12-30T16:17:00"/>
    <x v="1"/>
  </r>
  <r>
    <n v="4496"/>
    <x v="12"/>
    <n v="14115271679800"/>
    <x v="1563"/>
    <d v="2022-05-02T21:40:00"/>
    <d v="1899-12-30T05:23:00"/>
    <n v="55.727554178682816"/>
    <s v="UNPLANNED"/>
    <x v="0"/>
    <d v="1899-12-30T16:17:00"/>
    <x v="1"/>
  </r>
  <r>
    <n v="4497"/>
    <x v="11"/>
    <n v="10115271478602"/>
    <x v="1563"/>
    <d v="2022-05-02T21:40:00"/>
    <d v="1899-12-30T05:23:00"/>
    <n v="55.727554178682816"/>
    <s v="UNPLANNED"/>
    <x v="1"/>
    <d v="1899-12-30T16:17:00"/>
    <x v="1"/>
  </r>
  <r>
    <n v="4498"/>
    <x v="11"/>
    <n v="10115270979505"/>
    <x v="1563"/>
    <d v="2022-05-02T21:40:00"/>
    <d v="1899-12-30T05:23:00"/>
    <n v="55.727554178682816"/>
    <s v="UNPLANNED"/>
    <x v="0"/>
    <d v="1899-12-30T16:17:00"/>
    <x v="1"/>
  </r>
  <r>
    <n v="4499"/>
    <x v="7"/>
    <n v="7115271804909"/>
    <x v="1563"/>
    <d v="2022-05-02T21:40:00"/>
    <d v="1899-12-30T05:23:00"/>
    <n v="55.727554178682816"/>
    <s v="UNPLANNED"/>
    <x v="0"/>
    <d v="1899-12-30T16:17:00"/>
    <x v="1"/>
  </r>
  <r>
    <n v="4500"/>
    <x v="7"/>
    <n v="7115271792600"/>
    <x v="1563"/>
    <d v="2022-05-02T21:40:00"/>
    <d v="1899-12-30T05:23:00"/>
    <n v="55.727554178682816"/>
    <s v="UNPLANNED"/>
    <x v="1"/>
    <d v="1899-12-30T16:17:00"/>
    <x v="1"/>
  </r>
  <r>
    <n v="4501"/>
    <x v="7"/>
    <n v="7115271787212"/>
    <x v="1563"/>
    <d v="2022-05-02T21:40:00"/>
    <d v="1899-12-30T05:23:00"/>
    <n v="55.727554178682816"/>
    <s v="UNPLANNED"/>
    <x v="0"/>
    <d v="1899-12-30T16:17:00"/>
    <x v="1"/>
  </r>
  <r>
    <n v="4502"/>
    <x v="9"/>
    <n v="2115270261600"/>
    <x v="1563"/>
    <d v="2022-05-02T21:40:00"/>
    <d v="1899-12-30T05:23:00"/>
    <n v="55.727554178682816"/>
    <s v="UNPLANNED"/>
    <x v="0"/>
    <d v="1899-12-30T16:17:00"/>
    <x v="1"/>
  </r>
  <r>
    <n v="4503"/>
    <x v="14"/>
    <n v="1115270062400"/>
    <x v="1564"/>
    <d v="2022-05-02T23:30:00"/>
    <d v="1899-12-30T00:40:00"/>
    <n v="450.00000006548362"/>
    <s v="UNPLANNED"/>
    <x v="0"/>
    <d v="1899-12-30T22:50:00"/>
    <x v="2"/>
  </r>
  <r>
    <n v="4504"/>
    <x v="2"/>
    <n v="12115271560113"/>
    <x v="1565"/>
    <d v="2022-05-03T02:35:00"/>
    <d v="1899-12-30T02:10:00"/>
    <n v="138.46153845657875"/>
    <s v="UNPLANNED"/>
    <x v="0"/>
    <d v="1899-12-30T00:25:00"/>
    <x v="2"/>
  </r>
  <r>
    <n v="4505"/>
    <x v="11"/>
    <n v="10115271453603"/>
    <x v="1565"/>
    <d v="2022-05-03T02:35:00"/>
    <d v="1899-12-30T02:10:00"/>
    <n v="138.46153845657875"/>
    <s v="UNPLANNED"/>
    <x v="0"/>
    <d v="1899-12-30T00:25:00"/>
    <x v="2"/>
  </r>
  <r>
    <n v="4506"/>
    <x v="2"/>
    <n v="12115271569303"/>
    <x v="1566"/>
    <d v="2022-05-03T13:45:00"/>
    <d v="1899-12-30T00:50:00"/>
    <n v="360.00000003352761"/>
    <s v="UNPLANNED"/>
    <x v="0"/>
    <d v="1899-12-30T12:55:00"/>
    <x v="0"/>
  </r>
  <r>
    <n v="4507"/>
    <x v="13"/>
    <n v="3115270355900"/>
    <x v="1566"/>
    <d v="2022-05-03T13:45:00"/>
    <d v="1899-12-30T00:50:00"/>
    <n v="360.00000003352761"/>
    <s v="UNPLANNED"/>
    <x v="0"/>
    <d v="1899-12-30T12:55:00"/>
    <x v="0"/>
  </r>
  <r>
    <n v="4508"/>
    <x v="13"/>
    <n v="3115270324503"/>
    <x v="1566"/>
    <d v="2022-05-03T13:45:00"/>
    <d v="1899-12-30T00:50:00"/>
    <n v="360.00000003352761"/>
    <s v="UNPLANNED"/>
    <x v="1"/>
    <d v="1899-12-30T12:55:00"/>
    <x v="0"/>
  </r>
  <r>
    <n v="4509"/>
    <x v="1"/>
    <n v="6115271733500"/>
    <x v="1567"/>
    <d v="2022-05-03T22:30:00"/>
    <d v="1899-12-30T05:23:00"/>
    <n v="55.727554178682816"/>
    <s v="UNPLANNED"/>
    <x v="0"/>
    <d v="1899-12-30T17:07:00"/>
    <x v="1"/>
  </r>
  <r>
    <n v="4510"/>
    <x v="13"/>
    <n v="3115270421100"/>
    <x v="1567"/>
    <d v="2022-05-03T22:30:00"/>
    <d v="1899-12-30T05:23:00"/>
    <n v="55.727554178682816"/>
    <s v="UNPLANNED"/>
    <x v="0"/>
    <d v="1899-12-30T17:07:00"/>
    <x v="1"/>
  </r>
  <r>
    <n v="4511"/>
    <x v="13"/>
    <n v="3115270396400"/>
    <x v="1567"/>
    <d v="2022-05-03T22:30:00"/>
    <d v="1899-12-30T05:23:00"/>
    <n v="55.727554178682816"/>
    <s v="UNPLANNED"/>
    <x v="0"/>
    <d v="1899-12-30T17:07:00"/>
    <x v="1"/>
  </r>
  <r>
    <n v="4512"/>
    <x v="13"/>
    <n v="3115270360200"/>
    <x v="1567"/>
    <d v="2022-05-03T22:30:00"/>
    <d v="1899-12-30T05:23:00"/>
    <n v="55.727554178682816"/>
    <s v="UNPLANNED"/>
    <x v="0"/>
    <d v="1899-12-30T17:07:00"/>
    <x v="1"/>
  </r>
  <r>
    <n v="4513"/>
    <x v="9"/>
    <n v="2115270229700"/>
    <x v="1568"/>
    <d v="2022-05-04T01:15:00"/>
    <d v="1899-12-30T02:30:00"/>
    <n v="119.99999999441206"/>
    <s v="UNPLANNED"/>
    <x v="1"/>
    <d v="1899-12-30T22:45:00"/>
    <x v="2"/>
  </r>
  <r>
    <n v="4514"/>
    <x v="14"/>
    <n v="1115270067700"/>
    <x v="1568"/>
    <d v="2022-05-04T01:15:00"/>
    <d v="1899-12-30T02:30:00"/>
    <n v="119.99999999441206"/>
    <s v="UNPLANNED"/>
    <x v="0"/>
    <d v="1899-12-30T22:45:00"/>
    <x v="2"/>
  </r>
  <r>
    <n v="4515"/>
    <x v="4"/>
    <n v="15115271794151"/>
    <x v="1569"/>
    <d v="2022-05-04T14:00:00"/>
    <d v="1899-12-30T03:00:00"/>
    <n v="100"/>
    <s v="UNPLANNED"/>
    <x v="0"/>
    <d v="1899-12-30T11:00:00"/>
    <x v="0"/>
  </r>
  <r>
    <n v="4516"/>
    <x v="2"/>
    <n v="12115271569601"/>
    <x v="1570"/>
    <d v="2022-05-04T14:00:00"/>
    <d v="1899-12-30T05:34:00"/>
    <n v="53.892215569012549"/>
    <s v="UNPLANNED"/>
    <x v="0"/>
    <d v="1899-12-30T08:26:00"/>
    <x v="0"/>
  </r>
  <r>
    <n v="4517"/>
    <x v="2"/>
    <n v="12115271568581"/>
    <x v="1571"/>
    <d v="2022-05-04T14:00:00"/>
    <d v="1899-12-30T01:00:00"/>
    <n v="299.9999999650754"/>
    <s v="UNPLANNED"/>
    <x v="0"/>
    <d v="1899-12-30T13:00:00"/>
    <x v="0"/>
  </r>
  <r>
    <n v="4518"/>
    <x v="11"/>
    <n v="10115271423700"/>
    <x v="1571"/>
    <d v="2022-05-04T14:00:00"/>
    <d v="1899-12-30T01:00:00"/>
    <n v="299.9999999650754"/>
    <s v="UNPLANNED"/>
    <x v="0"/>
    <d v="1899-12-30T13:00:00"/>
    <x v="0"/>
  </r>
  <r>
    <n v="4519"/>
    <x v="3"/>
    <n v="8115271855700"/>
    <x v="1571"/>
    <d v="2022-05-04T14:00:00"/>
    <d v="1899-12-30T01:00:00"/>
    <n v="299.9999999650754"/>
    <s v="UNPLANNED"/>
    <x v="6"/>
    <d v="1899-12-30T13:00:00"/>
    <x v="0"/>
  </r>
  <r>
    <n v="4520"/>
    <x v="13"/>
    <n v="3115270366706"/>
    <x v="1570"/>
    <d v="2022-05-04T14:00:00"/>
    <d v="1899-12-30T05:34:00"/>
    <n v="53.892215569012549"/>
    <s v="UNPLANNED"/>
    <x v="0"/>
    <d v="1899-12-30T08:26:00"/>
    <x v="0"/>
  </r>
  <r>
    <n v="4521"/>
    <x v="13"/>
    <n v="3115270312101"/>
    <x v="1572"/>
    <d v="2022-05-04T14:00:00"/>
    <d v="1899-12-30T01:30:00"/>
    <n v="200"/>
    <s v="UNPLANNED"/>
    <x v="0"/>
    <d v="1899-12-30T12:30:00"/>
    <x v="0"/>
  </r>
  <r>
    <n v="4522"/>
    <x v="9"/>
    <n v="2115270297100"/>
    <x v="1570"/>
    <d v="2022-05-04T14:00:00"/>
    <d v="1899-12-30T05:34:00"/>
    <n v="53.892215569012549"/>
    <s v="UNPLANNED"/>
    <x v="0"/>
    <d v="1899-12-30T08:26:00"/>
    <x v="0"/>
  </r>
  <r>
    <n v="4523"/>
    <x v="14"/>
    <n v="1115270127500"/>
    <x v="1572"/>
    <d v="2022-05-04T14:00:00"/>
    <d v="1899-12-30T01:30:00"/>
    <n v="200"/>
    <s v="UNPLANNED"/>
    <x v="1"/>
    <d v="1899-12-30T12:30:00"/>
    <x v="0"/>
  </r>
  <r>
    <n v="4524"/>
    <x v="10"/>
    <n v="11115271533200"/>
    <x v="1573"/>
    <d v="2022-05-04T18:30:00"/>
    <d v="1899-12-30T01:30:00"/>
    <n v="200"/>
    <s v="UNPLANNED"/>
    <x v="0"/>
    <d v="1899-12-30T17:00:00"/>
    <x v="1"/>
  </r>
  <r>
    <n v="4525"/>
    <x v="6"/>
    <n v="9115271968100"/>
    <x v="1573"/>
    <d v="2022-05-04T18:30:00"/>
    <d v="1899-12-30T01:30:00"/>
    <n v="200"/>
    <s v="UNPLANNED"/>
    <x v="1"/>
    <d v="1899-12-30T17:00:00"/>
    <x v="1"/>
  </r>
  <r>
    <n v="4526"/>
    <x v="1"/>
    <n v="6115271723604"/>
    <x v="1574"/>
    <d v="2022-05-05T01:15:00"/>
    <d v="1899-12-30T00:45:00"/>
    <n v="400"/>
    <s v="UNPLANNED"/>
    <x v="0"/>
    <d v="1899-12-30T00:30:00"/>
    <x v="2"/>
  </r>
  <r>
    <n v="4527"/>
    <x v="13"/>
    <n v="3115270350500"/>
    <x v="1575"/>
    <d v="2022-05-05T02:30:00"/>
    <d v="1899-12-30T00:50:00"/>
    <n v="360.00000003352761"/>
    <s v="UNPLANNED"/>
    <x v="0"/>
    <d v="1899-12-30T01:40:00"/>
    <x v="2"/>
  </r>
  <r>
    <n v="4528"/>
    <x v="5"/>
    <n v="13115271592304"/>
    <x v="1576"/>
    <d v="2022-05-05T13:30:00"/>
    <d v="1899-12-30T02:30:00"/>
    <n v="120.00000000279397"/>
    <s v="UNPLANNED"/>
    <x v="0"/>
    <d v="1899-12-30T11:00:00"/>
    <x v="0"/>
  </r>
  <r>
    <n v="4529"/>
    <x v="11"/>
    <n v="10115271958400"/>
    <x v="1576"/>
    <d v="2022-05-05T13:30:00"/>
    <d v="1899-12-30T02:30:00"/>
    <n v="120.00000000279397"/>
    <s v="UNPLANNED"/>
    <x v="0"/>
    <d v="1899-12-30T11:00:00"/>
    <x v="0"/>
  </r>
  <r>
    <n v="4530"/>
    <x v="7"/>
    <n v="7115271766608"/>
    <x v="1576"/>
    <d v="2022-05-05T13:30:00"/>
    <d v="1899-12-30T02:30:00"/>
    <n v="120.00000000279397"/>
    <s v="UNPLANNED"/>
    <x v="2"/>
    <d v="1899-12-30T11:00:00"/>
    <x v="0"/>
  </r>
  <r>
    <n v="4531"/>
    <x v="14"/>
    <n v="1115270088300"/>
    <x v="1576"/>
    <d v="2022-05-05T13:30:00"/>
    <d v="1899-12-30T02:30:00"/>
    <n v="120.00000000279397"/>
    <s v="UNPLANNED"/>
    <x v="0"/>
    <d v="1899-12-30T11:00:00"/>
    <x v="0"/>
  </r>
  <r>
    <n v="4532"/>
    <x v="10"/>
    <n v="11115271552500"/>
    <x v="1577"/>
    <d v="2022-05-05T13:50:00"/>
    <d v="1900-01-02T03:40:00"/>
    <n v="3.9647577092470345"/>
    <s v="UNPLANNED"/>
    <x v="0"/>
    <d v="1899-12-30T10:10:00"/>
    <x v="0"/>
  </r>
  <r>
    <n v="4533"/>
    <x v="2"/>
    <n v="12115271571042"/>
    <x v="1578"/>
    <d v="2022-05-05T19:20:00"/>
    <d v="1899-12-30T01:05:00"/>
    <n v="276.9230769131575"/>
    <s v="UNPLANNED"/>
    <x v="0"/>
    <d v="1899-12-30T18:15:00"/>
    <x v="1"/>
  </r>
  <r>
    <n v="4534"/>
    <x v="12"/>
    <n v="14115271672406"/>
    <x v="1579"/>
    <d v="2022-05-06T01:30:00"/>
    <d v="1899-12-30T01:29:59"/>
    <n v="200.03704390567901"/>
    <s v="UNPLANNED"/>
    <x v="0"/>
    <d v="1899-12-30T00:00:01"/>
    <x v="2"/>
  </r>
  <r>
    <n v="4535"/>
    <x v="14"/>
    <n v="1115270077900"/>
    <x v="1579"/>
    <d v="2022-05-06T01:30:00"/>
    <d v="1899-12-30T01:29:59"/>
    <n v="200.03704390567901"/>
    <s v="UNPLANNED"/>
    <x v="0"/>
    <d v="1899-12-30T00:00:01"/>
    <x v="2"/>
  </r>
  <r>
    <n v="4536"/>
    <x v="5"/>
    <n v="13115271639200"/>
    <x v="1580"/>
    <d v="2022-05-06T09:32:00"/>
    <d v="1899-12-30T01:02:00"/>
    <n v="290.32258063098794"/>
    <s v="UNPLANNED"/>
    <x v="3"/>
    <d v="1899-12-30T08:30:00"/>
    <x v="0"/>
  </r>
  <r>
    <n v="4537"/>
    <x v="10"/>
    <n v="11115271542400"/>
    <x v="1580"/>
    <d v="2022-05-06T09:32:00"/>
    <d v="1899-12-30T01:02:00"/>
    <n v="290.32258063098794"/>
    <s v="UNPLANNED"/>
    <x v="1"/>
    <d v="1899-12-30T08:30:00"/>
    <x v="0"/>
  </r>
  <r>
    <n v="4538"/>
    <x v="4"/>
    <n v="15115271757000"/>
    <x v="1581"/>
    <d v="2022-05-06T11:20:00"/>
    <d v="1899-12-30T01:30:00"/>
    <n v="200"/>
    <s v="UNPLANNED"/>
    <x v="0"/>
    <d v="1899-12-30T09:50:00"/>
    <x v="0"/>
  </r>
  <r>
    <n v="4539"/>
    <x v="5"/>
    <n v="13115271662500"/>
    <x v="1581"/>
    <d v="2022-05-06T11:20:00"/>
    <d v="1899-12-30T01:30:00"/>
    <n v="200"/>
    <s v="UNPLANNED"/>
    <x v="2"/>
    <d v="1899-12-30T09:50:00"/>
    <x v="0"/>
  </r>
  <r>
    <n v="4540"/>
    <x v="13"/>
    <n v="3115270341100"/>
    <x v="1582"/>
    <d v="2022-05-06T15:30:00"/>
    <d v="1899-12-30T02:15:00"/>
    <n v="133.33333333333331"/>
    <s v="UNPLANNED"/>
    <x v="0"/>
    <d v="1899-12-30T13:15:00"/>
    <x v="0"/>
  </r>
  <r>
    <n v="4541"/>
    <x v="13"/>
    <n v="3115270334900"/>
    <x v="1582"/>
    <d v="2022-05-06T15:30:00"/>
    <d v="1899-12-30T02:15:00"/>
    <n v="133.33333333333331"/>
    <s v="UNPLANNED"/>
    <x v="0"/>
    <d v="1899-12-30T13:15:00"/>
    <x v="0"/>
  </r>
  <r>
    <n v="4542"/>
    <x v="13"/>
    <n v="3115270334800"/>
    <x v="1582"/>
    <d v="2022-05-06T15:30:00"/>
    <d v="1899-12-30T02:15:00"/>
    <n v="133.33333333333331"/>
    <s v="UNPLANNED"/>
    <x v="0"/>
    <d v="1899-12-30T13:15:00"/>
    <x v="0"/>
  </r>
  <r>
    <n v="4543"/>
    <x v="5"/>
    <n v="13115271590400"/>
    <x v="1583"/>
    <d v="2022-05-06T22:30:00"/>
    <d v="1899-12-30T07:15:00"/>
    <n v="41.379310344495366"/>
    <s v="UNPLANNED"/>
    <x v="1"/>
    <d v="1899-12-30T15:15:00"/>
    <x v="1"/>
  </r>
  <r>
    <n v="4544"/>
    <x v="2"/>
    <n v="12115271569300"/>
    <x v="1583"/>
    <d v="2022-05-06T22:30:00"/>
    <d v="1899-12-30T07:15:00"/>
    <n v="41.379310344495366"/>
    <s v="UNPLANNED"/>
    <x v="0"/>
    <d v="1899-12-30T15:15:00"/>
    <x v="1"/>
  </r>
  <r>
    <n v="4545"/>
    <x v="13"/>
    <n v="3115270363900"/>
    <x v="1583"/>
    <d v="2022-05-06T22:30:00"/>
    <d v="1899-12-30T07:15:00"/>
    <n v="41.379310344495366"/>
    <s v="UNPLANNED"/>
    <x v="0"/>
    <d v="1899-12-30T15:15:00"/>
    <x v="1"/>
  </r>
  <r>
    <n v="4546"/>
    <x v="9"/>
    <n v="2115270233600"/>
    <x v="1583"/>
    <d v="2022-05-06T22:30:00"/>
    <d v="1899-12-30T07:15:00"/>
    <n v="41.379310344495366"/>
    <s v="UNPLANNED"/>
    <x v="0"/>
    <d v="1899-12-30T15:15:00"/>
    <x v="1"/>
  </r>
  <r>
    <n v="4547"/>
    <x v="9"/>
    <n v="2115270217901"/>
    <x v="1583"/>
    <d v="2022-05-06T22:30:00"/>
    <d v="1899-12-30T07:15:00"/>
    <n v="41.379310344495366"/>
    <s v="UNPLANNED"/>
    <x v="0"/>
    <d v="1899-12-30T15:15:00"/>
    <x v="1"/>
  </r>
  <r>
    <n v="4548"/>
    <x v="5"/>
    <n v="13115271660400"/>
    <x v="1584"/>
    <d v="2022-05-07T00:10:00"/>
    <d v="1899-12-30T00:45:00"/>
    <n v="400"/>
    <s v="UNPLANNED"/>
    <x v="1"/>
    <d v="1899-12-30T23:25:00"/>
    <x v="2"/>
  </r>
  <r>
    <n v="4549"/>
    <x v="0"/>
    <n v="5115271258900"/>
    <x v="1585"/>
    <d v="2022-05-07T01:40:00"/>
    <d v="1899-12-30T00:40:00"/>
    <n v="449.99999994761311"/>
    <s v="UNPLANNED"/>
    <x v="6"/>
    <d v="1899-12-30T01:00:00"/>
    <x v="2"/>
  </r>
  <r>
    <n v="4550"/>
    <x v="12"/>
    <n v="14115271672606"/>
    <x v="1586"/>
    <d v="2022-05-07T11:05:00"/>
    <d v="1899-12-30T01:50:00"/>
    <n v="163.63636363290004"/>
    <s v="UNPLANNED"/>
    <x v="1"/>
    <d v="1899-12-30T09:15:00"/>
    <x v="0"/>
  </r>
  <r>
    <n v="4551"/>
    <x v="3"/>
    <n v="8115271842408"/>
    <x v="1586"/>
    <d v="2022-05-07T11:05:00"/>
    <d v="1899-12-30T01:50:00"/>
    <n v="163.63636363290004"/>
    <s v="UNPLANNED"/>
    <x v="1"/>
    <d v="1899-12-30T09:15:00"/>
    <x v="0"/>
  </r>
  <r>
    <n v="4552"/>
    <x v="13"/>
    <n v="3115270350600"/>
    <x v="1587"/>
    <d v="2022-05-07T11:05:00"/>
    <d v="1899-12-30T02:20:00"/>
    <n v="128.57142857570506"/>
    <s v="UNPLANNED"/>
    <x v="0"/>
    <d v="1899-12-30T08:45:00"/>
    <x v="0"/>
  </r>
  <r>
    <n v="4553"/>
    <x v="13"/>
    <n v="3115270311100"/>
    <x v="1588"/>
    <d v="2022-05-07T11:05:00"/>
    <d v="1899-12-30T01:45:00"/>
    <n v="171.42857143427341"/>
    <s v="UNPLANNED"/>
    <x v="6"/>
    <d v="1899-12-30T09:20:00"/>
    <x v="0"/>
  </r>
  <r>
    <n v="4554"/>
    <x v="5"/>
    <n v="13115271670802"/>
    <x v="1589"/>
    <d v="2022-05-07T14:05:00"/>
    <d v="1899-12-30T00:50:00"/>
    <n v="360.00000003352761"/>
    <s v="UNPLANNED"/>
    <x v="1"/>
    <d v="1899-12-30T13:15:00"/>
    <x v="0"/>
  </r>
  <r>
    <n v="4555"/>
    <x v="4"/>
    <n v="15115271746925"/>
    <x v="1590"/>
    <d v="2022-05-07T20:05:00"/>
    <d v="1899-12-30T01:59:00"/>
    <n v="151.26050420138472"/>
    <s v="UNPLANNED"/>
    <x v="1"/>
    <d v="1899-12-30T18:06:00"/>
    <x v="1"/>
  </r>
  <r>
    <n v="4556"/>
    <x v="10"/>
    <n v="11115271052300"/>
    <x v="1590"/>
    <d v="2022-05-07T20:05:00"/>
    <d v="1899-12-30T01:59:00"/>
    <n v="151.26050420138472"/>
    <s v="UNPLANNED"/>
    <x v="2"/>
    <d v="1899-12-30T18:06:00"/>
    <x v="1"/>
  </r>
  <r>
    <n v="4557"/>
    <x v="11"/>
    <n v="10115271453900"/>
    <x v="1591"/>
    <d v="2022-05-07T20:05:00"/>
    <d v="1899-12-30T01:39:00"/>
    <n v="181.81818182203025"/>
    <s v="UNPLANNED"/>
    <x v="0"/>
    <d v="1899-12-30T18:26:00"/>
    <x v="1"/>
  </r>
  <r>
    <n v="4558"/>
    <x v="1"/>
    <n v="6115271690604"/>
    <x v="1592"/>
    <d v="2022-05-07T20:05:00"/>
    <d v="1899-12-30T03:39:00"/>
    <n v="82.191780821393507"/>
    <s v="UNPLANNED"/>
    <x v="1"/>
    <d v="1899-12-30T16:26:00"/>
    <x v="1"/>
  </r>
  <r>
    <n v="4559"/>
    <x v="2"/>
    <n v="12115271571052"/>
    <x v="1593"/>
    <d v="2022-05-08T00:15:00"/>
    <d v="1899-12-30T00:55:00"/>
    <n v="327.27272726580009"/>
    <s v="UNPLANNED"/>
    <x v="1"/>
    <d v="1899-12-30T23:20:00"/>
    <x v="2"/>
  </r>
  <r>
    <n v="4560"/>
    <x v="7"/>
    <n v="7115271786002"/>
    <x v="1594"/>
    <d v="2022-05-08T02:30:00"/>
    <d v="1899-12-30T00:45:00"/>
    <n v="400"/>
    <s v="UNPLANNED"/>
    <x v="1"/>
    <d v="1899-12-30T01:45:00"/>
    <x v="2"/>
  </r>
  <r>
    <n v="4561"/>
    <x v="2"/>
    <n v="12115271574210"/>
    <x v="1595"/>
    <d v="2022-05-08T13:50:00"/>
    <d v="1899-12-30T04:05:00"/>
    <n v="73.46938775440384"/>
    <s v="UNPLANNED"/>
    <x v="1"/>
    <d v="1899-12-30T09:45:00"/>
    <x v="0"/>
  </r>
  <r>
    <n v="4562"/>
    <x v="2"/>
    <n v="12115271571052"/>
    <x v="1596"/>
    <d v="2022-05-08T13:50:00"/>
    <d v="1899-12-30T03:50:00"/>
    <n v="78.260869563236795"/>
    <s v="UNPLANNED"/>
    <x v="1"/>
    <d v="1899-12-30T10:00:00"/>
    <x v="0"/>
  </r>
  <r>
    <n v="4563"/>
    <x v="0"/>
    <n v="5115271239302"/>
    <x v="1595"/>
    <d v="2022-05-08T13:50:00"/>
    <d v="1899-12-30T04:05:00"/>
    <n v="73.46938775440384"/>
    <s v="UNPLANNED"/>
    <x v="1"/>
    <d v="1899-12-30T09:45:00"/>
    <x v="0"/>
  </r>
  <r>
    <n v="4564"/>
    <x v="13"/>
    <n v="3115270396200"/>
    <x v="1597"/>
    <d v="2022-05-08T13:50:00"/>
    <d v="1899-12-30T02:50:00"/>
    <n v="105.88235294190156"/>
    <s v="UNPLANNED"/>
    <x v="1"/>
    <d v="1899-12-30T11:00:00"/>
    <x v="0"/>
  </r>
  <r>
    <n v="4565"/>
    <x v="9"/>
    <n v="2115270218300"/>
    <x v="1595"/>
    <d v="2022-05-08T13:50:00"/>
    <d v="1899-12-30T04:05:00"/>
    <n v="73.46938775440384"/>
    <s v="UNPLANNED"/>
    <x v="1"/>
    <d v="1899-12-30T09:45:00"/>
    <x v="0"/>
  </r>
  <r>
    <n v="4566"/>
    <x v="5"/>
    <n v="13115271612202"/>
    <x v="1598"/>
    <d v="2022-05-08T22:05:00"/>
    <d v="1899-12-30T06:15:00"/>
    <n v="47.999999999105931"/>
    <s v="UNPLANNED"/>
    <x v="0"/>
    <d v="1899-12-30T15:50:00"/>
    <x v="1"/>
  </r>
  <r>
    <n v="4567"/>
    <x v="2"/>
    <n v="12115271589803"/>
    <x v="1598"/>
    <d v="2022-05-08T22:05:00"/>
    <d v="1899-12-30T06:15:00"/>
    <n v="47.999999999105931"/>
    <s v="UNPLANNED"/>
    <x v="1"/>
    <d v="1899-12-30T15:50:00"/>
    <x v="1"/>
  </r>
  <r>
    <n v="4568"/>
    <x v="2"/>
    <n v="12115271567332"/>
    <x v="1599"/>
    <d v="2022-05-08T22:05:00"/>
    <d v="1899-12-30T01:45:00"/>
    <n v="171.42857141716746"/>
    <s v="UNPLANNED"/>
    <x v="1"/>
    <d v="1899-12-30T20:20:00"/>
    <x v="1"/>
  </r>
  <r>
    <n v="4569"/>
    <x v="2"/>
    <n v="12115271567327"/>
    <x v="1598"/>
    <d v="2022-05-08T22:05:00"/>
    <d v="1899-12-30T06:15:00"/>
    <n v="47.999999999105931"/>
    <s v="UNPLANNED"/>
    <x v="1"/>
    <d v="1899-12-30T15:50:00"/>
    <x v="1"/>
  </r>
  <r>
    <n v="4570"/>
    <x v="1"/>
    <n v="6115271691504"/>
    <x v="1599"/>
    <d v="2022-05-08T22:05:00"/>
    <d v="1899-12-30T01:45:00"/>
    <n v="171.42857141716746"/>
    <s v="UNPLANNED"/>
    <x v="1"/>
    <d v="1899-12-30T20:20:00"/>
    <x v="1"/>
  </r>
  <r>
    <n v="4571"/>
    <x v="13"/>
    <n v="3115270036690"/>
    <x v="1599"/>
    <d v="2022-05-08T22:05:00"/>
    <d v="1899-12-30T01:45:00"/>
    <n v="171.42857141716746"/>
    <s v="UNPLANNED"/>
    <x v="0"/>
    <d v="1899-12-30T20:20:00"/>
    <x v="1"/>
  </r>
  <r>
    <n v="4572"/>
    <x v="13"/>
    <n v="3115270400400"/>
    <x v="1600"/>
    <d v="2022-05-09T00:10:00"/>
    <d v="1899-12-30T00:55:00"/>
    <n v="327.27272726580009"/>
    <s v="UNPLANNED"/>
    <x v="0"/>
    <d v="1899-12-30T23:15:00"/>
    <x v="2"/>
  </r>
  <r>
    <n v="4573"/>
    <x v="6"/>
    <n v="9115271952101"/>
    <x v="1601"/>
    <d v="2022-05-09T01:45:00"/>
    <d v="1899-12-30T00:35:00"/>
    <n v="514.28571430282022"/>
    <s v="UNPLANNED"/>
    <x v="0"/>
    <d v="1899-12-30T01:10:00"/>
    <x v="2"/>
  </r>
  <r>
    <n v="4574"/>
    <x v="2"/>
    <n v="12115271560120"/>
    <x v="1602"/>
    <d v="2022-05-09T05:25:00"/>
    <d v="1899-12-30T02:10:00"/>
    <n v="138.46153845657875"/>
    <s v="UNPLANNED"/>
    <x v="2"/>
    <d v="1899-12-30T03:15:00"/>
    <x v="2"/>
  </r>
  <r>
    <n v="4575"/>
    <x v="6"/>
    <n v="9115271961000"/>
    <x v="1602"/>
    <d v="2022-05-09T05:25:00"/>
    <d v="1899-12-30T02:10:00"/>
    <n v="138.46153845657875"/>
    <s v="UNPLANNED"/>
    <x v="0"/>
    <d v="1899-12-30T03:15:00"/>
    <x v="2"/>
  </r>
  <r>
    <n v="4576"/>
    <x v="12"/>
    <n v="14115271688800"/>
    <x v="1603"/>
    <d v="2022-05-09T13:50:00"/>
    <d v="1899-12-30T05:00:00"/>
    <n v="59.999999999301515"/>
    <s v="UNPLANNED"/>
    <x v="0"/>
    <d v="1899-12-30T08:50:00"/>
    <x v="0"/>
  </r>
  <r>
    <n v="4577"/>
    <x v="2"/>
    <n v="12115271565710"/>
    <x v="1604"/>
    <d v="2022-05-09T13:50:00"/>
    <d v="1899-12-30T01:05:00"/>
    <n v="276.9230769131575"/>
    <s v="UNPLANNED"/>
    <x v="0"/>
    <d v="1899-12-30T12:45:00"/>
    <x v="0"/>
  </r>
  <r>
    <n v="4578"/>
    <x v="6"/>
    <n v="9115271945501"/>
    <x v="1604"/>
    <d v="2022-05-09T13:50:00"/>
    <d v="1899-12-30T01:05:00"/>
    <n v="276.9230769131575"/>
    <s v="UNPLANNED"/>
    <x v="1"/>
    <d v="1899-12-30T12:45:00"/>
    <x v="0"/>
  </r>
  <r>
    <n v="4579"/>
    <x v="3"/>
    <n v="8115271810106"/>
    <x v="1604"/>
    <d v="2022-05-09T13:50:00"/>
    <d v="1899-12-30T01:05:00"/>
    <n v="276.9230769131575"/>
    <s v="UNPLANNED"/>
    <x v="1"/>
    <d v="1899-12-30T12:45:00"/>
    <x v="0"/>
  </r>
  <r>
    <n v="4580"/>
    <x v="7"/>
    <n v="7115271757800"/>
    <x v="1604"/>
    <d v="2022-05-09T13:50:00"/>
    <d v="1899-12-30T01:05:00"/>
    <n v="276.9230769131575"/>
    <s v="UNPLANNED"/>
    <x v="0"/>
    <d v="1899-12-30T12:45:00"/>
    <x v="0"/>
  </r>
  <r>
    <n v="4581"/>
    <x v="7"/>
    <n v="7115271756901"/>
    <x v="1604"/>
    <d v="2022-05-09T13:50:00"/>
    <d v="1899-12-30T01:05:00"/>
    <n v="276.9230769131575"/>
    <s v="UNPLANNED"/>
    <x v="0"/>
    <d v="1899-12-30T12:45:00"/>
    <x v="0"/>
  </r>
  <r>
    <n v="4582"/>
    <x v="13"/>
    <n v="3115270409300"/>
    <x v="1604"/>
    <d v="2022-05-09T13:50:00"/>
    <d v="1899-12-30T01:05:00"/>
    <n v="276.9230769131575"/>
    <s v="UNPLANNED"/>
    <x v="1"/>
    <d v="1899-12-30T12:45:00"/>
    <x v="0"/>
  </r>
  <r>
    <n v="4583"/>
    <x v="13"/>
    <n v="3115270367100"/>
    <x v="1604"/>
    <d v="2022-05-09T13:50:00"/>
    <d v="1899-12-30T01:05:00"/>
    <n v="276.9230769131575"/>
    <s v="UNPLANNED"/>
    <x v="0"/>
    <d v="1899-12-30T12:45:00"/>
    <x v="0"/>
  </r>
  <r>
    <n v="4584"/>
    <x v="12"/>
    <n v="14115271678508"/>
    <x v="1605"/>
    <d v="2022-05-09T19:40:00"/>
    <d v="1899-12-30T02:10:00"/>
    <n v="138.46153845657875"/>
    <s v="UNPLANNED"/>
    <x v="0"/>
    <d v="1899-12-30T17:30:00"/>
    <x v="1"/>
  </r>
  <r>
    <n v="4585"/>
    <x v="13"/>
    <n v="3115270341004"/>
    <x v="1605"/>
    <d v="2022-05-09T19:40:00"/>
    <d v="1899-12-30T02:10:00"/>
    <n v="138.46153845657875"/>
    <s v="UNPLANNED"/>
    <x v="0"/>
    <d v="1899-12-30T17:30:00"/>
    <x v="1"/>
  </r>
  <r>
    <n v="4586"/>
    <x v="12"/>
    <n v="14115271691521"/>
    <x v="1606"/>
    <d v="2022-05-09T21:30:00"/>
    <d v="1899-12-30T00:40:00"/>
    <n v="449.99999994761311"/>
    <s v="UNPLANNED"/>
    <x v="0"/>
    <d v="1899-12-30T20:50:00"/>
    <x v="1"/>
  </r>
  <r>
    <n v="4587"/>
    <x v="9"/>
    <n v="2115270229302"/>
    <x v="1607"/>
    <d v="2022-05-09T23:10:00"/>
    <d v="1899-12-30T00:50:00"/>
    <n v="359.99999995809048"/>
    <s v="UNPLANNED"/>
    <x v="1"/>
    <d v="1899-12-30T22:20:00"/>
    <x v="2"/>
  </r>
  <r>
    <n v="4588"/>
    <x v="12"/>
    <n v="14115271689104"/>
    <x v="1608"/>
    <d v="2022-05-10T02:35:00"/>
    <d v="1899-12-30T00:35:00"/>
    <n v="514.28571430282022"/>
    <s v="UNPLANNED"/>
    <x v="0"/>
    <d v="1899-12-30T02:00:00"/>
    <x v="2"/>
  </r>
  <r>
    <n v="4589"/>
    <x v="12"/>
    <n v="14115271688903"/>
    <x v="1609"/>
    <d v="2022-05-10T05:35:00"/>
    <d v="1899-12-30T01:15:00"/>
    <n v="239.99999998882413"/>
    <s v="UNPLANNED"/>
    <x v="0"/>
    <d v="1899-12-30T04:20:00"/>
    <x v="2"/>
  </r>
  <r>
    <n v="4590"/>
    <x v="14"/>
    <n v="1115270101300"/>
    <x v="1609"/>
    <d v="2022-05-10T05:35:00"/>
    <d v="1899-12-30T01:15:00"/>
    <n v="239.99999998882413"/>
    <s v="UNPLANNED"/>
    <x v="1"/>
    <d v="1899-12-30T04:20:00"/>
    <x v="2"/>
  </r>
  <r>
    <n v="4591"/>
    <x v="6"/>
    <n v="9115271906100"/>
    <x v="1610"/>
    <d v="2022-05-10T12:40:00"/>
    <d v="1899-12-30T02:20:00"/>
    <n v="128.57142856608297"/>
    <s v="UNPLANNED"/>
    <x v="0"/>
    <d v="1899-12-30T10:20:00"/>
    <x v="0"/>
  </r>
  <r>
    <n v="4592"/>
    <x v="1"/>
    <n v="6115271704102"/>
    <x v="1610"/>
    <d v="2022-05-10T12:40:00"/>
    <d v="1899-12-30T02:20:00"/>
    <n v="128.57142856608297"/>
    <s v="UNPLANNED"/>
    <x v="2"/>
    <d v="1899-12-30T10:20:00"/>
    <x v="0"/>
  </r>
  <r>
    <n v="4593"/>
    <x v="2"/>
    <n v="12115271566204"/>
    <x v="1611"/>
    <d v="2022-05-10T18:00:00"/>
    <d v="1899-12-30T03:05:00"/>
    <n v="97.297297299746361"/>
    <s v="UNPLANNED"/>
    <x v="1"/>
    <d v="1899-12-30T14:55:00"/>
    <x v="1"/>
  </r>
  <r>
    <n v="4594"/>
    <x v="8"/>
    <n v="4115270824400"/>
    <x v="1612"/>
    <d v="2022-05-10T20:15:00"/>
    <d v="1899-12-30T05:00:00"/>
    <n v="59.999999999301515"/>
    <s v="UNPLANNED"/>
    <x v="0"/>
    <d v="1899-12-30T15:15:00"/>
    <x v="1"/>
  </r>
  <r>
    <n v="4595"/>
    <x v="1"/>
    <n v="6115271722200"/>
    <x v="1613"/>
    <d v="2022-05-10T22:20:00"/>
    <d v="1899-12-30T01:20:00"/>
    <n v="225.00000000327418"/>
    <s v="UNPLANNED"/>
    <x v="0"/>
    <d v="1899-12-30T21:00:00"/>
    <x v="1"/>
  </r>
  <r>
    <n v="4596"/>
    <x v="7"/>
    <n v="7115271768300"/>
    <x v="1614"/>
    <d v="2022-05-11T12:00:00"/>
    <d v="1899-12-30T02:50:00"/>
    <n v="105.88235294190156"/>
    <s v="UNPLANNED"/>
    <x v="1"/>
    <d v="1899-12-30T09:10:00"/>
    <x v="0"/>
  </r>
  <r>
    <n v="4597"/>
    <x v="1"/>
    <n v="6115271739304"/>
    <x v="1614"/>
    <d v="2022-05-11T12:00:00"/>
    <d v="1899-12-30T02:50:00"/>
    <n v="105.88235294190156"/>
    <s v="UNPLANNED"/>
    <x v="0"/>
    <d v="1899-12-30T09:10:00"/>
    <x v="0"/>
  </r>
  <r>
    <n v="4598"/>
    <x v="1"/>
    <n v="6115271704011"/>
    <x v="1615"/>
    <d v="2022-05-11T12:00:00"/>
    <d v="1899-12-30T01:00:00"/>
    <n v="300.0000000174623"/>
    <s v="UNPLANNED"/>
    <x v="0"/>
    <d v="1899-12-30T11:00:00"/>
    <x v="0"/>
  </r>
  <r>
    <n v="4599"/>
    <x v="12"/>
    <n v="14115271672500"/>
    <x v="1616"/>
    <d v="2022-05-11T14:00:00"/>
    <d v="1899-12-30T00:40:00"/>
    <n v="449.99999994761311"/>
    <s v="UNPLANNED"/>
    <x v="0"/>
    <d v="1899-12-30T13:20:00"/>
    <x v="0"/>
  </r>
  <r>
    <n v="4600"/>
    <x v="2"/>
    <n v="12115271581107"/>
    <x v="1617"/>
    <d v="2022-05-11T14:00:00"/>
    <d v="1899-12-30T01:40:00"/>
    <n v="179.99999999790452"/>
    <s v="UNPLANNED"/>
    <x v="0"/>
    <d v="1899-12-30T12:20:00"/>
    <x v="0"/>
  </r>
  <r>
    <n v="4601"/>
    <x v="11"/>
    <n v="10115271472300"/>
    <x v="1618"/>
    <d v="2022-05-11T14:00:00"/>
    <d v="1899-12-30T01:15:00"/>
    <n v="239.99999998882413"/>
    <s v="UNPLANNED"/>
    <x v="0"/>
    <d v="1899-12-30T12:45:00"/>
    <x v="0"/>
  </r>
  <r>
    <n v="4602"/>
    <x v="17"/>
    <n v="46115272424319"/>
    <x v="1619"/>
    <d v="2022-05-12T11:15:00"/>
    <d v="1899-12-30T01:15:00"/>
    <n v="239.99999998882413"/>
    <s v="UNPLANNED"/>
    <x v="1"/>
    <d v="1899-12-30T10:00:00"/>
    <x v="0"/>
  </r>
  <r>
    <n v="4603"/>
    <x v="17"/>
    <n v="46115272424300"/>
    <x v="1619"/>
    <d v="2022-05-12T11:15:00"/>
    <d v="1899-12-30T01:15:00"/>
    <n v="239.99999998882413"/>
    <s v="UNPLANNED"/>
    <x v="0"/>
    <d v="1899-12-30T10:00:00"/>
    <x v="0"/>
  </r>
  <r>
    <n v="4604"/>
    <x v="9"/>
    <n v="2115270224200"/>
    <x v="1619"/>
    <d v="2022-05-12T11:15:00"/>
    <d v="1899-12-30T01:15:00"/>
    <n v="239.99999998882413"/>
    <s v="UNPLANNED"/>
    <x v="0"/>
    <d v="1899-12-30T10:00:00"/>
    <x v="0"/>
  </r>
  <r>
    <n v="4605"/>
    <x v="12"/>
    <n v="14115271672601"/>
    <x v="1620"/>
    <d v="2022-05-12T14:10:00"/>
    <d v="1899-12-30T02:10:00"/>
    <n v="138.46153845657875"/>
    <s v="UNPLANNED"/>
    <x v="2"/>
    <d v="1899-12-30T12:00:00"/>
    <x v="0"/>
  </r>
  <r>
    <n v="4606"/>
    <x v="13"/>
    <n v="3115270360300"/>
    <x v="1620"/>
    <d v="2022-05-12T14:10:00"/>
    <d v="1899-12-30T02:10:00"/>
    <n v="138.46153845657875"/>
    <s v="UNPLANNED"/>
    <x v="0"/>
    <d v="1899-12-30T12:00:00"/>
    <x v="0"/>
  </r>
  <r>
    <n v="4607"/>
    <x v="12"/>
    <n v="14115271675300"/>
    <x v="1621"/>
    <d v="2022-05-12T22:20:00"/>
    <d v="1899-12-30T02:27:00"/>
    <n v="122.44897959416407"/>
    <s v="UNPLANNED"/>
    <x v="1"/>
    <d v="1899-12-30T19:53:00"/>
    <x v="1"/>
  </r>
  <r>
    <n v="4608"/>
    <x v="10"/>
    <n v="11115271542700"/>
    <x v="1622"/>
    <d v="2022-05-12T22:20:00"/>
    <d v="1899-12-30T02:05:00"/>
    <n v="144.00000000134111"/>
    <s v="UNPLANNED"/>
    <x v="1"/>
    <d v="1899-12-30T20:15:00"/>
    <x v="1"/>
  </r>
  <r>
    <n v="4609"/>
    <x v="10"/>
    <n v="11115271483201"/>
    <x v="1623"/>
    <d v="2022-05-12T22:20:00"/>
    <d v="1899-12-30T01:38:00"/>
    <n v="183.67346939779173"/>
    <s v="UNPLANNED"/>
    <x v="1"/>
    <d v="1899-12-30T20:42:00"/>
    <x v="1"/>
  </r>
  <r>
    <n v="4610"/>
    <x v="7"/>
    <n v="7115271787804"/>
    <x v="1621"/>
    <d v="2022-05-12T22:20:00"/>
    <d v="1899-12-30T02:27:00"/>
    <n v="122.44897959416407"/>
    <s v="UNPLANNED"/>
    <x v="0"/>
    <d v="1899-12-30T19:53:00"/>
    <x v="1"/>
  </r>
  <r>
    <n v="4611"/>
    <x v="7"/>
    <n v="7115271787802"/>
    <x v="1624"/>
    <d v="2022-05-12T22:20:00"/>
    <d v="1899-12-30T01:49:00"/>
    <n v="165.13761468031007"/>
    <s v="UNPLANNED"/>
    <x v="1"/>
    <d v="1899-12-30T20:31:00"/>
    <x v="1"/>
  </r>
  <r>
    <n v="4612"/>
    <x v="12"/>
    <n v="14115271672601"/>
    <x v="1625"/>
    <d v="2022-05-13T00:35:00"/>
    <d v="1899-12-30T01:55:00"/>
    <n v="156.52173913360375"/>
    <s v="UNPLANNED"/>
    <x v="0"/>
    <d v="1899-12-30T22:40:00"/>
    <x v="2"/>
  </r>
  <r>
    <n v="4613"/>
    <x v="13"/>
    <n v="3115270350207"/>
    <x v="1625"/>
    <d v="2022-05-13T00:35:00"/>
    <d v="1899-12-30T01:55:00"/>
    <n v="156.52173913360375"/>
    <s v="UNPLANNED"/>
    <x v="0"/>
    <d v="1899-12-30T22:40:00"/>
    <x v="2"/>
  </r>
  <r>
    <n v="4614"/>
    <x v="10"/>
    <n v="11115271547401"/>
    <x v="1626"/>
    <d v="2022-05-13T14:37:00"/>
    <d v="1899-12-30T03:54:00"/>
    <n v="76.923076923765777"/>
    <s v="UNPLANNED"/>
    <x v="6"/>
    <d v="1899-12-30T10:43:00"/>
    <x v="0"/>
  </r>
  <r>
    <n v="4615"/>
    <x v="11"/>
    <n v="10115271410600"/>
    <x v="1627"/>
    <d v="2022-05-13T14:37:00"/>
    <d v="1899-12-30T01:30:00"/>
    <n v="200"/>
    <s v="UNPLANNED"/>
    <x v="1"/>
    <d v="1899-12-30T13:07:00"/>
    <x v="0"/>
  </r>
  <r>
    <n v="4616"/>
    <x v="3"/>
    <n v="8115271838400"/>
    <x v="1628"/>
    <d v="2022-05-13T14:37:00"/>
    <d v="1899-12-30T03:07:00"/>
    <n v="96.256684491019826"/>
    <s v="UNPLANNED"/>
    <x v="0"/>
    <d v="1899-12-30T11:30:00"/>
    <x v="0"/>
  </r>
  <r>
    <n v="4617"/>
    <x v="3"/>
    <n v="8115271820901"/>
    <x v="1626"/>
    <d v="2022-05-13T14:37:00"/>
    <d v="1899-12-30T03:54:00"/>
    <n v="76.923076923765777"/>
    <s v="UNPLANNED"/>
    <x v="0"/>
    <d v="1899-12-30T10:43:00"/>
    <x v="0"/>
  </r>
  <r>
    <n v="4618"/>
    <x v="1"/>
    <n v="6115271719905"/>
    <x v="1629"/>
    <d v="2022-05-13T14:37:00"/>
    <d v="1899-12-30T02:07:00"/>
    <n v="141.73228347028339"/>
    <s v="UNPLANNED"/>
    <x v="0"/>
    <d v="1899-12-30T12:30:00"/>
    <x v="0"/>
  </r>
  <r>
    <n v="4619"/>
    <x v="4"/>
    <n v="15115271743502"/>
    <x v="1630"/>
    <d v="2022-05-13T20:30:00"/>
    <d v="1899-12-30T05:30:00"/>
    <n v="54.545454546031813"/>
    <s v="UNPLANNED"/>
    <x v="0"/>
    <d v="1899-12-30T15:00:00"/>
    <x v="1"/>
  </r>
  <r>
    <n v="4620"/>
    <x v="2"/>
    <n v="12115271560121"/>
    <x v="1630"/>
    <d v="2022-05-13T20:30:00"/>
    <d v="1899-12-30T05:30:00"/>
    <n v="54.545454546031813"/>
    <s v="UNPLANNED"/>
    <x v="0"/>
    <d v="1899-12-30T15:00:00"/>
    <x v="1"/>
  </r>
  <r>
    <n v="4621"/>
    <x v="11"/>
    <n v="10115271433702"/>
    <x v="1631"/>
    <d v="2022-05-13T20:30:00"/>
    <d v="1899-12-30T03:00:00"/>
    <n v="100"/>
    <s v="UNPLANNED"/>
    <x v="0"/>
    <d v="1899-12-30T17:30:00"/>
    <x v="1"/>
  </r>
  <r>
    <n v="4622"/>
    <x v="3"/>
    <n v="8115271821823"/>
    <x v="1632"/>
    <d v="2022-05-13T20:30:00"/>
    <d v="1899-12-30T01:44:00"/>
    <n v="173.07692308815993"/>
    <s v="UNPLANNED"/>
    <x v="0"/>
    <d v="1899-12-30T18:46:00"/>
    <x v="1"/>
  </r>
  <r>
    <n v="4623"/>
    <x v="1"/>
    <n v="6115271723900"/>
    <x v="1631"/>
    <d v="2022-05-13T20:30:00"/>
    <d v="1899-12-30T03:00:00"/>
    <n v="100"/>
    <s v="UNPLANNED"/>
    <x v="0"/>
    <d v="1899-12-30T17:30:00"/>
    <x v="1"/>
  </r>
  <r>
    <n v="4624"/>
    <x v="14"/>
    <n v="1115270077901"/>
    <x v="1630"/>
    <d v="2022-05-13T20:30:00"/>
    <d v="1899-12-30T05:30:00"/>
    <n v="54.545454546031813"/>
    <s v="UNPLANNED"/>
    <x v="0"/>
    <d v="1899-12-30T15:00:00"/>
    <x v="1"/>
  </r>
  <r>
    <n v="4625"/>
    <x v="14"/>
    <n v="1115270029200"/>
    <x v="1630"/>
    <d v="2022-05-13T20:30:00"/>
    <d v="1899-12-30T05:30:00"/>
    <n v="54.545454546031813"/>
    <s v="UNPLANNED"/>
    <x v="0"/>
    <d v="1899-12-30T15:00:00"/>
    <x v="1"/>
  </r>
  <r>
    <n v="4626"/>
    <x v="12"/>
    <n v="14115271690501"/>
    <x v="1633"/>
    <d v="2022-05-14T03:20:00"/>
    <d v="1899-12-30T00:40:00"/>
    <n v="449.99999994761311"/>
    <s v="UNPLANNED"/>
    <x v="0"/>
    <d v="1899-12-30T02:40:00"/>
    <x v="2"/>
  </r>
  <r>
    <n v="4627"/>
    <x v="10"/>
    <n v="11115271502200"/>
    <x v="1634"/>
    <d v="2022-05-14T03:20:00"/>
    <d v="1899-12-30T04:45:00"/>
    <n v="63.157894735294192"/>
    <s v="UNPLANNED"/>
    <x v="0"/>
    <d v="1899-12-30T22:35:00"/>
    <x v="2"/>
  </r>
  <r>
    <n v="4628"/>
    <x v="6"/>
    <n v="9115271906700"/>
    <x v="1635"/>
    <d v="2022-05-14T03:20:00"/>
    <d v="1899-12-30T03:10:00"/>
    <n v="94.736842104682694"/>
    <s v="UNPLANNED"/>
    <x v="0"/>
    <d v="1899-12-30T00:10:00"/>
    <x v="2"/>
  </r>
  <r>
    <n v="4629"/>
    <x v="12"/>
    <n v="14115271729400"/>
    <x v="1636"/>
    <d v="2022-05-14T14:20:00"/>
    <d v="1899-12-30T05:43:00"/>
    <n v="52.478134111250263"/>
    <s v="UNPLANNED"/>
    <x v="2"/>
    <d v="1899-12-30T08:37:00"/>
    <x v="0"/>
  </r>
  <r>
    <n v="4630"/>
    <x v="12"/>
    <n v="14115271672500"/>
    <x v="1636"/>
    <d v="2022-05-14T14:20:00"/>
    <d v="1899-12-30T05:43:00"/>
    <n v="52.478134111250263"/>
    <s v="UNPLANNED"/>
    <x v="0"/>
    <d v="1899-12-30T08:37:00"/>
    <x v="0"/>
  </r>
  <r>
    <n v="4631"/>
    <x v="2"/>
    <n v="12115271584806"/>
    <x v="1637"/>
    <d v="2022-05-14T14:20:00"/>
    <d v="1899-12-30T04:05:00"/>
    <n v="73.469387757545746"/>
    <s v="UNPLANNED"/>
    <x v="0"/>
    <d v="1899-12-30T10:15:00"/>
    <x v="0"/>
  </r>
  <r>
    <n v="4632"/>
    <x v="3"/>
    <n v="8115271872000"/>
    <x v="1638"/>
    <d v="2022-05-14T14:20:00"/>
    <d v="1899-12-30T02:00:00"/>
    <n v="150.00000000873115"/>
    <s v="UNPLANNED"/>
    <x v="0"/>
    <d v="1899-12-30T12:20:00"/>
    <x v="0"/>
  </r>
  <r>
    <n v="4633"/>
    <x v="0"/>
    <n v="5115271669300"/>
    <x v="1639"/>
    <d v="2022-05-14T14:20:00"/>
    <d v="1899-12-30T02:50:00"/>
    <n v="105.88235294190156"/>
    <s v="UNPLANNED"/>
    <x v="0"/>
    <d v="1899-12-30T11:30:00"/>
    <x v="0"/>
  </r>
  <r>
    <n v="4634"/>
    <x v="0"/>
    <n v="5115271289604"/>
    <x v="1638"/>
    <d v="2022-05-14T14:20:00"/>
    <d v="1899-12-30T02:00:00"/>
    <n v="150.00000000873115"/>
    <s v="UNPLANNED"/>
    <x v="0"/>
    <d v="1899-12-30T12:20:00"/>
    <x v="0"/>
  </r>
  <r>
    <n v="4635"/>
    <x v="14"/>
    <n v="1115270087105"/>
    <x v="1637"/>
    <d v="2022-05-14T14:20:00"/>
    <d v="1899-12-30T04:05:00"/>
    <n v="73.469387757545746"/>
    <s v="UNPLANNED"/>
    <x v="0"/>
    <d v="1899-12-30T10:15:00"/>
    <x v="0"/>
  </r>
  <r>
    <n v="4636"/>
    <x v="12"/>
    <n v="14115271672412"/>
    <x v="1640"/>
    <d v="2022-05-14T21:35:00"/>
    <d v="1899-12-30T05:42:00"/>
    <n v="52.631578948335864"/>
    <s v="UNPLANNED"/>
    <x v="1"/>
    <d v="1899-12-30T15:53:00"/>
    <x v="1"/>
  </r>
  <r>
    <n v="4637"/>
    <x v="2"/>
    <n v="12115271569401"/>
    <x v="1640"/>
    <d v="2022-05-14T21:35:00"/>
    <d v="1899-12-30T05:42:00"/>
    <n v="52.631578948335864"/>
    <s v="UNPLANNED"/>
    <x v="1"/>
    <d v="1899-12-30T15:53:00"/>
    <x v="1"/>
  </r>
  <r>
    <n v="4638"/>
    <x v="10"/>
    <n v="11115271482700"/>
    <x v="1641"/>
    <d v="2022-05-14T21:35:00"/>
    <d v="1899-12-30T04:39:00"/>
    <n v="64.516129032742626"/>
    <s v="UNPLANNED"/>
    <x v="0"/>
    <d v="1899-12-30T16:56:00"/>
    <x v="1"/>
  </r>
  <r>
    <n v="4639"/>
    <x v="9"/>
    <n v="2115270219500"/>
    <x v="1642"/>
    <d v="2022-05-14T21:35:00"/>
    <d v="1899-12-30T03:23:00"/>
    <n v="88.669950738204363"/>
    <s v="UNPLANNED"/>
    <x v="0"/>
    <d v="1899-12-30T18:12:00"/>
    <x v="1"/>
  </r>
  <r>
    <n v="4640"/>
    <x v="2"/>
    <n v="12115271574441"/>
    <x v="1643"/>
    <d v="2022-05-15T14:36:00"/>
    <d v="1899-12-30T03:36:00"/>
    <n v="83.333333336567094"/>
    <s v="UNPLANNED"/>
    <x v="2"/>
    <d v="1899-12-30T11:00:00"/>
    <x v="0"/>
  </r>
  <r>
    <n v="4641"/>
    <x v="2"/>
    <n v="12115271573220"/>
    <x v="1644"/>
    <d v="2022-05-15T14:36:00"/>
    <d v="1899-12-30T04:51:00"/>
    <n v="61.855670104132102"/>
    <s v="UNPLANNED"/>
    <x v="0"/>
    <d v="1899-12-30T09:45:00"/>
    <x v="0"/>
  </r>
  <r>
    <n v="4642"/>
    <x v="2"/>
    <n v="12115271571015"/>
    <x v="1643"/>
    <d v="2022-05-15T14:36:00"/>
    <d v="1899-12-30T03:36:00"/>
    <n v="83.333333336567094"/>
    <s v="UNPLANNED"/>
    <x v="0"/>
    <d v="1899-12-30T11:00:00"/>
    <x v="0"/>
  </r>
  <r>
    <n v="4643"/>
    <x v="2"/>
    <n v="12115271569608"/>
    <x v="1644"/>
    <d v="2022-05-15T14:36:00"/>
    <d v="1899-12-30T04:51:00"/>
    <n v="61.855670104132102"/>
    <s v="UNPLANNED"/>
    <x v="0"/>
    <d v="1899-12-30T09:45:00"/>
    <x v="0"/>
  </r>
  <r>
    <n v="4644"/>
    <x v="1"/>
    <n v="6115271733503"/>
    <x v="1643"/>
    <d v="2022-05-15T14:36:00"/>
    <d v="1899-12-30T03:36:00"/>
    <n v="83.333333336567094"/>
    <s v="UNPLANNED"/>
    <x v="0"/>
    <d v="1899-12-30T11:00:00"/>
    <x v="0"/>
  </r>
  <r>
    <n v="4645"/>
    <x v="13"/>
    <n v="3115270421100"/>
    <x v="1644"/>
    <d v="2022-05-15T14:36:00"/>
    <d v="1899-12-30T04:51:00"/>
    <n v="61.855670104132102"/>
    <s v="UNPLANNED"/>
    <x v="0"/>
    <d v="1899-12-30T09:45:00"/>
    <x v="0"/>
  </r>
  <r>
    <n v="4646"/>
    <x v="9"/>
    <n v="2115270299100"/>
    <x v="1645"/>
    <d v="2022-05-15T14:36:00"/>
    <d v="1899-12-30T04:31:00"/>
    <n v="66.420664208411097"/>
    <s v="UNPLANNED"/>
    <x v="0"/>
    <d v="1899-12-30T10:05:00"/>
    <x v="0"/>
  </r>
  <r>
    <n v="4647"/>
    <x v="14"/>
    <n v="1115270101800"/>
    <x v="1646"/>
    <d v="2022-05-15T14:36:00"/>
    <d v="1899-12-30T01:56:00"/>
    <n v="155.17241380587313"/>
    <s v="UNPLANNED"/>
    <x v="0"/>
    <d v="1899-12-30T12:40:00"/>
    <x v="0"/>
  </r>
  <r>
    <n v="4648"/>
    <x v="14"/>
    <n v="1115270053901"/>
    <x v="1643"/>
    <d v="2022-05-15T14:36:00"/>
    <d v="1899-12-30T03:36:00"/>
    <n v="83.333333336567094"/>
    <s v="UNPLANNED"/>
    <x v="0"/>
    <d v="1899-12-30T11:00:00"/>
    <x v="0"/>
  </r>
  <r>
    <n v="4649"/>
    <x v="11"/>
    <n v="10115271963900"/>
    <x v="1647"/>
    <d v="2022-05-15T23:40:00"/>
    <d v="1899-12-30T07:03:00"/>
    <n v="42.553191489783302"/>
    <s v="UNPLANNED"/>
    <x v="0"/>
    <d v="1899-12-30T16:37:00"/>
    <x v="1"/>
  </r>
  <r>
    <n v="4650"/>
    <x v="3"/>
    <n v="8115271809912"/>
    <x v="1647"/>
    <d v="2022-05-15T23:40:00"/>
    <d v="1899-12-30T07:03:00"/>
    <n v="42.553191489783302"/>
    <s v="UNPLANNED"/>
    <x v="3"/>
    <d v="1899-12-30T16:37:00"/>
    <x v="1"/>
  </r>
  <r>
    <n v="4651"/>
    <x v="7"/>
    <n v="7115271783750"/>
    <x v="1647"/>
    <d v="2022-05-15T23:40:00"/>
    <d v="1899-12-30T07:03:00"/>
    <n v="42.553191489783302"/>
    <s v="UNPLANNED"/>
    <x v="0"/>
    <d v="1899-12-30T16:37:00"/>
    <x v="1"/>
  </r>
  <r>
    <n v="4652"/>
    <x v="7"/>
    <n v="7115271769601"/>
    <x v="1647"/>
    <d v="2022-05-15T23:40:00"/>
    <d v="1899-12-30T07:03:00"/>
    <n v="42.553191489783302"/>
    <s v="UNPLANNED"/>
    <x v="0"/>
    <d v="1899-12-30T16:37:00"/>
    <x v="1"/>
  </r>
  <r>
    <n v="4653"/>
    <x v="13"/>
    <n v="3115270421800"/>
    <x v="1647"/>
    <d v="2022-05-15T23:40:00"/>
    <d v="1899-12-30T07:03:00"/>
    <n v="42.553191489783302"/>
    <s v="UNPLANNED"/>
    <x v="0"/>
    <d v="1899-12-30T16:37:00"/>
    <x v="1"/>
  </r>
  <r>
    <n v="4654"/>
    <x v="7"/>
    <n v="7115271766016"/>
    <x v="1648"/>
    <d v="2022-05-16T01:00:00"/>
    <d v="1899-12-30T01:35:00"/>
    <n v="189.47368421981375"/>
    <s v="UNPLANNED"/>
    <x v="1"/>
    <d v="1899-12-30T23:25:00"/>
    <x v="2"/>
  </r>
  <r>
    <n v="4655"/>
    <x v="7"/>
    <n v="7115271755002"/>
    <x v="1649"/>
    <d v="2022-05-16T03:25:00"/>
    <d v="1899-12-30T00:45:00"/>
    <n v="400"/>
    <s v="UNPLANNED"/>
    <x v="0"/>
    <d v="1899-12-30T02:40:00"/>
    <x v="2"/>
  </r>
  <r>
    <n v="4656"/>
    <x v="14"/>
    <n v="1115270019200"/>
    <x v="1650"/>
    <d v="2022-05-16T03:25:00"/>
    <d v="1899-12-30T01:10:00"/>
    <n v="257.14285715141011"/>
    <s v="UNPLANNED"/>
    <x v="0"/>
    <d v="1899-12-30T02:15:00"/>
    <x v="2"/>
  </r>
  <r>
    <n v="4657"/>
    <x v="13"/>
    <n v="3115270340802"/>
    <x v="1651"/>
    <d v="2022-05-16T09:00:00"/>
    <d v="1899-12-30T00:45:00"/>
    <n v="400"/>
    <s v="UNPLANNED"/>
    <x v="0"/>
    <d v="1899-12-30T08:15:00"/>
    <x v="0"/>
  </r>
  <r>
    <n v="4658"/>
    <x v="14"/>
    <n v="1115270122700"/>
    <x v="1652"/>
    <d v="2022-05-16T10:06:00"/>
    <d v="1899-12-30T00:54:00"/>
    <n v="333.33333334626838"/>
    <s v="UNPLANNED"/>
    <x v="6"/>
    <d v="1899-12-30T09:12:00"/>
    <x v="0"/>
  </r>
  <r>
    <n v="4659"/>
    <x v="7"/>
    <n v="7115271765600"/>
    <x v="1653"/>
    <d v="2022-05-16T12:50:00"/>
    <d v="1899-12-30T01:05:00"/>
    <n v="276.92307695779488"/>
    <s v="UNPLANNED"/>
    <x v="1"/>
    <d v="1899-12-30T11:45:00"/>
    <x v="0"/>
  </r>
  <r>
    <n v="4660"/>
    <x v="7"/>
    <n v="7115271759011"/>
    <x v="1653"/>
    <d v="2022-05-16T12:50:00"/>
    <d v="1899-12-30T01:05:00"/>
    <n v="276.92307695779488"/>
    <s v="UNPLANNED"/>
    <x v="3"/>
    <d v="1899-12-30T11:45:00"/>
    <x v="0"/>
  </r>
  <r>
    <n v="4661"/>
    <x v="9"/>
    <n v="2115270223200"/>
    <x v="1654"/>
    <d v="2022-05-16T18:15:00"/>
    <d v="1899-12-30T02:51:00"/>
    <n v="105.26315789989653"/>
    <s v="UNPLANNED"/>
    <x v="0"/>
    <d v="1899-12-30T15:24:00"/>
    <x v="1"/>
  </r>
  <r>
    <n v="4662"/>
    <x v="7"/>
    <n v="7115271784000"/>
    <x v="1655"/>
    <d v="2022-05-16T23:00:00"/>
    <d v="1899-12-30T02:00:00"/>
    <n v="149.99999999563443"/>
    <s v="UNPLANNED"/>
    <x v="1"/>
    <d v="1899-12-30T21:00:00"/>
    <x v="1"/>
  </r>
  <r>
    <n v="4663"/>
    <x v="7"/>
    <n v="7115271768300"/>
    <x v="1655"/>
    <d v="2022-05-16T23:00:00"/>
    <d v="1899-12-30T02:00:00"/>
    <n v="149.99999999563443"/>
    <s v="UNPLANNED"/>
    <x v="0"/>
    <d v="1899-12-30T21:00:00"/>
    <x v="1"/>
  </r>
  <r>
    <n v="4664"/>
    <x v="13"/>
    <n v="3115270370102"/>
    <x v="1656"/>
    <d v="2022-05-16T23:30:00"/>
    <d v="1899-12-30T00:55:00"/>
    <n v="327.27272726580009"/>
    <s v="UNPLANNED"/>
    <x v="0"/>
    <d v="1899-12-30T22:35:00"/>
    <x v="2"/>
  </r>
  <r>
    <n v="4665"/>
    <x v="12"/>
    <n v="14115271672412"/>
    <x v="1657"/>
    <d v="2022-05-18T14:07:00"/>
    <d v="1899-12-30T05:07:00"/>
    <n v="58.6319218250825"/>
    <s v="UNPLANNED"/>
    <x v="0"/>
    <d v="1899-12-30T09:00:00"/>
    <x v="0"/>
  </r>
  <r>
    <n v="4666"/>
    <x v="5"/>
    <n v="13115271634903"/>
    <x v="1657"/>
    <d v="2022-05-18T14:07:00"/>
    <d v="1899-12-30T05:07:00"/>
    <n v="58.6319218250825"/>
    <s v="UNPLANNED"/>
    <x v="0"/>
    <d v="1899-12-30T09:00:00"/>
    <x v="0"/>
  </r>
  <r>
    <n v="4667"/>
    <x v="5"/>
    <n v="13115271600229"/>
    <x v="1658"/>
    <d v="2022-05-18T14:07:00"/>
    <d v="1899-12-30T01:37:00"/>
    <n v="185.56701032575887"/>
    <s v="UNPLANNED"/>
    <x v="0"/>
    <d v="1899-12-30T12:30:00"/>
    <x v="0"/>
  </r>
  <r>
    <n v="4668"/>
    <x v="2"/>
    <n v="12115271571042"/>
    <x v="1657"/>
    <d v="2022-05-18T14:07:00"/>
    <d v="1899-12-30T05:07:00"/>
    <n v="58.6319218250825"/>
    <s v="UNPLANNED"/>
    <x v="0"/>
    <d v="1899-12-30T09:00:00"/>
    <x v="0"/>
  </r>
  <r>
    <n v="4669"/>
    <x v="10"/>
    <n v="11115271555402"/>
    <x v="1659"/>
    <d v="2022-05-18T14:07:00"/>
    <d v="1899-12-30T03:27:00"/>
    <n v="86.956521741771226"/>
    <s v="UNPLANNED"/>
    <x v="0"/>
    <d v="1899-12-30T10:40:00"/>
    <x v="0"/>
  </r>
  <r>
    <n v="4670"/>
    <x v="8"/>
    <n v="4115270842600"/>
    <x v="1660"/>
    <d v="2022-05-18T14:07:00"/>
    <d v="1899-12-30T03:37:00"/>
    <n v="82.949308757718384"/>
    <s v="UNPLANNED"/>
    <x v="1"/>
    <d v="1899-12-30T10:30:00"/>
    <x v="0"/>
  </r>
  <r>
    <n v="4671"/>
    <x v="14"/>
    <n v="1115270130801"/>
    <x v="1660"/>
    <d v="2022-05-18T14:07:00"/>
    <d v="1899-12-30T03:37:00"/>
    <n v="82.949308757718384"/>
    <s v="UNPLANNED"/>
    <x v="6"/>
    <d v="1899-12-30T10:30:00"/>
    <x v="0"/>
  </r>
  <r>
    <n v="4672"/>
    <x v="2"/>
    <n v="12115271569251"/>
    <x v="1661"/>
    <d v="2022-05-18T17:50:00"/>
    <d v="1899-12-30T02:10:00"/>
    <n v="138.46153846773811"/>
    <s v="UNPLANNED"/>
    <x v="0"/>
    <d v="1899-12-30T15:40:00"/>
    <x v="1"/>
  </r>
  <r>
    <n v="4673"/>
    <x v="0"/>
    <n v="5115271259500"/>
    <x v="1661"/>
    <d v="2022-05-18T17:50:00"/>
    <d v="1899-12-30T02:10:00"/>
    <n v="138.46153846773811"/>
    <s v="UNPLANNED"/>
    <x v="0"/>
    <d v="1899-12-30T15:40:00"/>
    <x v="1"/>
  </r>
  <r>
    <n v="4674"/>
    <x v="10"/>
    <n v="11115271525700"/>
    <x v="1662"/>
    <d v="2022-05-18T21:50:00"/>
    <d v="1899-12-30T00:45:00"/>
    <n v="400"/>
    <s v="UNPLANNED"/>
    <x v="0"/>
    <d v="1899-12-30T21:05:00"/>
    <x v="1"/>
  </r>
  <r>
    <n v="4675"/>
    <x v="2"/>
    <n v="12115271560117"/>
    <x v="1663"/>
    <d v="2022-05-19T00:20:00"/>
    <d v="1899-12-30T02:00:00"/>
    <n v="149.99999999563443"/>
    <s v="UNPLANNED"/>
    <x v="1"/>
    <d v="1899-12-30T22:20:00"/>
    <x v="2"/>
  </r>
  <r>
    <n v="4676"/>
    <x v="12"/>
    <n v="14115271674709"/>
    <x v="1664"/>
    <d v="2022-05-19T09:30:00"/>
    <d v="1899-12-30T01:00:00"/>
    <n v="299.9999999650754"/>
    <s v="UNPLANNED"/>
    <x v="1"/>
    <d v="1899-12-30T08:30:00"/>
    <x v="0"/>
  </r>
  <r>
    <n v="4677"/>
    <x v="1"/>
    <n v="6115271691702"/>
    <x v="1664"/>
    <d v="2022-05-19T09:30:00"/>
    <d v="1899-12-30T01:00:00"/>
    <n v="299.9999999650754"/>
    <s v="UNPLANNED"/>
    <x v="0"/>
    <d v="1899-12-30T08:30:00"/>
    <x v="0"/>
  </r>
  <r>
    <n v="4678"/>
    <x v="11"/>
    <n v="10115271453401"/>
    <x v="1665"/>
    <d v="2022-05-19T18:30:00"/>
    <d v="1899-12-30T01:45:00"/>
    <n v="171.42857141716746"/>
    <s v="UNPLANNED"/>
    <x v="1"/>
    <d v="1899-12-30T16:45:00"/>
    <x v="1"/>
  </r>
  <r>
    <n v="4679"/>
    <x v="1"/>
    <n v="6115271720829"/>
    <x v="1666"/>
    <d v="2022-05-19T21:59:00"/>
    <d v="1899-12-30T01:29:00"/>
    <n v="202.24719099483406"/>
    <s v="UNPLANNED"/>
    <x v="0"/>
    <d v="1899-12-30T20:30:00"/>
    <x v="1"/>
  </r>
  <r>
    <n v="4680"/>
    <x v="13"/>
    <n v="3115270365300"/>
    <x v="1666"/>
    <d v="2022-05-19T21:59:00"/>
    <d v="1899-12-30T01:29:00"/>
    <n v="202.24719099483406"/>
    <s v="UNPLANNED"/>
    <x v="1"/>
    <d v="1899-12-30T20:30:00"/>
    <x v="1"/>
  </r>
  <r>
    <n v="4681"/>
    <x v="1"/>
    <n v="6115271723702"/>
    <x v="1667"/>
    <d v="2022-05-20T02:30:00"/>
    <d v="1899-12-30T04:10:00"/>
    <n v="72.000000000670553"/>
    <s v="UNPLANNED"/>
    <x v="0"/>
    <d v="1899-12-30T22:20:00"/>
    <x v="2"/>
  </r>
  <r>
    <n v="4682"/>
    <x v="12"/>
    <n v="14115271672402"/>
    <x v="1668"/>
    <d v="2022-05-20T05:45:00"/>
    <d v="1899-12-30T01:55:00"/>
    <n v="156.52173911934341"/>
    <s v="UNPLANNED"/>
    <x v="0"/>
    <d v="1899-12-30T03:50:00"/>
    <x v="2"/>
  </r>
  <r>
    <n v="4683"/>
    <x v="2"/>
    <n v="12115271584800"/>
    <x v="1669"/>
    <d v="2022-05-20T05:45:00"/>
    <d v="1899-12-30T01:20:00"/>
    <n v="225.00000000327418"/>
    <s v="UNPLANNED"/>
    <x v="0"/>
    <d v="1899-12-30T04:25:00"/>
    <x v="2"/>
  </r>
  <r>
    <n v="4684"/>
    <x v="7"/>
    <n v="7115271759000"/>
    <x v="1670"/>
    <d v="2022-05-20T05:45:00"/>
    <d v="1899-12-30T03:05:00"/>
    <n v="97.297297294235975"/>
    <s v="UNPLANNED"/>
    <x v="0"/>
    <d v="1899-12-30T02:40:00"/>
    <x v="2"/>
  </r>
  <r>
    <n v="4685"/>
    <x v="9"/>
    <n v="2115270156500"/>
    <x v="1671"/>
    <d v="2022-05-20T05:45:00"/>
    <d v="1899-12-30T02:30:00"/>
    <n v="119.99999999441206"/>
    <s v="UNPLANNED"/>
    <x v="0"/>
    <d v="1899-12-30T03:15:00"/>
    <x v="2"/>
  </r>
  <r>
    <n v="4686"/>
    <x v="10"/>
    <n v="11115271526507"/>
    <x v="1672"/>
    <d v="2022-05-20T14:43:00"/>
    <d v="1899-12-30T04:48:00"/>
    <n v="62.500000000909495"/>
    <s v="UNPLANNED"/>
    <x v="0"/>
    <d v="1899-12-30T09:55:00"/>
    <x v="0"/>
  </r>
  <r>
    <n v="4687"/>
    <x v="11"/>
    <n v="10115271964200"/>
    <x v="1672"/>
    <d v="2022-05-20T14:43:00"/>
    <d v="1899-12-30T04:48:00"/>
    <n v="62.500000000909495"/>
    <s v="UNPLANNED"/>
    <x v="0"/>
    <d v="1899-12-30T09:55:00"/>
    <x v="0"/>
  </r>
  <r>
    <n v="4688"/>
    <x v="1"/>
    <n v="6115271729700"/>
    <x v="1672"/>
    <d v="2022-05-20T14:43:00"/>
    <d v="1899-12-30T04:48:00"/>
    <n v="62.500000000909495"/>
    <s v="UNPLANNED"/>
    <x v="0"/>
    <d v="1899-12-30T09:55:00"/>
    <x v="0"/>
  </r>
  <r>
    <n v="4689"/>
    <x v="0"/>
    <n v="5115271258103"/>
    <x v="1672"/>
    <d v="2022-05-20T14:43:00"/>
    <d v="1899-12-30T04:48:00"/>
    <n v="62.500000000909495"/>
    <s v="UNPLANNED"/>
    <x v="0"/>
    <d v="1899-12-30T09:55:00"/>
    <x v="0"/>
  </r>
  <r>
    <n v="4690"/>
    <x v="10"/>
    <n v="11115271508100"/>
    <x v="1673"/>
    <d v="2022-05-20T17:40:00"/>
    <d v="1899-12-30T02:10:00"/>
    <n v="138.46153846773811"/>
    <s v="UNPLANNED"/>
    <x v="1"/>
    <d v="1899-12-30T15:30:00"/>
    <x v="1"/>
  </r>
  <r>
    <n v="4691"/>
    <x v="13"/>
    <n v="3115270394500"/>
    <x v="1673"/>
    <d v="2022-05-20T17:40:00"/>
    <d v="1899-12-30T02:10:00"/>
    <n v="138.46153846773811"/>
    <s v="UNPLANNED"/>
    <x v="1"/>
    <d v="1899-12-30T15:30:00"/>
    <x v="1"/>
  </r>
  <r>
    <n v="4692"/>
    <x v="14"/>
    <n v="1115270132100"/>
    <x v="1673"/>
    <d v="2022-05-20T17:40:00"/>
    <d v="1899-12-30T02:10:00"/>
    <n v="138.46153846773811"/>
    <s v="UNPLANNED"/>
    <x v="1"/>
    <d v="1899-12-30T15:30:00"/>
    <x v="1"/>
  </r>
  <r>
    <n v="4693"/>
    <x v="7"/>
    <n v="7115271757100"/>
    <x v="1674"/>
    <d v="2022-05-20T23:10:00"/>
    <d v="1899-12-30T05:00:00"/>
    <n v="59.999999999301515"/>
    <s v="UNPLANNED"/>
    <x v="1"/>
    <d v="1899-12-30T18:10:00"/>
    <x v="1"/>
  </r>
  <r>
    <n v="4694"/>
    <x v="0"/>
    <n v="5115271258100"/>
    <x v="1675"/>
    <d v="2022-05-20T23:10:00"/>
    <d v="1899-12-30T05:11:00"/>
    <n v="57.87781350334992"/>
    <s v="UNPLANNED"/>
    <x v="1"/>
    <d v="1899-12-30T17:59:00"/>
    <x v="1"/>
  </r>
  <r>
    <n v="4695"/>
    <x v="3"/>
    <n v="8115271834800"/>
    <x v="1676"/>
    <d v="2022-05-21T05:20:00"/>
    <d v="1899-12-30T00:50:00"/>
    <n v="360.00000003352761"/>
    <s v="UNPLANNED"/>
    <x v="0"/>
    <d v="1899-12-30T04:30:00"/>
    <x v="2"/>
  </r>
  <r>
    <n v="4696"/>
    <x v="17"/>
    <n v="46115271520509"/>
    <x v="1677"/>
    <d v="2022-05-21T14:12:00"/>
    <d v="1899-12-30T03:57:00"/>
    <n v="75.949367089502957"/>
    <s v="UNPLANNED"/>
    <x v="0"/>
    <d v="1899-12-30T10:15:00"/>
    <x v="0"/>
  </r>
  <r>
    <n v="4697"/>
    <x v="12"/>
    <n v="14115271688603"/>
    <x v="1678"/>
    <d v="2022-05-21T14:12:00"/>
    <d v="1899-12-30T06:42:00"/>
    <n v="44.77611940290727"/>
    <s v="UNPLANNED"/>
    <x v="1"/>
    <d v="1899-12-30T07:30:00"/>
    <x v="0"/>
  </r>
  <r>
    <n v="4698"/>
    <x v="10"/>
    <n v="11115271558900"/>
    <x v="1679"/>
    <d v="2022-05-21T14:12:00"/>
    <d v="1899-12-30T04:02:00"/>
    <n v="74.380165288325898"/>
    <s v="UNPLANNED"/>
    <x v="0"/>
    <d v="1899-12-30T10:10:00"/>
    <x v="0"/>
  </r>
  <r>
    <n v="4699"/>
    <x v="10"/>
    <n v="11115271504800"/>
    <x v="1677"/>
    <d v="2022-05-21T14:12:00"/>
    <d v="1899-12-30T03:57:00"/>
    <n v="75.949367089502957"/>
    <s v="UNPLANNED"/>
    <x v="0"/>
    <d v="1899-12-30T10:15:00"/>
    <x v="0"/>
  </r>
  <r>
    <n v="4700"/>
    <x v="6"/>
    <n v="9115271952700"/>
    <x v="1677"/>
    <d v="2022-05-21T14:12:00"/>
    <d v="1899-12-30T03:57:00"/>
    <n v="75.949367089502957"/>
    <s v="UNPLANNED"/>
    <x v="0"/>
    <d v="1899-12-30T10:15:00"/>
    <x v="0"/>
  </r>
  <r>
    <n v="4701"/>
    <x v="6"/>
    <n v="9115271934300"/>
    <x v="1680"/>
    <d v="2022-05-21T14:12:00"/>
    <d v="1899-12-30T06:12:00"/>
    <n v="48.387096774556973"/>
    <s v="UNPLANNED"/>
    <x v="1"/>
    <d v="1899-12-30T08:00:00"/>
    <x v="0"/>
  </r>
  <r>
    <n v="4702"/>
    <x v="1"/>
    <n v="6115271731400"/>
    <x v="1677"/>
    <d v="2022-05-21T14:12:00"/>
    <d v="1899-12-30T03:57:00"/>
    <n v="75.949367089502957"/>
    <s v="UNPLANNED"/>
    <x v="0"/>
    <d v="1899-12-30T10:15:00"/>
    <x v="0"/>
  </r>
  <r>
    <n v="4703"/>
    <x v="1"/>
    <n v="6115271722200"/>
    <x v="1680"/>
    <d v="2022-05-21T14:12:00"/>
    <d v="1899-12-30T06:12:00"/>
    <n v="48.387096774556973"/>
    <s v="UNPLANNED"/>
    <x v="1"/>
    <d v="1899-12-30T08:00:00"/>
    <x v="0"/>
  </r>
  <r>
    <n v="4704"/>
    <x v="1"/>
    <n v="6115271715301"/>
    <x v="1678"/>
    <d v="2022-05-21T14:12:00"/>
    <d v="1899-12-30T06:42:00"/>
    <n v="44.77611940290727"/>
    <s v="UNPLANNED"/>
    <x v="1"/>
    <d v="1899-12-30T07:30:00"/>
    <x v="0"/>
  </r>
  <r>
    <n v="4705"/>
    <x v="14"/>
    <n v="1115270112500"/>
    <x v="1681"/>
    <d v="2022-05-21T18:15:00"/>
    <d v="1899-12-30T02:59:00"/>
    <n v="100.55865921970828"/>
    <s v="UNPLANNED"/>
    <x v="1"/>
    <d v="1899-12-30T15:16:00"/>
    <x v="1"/>
  </r>
  <r>
    <n v="4706"/>
    <x v="12"/>
    <n v="14115271680206"/>
    <x v="1682"/>
    <d v="2022-05-21T22:25:00"/>
    <d v="1899-12-30T02:25:00"/>
    <n v="124.1379310334861"/>
    <s v="UNPLANNED"/>
    <x v="1"/>
    <d v="1899-12-30T20:00:00"/>
    <x v="1"/>
  </r>
  <r>
    <n v="4707"/>
    <x v="7"/>
    <n v="7115271783100"/>
    <x v="1682"/>
    <d v="2022-05-21T22:25:00"/>
    <d v="1899-12-30T02:25:00"/>
    <n v="124.1379310334861"/>
    <s v="UNPLANNED"/>
    <x v="1"/>
    <d v="1899-12-30T20:00:00"/>
    <x v="1"/>
  </r>
  <r>
    <n v="4708"/>
    <x v="13"/>
    <n v="3115270340802"/>
    <x v="1683"/>
    <d v="2022-05-22T00:10:00"/>
    <d v="1899-12-30T00:40:00"/>
    <n v="449.99999994761311"/>
    <s v="UNPLANNED"/>
    <x v="0"/>
    <d v="1899-12-30T23:30:00"/>
    <x v="2"/>
  </r>
  <r>
    <n v="4709"/>
    <x v="2"/>
    <n v="12115271560116"/>
    <x v="1684"/>
    <d v="2022-05-22T01:00:00"/>
    <d v="1899-12-30T00:40:00"/>
    <n v="450.00000006548362"/>
    <s v="UNPLANNED"/>
    <x v="0"/>
    <d v="1899-12-30T00:20:00"/>
    <x v="2"/>
  </r>
  <r>
    <n v="4710"/>
    <x v="18"/>
    <n v="44115271201701"/>
    <x v="1685"/>
    <d v="2022-05-22T14:27:00"/>
    <d v="1899-12-30T03:57:00"/>
    <n v="75.949367089502957"/>
    <s v="UNPLANNED"/>
    <x v="1"/>
    <d v="1899-12-30T10:30:00"/>
    <x v="0"/>
  </r>
  <r>
    <n v="4711"/>
    <x v="5"/>
    <n v="13115271672200"/>
    <x v="1686"/>
    <d v="2022-05-22T14:27:00"/>
    <d v="1899-12-30T05:07:00"/>
    <n v="58.6319218250825"/>
    <s v="UNPLANNED"/>
    <x v="1"/>
    <d v="1899-12-30T09:20:00"/>
    <x v="0"/>
  </r>
  <r>
    <n v="4712"/>
    <x v="7"/>
    <n v="7115271804800"/>
    <x v="1687"/>
    <d v="2022-05-22T14:27:00"/>
    <d v="1899-12-30T01:57:00"/>
    <n v="153.84615385442001"/>
    <s v="UNPLANNED"/>
    <x v="1"/>
    <d v="1899-12-30T12:30:00"/>
    <x v="0"/>
  </r>
  <r>
    <n v="4713"/>
    <x v="13"/>
    <n v="3115270409100"/>
    <x v="1686"/>
    <d v="2022-05-22T14:27:00"/>
    <d v="1899-12-30T05:07:00"/>
    <n v="58.6319218250825"/>
    <s v="UNPLANNED"/>
    <x v="1"/>
    <d v="1899-12-30T09:20:00"/>
    <x v="0"/>
  </r>
  <r>
    <n v="4714"/>
    <x v="14"/>
    <n v="1115270107500"/>
    <x v="1685"/>
    <d v="2022-05-22T14:27:00"/>
    <d v="1899-12-30T03:57:00"/>
    <n v="75.949367089502957"/>
    <s v="UNPLANNED"/>
    <x v="1"/>
    <d v="1899-12-30T10:30:00"/>
    <x v="0"/>
  </r>
  <r>
    <n v="4715"/>
    <x v="12"/>
    <n v="14115271674707"/>
    <x v="1688"/>
    <d v="2022-05-22T17:00:00"/>
    <d v="1899-12-30T01:00:00"/>
    <n v="299.9999999650754"/>
    <s v="UNPLANNED"/>
    <x v="0"/>
    <d v="1899-12-30T16:00:00"/>
    <x v="1"/>
  </r>
  <r>
    <n v="4716"/>
    <x v="7"/>
    <n v="7115271787404"/>
    <x v="1688"/>
    <d v="2022-05-22T17:00:00"/>
    <d v="1899-12-30T01:00:00"/>
    <n v="299.9999999650754"/>
    <s v="UNPLANNED"/>
    <x v="0"/>
    <d v="1899-12-30T16:00:00"/>
    <x v="1"/>
  </r>
  <r>
    <n v="4717"/>
    <x v="2"/>
    <n v="12115271574503"/>
    <x v="1689"/>
    <d v="2022-05-22T22:50:00"/>
    <d v="1899-12-30T05:05:00"/>
    <n v="59.016393442848212"/>
    <s v="UNPLANNED"/>
    <x v="0"/>
    <d v="1899-12-30T17:45:00"/>
    <x v="1"/>
  </r>
  <r>
    <n v="4718"/>
    <x v="12"/>
    <n v="14115271672409"/>
    <x v="1690"/>
    <d v="2022-05-22T22:55:00"/>
    <d v="1899-12-30T02:55:00"/>
    <n v="102.85714286056404"/>
    <s v="UNPLANNED"/>
    <x v="0"/>
    <d v="1899-12-30T20:00:00"/>
    <x v="1"/>
  </r>
  <r>
    <n v="4719"/>
    <x v="3"/>
    <n v="8115271855800"/>
    <x v="1690"/>
    <d v="2022-05-22T22:55:00"/>
    <d v="1899-12-30T02:55:00"/>
    <n v="102.85714286056404"/>
    <s v="UNPLANNED"/>
    <x v="0"/>
    <d v="1899-12-30T20:00:00"/>
    <x v="1"/>
  </r>
  <r>
    <n v="4720"/>
    <x v="13"/>
    <n v="3115270421800"/>
    <x v="1689"/>
    <d v="2022-05-22T22:55:00"/>
    <d v="1899-12-30T05:10:00"/>
    <n v="58.064516130122513"/>
    <s v="UNPLANNED"/>
    <x v="1"/>
    <d v="1899-12-30T17:45:00"/>
    <x v="1"/>
  </r>
  <r>
    <n v="4721"/>
    <x v="9"/>
    <n v="2115270235200"/>
    <x v="1690"/>
    <d v="2022-05-22T22:55:00"/>
    <d v="1899-12-30T02:55:00"/>
    <n v="102.85714286056404"/>
    <s v="UNPLANNED"/>
    <x v="0"/>
    <d v="1899-12-30T20:00:00"/>
    <x v="1"/>
  </r>
  <r>
    <n v="4722"/>
    <x v="13"/>
    <n v="3115270360500"/>
    <x v="1691"/>
    <d v="2022-05-22T23:10:00"/>
    <d v="1899-12-30T00:50:00"/>
    <n v="359.99999995809048"/>
    <s v="UNPLANNED"/>
    <x v="0"/>
    <d v="1899-12-30T22:20:00"/>
    <x v="2"/>
  </r>
  <r>
    <n v="4723"/>
    <x v="13"/>
    <n v="3115270396400"/>
    <x v="1692"/>
    <d v="2022-05-23T00:05:00"/>
    <d v="1899-12-30T00:40:00"/>
    <n v="450.00000006548362"/>
    <s v="UNPLANNED"/>
    <x v="1"/>
    <d v="1899-12-30T23:25:00"/>
    <x v="2"/>
  </r>
  <r>
    <n v="4724"/>
    <x v="5"/>
    <n v="13115271604011"/>
    <x v="1693"/>
    <d v="2022-05-23T01:40:00"/>
    <d v="1899-12-30T01:25:00"/>
    <n v="211.7647058707517"/>
    <s v="UNPLANNED"/>
    <x v="0"/>
    <d v="1899-12-30T00:15:00"/>
    <x v="2"/>
  </r>
  <r>
    <n v="4725"/>
    <x v="2"/>
    <n v="12115271565409"/>
    <x v="1693"/>
    <d v="2022-05-23T01:40:00"/>
    <d v="1899-12-30T01:25:00"/>
    <n v="211.7647058707517"/>
    <s v="UNPLANNED"/>
    <x v="1"/>
    <d v="1899-12-30T00:15:00"/>
    <x v="2"/>
  </r>
  <r>
    <n v="4726"/>
    <x v="12"/>
    <n v="14115271672406"/>
    <x v="1694"/>
    <d v="2022-05-23T12:00:00"/>
    <d v="1899-12-30T03:15:00"/>
    <n v="92.307692309345541"/>
    <s v="UNPLANNED"/>
    <x v="0"/>
    <d v="1899-12-30T08:45:00"/>
    <x v="0"/>
  </r>
  <r>
    <n v="4727"/>
    <x v="12"/>
    <n v="14115271672405"/>
    <x v="1694"/>
    <d v="2022-05-23T12:00:00"/>
    <d v="1899-12-30T03:15:00"/>
    <n v="92.307692309345541"/>
    <s v="UNPLANNED"/>
    <x v="1"/>
    <d v="1899-12-30T08:45:00"/>
    <x v="0"/>
  </r>
  <r>
    <n v="4728"/>
    <x v="2"/>
    <n v="12115271569203"/>
    <x v="1694"/>
    <d v="2022-05-23T12:00:00"/>
    <d v="1899-12-30T03:15:00"/>
    <n v="92.307692309345541"/>
    <s v="UNPLANNED"/>
    <x v="1"/>
    <d v="1899-12-30T08:45:00"/>
    <x v="0"/>
  </r>
  <r>
    <n v="4729"/>
    <x v="12"/>
    <n v="14115271678707"/>
    <x v="1695"/>
    <d v="2022-05-23T21:58:00"/>
    <d v="1899-12-30T02:28:00"/>
    <n v="121.62162162123894"/>
    <s v="UNPLANNED"/>
    <x v="0"/>
    <d v="1899-12-30T19:30:00"/>
    <x v="1"/>
  </r>
  <r>
    <n v="4730"/>
    <x v="12"/>
    <n v="14115271678701"/>
    <x v="1695"/>
    <d v="2022-05-23T21:58:00"/>
    <d v="1899-12-30T02:28:00"/>
    <n v="121.62162162123894"/>
    <s v="UNPLANNED"/>
    <x v="1"/>
    <d v="1899-12-30T19:30:00"/>
    <x v="1"/>
  </r>
  <r>
    <n v="4731"/>
    <x v="5"/>
    <n v="13115271590316"/>
    <x v="1695"/>
    <d v="2022-05-23T21:58:00"/>
    <d v="1899-12-30T02:28:00"/>
    <n v="121.62162162123894"/>
    <s v="UNPLANNED"/>
    <x v="0"/>
    <d v="1899-12-30T19:30:00"/>
    <x v="1"/>
  </r>
  <r>
    <n v="4732"/>
    <x v="5"/>
    <n v="13115271590312"/>
    <x v="1695"/>
    <d v="2022-05-23T21:58:00"/>
    <d v="1899-12-30T02:28:00"/>
    <n v="121.62162162123894"/>
    <s v="UNPLANNED"/>
    <x v="0"/>
    <d v="1899-12-30T19:30:00"/>
    <x v="1"/>
  </r>
  <r>
    <n v="4733"/>
    <x v="2"/>
    <n v="12115271569826"/>
    <x v="1695"/>
    <d v="2022-05-23T21:58:00"/>
    <d v="1899-12-30T02:28:00"/>
    <n v="121.62162162123894"/>
    <s v="UNPLANNED"/>
    <x v="0"/>
    <d v="1899-12-30T19:30:00"/>
    <x v="1"/>
  </r>
  <r>
    <n v="4734"/>
    <x v="2"/>
    <n v="12115271569824"/>
    <x v="1695"/>
    <d v="2022-05-23T21:58:00"/>
    <d v="1899-12-30T02:28:00"/>
    <n v="121.62162162123894"/>
    <s v="UNPLANNED"/>
    <x v="0"/>
    <d v="1899-12-30T19:30:00"/>
    <x v="1"/>
  </r>
  <r>
    <n v="4735"/>
    <x v="10"/>
    <n v="11115271549604"/>
    <x v="1695"/>
    <d v="2022-05-23T21:58:00"/>
    <d v="1899-12-30T02:28:00"/>
    <n v="121.62162162123894"/>
    <s v="UNPLANNED"/>
    <x v="1"/>
    <d v="1899-12-30T19:30:00"/>
    <x v="1"/>
  </r>
  <r>
    <n v="4736"/>
    <x v="10"/>
    <n v="11115271549600"/>
    <x v="1695"/>
    <d v="2022-05-23T21:58:00"/>
    <d v="1899-12-30T02:28:00"/>
    <n v="121.62162162123894"/>
    <s v="UNPLANNED"/>
    <x v="1"/>
    <d v="1899-12-30T19:30:00"/>
    <x v="1"/>
  </r>
  <r>
    <n v="4737"/>
    <x v="10"/>
    <n v="11115271534002"/>
    <x v="1695"/>
    <d v="2022-05-23T21:58:00"/>
    <d v="1899-12-30T02:28:00"/>
    <n v="121.62162162123894"/>
    <s v="UNPLANNED"/>
    <x v="1"/>
    <d v="1899-12-30T19:30:00"/>
    <x v="1"/>
  </r>
  <r>
    <n v="4738"/>
    <x v="10"/>
    <n v="11115271534000"/>
    <x v="1695"/>
    <d v="2022-05-23T21:58:00"/>
    <d v="1899-12-30T02:28:00"/>
    <n v="121.62162162123894"/>
    <s v="UNPLANNED"/>
    <x v="0"/>
    <d v="1899-12-30T19:30:00"/>
    <x v="1"/>
  </r>
  <r>
    <n v="4739"/>
    <x v="9"/>
    <n v="2115270229700"/>
    <x v="1696"/>
    <d v="2022-05-23T23:40:00"/>
    <d v="1899-12-30T00:40:00"/>
    <n v="450.00000006548362"/>
    <s v="UNPLANNED"/>
    <x v="0"/>
    <d v="1899-12-30T23:00:00"/>
    <x v="2"/>
  </r>
  <r>
    <n v="4740"/>
    <x v="5"/>
    <n v="13115271662500"/>
    <x v="1697"/>
    <d v="2022-05-24T05:45:00"/>
    <d v="1899-12-30T01:40:00"/>
    <n v="179.99999999790452"/>
    <s v="UNPLANNED"/>
    <x v="0"/>
    <d v="1899-12-30T04:05:00"/>
    <x v="2"/>
  </r>
  <r>
    <n v="4741"/>
    <x v="2"/>
    <n v="12115271571099"/>
    <x v="1698"/>
    <d v="2022-05-24T12:00:00"/>
    <d v="1899-12-30T03:26:00"/>
    <n v="87.378640776303996"/>
    <s v="UNPLANNED"/>
    <x v="1"/>
    <d v="1899-12-30T08:34:00"/>
    <x v="0"/>
  </r>
  <r>
    <n v="4742"/>
    <x v="10"/>
    <n v="11115271559930"/>
    <x v="1698"/>
    <d v="2022-05-24T12:00:00"/>
    <d v="1899-12-30T03:26:00"/>
    <n v="87.378640776303996"/>
    <s v="UNPLANNED"/>
    <x v="0"/>
    <d v="1899-12-30T08:34:00"/>
    <x v="0"/>
  </r>
  <r>
    <n v="4743"/>
    <x v="13"/>
    <n v="3115270320104"/>
    <x v="1698"/>
    <d v="2022-05-24T12:00:00"/>
    <d v="1899-12-30T03:26:00"/>
    <n v="87.378640776303996"/>
    <s v="UNPLANNED"/>
    <x v="0"/>
    <d v="1899-12-30T08:34:00"/>
    <x v="0"/>
  </r>
  <r>
    <n v="4744"/>
    <x v="1"/>
    <n v="6115271729601"/>
    <x v="1699"/>
    <d v="2022-05-24T18:25:00"/>
    <d v="1899-12-30T01:55:00"/>
    <n v="156.52173913360375"/>
    <s v="UNPLANNED"/>
    <x v="1"/>
    <d v="1899-12-30T16:30:00"/>
    <x v="1"/>
  </r>
  <r>
    <n v="4745"/>
    <x v="13"/>
    <n v="3115270421400"/>
    <x v="1700"/>
    <d v="2022-05-24T18:25:00"/>
    <d v="1899-12-30T02:55:00"/>
    <n v="102.85714286056404"/>
    <s v="UNPLANNED"/>
    <x v="1"/>
    <d v="1899-12-30T15:30:00"/>
    <x v="1"/>
  </r>
  <r>
    <n v="4746"/>
    <x v="13"/>
    <n v="3115270360203"/>
    <x v="1699"/>
    <d v="2022-05-24T18:25:00"/>
    <d v="1899-12-30T01:55:00"/>
    <n v="156.52173913360375"/>
    <s v="UNPLANNED"/>
    <x v="0"/>
    <d v="1899-12-30T16:30:00"/>
    <x v="1"/>
  </r>
  <r>
    <n v="4747"/>
    <x v="9"/>
    <n v="2115270239900"/>
    <x v="1700"/>
    <d v="2022-05-24T18:25:00"/>
    <d v="1899-12-30T02:55:00"/>
    <n v="102.85714286056404"/>
    <s v="UNPLANNED"/>
    <x v="1"/>
    <d v="1899-12-30T15:30:00"/>
    <x v="1"/>
  </r>
  <r>
    <n v="4748"/>
    <x v="13"/>
    <n v="3115270410900"/>
    <x v="1701"/>
    <d v="2022-05-24T19:55:00"/>
    <d v="1899-12-30T00:55:00"/>
    <n v="327.27272726580009"/>
    <s v="UNPLANNED"/>
    <x v="1"/>
    <d v="1899-12-30T19:00:00"/>
    <x v="1"/>
  </r>
  <r>
    <n v="4749"/>
    <x v="2"/>
    <n v="12115271566000"/>
    <x v="1702"/>
    <d v="2022-05-25T05:00:00"/>
    <d v="1899-12-30T06:30:00"/>
    <n v="46.153846153432845"/>
    <s v="UNPLANNED"/>
    <x v="1"/>
    <d v="1899-12-30T22:30:00"/>
    <x v="2"/>
  </r>
  <r>
    <n v="4750"/>
    <x v="10"/>
    <n v="11115271542605"/>
    <x v="1702"/>
    <d v="2022-05-25T05:00:00"/>
    <d v="1899-12-30T06:30:00"/>
    <n v="46.153846153432845"/>
    <s v="UNPLANNED"/>
    <x v="0"/>
    <d v="1899-12-30T22:30:00"/>
    <x v="2"/>
  </r>
  <r>
    <n v="4751"/>
    <x v="11"/>
    <n v="10115271433700"/>
    <x v="1702"/>
    <d v="2022-05-25T05:00:00"/>
    <d v="1899-12-30T06:30:00"/>
    <n v="46.153846153432845"/>
    <s v="UNPLANNED"/>
    <x v="1"/>
    <d v="1899-12-30T22:30:00"/>
    <x v="2"/>
  </r>
  <r>
    <n v="4752"/>
    <x v="13"/>
    <n v="3115270306602"/>
    <x v="1702"/>
    <d v="2022-05-25T05:00:00"/>
    <d v="1899-12-30T06:30:00"/>
    <n v="46.153846153432845"/>
    <s v="UNPLANNED"/>
    <x v="1"/>
    <d v="1899-12-30T22:30:00"/>
    <x v="2"/>
  </r>
  <r>
    <n v="4753"/>
    <x v="4"/>
    <n v="15115271788205"/>
    <x v="1703"/>
    <d v="2022-05-25T14:57:00"/>
    <d v="1899-12-30T04:12:00"/>
    <n v="71.428571427383517"/>
    <s v="UNPLANNED"/>
    <x v="0"/>
    <d v="1899-12-30T10:45:00"/>
    <x v="0"/>
  </r>
  <r>
    <n v="4754"/>
    <x v="12"/>
    <n v="14115271680206"/>
    <x v="1704"/>
    <d v="2022-05-25T14:57:00"/>
    <d v="1899-12-30T06:52:00"/>
    <n v="43.689320388151998"/>
    <s v="UNPLANNED"/>
    <x v="1"/>
    <d v="1899-12-30T08:05:00"/>
    <x v="0"/>
  </r>
  <r>
    <n v="4755"/>
    <x v="5"/>
    <n v="13115271627702"/>
    <x v="1703"/>
    <d v="2022-05-25T14:57:00"/>
    <d v="1899-12-30T04:12:00"/>
    <n v="71.428571427383517"/>
    <s v="UNPLANNED"/>
    <x v="0"/>
    <d v="1899-12-30T10:45:00"/>
    <x v="0"/>
  </r>
  <r>
    <n v="4756"/>
    <x v="2"/>
    <n v="12115271590203"/>
    <x v="1704"/>
    <d v="2022-05-25T14:57:00"/>
    <d v="1899-12-30T06:52:00"/>
    <n v="43.689320388151998"/>
    <s v="UNPLANNED"/>
    <x v="1"/>
    <d v="1899-12-30T08:05:00"/>
    <x v="0"/>
  </r>
  <r>
    <n v="4757"/>
    <x v="2"/>
    <n v="12115271584806"/>
    <x v="1705"/>
    <d v="2022-05-25T14:57:00"/>
    <d v="1899-12-30T02:57:00"/>
    <n v="101.69491525383599"/>
    <s v="UNPLANNED"/>
    <x v="0"/>
    <d v="1899-12-30T12:00:00"/>
    <x v="0"/>
  </r>
  <r>
    <n v="4758"/>
    <x v="10"/>
    <n v="11115271559936"/>
    <x v="1706"/>
    <d v="2022-05-25T14:57:00"/>
    <d v="1899-12-30T00:47:00"/>
    <n v="382.97872343650801"/>
    <s v="UNPLANNED"/>
    <x v="0"/>
    <d v="1899-12-30T14:10:00"/>
    <x v="1"/>
  </r>
  <r>
    <n v="4759"/>
    <x v="11"/>
    <n v="10115271428201"/>
    <x v="1705"/>
    <d v="2022-05-25T14:57:00"/>
    <d v="1899-12-30T02:57:00"/>
    <n v="101.69491525383599"/>
    <s v="UNPLANNED"/>
    <x v="0"/>
    <d v="1899-12-30T12:00:00"/>
    <x v="0"/>
  </r>
  <r>
    <n v="4760"/>
    <x v="6"/>
    <n v="9115271906606"/>
    <x v="1704"/>
    <d v="2022-05-25T14:57:00"/>
    <d v="1899-12-30T06:52:00"/>
    <n v="43.689320388151998"/>
    <s v="UNPLANNED"/>
    <x v="0"/>
    <d v="1899-12-30T08:05:00"/>
    <x v="0"/>
  </r>
  <r>
    <n v="4761"/>
    <x v="7"/>
    <n v="7115271792407"/>
    <x v="1705"/>
    <d v="2022-05-25T14:57:00"/>
    <d v="1899-12-30T02:57:00"/>
    <n v="101.69491525383599"/>
    <s v="UNPLANNED"/>
    <x v="0"/>
    <d v="1899-12-30T12:00:00"/>
    <x v="0"/>
  </r>
  <r>
    <n v="4762"/>
    <x v="7"/>
    <n v="7115271786615"/>
    <x v="1703"/>
    <d v="2022-05-25T14:57:00"/>
    <d v="1899-12-30T04:12:00"/>
    <n v="71.428571427383517"/>
    <s v="UNPLANNED"/>
    <x v="1"/>
    <d v="1899-12-30T10:45:00"/>
    <x v="0"/>
  </r>
  <r>
    <n v="4763"/>
    <x v="7"/>
    <n v="7115271769607"/>
    <x v="1703"/>
    <d v="2022-05-25T14:57:00"/>
    <d v="1899-12-30T04:12:00"/>
    <n v="71.428571427383517"/>
    <s v="UNPLANNED"/>
    <x v="1"/>
    <d v="1899-12-30T10:45:00"/>
    <x v="0"/>
  </r>
  <r>
    <n v="4764"/>
    <x v="7"/>
    <n v="7115271757100"/>
    <x v="1704"/>
    <d v="2022-05-25T14:57:00"/>
    <d v="1899-12-30T06:52:00"/>
    <n v="43.689320388151998"/>
    <s v="UNPLANNED"/>
    <x v="0"/>
    <d v="1899-12-30T08:05:00"/>
    <x v="0"/>
  </r>
  <r>
    <n v="4765"/>
    <x v="1"/>
    <n v="6115271736006"/>
    <x v="1705"/>
    <d v="2022-05-25T14:57:00"/>
    <d v="1899-12-30T02:57:00"/>
    <n v="101.69491525383599"/>
    <s v="UNPLANNED"/>
    <x v="0"/>
    <d v="1899-12-30T12:00:00"/>
    <x v="0"/>
  </r>
  <r>
    <n v="4766"/>
    <x v="1"/>
    <n v="6115271722900"/>
    <x v="1707"/>
    <d v="2022-05-25T14:57:00"/>
    <d v="1899-12-30T05:57:00"/>
    <n v="50.420168067128245"/>
    <s v="UNPLANNED"/>
    <x v="1"/>
    <d v="1899-12-30T09:00:00"/>
    <x v="0"/>
  </r>
  <r>
    <n v="4767"/>
    <x v="1"/>
    <n v="6115271722700"/>
    <x v="1706"/>
    <d v="2022-05-25T14:57:00"/>
    <d v="1899-12-30T00:47:00"/>
    <n v="382.97872343650801"/>
    <s v="UNPLANNED"/>
    <x v="0"/>
    <d v="1899-12-30T14:10:00"/>
    <x v="1"/>
  </r>
  <r>
    <n v="4768"/>
    <x v="1"/>
    <n v="6115271697304"/>
    <x v="1705"/>
    <d v="2022-05-25T14:57:00"/>
    <d v="1899-12-30T02:57:00"/>
    <n v="101.69491525383599"/>
    <s v="UNPLANNED"/>
    <x v="1"/>
    <d v="1899-12-30T12:00:00"/>
    <x v="0"/>
  </r>
  <r>
    <n v="4769"/>
    <x v="8"/>
    <n v="4115270847108"/>
    <x v="1705"/>
    <d v="2022-05-25T14:57:00"/>
    <d v="1899-12-30T02:57:00"/>
    <n v="101.69491525383599"/>
    <s v="UNPLANNED"/>
    <x v="0"/>
    <d v="1899-12-30T12:00:00"/>
    <x v="0"/>
  </r>
  <r>
    <n v="4770"/>
    <x v="4"/>
    <n v="15115271743900"/>
    <x v="1708"/>
    <d v="2022-05-25T22:05:00"/>
    <d v="1899-12-30T03:45:00"/>
    <n v="80"/>
    <s v="UNPLANNED"/>
    <x v="1"/>
    <d v="1899-12-30T18:20:00"/>
    <x v="1"/>
  </r>
  <r>
    <n v="4771"/>
    <x v="12"/>
    <n v="14115271672404"/>
    <x v="1709"/>
    <d v="2022-05-25T22:05:00"/>
    <d v="1899-12-30T02:47:00"/>
    <n v="107.7844311380251"/>
    <s v="UNPLANNED"/>
    <x v="2"/>
    <d v="1899-12-30T19:18:00"/>
    <x v="1"/>
  </r>
  <r>
    <n v="4772"/>
    <x v="5"/>
    <n v="13115271590601"/>
    <x v="1710"/>
    <d v="2022-05-25T22:05:00"/>
    <d v="1899-12-30T02:55:00"/>
    <n v="102.85714285440591"/>
    <s v="UNPLANNED"/>
    <x v="0"/>
    <d v="1899-12-30T19:10:00"/>
    <x v="1"/>
  </r>
  <r>
    <n v="4773"/>
    <x v="10"/>
    <n v="11115271542302"/>
    <x v="1711"/>
    <d v="2022-05-25T22:05:00"/>
    <d v="1899-12-30T06:35:00"/>
    <n v="45.569620253298858"/>
    <s v="UNPLANNED"/>
    <x v="1"/>
    <d v="1899-12-30T15:30:00"/>
    <x v="1"/>
  </r>
  <r>
    <n v="4774"/>
    <x v="7"/>
    <n v="7115271769702"/>
    <x v="1711"/>
    <d v="2022-05-25T22:05:00"/>
    <d v="1899-12-30T06:35:00"/>
    <n v="45.569620253298858"/>
    <s v="UNPLANNED"/>
    <x v="0"/>
    <d v="1899-12-30T15:30:00"/>
    <x v="1"/>
  </r>
  <r>
    <n v="4775"/>
    <x v="7"/>
    <n v="7115271757200"/>
    <x v="1712"/>
    <d v="2022-05-25T22:05:00"/>
    <d v="1899-12-30T02:25:00"/>
    <n v="124.1379310334861"/>
    <s v="UNPLANNED"/>
    <x v="0"/>
    <d v="1899-12-30T19:40:00"/>
    <x v="1"/>
  </r>
  <r>
    <n v="4776"/>
    <x v="1"/>
    <n v="6115271725900"/>
    <x v="1711"/>
    <d v="2022-05-25T22:05:00"/>
    <d v="1899-12-30T06:35:00"/>
    <n v="45.569620253298858"/>
    <s v="UNPLANNED"/>
    <x v="0"/>
    <d v="1899-12-30T15:30:00"/>
    <x v="1"/>
  </r>
  <r>
    <n v="4777"/>
    <x v="1"/>
    <n v="6115271698000"/>
    <x v="1710"/>
    <d v="2022-05-25T22:05:00"/>
    <d v="1899-12-30T02:55:00"/>
    <n v="102.85714285440591"/>
    <s v="UNPLANNED"/>
    <x v="1"/>
    <d v="1899-12-30T19:10:00"/>
    <x v="1"/>
  </r>
  <r>
    <n v="4778"/>
    <x v="13"/>
    <n v="3115270360214"/>
    <x v="1711"/>
    <d v="2022-05-25T22:05:00"/>
    <d v="1899-12-30T06:35:00"/>
    <n v="45.569620253298858"/>
    <s v="UNPLANNED"/>
    <x v="0"/>
    <d v="1899-12-30T15:30:00"/>
    <x v="1"/>
  </r>
  <r>
    <n v="4779"/>
    <x v="13"/>
    <n v="3115270320500"/>
    <x v="1711"/>
    <d v="2022-05-25T22:05:00"/>
    <d v="1899-12-30T06:35:00"/>
    <n v="45.569620253298858"/>
    <s v="UNPLANNED"/>
    <x v="0"/>
    <d v="1899-12-30T15:30:00"/>
    <x v="1"/>
  </r>
  <r>
    <n v="4780"/>
    <x v="4"/>
    <n v="15115271798208"/>
    <x v="1713"/>
    <d v="2022-05-26T14:10:00"/>
    <d v="1899-12-30T02:25:00"/>
    <n v="124.1379310334861"/>
    <s v="UNPLANNED"/>
    <x v="6"/>
    <d v="1899-12-30T11:45:00"/>
    <x v="0"/>
  </r>
  <r>
    <n v="4781"/>
    <x v="4"/>
    <n v="15115271743401"/>
    <x v="1714"/>
    <d v="2022-05-26T14:10:00"/>
    <d v="1899-12-30T01:40:00"/>
    <n v="179.99999999790452"/>
    <s v="UNPLANNED"/>
    <x v="1"/>
    <d v="1899-12-30T12:30:00"/>
    <x v="0"/>
  </r>
  <r>
    <n v="4782"/>
    <x v="5"/>
    <n v="13115271606005"/>
    <x v="1715"/>
    <d v="2022-05-26T14:10:00"/>
    <d v="1899-12-30T03:30:00"/>
    <n v="85.714285712860217"/>
    <s v="UNPLANNED"/>
    <x v="1"/>
    <d v="1899-12-30T10:40:00"/>
    <x v="0"/>
  </r>
  <r>
    <n v="4783"/>
    <x v="5"/>
    <n v="13115271590302"/>
    <x v="1714"/>
    <d v="2022-05-26T14:10:00"/>
    <d v="1899-12-30T01:40:00"/>
    <n v="179.99999999790452"/>
    <s v="UNPLANNED"/>
    <x v="1"/>
    <d v="1899-12-30T12:30:00"/>
    <x v="0"/>
  </r>
  <r>
    <n v="4784"/>
    <x v="11"/>
    <n v="10115271453600"/>
    <x v="1715"/>
    <d v="2022-05-26T14:10:00"/>
    <d v="1899-12-30T03:30:00"/>
    <n v="85.714285712860217"/>
    <s v="UNPLANNED"/>
    <x v="0"/>
    <d v="1899-12-30T10:40:00"/>
    <x v="0"/>
  </r>
  <r>
    <n v="4785"/>
    <x v="6"/>
    <n v="9115271938300"/>
    <x v="1714"/>
    <d v="2022-05-26T14:10:00"/>
    <d v="1899-12-30T01:40:00"/>
    <n v="179.99999999790452"/>
    <s v="UNPLANNED"/>
    <x v="1"/>
    <d v="1899-12-30T12:30:00"/>
    <x v="0"/>
  </r>
  <r>
    <n v="4786"/>
    <x v="13"/>
    <n v="3115270350203"/>
    <x v="1715"/>
    <d v="2022-05-26T14:10:00"/>
    <d v="1899-12-30T03:30:00"/>
    <n v="85.714285712860217"/>
    <s v="UNPLANNED"/>
    <x v="0"/>
    <d v="1899-12-30T10:40:00"/>
    <x v="0"/>
  </r>
  <r>
    <n v="4787"/>
    <x v="14"/>
    <n v="1115270132600"/>
    <x v="1713"/>
    <d v="2022-05-26T14:10:00"/>
    <d v="1899-12-30T02:25:00"/>
    <n v="124.1379310334861"/>
    <s v="UNPLANNED"/>
    <x v="2"/>
    <d v="1899-12-30T11:45:00"/>
    <x v="0"/>
  </r>
  <r>
    <n v="4788"/>
    <x v="14"/>
    <n v="1115270062501"/>
    <x v="1716"/>
    <d v="2022-05-26T14:10:00"/>
    <d v="1899-12-30T00:40:00"/>
    <n v="449.99999994761311"/>
    <s v="UNPLANNED"/>
    <x v="1"/>
    <d v="1899-12-30T13:30:00"/>
    <x v="0"/>
  </r>
  <r>
    <n v="4789"/>
    <x v="12"/>
    <n v="14115271672656"/>
    <x v="1717"/>
    <d v="2022-05-26T19:30:00"/>
    <d v="1899-12-30T03:32:00"/>
    <n v="84.90566037754499"/>
    <s v="UNPLANNED"/>
    <x v="0"/>
    <d v="1899-12-30T15:58:00"/>
    <x v="1"/>
  </r>
  <r>
    <n v="4790"/>
    <x v="2"/>
    <n v="12115271569203"/>
    <x v="1717"/>
    <d v="2022-05-26T19:30:00"/>
    <d v="1899-12-30T03:32:00"/>
    <n v="84.90566037754499"/>
    <s v="UNPLANNED"/>
    <x v="1"/>
    <d v="1899-12-30T15:58:00"/>
    <x v="1"/>
  </r>
  <r>
    <n v="4791"/>
    <x v="2"/>
    <n v="12115271567325"/>
    <x v="1717"/>
    <d v="2022-05-26T19:30:00"/>
    <d v="1899-12-30T03:32:00"/>
    <n v="84.90566037754499"/>
    <s v="UNPLANNED"/>
    <x v="1"/>
    <d v="1899-12-30T15:58:00"/>
    <x v="1"/>
  </r>
  <r>
    <n v="4792"/>
    <x v="6"/>
    <n v="9115271953400"/>
    <x v="1717"/>
    <d v="2022-05-26T19:30:00"/>
    <d v="1899-12-30T03:32:00"/>
    <n v="84.90566037754499"/>
    <s v="UNPLANNED"/>
    <x v="0"/>
    <d v="1899-12-30T15:58:00"/>
    <x v="1"/>
  </r>
  <r>
    <n v="4793"/>
    <x v="3"/>
    <n v="8115271855800"/>
    <x v="1717"/>
    <d v="2022-05-26T19:30:00"/>
    <d v="1899-12-30T03:32:00"/>
    <n v="84.90566037754499"/>
    <s v="UNPLANNED"/>
    <x v="0"/>
    <d v="1899-12-30T15:58:00"/>
    <x v="1"/>
  </r>
  <r>
    <n v="4794"/>
    <x v="1"/>
    <n v="6115271692209"/>
    <x v="1717"/>
    <d v="2022-05-26T19:30:00"/>
    <d v="1899-12-30T03:32:00"/>
    <n v="84.90566037754499"/>
    <s v="UNPLANNED"/>
    <x v="1"/>
    <d v="1899-12-30T15:58:00"/>
    <x v="1"/>
  </r>
  <r>
    <n v="4795"/>
    <x v="14"/>
    <n v="1115270029200"/>
    <x v="1717"/>
    <d v="2022-05-26T19:30:00"/>
    <d v="1899-12-30T03:32:00"/>
    <n v="84.90566037754499"/>
    <s v="UNPLANNED"/>
    <x v="0"/>
    <d v="1899-12-30T15:58:00"/>
    <x v="1"/>
  </r>
  <r>
    <n v="4796"/>
    <x v="2"/>
    <n v="12115271561704"/>
    <x v="1718"/>
    <d v="2022-05-27T11:45:00"/>
    <d v="1899-12-30T02:45:00"/>
    <n v="109.09090908860001"/>
    <s v="UNPLANNED"/>
    <x v="1"/>
    <d v="1899-12-30T09:00:00"/>
    <x v="0"/>
  </r>
  <r>
    <n v="4797"/>
    <x v="10"/>
    <n v="11115271541200"/>
    <x v="1719"/>
    <d v="2022-05-27T11:45:00"/>
    <d v="1899-12-30T03:30:00"/>
    <n v="85.714285712860217"/>
    <s v="UNPLANNED"/>
    <x v="1"/>
    <d v="1899-12-30T08:15:00"/>
    <x v="0"/>
  </r>
  <r>
    <n v="4798"/>
    <x v="1"/>
    <n v="6115271692209"/>
    <x v="1720"/>
    <d v="2022-05-27T11:45:00"/>
    <d v="1899-12-30T01:45:00"/>
    <n v="171.42857141716746"/>
    <s v="UNPLANNED"/>
    <x v="1"/>
    <d v="1899-12-30T10:00:00"/>
    <x v="0"/>
  </r>
  <r>
    <n v="4799"/>
    <x v="9"/>
    <n v="2115270229100"/>
    <x v="1718"/>
    <d v="2022-05-27T11:45:00"/>
    <d v="1899-12-30T02:45:00"/>
    <n v="109.09090908860001"/>
    <s v="UNPLANNED"/>
    <x v="2"/>
    <d v="1899-12-30T09:00:00"/>
    <x v="0"/>
  </r>
  <r>
    <n v="4800"/>
    <x v="2"/>
    <n v="12115271566605"/>
    <x v="1721"/>
    <d v="2022-05-27T14:40:00"/>
    <d v="1899-12-30T02:00:00"/>
    <n v="150.00000000873115"/>
    <s v="UNPLANNED"/>
    <x v="1"/>
    <d v="1899-12-30T12:40:00"/>
    <x v="0"/>
  </r>
  <r>
    <n v="4801"/>
    <x v="2"/>
    <n v="12115271560113"/>
    <x v="1721"/>
    <d v="2022-05-27T14:40:00"/>
    <d v="1899-12-30T02:00:00"/>
    <n v="150.00000000873115"/>
    <s v="UNPLANNED"/>
    <x v="1"/>
    <d v="1899-12-30T12:40:00"/>
    <x v="0"/>
  </r>
  <r>
    <n v="4802"/>
    <x v="5"/>
    <n v="13115271590500"/>
    <x v="1722"/>
    <d v="2022-05-27T21:55:00"/>
    <d v="1899-12-30T02:28:00"/>
    <n v="121.62162162123894"/>
    <s v="UNPLANNED"/>
    <x v="0"/>
    <d v="1899-12-30T19:27:00"/>
    <x v="1"/>
  </r>
  <r>
    <n v="4803"/>
    <x v="10"/>
    <n v="11115271542600"/>
    <x v="1723"/>
    <d v="2022-05-27T21:55:00"/>
    <d v="1899-12-30T03:12:00"/>
    <n v="93.750000001364242"/>
    <s v="UNPLANNED"/>
    <x v="0"/>
    <d v="1899-12-30T18:43:00"/>
    <x v="1"/>
  </r>
  <r>
    <n v="4804"/>
    <x v="7"/>
    <n v="7115271768107"/>
    <x v="1724"/>
    <d v="2022-05-27T21:55:00"/>
    <d v="1899-12-30T04:02:00"/>
    <n v="74.380165288325898"/>
    <s v="UNPLANNED"/>
    <x v="0"/>
    <d v="1899-12-30T17:53:00"/>
    <x v="1"/>
  </r>
  <r>
    <n v="4805"/>
    <x v="7"/>
    <n v="7115271758902"/>
    <x v="1725"/>
    <d v="2022-05-27T21:55:00"/>
    <d v="1899-12-30T06:40:00"/>
    <n v="44.999999999476131"/>
    <s v="UNPLANNED"/>
    <x v="1"/>
    <d v="1899-12-30T15:15:00"/>
    <x v="1"/>
  </r>
  <r>
    <n v="4806"/>
    <x v="9"/>
    <n v="2115270225100"/>
    <x v="1726"/>
    <d v="2022-05-27T21:55:00"/>
    <d v="1899-12-30T01:20:00"/>
    <n v="225.00000000327418"/>
    <s v="UNPLANNED"/>
    <x v="0"/>
    <d v="1899-12-30T20:35:00"/>
    <x v="1"/>
  </r>
  <r>
    <n v="4807"/>
    <x v="14"/>
    <n v="1115270107500"/>
    <x v="1727"/>
    <d v="2022-05-27T21:55:00"/>
    <d v="1899-12-30T00:40:00"/>
    <n v="449.99999994761311"/>
    <s v="UNPLANNED"/>
    <x v="1"/>
    <d v="1899-12-30T21:15:00"/>
    <x v="1"/>
  </r>
  <r>
    <n v="4808"/>
    <x v="2"/>
    <n v="12115271565406"/>
    <x v="1728"/>
    <d v="2022-05-28T00:50:00"/>
    <d v="1899-12-30T01:50:00"/>
    <n v="163.63636364848622"/>
    <s v="UNPLANNED"/>
    <x v="2"/>
    <d v="1899-12-30T23:00:00"/>
    <x v="2"/>
  </r>
  <r>
    <n v="4809"/>
    <x v="13"/>
    <n v="3115270421800"/>
    <x v="1728"/>
    <d v="2022-05-28T00:50:00"/>
    <d v="1899-12-30T01:50:00"/>
    <n v="163.63636364848622"/>
    <s v="UNPLANNED"/>
    <x v="0"/>
    <d v="1899-12-30T23:00:00"/>
    <x v="2"/>
  </r>
  <r>
    <n v="4810"/>
    <x v="6"/>
    <n v="9115271952501"/>
    <x v="1729"/>
    <d v="2022-05-28T12:08:00"/>
    <d v="1899-12-30T02:08:00"/>
    <n v="140.62499999053557"/>
    <s v="UNPLANNED"/>
    <x v="0"/>
    <d v="1899-12-30T10:00:00"/>
    <x v="0"/>
  </r>
  <r>
    <n v="4811"/>
    <x v="3"/>
    <n v="8115271821825"/>
    <x v="1730"/>
    <d v="2022-05-28T12:08:00"/>
    <d v="1899-12-30T02:32:00"/>
    <n v="118.4210526292208"/>
    <s v="UNPLANNED"/>
    <x v="0"/>
    <d v="1899-12-30T09:36:00"/>
    <x v="0"/>
  </r>
  <r>
    <n v="4812"/>
    <x v="9"/>
    <n v="2115270217800"/>
    <x v="1729"/>
    <d v="2022-05-28T12:08:00"/>
    <d v="1899-12-30T02:08:00"/>
    <n v="140.62499999053557"/>
    <s v="UNPLANNED"/>
    <x v="2"/>
    <d v="1899-12-30T10:00:00"/>
    <x v="0"/>
  </r>
  <r>
    <n v="4813"/>
    <x v="6"/>
    <n v="9115271912300"/>
    <x v="1731"/>
    <d v="2022-05-28T14:00:00"/>
    <d v="1899-12-30T01:00:00"/>
    <n v="299.9999999650754"/>
    <s v="UNPLANNED"/>
    <x v="0"/>
    <d v="1899-12-30T13:00:00"/>
    <x v="0"/>
  </r>
  <r>
    <n v="4814"/>
    <x v="2"/>
    <n v="12115271560158"/>
    <x v="1732"/>
    <d v="2022-05-28T21:50:00"/>
    <d v="1899-12-30T05:20:00"/>
    <n v="56.250000000818545"/>
    <s v="UNPLANNED"/>
    <x v="1"/>
    <d v="1899-12-30T16:30:00"/>
    <x v="1"/>
  </r>
  <r>
    <n v="4815"/>
    <x v="2"/>
    <n v="12115271560155"/>
    <x v="1732"/>
    <d v="2022-05-28T21:50:00"/>
    <d v="1899-12-30T05:20:00"/>
    <n v="56.250000000818545"/>
    <s v="UNPLANNED"/>
    <x v="1"/>
    <d v="1899-12-30T16:30:00"/>
    <x v="1"/>
  </r>
  <r>
    <n v="4816"/>
    <x v="11"/>
    <n v="10115271958206"/>
    <x v="1732"/>
    <d v="2022-05-28T21:50:00"/>
    <d v="1899-12-30T05:20:00"/>
    <n v="56.250000000818545"/>
    <s v="UNPLANNED"/>
    <x v="0"/>
    <d v="1899-12-30T16:30:00"/>
    <x v="1"/>
  </r>
  <r>
    <n v="4817"/>
    <x v="11"/>
    <n v="10115271958201"/>
    <x v="1732"/>
    <d v="2022-05-28T21:50:00"/>
    <d v="1899-12-30T05:20:00"/>
    <n v="56.250000000818545"/>
    <s v="UNPLANNED"/>
    <x v="0"/>
    <d v="1899-12-30T16:30:00"/>
    <x v="1"/>
  </r>
  <r>
    <n v="4818"/>
    <x v="1"/>
    <n v="6115271715702"/>
    <x v="1732"/>
    <d v="2022-05-28T21:50:00"/>
    <d v="1899-12-30T05:20:00"/>
    <n v="56.250000000818545"/>
    <s v="UNPLANNED"/>
    <x v="1"/>
    <d v="1899-12-30T16:30:00"/>
    <x v="1"/>
  </r>
  <r>
    <n v="4819"/>
    <x v="1"/>
    <n v="6115271715700"/>
    <x v="1732"/>
    <d v="2022-05-28T21:50:00"/>
    <d v="1899-12-30T05:20:00"/>
    <n v="56.250000000818545"/>
    <s v="UNPLANNED"/>
    <x v="1"/>
    <d v="1899-12-30T16:30:00"/>
    <x v="1"/>
  </r>
  <r>
    <n v="4820"/>
    <x v="13"/>
    <n v="3115270396403"/>
    <x v="1732"/>
    <d v="2022-05-28T21:50:00"/>
    <d v="1899-12-30T05:20:00"/>
    <n v="56.250000000818545"/>
    <s v="UNPLANNED"/>
    <x v="1"/>
    <d v="1899-12-30T16:30:00"/>
    <x v="1"/>
  </r>
  <r>
    <n v="4821"/>
    <x v="13"/>
    <n v="3115270396400"/>
    <x v="1732"/>
    <d v="2022-05-28T21:50:00"/>
    <d v="1899-12-30T05:20:00"/>
    <n v="56.250000000818545"/>
    <s v="UNPLANNED"/>
    <x v="1"/>
    <d v="1899-12-30T16:30:00"/>
    <x v="1"/>
  </r>
  <r>
    <n v="4822"/>
    <x v="13"/>
    <n v="3115270375202"/>
    <x v="1732"/>
    <d v="2022-05-28T21:50:00"/>
    <d v="1899-12-30T05:20:00"/>
    <n v="56.250000000818545"/>
    <s v="UNPLANNED"/>
    <x v="0"/>
    <d v="1899-12-30T16:30:00"/>
    <x v="1"/>
  </r>
  <r>
    <n v="4823"/>
    <x v="13"/>
    <n v="3115270375200"/>
    <x v="1732"/>
    <d v="2022-05-28T21:50:00"/>
    <d v="1899-12-30T05:20:00"/>
    <n v="56.250000000818545"/>
    <s v="UNPLANNED"/>
    <x v="2"/>
    <d v="1899-12-30T16:30:00"/>
    <x v="1"/>
  </r>
  <r>
    <n v="4824"/>
    <x v="2"/>
    <n v="12115271569203"/>
    <x v="1733"/>
    <d v="2022-05-29T00:35:00"/>
    <d v="1899-12-30T01:39:00"/>
    <n v="181.81818182203025"/>
    <s v="UNPLANNED"/>
    <x v="0"/>
    <d v="1899-12-30T22:56:00"/>
    <x v="2"/>
  </r>
  <r>
    <n v="4825"/>
    <x v="14"/>
    <n v="1115270001800"/>
    <x v="1734"/>
    <d v="2022-05-29T03:20:00"/>
    <d v="1899-12-30T00:50:00"/>
    <n v="359.99999995809048"/>
    <s v="UNPLANNED"/>
    <x v="2"/>
    <d v="1899-12-30T02:30:00"/>
    <x v="2"/>
  </r>
  <r>
    <n v="4826"/>
    <x v="13"/>
    <n v="3115270320504"/>
    <x v="1735"/>
    <d v="2022-05-29T11:15:00"/>
    <d v="1899-12-30T00:45:00"/>
    <n v="400"/>
    <s v="UNPLANNED"/>
    <x v="0"/>
    <d v="1899-12-30T10:30:00"/>
    <x v="0"/>
  </r>
  <r>
    <n v="4827"/>
    <x v="13"/>
    <n v="3115270320500"/>
    <x v="1735"/>
    <d v="2022-05-29T11:15:00"/>
    <d v="1899-12-30T00:45:00"/>
    <n v="400"/>
    <s v="UNPLANNED"/>
    <x v="2"/>
    <d v="1899-12-30T10:30:00"/>
    <x v="0"/>
  </r>
  <r>
    <n v="4828"/>
    <x v="14"/>
    <n v="1115270077900"/>
    <x v="1735"/>
    <d v="2022-05-29T11:15:00"/>
    <d v="1899-12-30T00:45:00"/>
    <n v="400"/>
    <s v="UNPLANNED"/>
    <x v="2"/>
    <d v="1899-12-30T10:30:00"/>
    <x v="0"/>
  </r>
  <r>
    <n v="4829"/>
    <x v="6"/>
    <n v="9115271934202"/>
    <x v="1736"/>
    <d v="2022-05-29T19:30:00"/>
    <d v="1899-12-30T01:42:00"/>
    <n v="176.47058824012797"/>
    <s v="UNPLANNED"/>
    <x v="0"/>
    <d v="1899-12-30T17:48:00"/>
    <x v="1"/>
  </r>
  <r>
    <n v="4830"/>
    <x v="6"/>
    <n v="9115271934200"/>
    <x v="1736"/>
    <d v="2022-05-29T19:30:00"/>
    <d v="1899-12-30T01:42:00"/>
    <n v="176.47058824012797"/>
    <s v="UNPLANNED"/>
    <x v="0"/>
    <d v="1899-12-30T17:48:00"/>
    <x v="1"/>
  </r>
  <r>
    <n v="4831"/>
    <x v="1"/>
    <n v="6115271719109"/>
    <x v="1736"/>
    <d v="2022-05-29T19:30:00"/>
    <d v="1899-12-30T01:42:00"/>
    <n v="176.47058824012797"/>
    <s v="UNPLANNED"/>
    <x v="0"/>
    <d v="1899-12-30T17:48:00"/>
    <x v="1"/>
  </r>
  <r>
    <n v="4832"/>
    <x v="1"/>
    <n v="6115271719103"/>
    <x v="1736"/>
    <d v="2022-05-29T19:30:00"/>
    <d v="1899-12-30T01:42:00"/>
    <n v="176.47058824012797"/>
    <s v="UNPLANNED"/>
    <x v="0"/>
    <d v="1899-12-30T17:48:00"/>
    <x v="1"/>
  </r>
  <r>
    <n v="4833"/>
    <x v="13"/>
    <n v="3115270390809"/>
    <x v="1736"/>
    <d v="2022-05-29T19:30:00"/>
    <d v="1899-12-30T01:42:00"/>
    <n v="176.47058824012797"/>
    <s v="UNPLANNED"/>
    <x v="0"/>
    <d v="1899-12-30T17:48:00"/>
    <x v="1"/>
  </r>
  <r>
    <n v="4834"/>
    <x v="13"/>
    <n v="3115270390804"/>
    <x v="1736"/>
    <d v="2022-05-29T19:30:00"/>
    <d v="1899-12-30T01:42:00"/>
    <n v="176.47058824012797"/>
    <s v="UNPLANNED"/>
    <x v="0"/>
    <d v="1899-12-30T17:48:00"/>
    <x v="1"/>
  </r>
  <r>
    <n v="4835"/>
    <x v="13"/>
    <n v="3115270360406"/>
    <x v="1736"/>
    <d v="2022-05-29T19:30:00"/>
    <d v="1899-12-30T01:42:00"/>
    <n v="176.47058824012797"/>
    <s v="UNPLANNED"/>
    <x v="1"/>
    <d v="1899-12-30T17:48:00"/>
    <x v="1"/>
  </r>
  <r>
    <n v="4836"/>
    <x v="13"/>
    <n v="3115270360403"/>
    <x v="1736"/>
    <d v="2022-05-29T19:30:00"/>
    <d v="1899-12-30T01:42:00"/>
    <n v="176.47058824012797"/>
    <s v="UNPLANNED"/>
    <x v="2"/>
    <d v="1899-12-30T17:48:00"/>
    <x v="1"/>
  </r>
  <r>
    <n v="4837"/>
    <x v="10"/>
    <n v="11115271542607"/>
    <x v="1737"/>
    <d v="2022-05-29T21:50:00"/>
    <d v="1899-12-30T01:00:00"/>
    <n v="300.0000000174623"/>
    <s v="UNPLANNED"/>
    <x v="1"/>
    <d v="1899-12-30T20:50:00"/>
    <x v="1"/>
  </r>
  <r>
    <n v="4838"/>
    <x v="1"/>
    <n v="6115271722208"/>
    <x v="1737"/>
    <d v="2022-05-29T21:50:00"/>
    <d v="1899-12-30T01:00:00"/>
    <n v="300.0000000174623"/>
    <s v="UNPLANNED"/>
    <x v="1"/>
    <d v="1899-12-30T20:50:00"/>
    <x v="1"/>
  </r>
  <r>
    <n v="4839"/>
    <x v="1"/>
    <n v="6115271722206"/>
    <x v="1737"/>
    <d v="2022-05-29T21:50:00"/>
    <d v="1899-12-30T01:00:00"/>
    <n v="300.0000000174623"/>
    <s v="UNPLANNED"/>
    <x v="6"/>
    <d v="1899-12-30T20:50:00"/>
    <x v="1"/>
  </r>
  <r>
    <n v="4840"/>
    <x v="8"/>
    <n v="4115270848200"/>
    <x v="1738"/>
    <d v="2022-05-29T23:40:00"/>
    <d v="1899-12-30T01:10:00"/>
    <n v="257.14285715141011"/>
    <s v="UNPLANNED"/>
    <x v="1"/>
    <d v="1899-12-30T22:30:00"/>
    <x v="2"/>
  </r>
  <r>
    <n v="4841"/>
    <x v="4"/>
    <n v="15115271743903"/>
    <x v="1739"/>
    <d v="2022-05-30T14:00:00"/>
    <d v="1899-12-30T02:15:00"/>
    <n v="133.33333333333331"/>
    <s v="UNPLANNED"/>
    <x v="6"/>
    <d v="1899-12-30T11:45:00"/>
    <x v="0"/>
  </r>
  <r>
    <n v="4842"/>
    <x v="4"/>
    <n v="15115271743901"/>
    <x v="1739"/>
    <d v="2022-05-30T14:00:00"/>
    <d v="1899-12-30T02:15:00"/>
    <n v="133.33333333333331"/>
    <s v="UNPLANNED"/>
    <x v="1"/>
    <d v="1899-12-30T11:45:00"/>
    <x v="0"/>
  </r>
  <r>
    <n v="4843"/>
    <x v="12"/>
    <n v="14115271740800"/>
    <x v="1740"/>
    <d v="2022-05-30T14:00:00"/>
    <d v="1899-12-30T05:00:00"/>
    <n v="59.999999999301515"/>
    <s v="UNPLANNED"/>
    <x v="1"/>
    <d v="1899-12-30T09:00:00"/>
    <x v="0"/>
  </r>
  <r>
    <n v="4844"/>
    <x v="5"/>
    <n v="13115271592416"/>
    <x v="1740"/>
    <d v="2022-05-30T14:00:00"/>
    <d v="1899-12-30T05:00:00"/>
    <n v="59.999999999301515"/>
    <s v="UNPLANNED"/>
    <x v="0"/>
    <d v="1899-12-30T09:00:00"/>
    <x v="0"/>
  </r>
  <r>
    <n v="4845"/>
    <x v="2"/>
    <n v="12115271569209"/>
    <x v="1740"/>
    <d v="2022-05-30T14:00:00"/>
    <d v="1899-12-30T05:00:00"/>
    <n v="59.999999999301515"/>
    <s v="UNPLANNED"/>
    <x v="0"/>
    <d v="1899-12-30T09:00:00"/>
    <x v="0"/>
  </r>
  <r>
    <n v="4846"/>
    <x v="2"/>
    <n v="12115271565415"/>
    <x v="1739"/>
    <d v="2022-05-30T14:00:00"/>
    <d v="1899-12-30T02:15:00"/>
    <n v="133.33333333333331"/>
    <s v="UNPLANNED"/>
    <x v="1"/>
    <d v="1899-12-30T11:45:00"/>
    <x v="0"/>
  </r>
  <r>
    <n v="4847"/>
    <x v="10"/>
    <n v="11115271542601"/>
    <x v="1741"/>
    <d v="2022-05-30T18:55:00"/>
    <d v="1899-12-30T00:50:00"/>
    <n v="359.99999995809048"/>
    <s v="UNPLANNED"/>
    <x v="1"/>
    <d v="1899-12-30T18:05:00"/>
    <x v="1"/>
  </r>
  <r>
    <n v="4848"/>
    <x v="10"/>
    <n v="11115271542600"/>
    <x v="1741"/>
    <d v="2022-05-30T18:55:00"/>
    <d v="1899-12-30T00:50:00"/>
    <n v="359.99999995809048"/>
    <s v="UNPLANNED"/>
    <x v="1"/>
    <d v="1899-12-30T18:05:00"/>
    <x v="1"/>
  </r>
  <r>
    <n v="4849"/>
    <x v="7"/>
    <n v="7115271769706"/>
    <x v="1741"/>
    <d v="2022-05-30T18:55:00"/>
    <d v="1899-12-30T00:50:00"/>
    <n v="359.99999995809048"/>
    <s v="UNPLANNED"/>
    <x v="1"/>
    <d v="1899-12-30T18:05:00"/>
    <x v="1"/>
  </r>
  <r>
    <n v="4850"/>
    <x v="7"/>
    <n v="7115271769700"/>
    <x v="1741"/>
    <d v="2022-05-30T18:55:00"/>
    <d v="1899-12-30T00:50:00"/>
    <n v="359.99999995809048"/>
    <s v="UNPLANNED"/>
    <x v="6"/>
    <d v="1899-12-30T18:05:00"/>
    <x v="1"/>
  </r>
  <r>
    <n v="4851"/>
    <x v="2"/>
    <n v="12115271573407"/>
    <x v="1742"/>
    <d v="2022-05-30T22:15:00"/>
    <d v="1899-12-30T01:15:00"/>
    <n v="239.99999998882413"/>
    <s v="UNPLANNED"/>
    <x v="1"/>
    <d v="1899-12-30T21:00:00"/>
    <x v="1"/>
  </r>
  <r>
    <n v="4852"/>
    <x v="2"/>
    <n v="12115271573405"/>
    <x v="1742"/>
    <d v="2022-05-30T22:15:00"/>
    <d v="1899-12-30T01:15:00"/>
    <n v="239.99999998882413"/>
    <s v="UNPLANNED"/>
    <x v="1"/>
    <d v="1899-12-30T21:00:00"/>
    <x v="1"/>
  </r>
  <r>
    <n v="4853"/>
    <x v="2"/>
    <n v="12115271569209"/>
    <x v="1742"/>
    <d v="2022-05-30T22:15:00"/>
    <d v="1899-12-30T01:15:00"/>
    <n v="239.99999998882413"/>
    <s v="UNPLANNED"/>
    <x v="1"/>
    <d v="1899-12-30T21:00:00"/>
    <x v="1"/>
  </r>
  <r>
    <n v="4854"/>
    <x v="2"/>
    <n v="12115271569207"/>
    <x v="1742"/>
    <d v="2022-05-30T22:15:00"/>
    <d v="1899-12-30T01:15:00"/>
    <n v="239.99999998882413"/>
    <s v="UNPLANNED"/>
    <x v="2"/>
    <d v="1899-12-30T21:00:00"/>
    <x v="1"/>
  </r>
  <r>
    <n v="4855"/>
    <x v="1"/>
    <n v="6115271707904"/>
    <x v="1743"/>
    <d v="2022-05-31T13:05:00"/>
    <d v="1899-12-30T04:05:00"/>
    <n v="73.46938775440384"/>
    <s v="UNPLANNED"/>
    <x v="0"/>
    <d v="1899-12-30T09:00:00"/>
    <x v="0"/>
  </r>
  <r>
    <n v="4856"/>
    <x v="1"/>
    <n v="6115271707900"/>
    <x v="1743"/>
    <d v="2022-05-31T13:05:00"/>
    <d v="1899-12-30T04:05:00"/>
    <n v="73.46938775440384"/>
    <s v="UNPLANNED"/>
    <x v="0"/>
    <d v="1899-12-30T09:00:00"/>
    <x v="0"/>
  </r>
  <r>
    <n v="4857"/>
    <x v="1"/>
    <n v="6115271692208"/>
    <x v="1743"/>
    <d v="2022-05-31T13:05:00"/>
    <d v="1899-12-30T04:05:00"/>
    <n v="73.46938775440384"/>
    <s v="UNPLANNED"/>
    <x v="0"/>
    <d v="1899-12-30T09:00:00"/>
    <x v="0"/>
  </r>
  <r>
    <n v="4858"/>
    <x v="1"/>
    <n v="6115271692206"/>
    <x v="1743"/>
    <d v="2022-05-31T13:05:00"/>
    <d v="1899-12-30T04:05:00"/>
    <n v="73.46938775440384"/>
    <s v="UNPLANNED"/>
    <x v="0"/>
    <d v="1899-12-30T09:00:00"/>
    <x v="0"/>
  </r>
  <r>
    <n v="4859"/>
    <x v="0"/>
    <n v="5115271239300"/>
    <x v="1743"/>
    <d v="2022-05-31T13:05:00"/>
    <d v="1899-12-30T04:05:00"/>
    <n v="73.46938775440384"/>
    <s v="UNPLANNED"/>
    <x v="1"/>
    <d v="1899-12-30T09:00:00"/>
    <x v="0"/>
  </r>
  <r>
    <n v="4860"/>
    <x v="8"/>
    <n v="4115270838400"/>
    <x v="1743"/>
    <d v="2022-05-31T13:05:00"/>
    <d v="1899-12-30T04:05:00"/>
    <n v="73.46938775440384"/>
    <s v="UNPLANNED"/>
    <x v="0"/>
    <d v="1899-12-30T09:00:00"/>
    <x v="0"/>
  </r>
  <r>
    <n v="4861"/>
    <x v="0"/>
    <n v="5115270974805"/>
    <x v="1744"/>
    <d v="2022-05-31T17:30:00"/>
    <d v="1899-12-30T01:30:00"/>
    <n v="200"/>
    <s v="UNPLANNED"/>
    <x v="1"/>
    <d v="1899-12-30T16:00:00"/>
    <x v="1"/>
  </r>
  <r>
    <n v="4862"/>
    <x v="0"/>
    <n v="5115270974800"/>
    <x v="1744"/>
    <d v="2022-05-31T17:30:00"/>
    <d v="1899-12-30T01:30:00"/>
    <n v="200"/>
    <s v="UNPLANNED"/>
    <x v="1"/>
    <d v="1899-12-30T16:00:00"/>
    <x v="1"/>
  </r>
  <r>
    <n v="4863"/>
    <x v="1"/>
    <n v="6115271690611"/>
    <x v="1745"/>
    <d v="2022-06-01T03:00:00"/>
    <d v="1899-12-30T04:45:00"/>
    <n v="63.157894737616061"/>
    <s v="UNPLANNED"/>
    <x v="0"/>
    <d v="1899-12-30T22:15:00"/>
    <x v="2"/>
  </r>
  <r>
    <n v="4864"/>
    <x v="1"/>
    <n v="6115271690610"/>
    <x v="1745"/>
    <d v="2022-06-01T03:00:00"/>
    <d v="1899-12-30T04:45:00"/>
    <n v="63.157894737616061"/>
    <s v="UNPLANNED"/>
    <x v="0"/>
    <d v="1899-12-30T22:15:00"/>
    <x v="2"/>
  </r>
  <r>
    <n v="4865"/>
    <x v="13"/>
    <n v="3115270400407"/>
    <x v="1745"/>
    <d v="2022-06-01T03:00:00"/>
    <d v="1899-12-30T04:45:00"/>
    <n v="63.157894737616061"/>
    <s v="UNPLANNED"/>
    <x v="0"/>
    <d v="1899-12-30T22:15:00"/>
    <x v="2"/>
  </r>
  <r>
    <n v="4866"/>
    <x v="13"/>
    <n v="3115270400400"/>
    <x v="1745"/>
    <d v="2022-06-01T03:00:00"/>
    <d v="1899-12-30T04:45:00"/>
    <n v="63.157894737616061"/>
    <s v="UNPLANNED"/>
    <x v="0"/>
    <d v="1899-12-30T22:15:00"/>
    <x v="2"/>
  </r>
  <r>
    <n v="4867"/>
    <x v="6"/>
    <n v="9115271944806"/>
    <x v="1746"/>
    <d v="2022-06-01T13:30:00"/>
    <d v="1899-12-30T01:20:00"/>
    <n v="225.00000000327418"/>
    <s v="UNPLANNED"/>
    <x v="1"/>
    <d v="1899-12-30T12:10:00"/>
    <x v="0"/>
  </r>
  <r>
    <n v="4868"/>
    <x v="7"/>
    <n v="7115271798203"/>
    <x v="1747"/>
    <d v="2022-06-01T13:30:00"/>
    <d v="1899-12-30T00:30:00"/>
    <n v="599.99999993015081"/>
    <s v="UNPLANNED"/>
    <x v="1"/>
    <d v="1899-12-30T13:00:00"/>
    <x v="0"/>
  </r>
  <r>
    <n v="4869"/>
    <x v="0"/>
    <n v="5115271238800"/>
    <x v="1746"/>
    <d v="2022-06-01T13:30:00"/>
    <d v="1899-12-30T01:20:00"/>
    <n v="225.00000000327418"/>
    <s v="UNPLANNED"/>
    <x v="0"/>
    <d v="1899-12-30T12:10:00"/>
    <x v="0"/>
  </r>
  <r>
    <n v="4870"/>
    <x v="13"/>
    <n v="3115270390640"/>
    <x v="1748"/>
    <d v="2022-06-01T13:30:00"/>
    <d v="1899-12-30T05:00:00"/>
    <n v="59.999999999301515"/>
    <s v="UNPLANNED"/>
    <x v="0"/>
    <d v="1899-12-30T08:30:00"/>
    <x v="0"/>
  </r>
  <r>
    <n v="4871"/>
    <x v="13"/>
    <n v="3115270350400"/>
    <x v="1749"/>
    <d v="2022-06-01T13:30:00"/>
    <d v="1899-12-30T02:05:00"/>
    <n v="144.00000000134111"/>
    <s v="UNPLANNED"/>
    <x v="0"/>
    <d v="1899-12-30T11:25:00"/>
    <x v="0"/>
  </r>
  <r>
    <n v="4872"/>
    <x v="13"/>
    <n v="3115270307400"/>
    <x v="1750"/>
    <d v="2022-06-01T13:30:00"/>
    <d v="1899-12-30T04:15:00"/>
    <n v="70.588235293150888"/>
    <s v="UNPLANNED"/>
    <x v="6"/>
    <d v="1899-12-30T09:15:00"/>
    <x v="0"/>
  </r>
  <r>
    <n v="4873"/>
    <x v="9"/>
    <n v="2115270196500"/>
    <x v="1748"/>
    <d v="2022-06-01T13:30:00"/>
    <d v="1899-12-30T05:00:00"/>
    <n v="59.999999999301515"/>
    <s v="UNPLANNED"/>
    <x v="0"/>
    <d v="1899-12-30T08:30:00"/>
    <x v="0"/>
  </r>
  <r>
    <n v="4874"/>
    <x v="1"/>
    <n v="6115271698406"/>
    <x v="1751"/>
    <d v="2022-06-01T18:40:00"/>
    <d v="1899-12-30T02:45:00"/>
    <n v="109.09090908860001"/>
    <s v="UNPLANNED"/>
    <x v="0"/>
    <d v="1899-12-30T15:55:00"/>
    <x v="1"/>
  </r>
  <r>
    <n v="4875"/>
    <x v="1"/>
    <n v="6115271698400"/>
    <x v="1751"/>
    <d v="2022-06-01T18:40:00"/>
    <d v="1899-12-30T02:45:00"/>
    <n v="109.09090908860001"/>
    <s v="UNPLANNED"/>
    <x v="0"/>
    <d v="1899-12-30T15:55:00"/>
    <x v="1"/>
  </r>
  <r>
    <n v="4876"/>
    <x v="13"/>
    <n v="3115270370509"/>
    <x v="1751"/>
    <d v="2022-06-01T18:40:00"/>
    <d v="1899-12-30T02:45:00"/>
    <n v="109.09090908860001"/>
    <s v="UNPLANNED"/>
    <x v="0"/>
    <d v="1899-12-30T15:55:00"/>
    <x v="1"/>
  </r>
  <r>
    <n v="4877"/>
    <x v="13"/>
    <n v="3115270370500"/>
    <x v="1751"/>
    <d v="2022-06-01T18:40:00"/>
    <d v="1899-12-30T02:45:00"/>
    <n v="109.09090908860001"/>
    <s v="UNPLANNED"/>
    <x v="1"/>
    <d v="1899-12-30T15:55:00"/>
    <x v="1"/>
  </r>
  <r>
    <n v="4878"/>
    <x v="14"/>
    <n v="1115270112501"/>
    <x v="1751"/>
    <d v="2022-06-01T18:40:00"/>
    <d v="1899-12-30T02:45:00"/>
    <n v="109.09090908860001"/>
    <s v="UNPLANNED"/>
    <x v="0"/>
    <d v="1899-12-30T15:55:00"/>
    <x v="1"/>
  </r>
  <r>
    <n v="4879"/>
    <x v="14"/>
    <n v="1115270112500"/>
    <x v="1751"/>
    <d v="2022-06-01T18:40:00"/>
    <d v="1899-12-30T02:45:00"/>
    <n v="109.09090908860001"/>
    <s v="UNPLANNED"/>
    <x v="1"/>
    <d v="1899-12-30T15:55:00"/>
    <x v="1"/>
  </r>
  <r>
    <n v="4880"/>
    <x v="3"/>
    <n v="8115271820904"/>
    <x v="1752"/>
    <d v="2022-06-01T21:55:00"/>
    <d v="1899-12-30T02:35:00"/>
    <n v="116.1290322563201"/>
    <s v="UNPLANNED"/>
    <x v="0"/>
    <d v="1899-12-30T19:20:00"/>
    <x v="1"/>
  </r>
  <r>
    <n v="4881"/>
    <x v="3"/>
    <n v="8115271820900"/>
    <x v="1752"/>
    <d v="2022-06-01T21:55:00"/>
    <d v="1899-12-30T02:35:00"/>
    <n v="116.1290322563201"/>
    <s v="UNPLANNED"/>
    <x v="0"/>
    <d v="1899-12-30T19:20:00"/>
    <x v="1"/>
  </r>
  <r>
    <n v="4882"/>
    <x v="1"/>
    <n v="6115271720829"/>
    <x v="1753"/>
    <d v="2022-06-01T21:55:00"/>
    <d v="1899-12-30T01:45:00"/>
    <n v="171.42857143427341"/>
    <s v="UNPLANNED"/>
    <x v="0"/>
    <d v="1899-12-30T20:10:00"/>
    <x v="1"/>
  </r>
  <r>
    <n v="4883"/>
    <x v="1"/>
    <n v="6115271720825"/>
    <x v="1753"/>
    <d v="2022-06-01T21:55:00"/>
    <d v="1899-12-30T01:45:00"/>
    <n v="171.42857143427341"/>
    <s v="UNPLANNED"/>
    <x v="1"/>
    <d v="1899-12-30T20:10:00"/>
    <x v="1"/>
  </r>
  <r>
    <n v="4884"/>
    <x v="13"/>
    <n v="3115270310805"/>
    <x v="1753"/>
    <d v="2022-06-01T21:55:00"/>
    <d v="1899-12-30T01:45:00"/>
    <n v="171.42857143427341"/>
    <s v="UNPLANNED"/>
    <x v="0"/>
    <d v="1899-12-30T20:10:00"/>
    <x v="1"/>
  </r>
  <r>
    <n v="4885"/>
    <x v="13"/>
    <n v="3115270310802"/>
    <x v="1753"/>
    <d v="2022-06-01T21:55:00"/>
    <d v="1899-12-30T01:45:00"/>
    <n v="171.42857143427341"/>
    <s v="UNPLANNED"/>
    <x v="0"/>
    <d v="1899-12-30T20:10:00"/>
    <x v="1"/>
  </r>
  <r>
    <n v="4886"/>
    <x v="9"/>
    <n v="2115270221503"/>
    <x v="1753"/>
    <d v="2022-06-01T21:55:00"/>
    <d v="1899-12-30T01:45:00"/>
    <n v="171.42857143427341"/>
    <s v="UNPLANNED"/>
    <x v="0"/>
    <d v="1899-12-30T20:10:00"/>
    <x v="1"/>
  </r>
  <r>
    <n v="4887"/>
    <x v="9"/>
    <n v="2115270221500"/>
    <x v="1753"/>
    <d v="2022-06-01T21:55:00"/>
    <d v="1899-12-30T01:45:00"/>
    <n v="171.42857143427341"/>
    <s v="UNPLANNED"/>
    <x v="0"/>
    <d v="1899-12-30T20:10:00"/>
    <x v="1"/>
  </r>
  <r>
    <n v="4888"/>
    <x v="9"/>
    <n v="2115270222700"/>
    <x v="1754"/>
    <d v="2022-06-02T01:20:00"/>
    <d v="1899-12-30T01:40:00"/>
    <n v="179.99999999790452"/>
    <s v="UNPLANNED"/>
    <x v="1"/>
    <d v="1899-12-30T23:40:00"/>
    <x v="2"/>
  </r>
  <r>
    <n v="4889"/>
    <x v="11"/>
    <n v="10115271436709"/>
    <x v="1755"/>
    <d v="2022-06-02T05:55:00"/>
    <d v="1899-12-30T00:55:00"/>
    <n v="327.27272726580009"/>
    <s v="UNPLANNED"/>
    <x v="0"/>
    <d v="1899-12-30T05:00:00"/>
    <x v="2"/>
  </r>
  <r>
    <n v="4890"/>
    <x v="11"/>
    <n v="10115271436700"/>
    <x v="1755"/>
    <d v="2022-06-02T05:55:00"/>
    <d v="1899-12-30T00:55:00"/>
    <n v="327.27272726580009"/>
    <s v="UNPLANNED"/>
    <x v="0"/>
    <d v="1899-12-30T05:00:00"/>
    <x v="2"/>
  </r>
  <r>
    <n v="4891"/>
    <x v="5"/>
    <n v="13115271656309"/>
    <x v="1756"/>
    <d v="2022-06-02T14:20:00"/>
    <d v="1899-12-30T01:00:00"/>
    <n v="300.0000000174623"/>
    <s v="UNPLANNED"/>
    <x v="0"/>
    <d v="1899-12-30T13:20:00"/>
    <x v="0"/>
  </r>
  <r>
    <n v="4892"/>
    <x v="5"/>
    <n v="13115271656300"/>
    <x v="1756"/>
    <d v="2022-06-02T14:20:00"/>
    <d v="1899-12-30T01:00:00"/>
    <n v="300.0000000174623"/>
    <s v="UNPLANNED"/>
    <x v="1"/>
    <d v="1899-12-30T13:20:00"/>
    <x v="0"/>
  </r>
  <r>
    <n v="4893"/>
    <x v="2"/>
    <n v="12115271567395"/>
    <x v="1757"/>
    <d v="2022-06-02T14:20:00"/>
    <d v="1899-12-30T05:05:00"/>
    <n v="59.016393442848212"/>
    <s v="UNPLANNED"/>
    <x v="0"/>
    <d v="1899-12-30T09:15:00"/>
    <x v="0"/>
  </r>
  <r>
    <n v="4894"/>
    <x v="2"/>
    <n v="12115271567394"/>
    <x v="1757"/>
    <d v="2022-06-02T14:20:00"/>
    <d v="1899-12-30T05:05:00"/>
    <n v="59.016393442848212"/>
    <s v="UNPLANNED"/>
    <x v="1"/>
    <d v="1899-12-30T09:15:00"/>
    <x v="0"/>
  </r>
  <r>
    <n v="4895"/>
    <x v="2"/>
    <n v="12115271567391"/>
    <x v="1757"/>
    <d v="2022-06-02T14:20:00"/>
    <d v="1899-12-30T05:05:00"/>
    <n v="59.016393442848212"/>
    <s v="UNPLANNED"/>
    <x v="0"/>
    <d v="1899-12-30T09:15:00"/>
    <x v="0"/>
  </r>
  <r>
    <n v="4896"/>
    <x v="2"/>
    <n v="12115271560119"/>
    <x v="1757"/>
    <d v="2022-06-02T14:20:00"/>
    <d v="1899-12-30T05:05:00"/>
    <n v="59.016393442848212"/>
    <s v="UNPLANNED"/>
    <x v="0"/>
    <d v="1899-12-30T09:15:00"/>
    <x v="0"/>
  </r>
  <r>
    <n v="4897"/>
    <x v="2"/>
    <n v="12115271560118"/>
    <x v="1757"/>
    <d v="2022-06-02T14:20:00"/>
    <d v="1899-12-30T05:05:00"/>
    <n v="59.016393442848212"/>
    <s v="UNPLANNED"/>
    <x v="0"/>
    <d v="1899-12-30T09:15:00"/>
    <x v="0"/>
  </r>
  <r>
    <n v="4898"/>
    <x v="2"/>
    <n v="12115271560115"/>
    <x v="1757"/>
    <d v="2022-06-02T14:20:00"/>
    <d v="1899-12-30T05:05:00"/>
    <n v="59.016393442848212"/>
    <s v="UNPLANNED"/>
    <x v="0"/>
    <d v="1899-12-30T09:15:00"/>
    <x v="0"/>
  </r>
  <r>
    <n v="4899"/>
    <x v="2"/>
    <n v="12115271560114"/>
    <x v="1757"/>
    <d v="2022-06-02T14:20:00"/>
    <d v="1899-12-30T05:05:00"/>
    <n v="59.016393442848212"/>
    <s v="UNPLANNED"/>
    <x v="0"/>
    <d v="1899-12-30T09:15:00"/>
    <x v="0"/>
  </r>
  <r>
    <n v="4900"/>
    <x v="11"/>
    <n v="10115271433727"/>
    <x v="1758"/>
    <d v="2022-06-02T14:20:00"/>
    <d v="1899-12-30T06:20:00"/>
    <n v="47.368421053647388"/>
    <s v="UNPLANNED"/>
    <x v="1"/>
    <d v="1899-12-30T08:00:00"/>
    <x v="0"/>
  </r>
  <r>
    <n v="4901"/>
    <x v="11"/>
    <n v="10115271433710"/>
    <x v="1758"/>
    <d v="2022-06-02T14:20:00"/>
    <d v="1899-12-30T06:20:00"/>
    <n v="47.368421053647388"/>
    <s v="UNPLANNED"/>
    <x v="0"/>
    <d v="1899-12-30T08:00:00"/>
    <x v="0"/>
  </r>
  <r>
    <n v="4902"/>
    <x v="11"/>
    <n v="10115271433707"/>
    <x v="1758"/>
    <d v="2022-06-02T14:20:00"/>
    <d v="1899-12-30T06:20:00"/>
    <n v="47.368421053647388"/>
    <s v="UNPLANNED"/>
    <x v="2"/>
    <d v="1899-12-30T08:00:00"/>
    <x v="0"/>
  </r>
  <r>
    <n v="4903"/>
    <x v="11"/>
    <n v="10115271433703"/>
    <x v="1758"/>
    <d v="2022-06-02T14:20:00"/>
    <d v="1899-12-30T06:20:00"/>
    <n v="47.368421053647388"/>
    <s v="UNPLANNED"/>
    <x v="0"/>
    <d v="1899-12-30T08:00:00"/>
    <x v="0"/>
  </r>
  <r>
    <n v="4904"/>
    <x v="3"/>
    <n v="8115271810106"/>
    <x v="1759"/>
    <d v="2022-06-02T14:20:00"/>
    <d v="1899-12-30T01:40:00"/>
    <n v="180.00000001676381"/>
    <s v="UNPLANNED"/>
    <x v="0"/>
    <d v="1899-12-30T12:40:00"/>
    <x v="0"/>
  </r>
  <r>
    <n v="4905"/>
    <x v="3"/>
    <n v="8115271810102"/>
    <x v="1759"/>
    <d v="2022-06-02T14:20:00"/>
    <d v="1899-12-30T01:40:00"/>
    <n v="180.00000001676381"/>
    <s v="UNPLANNED"/>
    <x v="0"/>
    <d v="1899-12-30T12:40:00"/>
    <x v="0"/>
  </r>
  <r>
    <n v="4906"/>
    <x v="7"/>
    <n v="7115271759014"/>
    <x v="1760"/>
    <d v="2022-06-02T14:20:00"/>
    <d v="1899-12-30T04:00:00"/>
    <n v="75.000000001091394"/>
    <s v="UNPLANNED"/>
    <x v="0"/>
    <d v="1899-12-30T10:20:00"/>
    <x v="0"/>
  </r>
  <r>
    <n v="4907"/>
    <x v="7"/>
    <n v="7115271759013"/>
    <x v="1760"/>
    <d v="2022-06-02T14:20:00"/>
    <d v="1899-12-30T04:00:00"/>
    <n v="75.000000001091394"/>
    <s v="UNPLANNED"/>
    <x v="2"/>
    <d v="1899-12-30T10:20:00"/>
    <x v="0"/>
  </r>
  <r>
    <n v="4908"/>
    <x v="1"/>
    <n v="6115271691708"/>
    <x v="1757"/>
    <d v="2022-06-02T14:20:00"/>
    <d v="1899-12-30T05:05:00"/>
    <n v="59.016393442848212"/>
    <s v="UNPLANNED"/>
    <x v="2"/>
    <d v="1899-12-30T09:15:00"/>
    <x v="0"/>
  </r>
  <r>
    <n v="4909"/>
    <x v="1"/>
    <n v="6115271691705"/>
    <x v="1757"/>
    <d v="2022-06-02T14:20:00"/>
    <d v="1899-12-30T05:05:00"/>
    <n v="59.016393442848212"/>
    <s v="UNPLANNED"/>
    <x v="0"/>
    <d v="1899-12-30T09:15:00"/>
    <x v="0"/>
  </r>
  <r>
    <n v="4910"/>
    <x v="1"/>
    <n v="6115271691702"/>
    <x v="1757"/>
    <d v="2022-06-02T14:20:00"/>
    <d v="1899-12-30T05:05:00"/>
    <n v="59.016393442848212"/>
    <s v="UNPLANNED"/>
    <x v="0"/>
    <d v="1899-12-30T09:15:00"/>
    <x v="0"/>
  </r>
  <r>
    <n v="4911"/>
    <x v="1"/>
    <n v="6115271691702"/>
    <x v="1757"/>
    <d v="2022-06-02T14:20:00"/>
    <d v="1899-12-30T05:05:00"/>
    <n v="59.016393442848212"/>
    <s v="UNPLANNED"/>
    <x v="1"/>
    <d v="1899-12-30T09:15:00"/>
    <x v="0"/>
  </r>
  <r>
    <n v="4912"/>
    <x v="0"/>
    <n v="5115271239307"/>
    <x v="1756"/>
    <d v="2022-06-02T14:20:00"/>
    <d v="1899-12-30T01:00:00"/>
    <n v="300.0000000174623"/>
    <s v="UNPLANNED"/>
    <x v="0"/>
    <d v="1899-12-30T13:20:00"/>
    <x v="0"/>
  </r>
  <r>
    <n v="4913"/>
    <x v="0"/>
    <n v="5115271239300"/>
    <x v="1756"/>
    <d v="2022-06-02T14:20:00"/>
    <d v="1899-12-30T01:00:00"/>
    <n v="300.0000000174623"/>
    <s v="UNPLANNED"/>
    <x v="0"/>
    <d v="1899-12-30T13:20:00"/>
    <x v="0"/>
  </r>
  <r>
    <n v="4914"/>
    <x v="11"/>
    <n v="10115271436108"/>
    <x v="1761"/>
    <d v="2022-06-02T18:10:00"/>
    <d v="1899-12-30T01:55:00"/>
    <n v="156.52173913360375"/>
    <s v="UNPLANNED"/>
    <x v="0"/>
    <d v="1899-12-30T16:15:00"/>
    <x v="1"/>
  </r>
  <r>
    <n v="4915"/>
    <x v="11"/>
    <n v="10115271436100"/>
    <x v="1761"/>
    <d v="2022-06-02T18:10:00"/>
    <d v="1899-12-30T01:55:00"/>
    <n v="156.52173913360375"/>
    <s v="UNPLANNED"/>
    <x v="0"/>
    <d v="1899-12-30T16:15:00"/>
    <x v="1"/>
  </r>
  <r>
    <n v="4916"/>
    <x v="13"/>
    <n v="3115270391500"/>
    <x v="1762"/>
    <d v="2022-06-02T21:30:00"/>
    <d v="1899-12-30T00:50:00"/>
    <n v="359.99999995809048"/>
    <s v="UNPLANNED"/>
    <x v="1"/>
    <d v="1899-12-30T20:40:00"/>
    <x v="1"/>
  </r>
  <r>
    <n v="4917"/>
    <x v="5"/>
    <n v="13115271613107"/>
    <x v="1763"/>
    <d v="2022-06-03T14:26:00"/>
    <d v="1899-12-30T01:11:00"/>
    <n v="253.52112675723788"/>
    <s v="UNPLANNED"/>
    <x v="0"/>
    <d v="1899-12-30T13:15:00"/>
    <x v="0"/>
  </r>
  <r>
    <n v="4918"/>
    <x v="5"/>
    <n v="13115271590600"/>
    <x v="1764"/>
    <d v="2022-06-03T14:26:00"/>
    <d v="1899-12-30T02:06:00"/>
    <n v="142.85714285476703"/>
    <s v="UNPLANNED"/>
    <x v="0"/>
    <d v="1899-12-30T12:20:00"/>
    <x v="0"/>
  </r>
  <r>
    <n v="4919"/>
    <x v="2"/>
    <n v="12115271574321"/>
    <x v="1765"/>
    <d v="2022-06-03T14:26:00"/>
    <d v="1899-12-30T05:11:00"/>
    <n v="57.87781350334992"/>
    <s v="UNPLANNED"/>
    <x v="0"/>
    <d v="1899-12-30T09:15:00"/>
    <x v="0"/>
  </r>
  <r>
    <n v="4920"/>
    <x v="2"/>
    <n v="12115271560111"/>
    <x v="1766"/>
    <d v="2022-06-03T14:26:00"/>
    <d v="1899-12-30T03:46:00"/>
    <n v="79.6460176979663"/>
    <s v="UNPLANNED"/>
    <x v="1"/>
    <d v="1899-12-30T10:40:00"/>
    <x v="0"/>
  </r>
  <r>
    <n v="4921"/>
    <x v="10"/>
    <n v="11115271541300"/>
    <x v="1767"/>
    <d v="2022-06-03T14:26:00"/>
    <d v="1899-12-30T06:11:00"/>
    <n v="48.517520215054901"/>
    <s v="UNPLANNED"/>
    <x v="0"/>
    <d v="1899-12-30T08:15:00"/>
    <x v="0"/>
  </r>
  <r>
    <n v="4922"/>
    <x v="3"/>
    <n v="8115271820900"/>
    <x v="1768"/>
    <d v="2022-06-03T14:26:00"/>
    <d v="1899-12-30T02:56:00"/>
    <n v="102.2727272681272"/>
    <s v="UNPLANNED"/>
    <x v="3"/>
    <d v="1899-12-30T11:30:00"/>
    <x v="0"/>
  </r>
  <r>
    <n v="4923"/>
    <x v="7"/>
    <n v="7115271759014"/>
    <x v="1763"/>
    <d v="2022-06-03T14:26:00"/>
    <d v="1899-12-30T01:11:00"/>
    <n v="253.52112675723788"/>
    <s v="UNPLANNED"/>
    <x v="0"/>
    <d v="1899-12-30T13:15:00"/>
    <x v="0"/>
  </r>
  <r>
    <n v="4924"/>
    <x v="13"/>
    <n v="3115270400400"/>
    <x v="1769"/>
    <d v="2022-06-03T14:26:00"/>
    <d v="1899-12-30T04:56:00"/>
    <n v="60.810810810619472"/>
    <s v="UNPLANNED"/>
    <x v="3"/>
    <d v="1899-12-30T09:30:00"/>
    <x v="0"/>
  </r>
  <r>
    <n v="4925"/>
    <x v="13"/>
    <n v="3115270355305"/>
    <x v="1766"/>
    <d v="2022-06-03T14:26:00"/>
    <d v="1899-12-30T03:46:00"/>
    <n v="79.6460176979663"/>
    <s v="UNPLANNED"/>
    <x v="0"/>
    <d v="1899-12-30T10:40:00"/>
    <x v="0"/>
  </r>
  <r>
    <n v="4926"/>
    <x v="13"/>
    <n v="3115270333900"/>
    <x v="1767"/>
    <d v="2022-06-03T14:26:00"/>
    <d v="1899-12-30T06:11:00"/>
    <n v="48.517520215054901"/>
    <s v="UNPLANNED"/>
    <x v="2"/>
    <d v="1899-12-30T08:15:00"/>
    <x v="0"/>
  </r>
  <r>
    <n v="4927"/>
    <x v="12"/>
    <n v="14115271672403"/>
    <x v="1770"/>
    <d v="2022-06-03T21:30:00"/>
    <d v="1899-12-30T04:09:00"/>
    <n v="72.28915662508652"/>
    <s v="UNPLANNED"/>
    <x v="0"/>
    <d v="1899-12-30T17:21:00"/>
    <x v="1"/>
  </r>
  <r>
    <n v="4928"/>
    <x v="2"/>
    <n v="12115271567324"/>
    <x v="1770"/>
    <d v="2022-06-03T21:30:00"/>
    <d v="1899-12-30T04:09:00"/>
    <n v="72.28915662508652"/>
    <s v="UNPLANNED"/>
    <x v="1"/>
    <d v="1899-12-30T17:21:00"/>
    <x v="1"/>
  </r>
  <r>
    <n v="4929"/>
    <x v="0"/>
    <n v="5115271239400"/>
    <x v="1770"/>
    <d v="2022-06-03T21:30:00"/>
    <d v="1899-12-30T04:09:00"/>
    <n v="72.28915662508652"/>
    <s v="UNPLANNED"/>
    <x v="0"/>
    <d v="1899-12-30T17:21:00"/>
    <x v="1"/>
  </r>
  <r>
    <n v="4930"/>
    <x v="8"/>
    <n v="4115270888400"/>
    <x v="1770"/>
    <d v="2022-06-03T21:30:00"/>
    <d v="1899-12-30T04:09:00"/>
    <n v="72.28915662508652"/>
    <s v="UNPLANNED"/>
    <x v="0"/>
    <d v="1899-12-30T17:21:00"/>
    <x v="1"/>
  </r>
  <r>
    <n v="4931"/>
    <x v="13"/>
    <n v="3115270396400"/>
    <x v="1770"/>
    <d v="2022-06-03T21:30:00"/>
    <d v="1899-12-30T04:09:00"/>
    <n v="72.28915662508652"/>
    <s v="UNPLANNED"/>
    <x v="0"/>
    <d v="1899-12-30T17:21:00"/>
    <x v="1"/>
  </r>
  <r>
    <n v="4932"/>
    <x v="13"/>
    <n v="3115270350207"/>
    <x v="1770"/>
    <d v="2022-06-03T21:30:00"/>
    <d v="1899-12-30T04:09:00"/>
    <n v="72.28915662508652"/>
    <s v="UNPLANNED"/>
    <x v="0"/>
    <d v="1899-12-30T17:21:00"/>
    <x v="1"/>
  </r>
  <r>
    <n v="4933"/>
    <x v="14"/>
    <n v="1115270088900"/>
    <x v="1770"/>
    <d v="2022-06-03T21:30:00"/>
    <d v="1899-12-30T04:09:00"/>
    <n v="72.28915662508652"/>
    <s v="UNPLANNED"/>
    <x v="0"/>
    <d v="1899-12-30T17:21:00"/>
    <x v="1"/>
  </r>
  <r>
    <n v="4934"/>
    <x v="1"/>
    <n v="6115271751300"/>
    <x v="1771"/>
    <d v="2022-06-04T00:45:00"/>
    <d v="1899-12-30T02:05:00"/>
    <n v="144.00000000134111"/>
    <s v="UNPLANNED"/>
    <x v="1"/>
    <d v="1899-12-30T22:40:00"/>
    <x v="2"/>
  </r>
  <r>
    <n v="4935"/>
    <x v="13"/>
    <n v="3115270311200"/>
    <x v="1771"/>
    <d v="2022-06-04T00:45:00"/>
    <d v="1899-12-30T02:05:00"/>
    <n v="144.00000000134111"/>
    <s v="UNPLANNED"/>
    <x v="1"/>
    <d v="1899-12-30T22:40:00"/>
    <x v="2"/>
  </r>
  <r>
    <n v="4936"/>
    <x v="14"/>
    <n v="1115270018000"/>
    <x v="1771"/>
    <d v="2022-06-04T00:45:00"/>
    <d v="1899-12-30T02:05:00"/>
    <n v="144.00000000134111"/>
    <s v="UNPLANNED"/>
    <x v="2"/>
    <d v="1899-12-30T22:40:00"/>
    <x v="2"/>
  </r>
  <r>
    <n v="4937"/>
    <x v="2"/>
    <n v="12115271565407"/>
    <x v="1772"/>
    <d v="2022-06-04T02:45:00"/>
    <d v="1899-12-30T00:50:00"/>
    <n v="359.99999995809048"/>
    <s v="UNPLANNED"/>
    <x v="2"/>
    <d v="1899-12-30T01:55:00"/>
    <x v="2"/>
  </r>
  <r>
    <n v="4938"/>
    <x v="4"/>
    <n v="15115271778328"/>
    <x v="1773"/>
    <d v="2022-06-04T13:50:00"/>
    <d v="1899-12-30T00:30:00"/>
    <n v="599.99999993015081"/>
    <s v="UNPLANNED"/>
    <x v="0"/>
    <d v="1899-12-30T13:20:00"/>
    <x v="0"/>
  </r>
  <r>
    <n v="4939"/>
    <x v="2"/>
    <n v="12115271560122"/>
    <x v="1774"/>
    <d v="2022-06-04T13:50:00"/>
    <d v="1899-12-30T03:50:00"/>
    <n v="78.260869563236795"/>
    <s v="UNPLANNED"/>
    <x v="1"/>
    <d v="1899-12-30T10:00:00"/>
    <x v="0"/>
  </r>
  <r>
    <n v="4940"/>
    <x v="2"/>
    <n v="12115271560117"/>
    <x v="1775"/>
    <d v="2022-06-04T13:50:00"/>
    <d v="1899-12-30T01:30:00"/>
    <n v="200"/>
    <s v="UNPLANNED"/>
    <x v="3"/>
    <d v="1899-12-30T12:20:00"/>
    <x v="0"/>
  </r>
  <r>
    <n v="4941"/>
    <x v="10"/>
    <n v="11115271508201"/>
    <x v="1776"/>
    <d v="2022-06-04T13:50:00"/>
    <d v="1899-12-30T02:50:00"/>
    <n v="105.88235294190156"/>
    <s v="UNPLANNED"/>
    <x v="2"/>
    <d v="1899-12-30T11:00:00"/>
    <x v="0"/>
  </r>
  <r>
    <n v="4942"/>
    <x v="11"/>
    <n v="10115271414800"/>
    <x v="1777"/>
    <d v="2022-06-04T13:50:00"/>
    <d v="1899-12-30T04:00:00"/>
    <n v="74.999999997817213"/>
    <s v="UNPLANNED"/>
    <x v="1"/>
    <d v="1899-12-30T09:50:00"/>
    <x v="0"/>
  </r>
  <r>
    <n v="4943"/>
    <x v="0"/>
    <n v="5115271680210"/>
    <x v="1778"/>
    <d v="2022-06-04T13:50:00"/>
    <d v="1899-12-30T03:05:00"/>
    <n v="97.297297294235975"/>
    <s v="UNPLANNED"/>
    <x v="2"/>
    <d v="1899-12-30T10:45:00"/>
    <x v="0"/>
  </r>
  <r>
    <n v="4944"/>
    <x v="0"/>
    <n v="5115270974800"/>
    <x v="1779"/>
    <d v="2022-06-04T13:50:00"/>
    <d v="1899-12-30T01:35:00"/>
    <n v="189.47368419891703"/>
    <s v="UNPLANNED"/>
    <x v="1"/>
    <d v="1899-12-30T12:15:00"/>
    <x v="0"/>
  </r>
  <r>
    <n v="4945"/>
    <x v="13"/>
    <n v="3115270360200"/>
    <x v="1777"/>
    <d v="2022-06-04T13:50:00"/>
    <d v="1899-12-30T04:00:00"/>
    <n v="74.999999997817213"/>
    <s v="UNPLANNED"/>
    <x v="6"/>
    <d v="1899-12-30T09:50:00"/>
    <x v="0"/>
  </r>
  <r>
    <n v="4946"/>
    <x v="10"/>
    <n v="11115271501904"/>
    <x v="1780"/>
    <d v="2022-06-04T20:05:00"/>
    <d v="1899-12-30T04:05:00"/>
    <n v="73.46938775440384"/>
    <s v="UNPLANNED"/>
    <x v="0"/>
    <d v="1899-12-30T16:00:00"/>
    <x v="1"/>
  </r>
  <r>
    <n v="4947"/>
    <x v="11"/>
    <n v="10115271959000"/>
    <x v="1781"/>
    <d v="2022-06-04T20:05:00"/>
    <d v="1899-12-30T03:15:00"/>
    <n v="92.307692309345541"/>
    <s v="UNPLANNED"/>
    <x v="1"/>
    <d v="1899-12-30T16:50:00"/>
    <x v="1"/>
  </r>
  <r>
    <n v="4948"/>
    <x v="11"/>
    <n v="10115271453800"/>
    <x v="1780"/>
    <d v="2022-06-04T20:05:00"/>
    <d v="1899-12-30T04:05:00"/>
    <n v="73.46938775440384"/>
    <s v="UNPLANNED"/>
    <x v="2"/>
    <d v="1899-12-30T16:00:00"/>
    <x v="1"/>
  </r>
  <r>
    <n v="4949"/>
    <x v="13"/>
    <n v="3115270400400"/>
    <x v="1780"/>
    <d v="2022-06-04T20:05:00"/>
    <d v="1899-12-30T04:05:00"/>
    <n v="73.46938775440384"/>
    <s v="UNPLANNED"/>
    <x v="0"/>
    <d v="1899-12-30T16:00:00"/>
    <x v="1"/>
  </r>
  <r>
    <n v="4950"/>
    <x v="1"/>
    <n v="6115271720828"/>
    <x v="1782"/>
    <d v="2022-06-05T03:30:00"/>
    <d v="1899-12-30T03:40:00"/>
    <n v="81.818181816450021"/>
    <s v="UNPLANNED"/>
    <x v="0"/>
    <d v="1899-12-30T23:50:00"/>
    <x v="2"/>
  </r>
  <r>
    <n v="4951"/>
    <x v="1"/>
    <n v="6115271692211"/>
    <x v="1782"/>
    <d v="2022-06-05T03:30:00"/>
    <d v="1899-12-30T03:40:00"/>
    <n v="81.818181816450021"/>
    <s v="UNPLANNED"/>
    <x v="0"/>
    <d v="1899-12-30T23:50:00"/>
    <x v="2"/>
  </r>
  <r>
    <n v="4952"/>
    <x v="13"/>
    <n v="3115270366800"/>
    <x v="1782"/>
    <d v="2022-06-05T03:30:00"/>
    <d v="1899-12-30T03:40:00"/>
    <n v="81.818181816450021"/>
    <s v="UNPLANNED"/>
    <x v="2"/>
    <d v="1899-12-30T23:50:00"/>
    <x v="2"/>
  </r>
  <r>
    <n v="4953"/>
    <x v="9"/>
    <n v="2115270295807"/>
    <x v="1783"/>
    <d v="2022-06-05T08:30:00"/>
    <d v="1899-12-30T01:00:00"/>
    <n v="300.0000000174623"/>
    <s v="UNPLANNED"/>
    <x v="0"/>
    <d v="1899-12-30T07:30:00"/>
    <x v="0"/>
  </r>
  <r>
    <n v="4954"/>
    <x v="9"/>
    <n v="2115270295805"/>
    <x v="1783"/>
    <d v="2022-06-05T08:30:00"/>
    <d v="1899-12-30T01:00:00"/>
    <n v="300.0000000174623"/>
    <s v="UNPLANNED"/>
    <x v="0"/>
    <d v="1899-12-30T07:30:00"/>
    <x v="0"/>
  </r>
  <r>
    <n v="4955"/>
    <x v="9"/>
    <n v="2115270295802"/>
    <x v="1783"/>
    <d v="2022-06-05T08:30:00"/>
    <d v="1899-12-30T01:00:00"/>
    <n v="300.0000000174623"/>
    <s v="UNPLANNED"/>
    <x v="0"/>
    <d v="1899-12-30T07:30:00"/>
    <x v="0"/>
  </r>
  <r>
    <n v="4956"/>
    <x v="9"/>
    <n v="2115270295800"/>
    <x v="1783"/>
    <d v="2022-06-05T08:30:00"/>
    <d v="1899-12-30T01:00:00"/>
    <n v="300.0000000174623"/>
    <s v="UNPLANNED"/>
    <x v="0"/>
    <d v="1899-12-30T07:30:00"/>
    <x v="0"/>
  </r>
  <r>
    <n v="4957"/>
    <x v="11"/>
    <n v="10115271453409"/>
    <x v="1784"/>
    <d v="2022-06-05T12:40:00"/>
    <d v="1899-12-30T02:20:00"/>
    <n v="128.57142856608297"/>
    <s v="UNPLANNED"/>
    <x v="0"/>
    <d v="1899-12-30T10:20:00"/>
    <x v="0"/>
  </r>
  <r>
    <n v="4958"/>
    <x v="11"/>
    <n v="10115271453407"/>
    <x v="1784"/>
    <d v="2022-06-05T12:40:00"/>
    <d v="1899-12-30T02:20:00"/>
    <n v="128.57142856608297"/>
    <s v="UNPLANNED"/>
    <x v="1"/>
    <d v="1899-12-30T10:20:00"/>
    <x v="0"/>
  </r>
  <r>
    <n v="4959"/>
    <x v="11"/>
    <n v="10115271453407"/>
    <x v="1784"/>
    <d v="2022-06-05T12:40:00"/>
    <d v="1899-12-30T02:20:00"/>
    <n v="128.57142856608297"/>
    <s v="UNPLANNED"/>
    <x v="0"/>
    <d v="1899-12-30T10:20:00"/>
    <x v="0"/>
  </r>
  <r>
    <n v="4960"/>
    <x v="11"/>
    <n v="10115271453402"/>
    <x v="1784"/>
    <d v="2022-06-05T12:40:00"/>
    <d v="1899-12-30T02:20:00"/>
    <n v="128.57142856608297"/>
    <s v="UNPLANNED"/>
    <x v="1"/>
    <d v="1899-12-30T10:20:00"/>
    <x v="0"/>
  </r>
  <r>
    <n v="4961"/>
    <x v="11"/>
    <n v="10115271453402"/>
    <x v="1784"/>
    <d v="2022-06-05T12:40:00"/>
    <d v="1899-12-30T02:20:00"/>
    <n v="128.57142856608297"/>
    <s v="UNPLANNED"/>
    <x v="1"/>
    <d v="1899-12-30T10:20:00"/>
    <x v="0"/>
  </r>
  <r>
    <n v="4962"/>
    <x v="11"/>
    <n v="10115271453400"/>
    <x v="1784"/>
    <d v="2022-06-05T12:40:00"/>
    <d v="1899-12-30T02:20:00"/>
    <n v="128.57142856608297"/>
    <s v="UNPLANNED"/>
    <x v="1"/>
    <d v="1899-12-30T10:20:00"/>
    <x v="0"/>
  </r>
  <r>
    <n v="4963"/>
    <x v="3"/>
    <n v="8115271821829"/>
    <x v="1785"/>
    <d v="2022-06-05T12:40:00"/>
    <d v="1899-12-30T03:45:00"/>
    <n v="80"/>
    <s v="UNPLANNED"/>
    <x v="1"/>
    <d v="1899-12-30T08:55:00"/>
    <x v="0"/>
  </r>
  <r>
    <n v="4964"/>
    <x v="3"/>
    <n v="8115271821828"/>
    <x v="1785"/>
    <d v="2022-06-05T12:40:00"/>
    <d v="1899-12-30T03:45:00"/>
    <n v="80"/>
    <s v="UNPLANNED"/>
    <x v="1"/>
    <d v="1899-12-30T08:55:00"/>
    <x v="0"/>
  </r>
  <r>
    <n v="4965"/>
    <x v="3"/>
    <n v="8115271821824"/>
    <x v="1785"/>
    <d v="2022-06-05T12:40:00"/>
    <d v="1899-12-30T03:45:00"/>
    <n v="80"/>
    <s v="UNPLANNED"/>
    <x v="0"/>
    <d v="1899-12-30T08:55:00"/>
    <x v="0"/>
  </r>
  <r>
    <n v="4966"/>
    <x v="3"/>
    <n v="8115271821824"/>
    <x v="1785"/>
    <d v="2022-06-05T12:40:00"/>
    <d v="1899-12-30T03:45:00"/>
    <n v="80"/>
    <s v="UNPLANNED"/>
    <x v="0"/>
    <d v="1899-12-30T08:55:00"/>
    <x v="0"/>
  </r>
  <r>
    <n v="4967"/>
    <x v="13"/>
    <n v="3115270320609"/>
    <x v="1784"/>
    <d v="2022-06-05T12:40:00"/>
    <d v="1899-12-30T02:20:00"/>
    <n v="128.57142856608297"/>
    <s v="UNPLANNED"/>
    <x v="1"/>
    <d v="1899-12-30T10:20:00"/>
    <x v="0"/>
  </r>
  <r>
    <n v="4968"/>
    <x v="13"/>
    <n v="3115270320608"/>
    <x v="1784"/>
    <d v="2022-06-05T12:40:00"/>
    <d v="1899-12-30T02:20:00"/>
    <n v="128.57142856608297"/>
    <s v="UNPLANNED"/>
    <x v="2"/>
    <d v="1899-12-30T10:20:00"/>
    <x v="0"/>
  </r>
  <r>
    <n v="4969"/>
    <x v="13"/>
    <n v="3115270320605"/>
    <x v="1784"/>
    <d v="2022-06-05T12:40:00"/>
    <d v="1899-12-30T02:20:00"/>
    <n v="128.57142856608297"/>
    <s v="UNPLANNED"/>
    <x v="2"/>
    <d v="1899-12-30T10:20:00"/>
    <x v="0"/>
  </r>
  <r>
    <n v="4970"/>
    <x v="13"/>
    <n v="3115270320603"/>
    <x v="1784"/>
    <d v="2022-06-05T12:40:00"/>
    <d v="1899-12-30T02:20:00"/>
    <n v="128.57142856608297"/>
    <s v="UNPLANNED"/>
    <x v="0"/>
    <d v="1899-12-30T10:20:00"/>
    <x v="0"/>
  </r>
  <r>
    <n v="4971"/>
    <x v="13"/>
    <n v="3115270320602"/>
    <x v="1784"/>
    <d v="2022-06-05T12:40:00"/>
    <d v="1899-12-30T02:20:00"/>
    <n v="128.57142856608297"/>
    <s v="UNPLANNED"/>
    <x v="3"/>
    <d v="1899-12-30T10:20:00"/>
    <x v="0"/>
  </r>
  <r>
    <n v="4972"/>
    <x v="13"/>
    <n v="3115270320601"/>
    <x v="1784"/>
    <d v="2022-06-05T12:40:00"/>
    <d v="1899-12-30T02:20:00"/>
    <n v="128.57142856608297"/>
    <s v="UNPLANNED"/>
    <x v="0"/>
    <d v="1899-12-30T10:20:00"/>
    <x v="0"/>
  </r>
  <r>
    <n v="4973"/>
    <x v="5"/>
    <n v="13115271592406"/>
    <x v="1786"/>
    <d v="2022-06-05T18:40:00"/>
    <d v="1899-12-30T02:30:00"/>
    <n v="119.99999999441206"/>
    <s v="UNPLANNED"/>
    <x v="2"/>
    <d v="1899-12-30T16:10:00"/>
    <x v="1"/>
  </r>
  <r>
    <n v="4974"/>
    <x v="5"/>
    <n v="13115271592402"/>
    <x v="1786"/>
    <d v="2022-06-05T18:40:00"/>
    <d v="1899-12-30T02:30:00"/>
    <n v="119.99999999441206"/>
    <s v="UNPLANNED"/>
    <x v="1"/>
    <d v="1899-12-30T16:10:00"/>
    <x v="1"/>
  </r>
  <r>
    <n v="4975"/>
    <x v="14"/>
    <n v="1115270051106"/>
    <x v="1786"/>
    <d v="2022-06-05T18:40:00"/>
    <d v="1899-12-30T02:30:00"/>
    <n v="119.99999999441206"/>
    <s v="UNPLANNED"/>
    <x v="1"/>
    <d v="1899-12-30T16:10:00"/>
    <x v="1"/>
  </r>
  <r>
    <n v="4976"/>
    <x v="14"/>
    <n v="1115270051100"/>
    <x v="1786"/>
    <d v="2022-06-05T18:40:00"/>
    <d v="1899-12-30T02:30:00"/>
    <n v="119.99999999441206"/>
    <s v="UNPLANNED"/>
    <x v="0"/>
    <d v="1899-12-30T16:10:00"/>
    <x v="1"/>
  </r>
  <r>
    <n v="4977"/>
    <x v="11"/>
    <n v="10115271478600"/>
    <x v="1787"/>
    <d v="2022-06-06T02:10:00"/>
    <d v="1899-12-30T00:40:00"/>
    <n v="449.99999994761311"/>
    <s v="UNPLANNED"/>
    <x v="1"/>
    <d v="1899-12-30T01:30:00"/>
    <x v="2"/>
  </r>
  <r>
    <n v="4978"/>
    <x v="5"/>
    <n v="13115271661007"/>
    <x v="1788"/>
    <d v="2022-06-06T12:30:00"/>
    <d v="1899-12-30T03:00:00"/>
    <n v="100"/>
    <s v="UNPLANNED"/>
    <x v="0"/>
    <d v="1899-12-30T09:30:00"/>
    <x v="0"/>
  </r>
  <r>
    <n v="4979"/>
    <x v="5"/>
    <n v="13115271661006"/>
    <x v="1788"/>
    <d v="2022-06-06T12:30:00"/>
    <d v="1899-12-30T03:00:00"/>
    <n v="100"/>
    <s v="UNPLANNED"/>
    <x v="1"/>
    <d v="1899-12-30T09:30:00"/>
    <x v="0"/>
  </r>
  <r>
    <n v="4980"/>
    <x v="5"/>
    <n v="13115271661005"/>
    <x v="1788"/>
    <d v="2022-06-06T12:30:00"/>
    <d v="1899-12-30T03:00:00"/>
    <n v="100"/>
    <s v="UNPLANNED"/>
    <x v="0"/>
    <d v="1899-12-30T09:30:00"/>
    <x v="0"/>
  </r>
  <r>
    <n v="4981"/>
    <x v="5"/>
    <n v="13115271661003"/>
    <x v="1788"/>
    <d v="2022-06-06T12:30:00"/>
    <d v="1899-12-30T03:00:00"/>
    <n v="100"/>
    <s v="UNPLANNED"/>
    <x v="2"/>
    <d v="1899-12-30T09:30:00"/>
    <x v="0"/>
  </r>
  <r>
    <n v="4982"/>
    <x v="7"/>
    <n v="7115271769618"/>
    <x v="1789"/>
    <d v="2022-06-06T12:30:00"/>
    <d v="1899-12-30T01:40:00"/>
    <n v="179.99999999790452"/>
    <s v="UNPLANNED"/>
    <x v="1"/>
    <d v="1899-12-30T10:50:00"/>
    <x v="0"/>
  </r>
  <r>
    <n v="4983"/>
    <x v="7"/>
    <n v="7115271769609"/>
    <x v="1789"/>
    <d v="2022-06-06T12:30:00"/>
    <d v="1899-12-30T01:40:00"/>
    <n v="179.99999999790452"/>
    <s v="UNPLANNED"/>
    <x v="1"/>
    <d v="1899-12-30T10:50:00"/>
    <x v="0"/>
  </r>
  <r>
    <n v="4984"/>
    <x v="7"/>
    <n v="7115271769608"/>
    <x v="1789"/>
    <d v="2022-06-06T12:30:00"/>
    <d v="1899-12-30T01:40:00"/>
    <n v="179.99999999790452"/>
    <s v="UNPLANNED"/>
    <x v="6"/>
    <d v="1899-12-30T10:50:00"/>
    <x v="0"/>
  </r>
  <r>
    <n v="4985"/>
    <x v="7"/>
    <n v="7115271769608"/>
    <x v="1789"/>
    <d v="2022-06-06T12:30:00"/>
    <d v="1899-12-30T01:40:00"/>
    <n v="179.99999999790452"/>
    <s v="UNPLANNED"/>
    <x v="1"/>
    <d v="1899-12-30T10:50:00"/>
    <x v="0"/>
  </r>
  <r>
    <n v="4986"/>
    <x v="7"/>
    <n v="7115271769602"/>
    <x v="1789"/>
    <d v="2022-06-06T12:30:00"/>
    <d v="1899-12-30T01:40:00"/>
    <n v="179.99999999790452"/>
    <s v="UNPLANNED"/>
    <x v="0"/>
    <d v="1899-12-30T10:50:00"/>
    <x v="0"/>
  </r>
  <r>
    <n v="4987"/>
    <x v="7"/>
    <n v="7115271769601"/>
    <x v="1789"/>
    <d v="2022-06-06T12:30:00"/>
    <d v="1899-12-30T01:40:00"/>
    <n v="179.99999999790452"/>
    <s v="UNPLANNED"/>
    <x v="1"/>
    <d v="1899-12-30T10:50:00"/>
    <x v="0"/>
  </r>
  <r>
    <n v="4988"/>
    <x v="7"/>
    <n v="7115271769600"/>
    <x v="1789"/>
    <d v="2022-06-06T12:30:00"/>
    <d v="1899-12-30T01:40:00"/>
    <n v="179.99999999790452"/>
    <s v="UNPLANNED"/>
    <x v="1"/>
    <d v="1899-12-30T10:50:00"/>
    <x v="0"/>
  </r>
  <r>
    <n v="4989"/>
    <x v="0"/>
    <n v="5115271289608"/>
    <x v="1790"/>
    <d v="2022-06-06T12:30:00"/>
    <d v="1899-12-30T02:40:00"/>
    <n v="112.49999999427018"/>
    <s v="UNPLANNED"/>
    <x v="1"/>
    <d v="1899-12-30T09:50:00"/>
    <x v="0"/>
  </r>
  <r>
    <n v="4990"/>
    <x v="0"/>
    <n v="5115271289607"/>
    <x v="1790"/>
    <d v="2022-06-06T12:30:00"/>
    <d v="1899-12-30T02:40:00"/>
    <n v="112.49999999427018"/>
    <s v="UNPLANNED"/>
    <x v="2"/>
    <d v="1899-12-30T09:50:00"/>
    <x v="0"/>
  </r>
  <r>
    <n v="4991"/>
    <x v="0"/>
    <n v="5115271289605"/>
    <x v="1790"/>
    <d v="2022-06-06T12:30:00"/>
    <d v="1899-12-30T02:40:00"/>
    <n v="112.49999999427018"/>
    <s v="UNPLANNED"/>
    <x v="1"/>
    <d v="1899-12-30T09:50:00"/>
    <x v="0"/>
  </r>
  <r>
    <n v="4992"/>
    <x v="0"/>
    <n v="5115271289602"/>
    <x v="1790"/>
    <d v="2022-06-06T12:30:00"/>
    <d v="1899-12-30T02:40:00"/>
    <n v="112.49999999427018"/>
    <s v="UNPLANNED"/>
    <x v="0"/>
    <d v="1899-12-30T09:50:00"/>
    <x v="0"/>
  </r>
  <r>
    <n v="4993"/>
    <x v="12"/>
    <n v="14115271678708"/>
    <x v="1791"/>
    <d v="2022-06-06T21:10:00"/>
    <d v="1899-12-30T04:30:00"/>
    <n v="66.666666666666657"/>
    <s v="UNPLANNED"/>
    <x v="1"/>
    <d v="1899-12-30T16:40:00"/>
    <x v="1"/>
  </r>
  <r>
    <n v="4994"/>
    <x v="12"/>
    <n v="14115271678706"/>
    <x v="1791"/>
    <d v="2022-06-06T21:10:00"/>
    <d v="1899-12-30T04:30:00"/>
    <n v="66.666666666666657"/>
    <s v="UNPLANNED"/>
    <x v="0"/>
    <d v="1899-12-30T16:40:00"/>
    <x v="1"/>
  </r>
  <r>
    <n v="4995"/>
    <x v="10"/>
    <n v="11115271559603"/>
    <x v="1791"/>
    <d v="2022-06-06T21:10:00"/>
    <d v="1899-12-30T04:30:00"/>
    <n v="66.666666666666657"/>
    <s v="UNPLANNED"/>
    <x v="0"/>
    <d v="1899-12-30T16:40:00"/>
    <x v="1"/>
  </r>
  <r>
    <n v="4996"/>
    <x v="10"/>
    <n v="11115271559602"/>
    <x v="1791"/>
    <d v="2022-06-06T21:10:00"/>
    <d v="1899-12-30T04:30:00"/>
    <n v="66.666666666666657"/>
    <s v="UNPLANNED"/>
    <x v="1"/>
    <d v="1899-12-30T16:40:00"/>
    <x v="1"/>
  </r>
  <r>
    <n v="4997"/>
    <x v="13"/>
    <n v="3115270366515"/>
    <x v="1791"/>
    <d v="2022-06-06T21:10:00"/>
    <d v="1899-12-30T04:30:00"/>
    <n v="66.666666666666657"/>
    <s v="UNPLANNED"/>
    <x v="1"/>
    <d v="1899-12-30T16:40:00"/>
    <x v="1"/>
  </r>
  <r>
    <n v="4998"/>
    <x v="13"/>
    <n v="3115270366508"/>
    <x v="1791"/>
    <d v="2022-06-06T21:10:00"/>
    <d v="1899-12-30T04:30:00"/>
    <n v="66.666666666666657"/>
    <s v="UNPLANNED"/>
    <x v="0"/>
    <d v="1899-12-30T16:40:00"/>
    <x v="1"/>
  </r>
  <r>
    <n v="4999"/>
    <x v="13"/>
    <n v="3115270366505"/>
    <x v="1791"/>
    <d v="2022-06-06T21:10:00"/>
    <d v="1899-12-30T04:30:00"/>
    <n v="66.666666666666657"/>
    <s v="UNPLANNED"/>
    <x v="1"/>
    <d v="1899-12-30T16:40:00"/>
    <x v="1"/>
  </r>
  <r>
    <n v="5000"/>
    <x v="13"/>
    <n v="3115270366503"/>
    <x v="1791"/>
    <d v="2022-06-06T21:10:00"/>
    <d v="1899-12-30T04:30:00"/>
    <n v="66.666666666666657"/>
    <s v="UNPLANNED"/>
    <x v="1"/>
    <d v="1899-12-30T16:40:00"/>
    <x v="1"/>
  </r>
  <r>
    <n v="5001"/>
    <x v="13"/>
    <n v="3115270366501"/>
    <x v="1791"/>
    <d v="2022-06-06T21:10:00"/>
    <d v="1899-12-30T04:30:00"/>
    <n v="66.666666666666657"/>
    <s v="UNPLANNED"/>
    <x v="1"/>
    <d v="1899-12-30T16:40:00"/>
    <x v="1"/>
  </r>
  <r>
    <n v="5002"/>
    <x v="0"/>
    <n v="5115271689200"/>
    <x v="1792"/>
    <d v="2022-06-07T00:15:00"/>
    <d v="1899-12-30T01:05:00"/>
    <n v="276.92307695779488"/>
    <s v="UNPLANNED"/>
    <x v="1"/>
    <d v="1899-12-30T23:10:00"/>
    <x v="2"/>
  </r>
  <r>
    <n v="5003"/>
    <x v="1"/>
    <n v="6115271723909"/>
    <x v="1793"/>
    <d v="2022-06-07T12:45:00"/>
    <d v="1899-12-30T02:45:00"/>
    <n v="109.09090908860001"/>
    <s v="UNPLANNED"/>
    <x v="2"/>
    <d v="1899-12-30T10:00:00"/>
    <x v="0"/>
  </r>
  <r>
    <n v="5004"/>
    <x v="1"/>
    <n v="6115271723908"/>
    <x v="1793"/>
    <d v="2022-06-07T12:45:00"/>
    <d v="1899-12-30T02:45:00"/>
    <n v="109.09090908860001"/>
    <s v="UNPLANNED"/>
    <x v="0"/>
    <d v="1899-12-30T10:00:00"/>
    <x v="0"/>
  </r>
  <r>
    <n v="5005"/>
    <x v="1"/>
    <n v="6115271723906"/>
    <x v="1793"/>
    <d v="2022-06-07T12:45:00"/>
    <d v="1899-12-30T02:45:00"/>
    <n v="109.09090908860001"/>
    <s v="UNPLANNED"/>
    <x v="3"/>
    <d v="1899-12-30T10:00:00"/>
    <x v="0"/>
  </r>
  <r>
    <n v="5006"/>
    <x v="1"/>
    <n v="6115271723903"/>
    <x v="1793"/>
    <d v="2022-06-07T12:45:00"/>
    <d v="1899-12-30T02:45:00"/>
    <n v="109.09090908860001"/>
    <s v="UNPLANNED"/>
    <x v="0"/>
    <d v="1899-12-30T10:00:00"/>
    <x v="0"/>
  </r>
  <r>
    <n v="5007"/>
    <x v="1"/>
    <n v="6115271723903"/>
    <x v="1793"/>
    <d v="2022-06-07T12:45:00"/>
    <d v="1899-12-30T02:45:00"/>
    <n v="109.09090908860001"/>
    <s v="UNPLANNED"/>
    <x v="2"/>
    <d v="1899-12-30T10:00:00"/>
    <x v="0"/>
  </r>
  <r>
    <n v="5008"/>
    <x v="1"/>
    <n v="6115271723902"/>
    <x v="1793"/>
    <d v="2022-06-07T12:45:00"/>
    <d v="1899-12-30T02:45:00"/>
    <n v="109.09090908860001"/>
    <s v="UNPLANNED"/>
    <x v="0"/>
    <d v="1899-12-30T10:00:00"/>
    <x v="0"/>
  </r>
  <r>
    <n v="5009"/>
    <x v="8"/>
    <n v="4115270854009"/>
    <x v="1793"/>
    <d v="2022-06-07T12:45:00"/>
    <d v="1899-12-30T02:45:00"/>
    <n v="109.09090908860001"/>
    <s v="UNPLANNED"/>
    <x v="1"/>
    <d v="1899-12-30T10:00:00"/>
    <x v="0"/>
  </r>
  <r>
    <n v="5010"/>
    <x v="8"/>
    <n v="4115270854007"/>
    <x v="1793"/>
    <d v="2022-06-07T12:45:00"/>
    <d v="1899-12-30T02:45:00"/>
    <n v="109.09090908860001"/>
    <s v="UNPLANNED"/>
    <x v="0"/>
    <d v="1899-12-30T10:00:00"/>
    <x v="0"/>
  </r>
  <r>
    <n v="5011"/>
    <x v="8"/>
    <n v="4115270854005"/>
    <x v="1793"/>
    <d v="2022-06-07T12:45:00"/>
    <d v="1899-12-30T02:45:00"/>
    <n v="109.09090908860001"/>
    <s v="UNPLANNED"/>
    <x v="1"/>
    <d v="1899-12-30T10:00:00"/>
    <x v="0"/>
  </r>
  <r>
    <n v="5012"/>
    <x v="8"/>
    <n v="4115270854003"/>
    <x v="1793"/>
    <d v="2022-06-07T12:45:00"/>
    <d v="1899-12-30T02:45:00"/>
    <n v="109.09090908860001"/>
    <s v="UNPLANNED"/>
    <x v="1"/>
    <d v="1899-12-30T10:00:00"/>
    <x v="0"/>
  </r>
  <r>
    <n v="5013"/>
    <x v="8"/>
    <n v="4115270854002"/>
    <x v="1793"/>
    <d v="2022-06-07T12:45:00"/>
    <d v="1899-12-30T02:45:00"/>
    <n v="109.09090908860001"/>
    <s v="UNPLANNED"/>
    <x v="1"/>
    <d v="1899-12-30T10:00:00"/>
    <x v="0"/>
  </r>
  <r>
    <n v="5014"/>
    <x v="8"/>
    <n v="4115270854000"/>
    <x v="1793"/>
    <d v="2022-06-07T12:45:00"/>
    <d v="1899-12-30T02:45:00"/>
    <n v="109.09090908860001"/>
    <s v="UNPLANNED"/>
    <x v="1"/>
    <d v="1899-12-30T10:00:00"/>
    <x v="0"/>
  </r>
  <r>
    <n v="5015"/>
    <x v="9"/>
    <n v="2115270196505"/>
    <x v="1793"/>
    <d v="2022-06-07T12:45:00"/>
    <d v="1899-12-30T02:45:00"/>
    <n v="109.09090908860001"/>
    <s v="UNPLANNED"/>
    <x v="1"/>
    <d v="1899-12-30T10:00:00"/>
    <x v="0"/>
  </r>
  <r>
    <n v="5016"/>
    <x v="9"/>
    <n v="2115270196503"/>
    <x v="1793"/>
    <d v="2022-06-07T12:45:00"/>
    <d v="1899-12-30T02:45:00"/>
    <n v="109.09090908860001"/>
    <s v="UNPLANNED"/>
    <x v="1"/>
    <d v="1899-12-30T10:00:00"/>
    <x v="0"/>
  </r>
  <r>
    <n v="5017"/>
    <x v="9"/>
    <n v="2115270196502"/>
    <x v="1793"/>
    <d v="2022-06-07T12:45:00"/>
    <d v="1899-12-30T02:45:00"/>
    <n v="109.09090908860001"/>
    <s v="UNPLANNED"/>
    <x v="0"/>
    <d v="1899-12-30T10:00:00"/>
    <x v="0"/>
  </r>
  <r>
    <n v="5018"/>
    <x v="9"/>
    <n v="2115270196501"/>
    <x v="1793"/>
    <d v="2022-06-07T12:45:00"/>
    <d v="1899-12-30T02:45:00"/>
    <n v="109.09090908860001"/>
    <s v="UNPLANNED"/>
    <x v="1"/>
    <d v="1899-12-30T10:00:00"/>
    <x v="0"/>
  </r>
  <r>
    <n v="5019"/>
    <x v="9"/>
    <n v="2115270196501"/>
    <x v="1793"/>
    <d v="2022-06-07T12:45:00"/>
    <d v="1899-12-30T02:45:00"/>
    <n v="109.09090908860001"/>
    <s v="UNPLANNED"/>
    <x v="0"/>
    <d v="1899-12-30T10:00:00"/>
    <x v="0"/>
  </r>
  <r>
    <n v="5020"/>
    <x v="9"/>
    <n v="2115270196500"/>
    <x v="1793"/>
    <d v="2022-06-07T12:45:00"/>
    <d v="1899-12-30T02:45:00"/>
    <n v="109.09090908860001"/>
    <s v="UNPLANNED"/>
    <x v="2"/>
    <d v="1899-12-30T10:00:00"/>
    <x v="0"/>
  </r>
  <r>
    <n v="5021"/>
    <x v="5"/>
    <n v="13115271612202"/>
    <x v="1794"/>
    <d v="2022-06-07T18:30:00"/>
    <d v="1899-12-30T02:20:00"/>
    <n v="128.57142856608297"/>
    <s v="UNPLANNED"/>
    <x v="1"/>
    <d v="1899-12-30T16:10:00"/>
    <x v="1"/>
  </r>
  <r>
    <n v="5022"/>
    <x v="5"/>
    <n v="13115271612201"/>
    <x v="1794"/>
    <d v="2022-06-07T18:30:00"/>
    <d v="1899-12-30T02:20:00"/>
    <n v="128.57142856608297"/>
    <s v="UNPLANNED"/>
    <x v="1"/>
    <d v="1899-12-30T16:10:00"/>
    <x v="1"/>
  </r>
  <r>
    <n v="5023"/>
    <x v="2"/>
    <n v="12115271569827"/>
    <x v="1794"/>
    <d v="2022-06-07T18:40:00"/>
    <d v="1899-12-30T02:30:00"/>
    <n v="119.99999999441206"/>
    <s v="UNPLANNED"/>
    <x v="6"/>
    <d v="1899-12-30T16:10:00"/>
    <x v="1"/>
  </r>
  <r>
    <n v="5024"/>
    <x v="2"/>
    <n v="12115271569827"/>
    <x v="1794"/>
    <d v="2022-06-07T18:40:00"/>
    <d v="1899-12-30T02:30:00"/>
    <n v="119.99999999441206"/>
    <s v="UNPLANNED"/>
    <x v="1"/>
    <d v="1899-12-30T16:10:00"/>
    <x v="1"/>
  </r>
  <r>
    <n v="5025"/>
    <x v="2"/>
    <n v="12115271569826"/>
    <x v="1794"/>
    <d v="2022-06-07T18:40:00"/>
    <d v="1899-12-30T02:30:00"/>
    <n v="119.99999999441206"/>
    <s v="UNPLANNED"/>
    <x v="0"/>
    <d v="1899-12-30T16:10:00"/>
    <x v="1"/>
  </r>
  <r>
    <n v="5026"/>
    <x v="2"/>
    <n v="12115271569825"/>
    <x v="1794"/>
    <d v="2022-06-07T18:40:00"/>
    <d v="1899-12-30T02:30:00"/>
    <n v="119.99999999441206"/>
    <s v="UNPLANNED"/>
    <x v="1"/>
    <d v="1899-12-30T16:10:00"/>
    <x v="1"/>
  </r>
  <r>
    <n v="5027"/>
    <x v="2"/>
    <n v="12115271569824"/>
    <x v="1794"/>
    <d v="2022-06-07T18:40:00"/>
    <d v="1899-12-30T02:30:00"/>
    <n v="119.99999999441206"/>
    <s v="UNPLANNED"/>
    <x v="1"/>
    <d v="1899-12-30T16:10:00"/>
    <x v="1"/>
  </r>
  <r>
    <n v="5028"/>
    <x v="2"/>
    <n v="12115271569824"/>
    <x v="1794"/>
    <d v="2022-06-07T18:40:00"/>
    <d v="1899-12-30T02:30:00"/>
    <n v="119.99999999441206"/>
    <s v="UNPLANNED"/>
    <x v="0"/>
    <d v="1899-12-30T16:10:00"/>
    <x v="1"/>
  </r>
  <r>
    <n v="5029"/>
    <x v="5"/>
    <n v="13115271626909"/>
    <x v="1795"/>
    <d v="2022-06-08T10:30:00"/>
    <d v="1899-12-30T02:05:00"/>
    <n v="144.00000000134111"/>
    <s v="UNPLANNED"/>
    <x v="0"/>
    <d v="1899-12-30T08:25:00"/>
    <x v="0"/>
  </r>
  <r>
    <n v="5030"/>
    <x v="5"/>
    <n v="13115271626908"/>
    <x v="1795"/>
    <d v="2022-06-08T10:30:00"/>
    <d v="1899-12-30T02:05:00"/>
    <n v="144.00000000134111"/>
    <s v="UNPLANNED"/>
    <x v="2"/>
    <d v="1899-12-30T08:25:00"/>
    <x v="0"/>
  </r>
  <r>
    <n v="5031"/>
    <x v="5"/>
    <n v="13115271626903"/>
    <x v="1795"/>
    <d v="2022-06-08T10:30:00"/>
    <d v="1899-12-30T02:05:00"/>
    <n v="144.00000000134111"/>
    <s v="UNPLANNED"/>
    <x v="0"/>
    <d v="1899-12-30T08:25:00"/>
    <x v="0"/>
  </r>
  <r>
    <n v="5032"/>
    <x v="5"/>
    <n v="13115271626902"/>
    <x v="1795"/>
    <d v="2022-06-08T10:30:00"/>
    <d v="1899-12-30T02:05:00"/>
    <n v="144.00000000134111"/>
    <s v="UNPLANNED"/>
    <x v="1"/>
    <d v="1899-12-30T08:25:00"/>
    <x v="0"/>
  </r>
  <r>
    <n v="5033"/>
    <x v="14"/>
    <n v="1115270143308"/>
    <x v="1796"/>
    <d v="2022-06-08T11:50:00"/>
    <d v="1899-12-30T00:35:00"/>
    <n v="514.28571430282022"/>
    <s v="UNPLANNED"/>
    <x v="0"/>
    <d v="1899-12-30T11:15:00"/>
    <x v="0"/>
  </r>
  <r>
    <n v="5034"/>
    <x v="14"/>
    <n v="1115270143307"/>
    <x v="1796"/>
    <d v="2022-06-08T11:50:00"/>
    <d v="1899-12-30T00:35:00"/>
    <n v="514.28571430282022"/>
    <s v="UNPLANNED"/>
    <x v="2"/>
    <d v="1899-12-30T11:15:00"/>
    <x v="0"/>
  </r>
  <r>
    <n v="5035"/>
    <x v="14"/>
    <n v="1115270143302"/>
    <x v="1796"/>
    <d v="2022-06-08T11:50:00"/>
    <d v="1899-12-30T00:35:00"/>
    <n v="514.28571430282022"/>
    <s v="UNPLANNED"/>
    <x v="3"/>
    <d v="1899-12-30T11:15:00"/>
    <x v="0"/>
  </r>
  <r>
    <n v="5036"/>
    <x v="14"/>
    <n v="1115270143301"/>
    <x v="1796"/>
    <d v="2022-06-08T11:50:00"/>
    <d v="1899-12-30T00:35:00"/>
    <n v="514.28571430282022"/>
    <s v="UNPLANNED"/>
    <x v="0"/>
    <d v="1899-12-30T11:15:00"/>
    <x v="0"/>
  </r>
  <r>
    <n v="5037"/>
    <x v="2"/>
    <n v="12115271569609"/>
    <x v="1797"/>
    <d v="2022-06-08T13:50:00"/>
    <d v="1899-12-30T00:51:00"/>
    <n v="352.94117648025593"/>
    <s v="UNPLANNED"/>
    <x v="1"/>
    <d v="1899-12-30T12:59:00"/>
    <x v="0"/>
  </r>
  <r>
    <n v="5038"/>
    <x v="2"/>
    <n v="12115271569607"/>
    <x v="1797"/>
    <d v="2022-06-08T13:50:00"/>
    <d v="1899-12-30T00:51:00"/>
    <n v="352.94117648025593"/>
    <s v="UNPLANNED"/>
    <x v="1"/>
    <d v="1899-12-30T12:59:00"/>
    <x v="0"/>
  </r>
  <r>
    <n v="5039"/>
    <x v="2"/>
    <n v="12115271569605"/>
    <x v="1797"/>
    <d v="2022-06-08T13:50:00"/>
    <d v="1899-12-30T00:51:00"/>
    <n v="352.94117648025593"/>
    <s v="UNPLANNED"/>
    <x v="0"/>
    <d v="1899-12-30T12:59:00"/>
    <x v="0"/>
  </r>
  <r>
    <n v="5040"/>
    <x v="2"/>
    <n v="12115271569602"/>
    <x v="1797"/>
    <d v="2022-06-08T13:50:00"/>
    <d v="1899-12-30T00:51:00"/>
    <n v="352.94117648025593"/>
    <s v="UNPLANNED"/>
    <x v="0"/>
    <d v="1899-12-30T12:59:00"/>
    <x v="0"/>
  </r>
  <r>
    <n v="5041"/>
    <x v="2"/>
    <n v="12115271569601"/>
    <x v="1797"/>
    <d v="2022-06-08T13:50:00"/>
    <d v="1899-12-30T00:51:00"/>
    <n v="352.94117648025593"/>
    <s v="UNPLANNED"/>
    <x v="1"/>
    <d v="1899-12-30T12:59:00"/>
    <x v="0"/>
  </r>
  <r>
    <n v="5042"/>
    <x v="13"/>
    <n v="3115270396409"/>
    <x v="1797"/>
    <d v="2022-06-08T13:50:00"/>
    <d v="1899-12-30T00:51:00"/>
    <n v="352.94117648025593"/>
    <s v="UNPLANNED"/>
    <x v="1"/>
    <d v="1899-12-30T12:59:00"/>
    <x v="0"/>
  </r>
  <r>
    <n v="5043"/>
    <x v="13"/>
    <n v="3115270396401"/>
    <x v="1797"/>
    <d v="2022-06-08T13:50:00"/>
    <d v="1899-12-30T00:51:00"/>
    <n v="352.94117648025593"/>
    <s v="UNPLANNED"/>
    <x v="0"/>
    <d v="1899-12-30T12:59:00"/>
    <x v="0"/>
  </r>
  <r>
    <n v="5044"/>
    <x v="13"/>
    <n v="3115270396401"/>
    <x v="1797"/>
    <d v="2022-06-08T13:50:00"/>
    <d v="1899-12-30T00:51:00"/>
    <n v="352.94117648025593"/>
    <s v="UNPLANNED"/>
    <x v="0"/>
    <d v="1899-12-30T12:59:00"/>
    <x v="0"/>
  </r>
  <r>
    <n v="5045"/>
    <x v="13"/>
    <n v="3115270396400"/>
    <x v="1797"/>
    <d v="2022-06-08T13:50:00"/>
    <d v="1899-12-30T00:51:00"/>
    <n v="352.94117648025593"/>
    <s v="UNPLANNED"/>
    <x v="1"/>
    <d v="1899-12-30T12:59:00"/>
    <x v="0"/>
  </r>
  <r>
    <n v="5046"/>
    <x v="7"/>
    <n v="7115271759017"/>
    <x v="1798"/>
    <d v="2022-06-08T17:40:00"/>
    <d v="1899-12-30T02:10:00"/>
    <n v="138.46153846773811"/>
    <s v="UNPLANNED"/>
    <x v="3"/>
    <d v="1899-12-30T15:30:00"/>
    <x v="1"/>
  </r>
  <r>
    <n v="5047"/>
    <x v="7"/>
    <n v="7115271759014"/>
    <x v="1798"/>
    <d v="2022-06-08T17:40:00"/>
    <d v="1899-12-30T02:10:00"/>
    <n v="138.46153846773811"/>
    <s v="UNPLANNED"/>
    <x v="1"/>
    <d v="1899-12-30T15:30:00"/>
    <x v="1"/>
  </r>
  <r>
    <n v="5048"/>
    <x v="7"/>
    <n v="7115271759013"/>
    <x v="1798"/>
    <d v="2022-06-08T17:40:00"/>
    <d v="1899-12-30T02:10:00"/>
    <n v="138.46153846773811"/>
    <s v="UNPLANNED"/>
    <x v="3"/>
    <d v="1899-12-30T15:30:00"/>
    <x v="1"/>
  </r>
  <r>
    <n v="5049"/>
    <x v="8"/>
    <n v="4115270858405"/>
    <x v="1799"/>
    <d v="2022-06-08T21:35:00"/>
    <d v="1899-12-30T02:36:00"/>
    <n v="115.38461538823184"/>
    <s v="UNPLANNED"/>
    <x v="1"/>
    <d v="1899-12-30T18:59:00"/>
    <x v="1"/>
  </r>
  <r>
    <n v="5050"/>
    <x v="8"/>
    <n v="4115270858400"/>
    <x v="1799"/>
    <d v="2022-06-08T21:35:00"/>
    <d v="1899-12-30T02:36:00"/>
    <n v="115.38461538823184"/>
    <s v="UNPLANNED"/>
    <x v="2"/>
    <d v="1899-12-30T18:59:00"/>
    <x v="1"/>
  </r>
  <r>
    <n v="5051"/>
    <x v="13"/>
    <n v="3115270421804"/>
    <x v="1799"/>
    <d v="2022-06-08T21:35:00"/>
    <d v="1899-12-30T02:36:00"/>
    <n v="115.38461538823184"/>
    <s v="UNPLANNED"/>
    <x v="0"/>
    <d v="1899-12-30T18:59:00"/>
    <x v="1"/>
  </r>
  <r>
    <n v="5052"/>
    <x v="13"/>
    <n v="3115270421800"/>
    <x v="1799"/>
    <d v="2022-06-08T21:35:00"/>
    <d v="1899-12-30T02:36:00"/>
    <n v="115.38461538823184"/>
    <s v="UNPLANNED"/>
    <x v="0"/>
    <d v="1899-12-30T18:59:00"/>
    <x v="1"/>
  </r>
  <r>
    <n v="5053"/>
    <x v="10"/>
    <n v="11115271542608"/>
    <x v="1800"/>
    <d v="2022-06-09T00:35:00"/>
    <d v="1899-12-30T00:55:00"/>
    <n v="327.27272726580009"/>
    <s v="UNPLANNED"/>
    <x v="0"/>
    <d v="1899-12-30T23:40:00"/>
    <x v="2"/>
  </r>
  <r>
    <n v="5054"/>
    <x v="10"/>
    <n v="11115271542607"/>
    <x v="1800"/>
    <d v="2022-06-09T00:35:00"/>
    <d v="1899-12-30T00:55:00"/>
    <n v="327.27272726580009"/>
    <s v="UNPLANNED"/>
    <x v="0"/>
    <d v="1899-12-30T23:40:00"/>
    <x v="2"/>
  </r>
  <r>
    <n v="5055"/>
    <x v="13"/>
    <n v="3115270306800"/>
    <x v="1801"/>
    <d v="2022-06-09T11:00:00"/>
    <d v="1899-12-30T00:45:00"/>
    <n v="400"/>
    <s v="UNPLANNED"/>
    <x v="1"/>
    <d v="1899-12-30T10:15:00"/>
    <x v="0"/>
  </r>
  <r>
    <n v="5056"/>
    <x v="1"/>
    <n v="6115271720829"/>
    <x v="1802"/>
    <d v="2022-06-09T14:03:00"/>
    <d v="1899-12-30T00:37:00"/>
    <n v="486.48648641607605"/>
    <s v="UNPLANNED"/>
    <x v="1"/>
    <d v="1899-12-30T13:26:00"/>
    <x v="0"/>
  </r>
  <r>
    <n v="5057"/>
    <x v="1"/>
    <n v="6115271720820"/>
    <x v="1802"/>
    <d v="2022-06-09T14:03:00"/>
    <d v="1899-12-30T00:37:00"/>
    <n v="486.48648641607605"/>
    <s v="UNPLANNED"/>
    <x v="0"/>
    <d v="1899-12-30T13:26:00"/>
    <x v="0"/>
  </r>
  <r>
    <n v="5058"/>
    <x v="6"/>
    <n v="9115271954307"/>
    <x v="1803"/>
    <d v="2022-06-09T17:45:00"/>
    <d v="1899-12-30T00:33:00"/>
    <n v="545.45454540836408"/>
    <s v="UNPLANNED"/>
    <x v="0"/>
    <d v="1899-12-30T17:12:00"/>
    <x v="1"/>
  </r>
  <r>
    <n v="5059"/>
    <x v="6"/>
    <n v="9115271954300"/>
    <x v="1803"/>
    <d v="2022-06-09T17:45:00"/>
    <d v="1899-12-30T00:33:00"/>
    <n v="545.45454540836408"/>
    <s v="UNPLANNED"/>
    <x v="0"/>
    <d v="1899-12-30T17:12:00"/>
    <x v="1"/>
  </r>
  <r>
    <n v="5060"/>
    <x v="12"/>
    <n v="14115271676909"/>
    <x v="1804"/>
    <d v="2022-06-09T22:40:00"/>
    <d v="1899-12-30T01:30:00"/>
    <n v="200"/>
    <s v="UNPLANNED"/>
    <x v="0"/>
    <d v="1899-12-30T21:10:00"/>
    <x v="1"/>
  </r>
  <r>
    <n v="5061"/>
    <x v="12"/>
    <n v="14115271676907"/>
    <x v="1804"/>
    <d v="2022-06-09T22:40:00"/>
    <d v="1899-12-30T01:30:00"/>
    <n v="200"/>
    <s v="UNPLANNED"/>
    <x v="3"/>
    <d v="1899-12-30T21:10:00"/>
    <x v="1"/>
  </r>
  <r>
    <n v="5062"/>
    <x v="12"/>
    <n v="14115271676903"/>
    <x v="1804"/>
    <d v="2022-06-09T22:40:00"/>
    <d v="1899-12-30T01:30:00"/>
    <n v="200"/>
    <s v="UNPLANNED"/>
    <x v="0"/>
    <d v="1899-12-30T21:10:00"/>
    <x v="1"/>
  </r>
  <r>
    <n v="5063"/>
    <x v="12"/>
    <n v="14115271676901"/>
    <x v="1804"/>
    <d v="2022-06-09T22:40:00"/>
    <d v="1899-12-30T01:30:00"/>
    <n v="200"/>
    <s v="UNPLANNED"/>
    <x v="1"/>
    <d v="1899-12-30T21:10:00"/>
    <x v="1"/>
  </r>
  <r>
    <n v="5064"/>
    <x v="5"/>
    <n v="13115271601512"/>
    <x v="1805"/>
    <d v="2022-06-10T03:30:00"/>
    <d v="1899-12-30T04:45:00"/>
    <n v="63.157894735294192"/>
    <s v="UNPLANNED"/>
    <x v="0"/>
    <d v="1899-12-30T22:45:00"/>
    <x v="2"/>
  </r>
  <r>
    <n v="5065"/>
    <x v="5"/>
    <n v="13115271601509"/>
    <x v="1805"/>
    <d v="2022-06-10T03:30:00"/>
    <d v="1899-12-30T04:45:00"/>
    <n v="63.157894735294192"/>
    <s v="UNPLANNED"/>
    <x v="0"/>
    <d v="1899-12-30T22:45:00"/>
    <x v="2"/>
  </r>
  <r>
    <n v="5066"/>
    <x v="5"/>
    <n v="13115271601508"/>
    <x v="1805"/>
    <d v="2022-06-10T03:30:00"/>
    <d v="1899-12-30T04:45:00"/>
    <n v="63.157894735294192"/>
    <s v="UNPLANNED"/>
    <x v="1"/>
    <d v="1899-12-30T22:45:00"/>
    <x v="2"/>
  </r>
  <r>
    <n v="5067"/>
    <x v="5"/>
    <n v="13115271601507"/>
    <x v="1805"/>
    <d v="2022-06-10T03:30:00"/>
    <d v="1899-12-30T04:45:00"/>
    <n v="63.157894735294192"/>
    <s v="UNPLANNED"/>
    <x v="0"/>
    <d v="1899-12-30T22:45:00"/>
    <x v="2"/>
  </r>
  <r>
    <n v="5068"/>
    <x v="5"/>
    <n v="13115271601502"/>
    <x v="1805"/>
    <d v="2022-06-10T03:30:00"/>
    <d v="1899-12-30T04:45:00"/>
    <n v="63.157894735294192"/>
    <s v="UNPLANNED"/>
    <x v="0"/>
    <d v="1899-12-30T22:45:00"/>
    <x v="2"/>
  </r>
  <r>
    <n v="5069"/>
    <x v="5"/>
    <n v="13115271601500"/>
    <x v="1805"/>
    <d v="2022-06-10T03:30:00"/>
    <d v="1899-12-30T04:45:00"/>
    <n v="63.157894735294192"/>
    <s v="UNPLANNED"/>
    <x v="1"/>
    <d v="1899-12-30T22:45:00"/>
    <x v="2"/>
  </r>
  <r>
    <n v="5070"/>
    <x v="5"/>
    <n v="13115271600709"/>
    <x v="1805"/>
    <d v="2022-06-10T03:30:00"/>
    <d v="1899-12-30T04:45:00"/>
    <n v="63.157894735294192"/>
    <s v="UNPLANNED"/>
    <x v="0"/>
    <d v="1899-12-30T22:45:00"/>
    <x v="2"/>
  </r>
  <r>
    <n v="5071"/>
    <x v="5"/>
    <n v="13115271600707"/>
    <x v="1805"/>
    <d v="2022-06-10T03:30:00"/>
    <d v="1899-12-30T04:45:00"/>
    <n v="63.157894735294192"/>
    <s v="UNPLANNED"/>
    <x v="0"/>
    <d v="1899-12-30T22:45:00"/>
    <x v="2"/>
  </r>
  <r>
    <n v="5072"/>
    <x v="5"/>
    <n v="13115271600707"/>
    <x v="1805"/>
    <d v="2022-06-10T03:30:00"/>
    <d v="1899-12-30T04:45:00"/>
    <n v="63.157894735294192"/>
    <s v="UNPLANNED"/>
    <x v="0"/>
    <d v="1899-12-30T22:45:00"/>
    <x v="2"/>
  </r>
  <r>
    <n v="5073"/>
    <x v="5"/>
    <n v="13115271600705"/>
    <x v="1805"/>
    <d v="2022-06-10T03:30:00"/>
    <d v="1899-12-30T04:45:00"/>
    <n v="63.157894735294192"/>
    <s v="UNPLANNED"/>
    <x v="0"/>
    <d v="1899-12-30T22:45:00"/>
    <x v="2"/>
  </r>
  <r>
    <n v="5074"/>
    <x v="5"/>
    <n v="13115271600702"/>
    <x v="1805"/>
    <d v="2022-06-10T03:30:00"/>
    <d v="1899-12-30T04:45:00"/>
    <n v="63.157894735294192"/>
    <s v="UNPLANNED"/>
    <x v="0"/>
    <d v="1899-12-30T22:45:00"/>
    <x v="2"/>
  </r>
  <r>
    <n v="5075"/>
    <x v="5"/>
    <n v="13115271600701"/>
    <x v="1805"/>
    <d v="2022-06-10T03:30:00"/>
    <d v="1899-12-30T04:45:00"/>
    <n v="63.157894735294192"/>
    <s v="UNPLANNED"/>
    <x v="0"/>
    <d v="1899-12-30T22:45:00"/>
    <x v="2"/>
  </r>
  <r>
    <n v="5076"/>
    <x v="5"/>
    <n v="13115271600700"/>
    <x v="1805"/>
    <d v="2022-06-10T03:30:00"/>
    <d v="1899-12-30T04:45:00"/>
    <n v="63.157894735294192"/>
    <s v="UNPLANNED"/>
    <x v="0"/>
    <d v="1899-12-30T22:45:00"/>
    <x v="2"/>
  </r>
  <r>
    <n v="5077"/>
    <x v="2"/>
    <n v="12115271565118"/>
    <x v="1805"/>
    <d v="2022-06-10T03:30:00"/>
    <d v="1899-12-30T04:45:00"/>
    <n v="63.157894735294192"/>
    <s v="UNPLANNED"/>
    <x v="1"/>
    <d v="1899-12-30T22:45:00"/>
    <x v="2"/>
  </r>
  <r>
    <n v="5078"/>
    <x v="2"/>
    <n v="12115271565118"/>
    <x v="1805"/>
    <d v="2022-06-10T03:30:00"/>
    <d v="1899-12-30T04:45:00"/>
    <n v="63.157894735294192"/>
    <s v="UNPLANNED"/>
    <x v="0"/>
    <d v="1899-12-30T22:45:00"/>
    <x v="2"/>
  </r>
  <r>
    <n v="5079"/>
    <x v="2"/>
    <n v="12115271565116"/>
    <x v="1805"/>
    <d v="2022-06-10T03:30:00"/>
    <d v="1899-12-30T04:45:00"/>
    <n v="63.157894735294192"/>
    <s v="UNPLANNED"/>
    <x v="2"/>
    <d v="1899-12-30T22:45:00"/>
    <x v="2"/>
  </r>
  <r>
    <n v="5080"/>
    <x v="2"/>
    <n v="12115271565116"/>
    <x v="1805"/>
    <d v="2022-06-10T03:30:00"/>
    <d v="1899-12-30T04:45:00"/>
    <n v="63.157894735294192"/>
    <s v="UNPLANNED"/>
    <x v="2"/>
    <d v="1899-12-30T22:45:00"/>
    <x v="2"/>
  </r>
  <r>
    <n v="5081"/>
    <x v="2"/>
    <n v="12115271565114"/>
    <x v="1805"/>
    <d v="2022-06-10T03:30:00"/>
    <d v="1899-12-30T04:45:00"/>
    <n v="63.157894735294192"/>
    <s v="UNPLANNED"/>
    <x v="0"/>
    <d v="1899-12-30T22:45:00"/>
    <x v="2"/>
  </r>
  <r>
    <n v="5082"/>
    <x v="2"/>
    <n v="12115271565113"/>
    <x v="1805"/>
    <d v="2022-06-10T03:30:00"/>
    <d v="1899-12-30T04:45:00"/>
    <n v="63.157894735294192"/>
    <s v="UNPLANNED"/>
    <x v="0"/>
    <d v="1899-12-30T22:45:00"/>
    <x v="2"/>
  </r>
  <r>
    <n v="5083"/>
    <x v="2"/>
    <n v="12115271565112"/>
    <x v="1805"/>
    <d v="2022-06-10T03:30:00"/>
    <d v="1899-12-30T04:45:00"/>
    <n v="63.157894735294192"/>
    <s v="UNPLANNED"/>
    <x v="0"/>
    <d v="1899-12-30T22:45:00"/>
    <x v="2"/>
  </r>
  <r>
    <n v="5084"/>
    <x v="2"/>
    <n v="12115271565110"/>
    <x v="1805"/>
    <d v="2022-06-10T03:30:00"/>
    <d v="1899-12-30T04:45:00"/>
    <n v="63.157894735294192"/>
    <s v="UNPLANNED"/>
    <x v="0"/>
    <d v="1899-12-30T22:45:00"/>
    <x v="2"/>
  </r>
  <r>
    <n v="5085"/>
    <x v="2"/>
    <n v="12115271571094"/>
    <x v="1806"/>
    <d v="2022-06-10T09:57:00"/>
    <d v="1899-12-30T01:33:00"/>
    <n v="193.54838709822789"/>
    <s v="UNPLANNED"/>
    <x v="0"/>
    <d v="1899-12-30T08:24:00"/>
    <x v="0"/>
  </r>
  <r>
    <n v="5086"/>
    <x v="10"/>
    <n v="11115271547105"/>
    <x v="1806"/>
    <d v="2022-06-10T09:57:00"/>
    <d v="1899-12-30T01:33:00"/>
    <n v="193.54838709822789"/>
    <s v="UNPLANNED"/>
    <x v="0"/>
    <d v="1899-12-30T08:24:00"/>
    <x v="0"/>
  </r>
  <r>
    <n v="5087"/>
    <x v="11"/>
    <n v="10115271963200"/>
    <x v="1806"/>
    <d v="2022-06-10T09:57:00"/>
    <d v="1899-12-30T01:33:00"/>
    <n v="193.54838709822789"/>
    <s v="UNPLANNED"/>
    <x v="0"/>
    <d v="1899-12-30T08:24:00"/>
    <x v="0"/>
  </r>
  <r>
    <n v="5088"/>
    <x v="11"/>
    <n v="10115271450505"/>
    <x v="1807"/>
    <d v="2022-06-10T14:30:00"/>
    <d v="1899-12-30T01:30:00"/>
    <n v="200"/>
    <s v="UNPLANNED"/>
    <x v="1"/>
    <d v="1899-12-30T13:00:00"/>
    <x v="0"/>
  </r>
  <r>
    <n v="5089"/>
    <x v="11"/>
    <n v="10115271450501"/>
    <x v="1807"/>
    <d v="2022-06-10T14:30:00"/>
    <d v="1899-12-30T01:30:00"/>
    <n v="200"/>
    <s v="UNPLANNED"/>
    <x v="1"/>
    <d v="1899-12-30T13:00:00"/>
    <x v="0"/>
  </r>
  <r>
    <n v="5090"/>
    <x v="7"/>
    <n v="7115271759000"/>
    <x v="1808"/>
    <d v="2022-06-10T14:30:00"/>
    <d v="1899-12-30T03:30:00"/>
    <n v="85.714285717136704"/>
    <s v="UNPLANNED"/>
    <x v="0"/>
    <d v="1899-12-30T11:00:00"/>
    <x v="0"/>
  </r>
  <r>
    <n v="5091"/>
    <x v="1"/>
    <n v="6115271723903"/>
    <x v="1808"/>
    <d v="2022-06-10T14:30:00"/>
    <d v="1899-12-30T03:30:00"/>
    <n v="85.714285717136704"/>
    <s v="UNPLANNED"/>
    <x v="0"/>
    <d v="1899-12-30T11:00:00"/>
    <x v="0"/>
  </r>
  <r>
    <n v="5092"/>
    <x v="13"/>
    <n v="3115270441807"/>
    <x v="1807"/>
    <d v="2022-06-10T14:30:00"/>
    <d v="1899-12-30T01:30:00"/>
    <n v="200"/>
    <s v="UNPLANNED"/>
    <x v="0"/>
    <d v="1899-12-30T13:00:00"/>
    <x v="0"/>
  </r>
  <r>
    <n v="5093"/>
    <x v="13"/>
    <n v="3115270441800"/>
    <x v="1807"/>
    <d v="2022-06-10T14:30:00"/>
    <d v="1899-12-30T01:30:00"/>
    <n v="200"/>
    <s v="UNPLANNED"/>
    <x v="0"/>
    <d v="1899-12-30T13:00:00"/>
    <x v="0"/>
  </r>
  <r>
    <n v="5094"/>
    <x v="10"/>
    <n v="11115271554304"/>
    <x v="1809"/>
    <d v="2022-06-10T18:10:00"/>
    <d v="1899-12-30T02:20:00"/>
    <n v="128.57142856608297"/>
    <s v="UNPLANNED"/>
    <x v="2"/>
    <d v="1899-12-30T15:50:00"/>
    <x v="1"/>
  </r>
  <r>
    <n v="5095"/>
    <x v="10"/>
    <n v="11115271554303"/>
    <x v="1809"/>
    <d v="2022-06-10T18:10:00"/>
    <d v="1899-12-30T02:20:00"/>
    <n v="128.57142856608297"/>
    <s v="UNPLANNED"/>
    <x v="0"/>
    <d v="1899-12-30T15:50:00"/>
    <x v="1"/>
  </r>
  <r>
    <n v="5096"/>
    <x v="1"/>
    <n v="6115271722208"/>
    <x v="1809"/>
    <d v="2022-06-10T18:10:00"/>
    <d v="1899-12-30T02:20:00"/>
    <n v="128.57142856608297"/>
    <s v="UNPLANNED"/>
    <x v="0"/>
    <d v="1899-12-30T15:50:00"/>
    <x v="1"/>
  </r>
  <r>
    <n v="5097"/>
    <x v="1"/>
    <n v="6115271722200"/>
    <x v="1809"/>
    <d v="2022-06-10T18:10:00"/>
    <d v="1899-12-30T02:20:00"/>
    <n v="128.57142856608297"/>
    <s v="UNPLANNED"/>
    <x v="1"/>
    <d v="1899-12-30T15:50:00"/>
    <x v="1"/>
  </r>
  <r>
    <n v="5098"/>
    <x v="13"/>
    <n v="3115270403907"/>
    <x v="1809"/>
    <d v="2022-06-10T18:10:00"/>
    <d v="1899-12-30T02:20:00"/>
    <n v="128.57142856608297"/>
    <s v="UNPLANNED"/>
    <x v="3"/>
    <d v="1899-12-30T15:50:00"/>
    <x v="1"/>
  </r>
  <r>
    <n v="5099"/>
    <x v="13"/>
    <n v="3115270403900"/>
    <x v="1809"/>
    <d v="2022-06-10T18:10:00"/>
    <d v="1899-12-30T02:20:00"/>
    <n v="128.57142856608297"/>
    <s v="UNPLANNED"/>
    <x v="1"/>
    <d v="1899-12-30T15:50:00"/>
    <x v="1"/>
  </r>
  <r>
    <n v="5100"/>
    <x v="7"/>
    <n v="7115271755016"/>
    <x v="1810"/>
    <d v="2022-06-10T22:00:00"/>
    <d v="1899-12-30T01:00:00"/>
    <n v="300.0000000174623"/>
    <s v="UNPLANNED"/>
    <x v="0"/>
    <d v="1899-12-30T21:00:00"/>
    <x v="1"/>
  </r>
  <r>
    <n v="5101"/>
    <x v="7"/>
    <n v="7115271755011"/>
    <x v="1810"/>
    <d v="2022-06-10T22:00:00"/>
    <d v="1899-12-30T01:00:00"/>
    <n v="300.0000000174623"/>
    <s v="UNPLANNED"/>
    <x v="0"/>
    <d v="1899-12-30T21:00:00"/>
    <x v="1"/>
  </r>
  <r>
    <n v="5102"/>
    <x v="7"/>
    <n v="7115271755008"/>
    <x v="1810"/>
    <d v="2022-06-10T22:00:00"/>
    <d v="1899-12-30T01:00:00"/>
    <n v="300.0000000174623"/>
    <s v="UNPLANNED"/>
    <x v="0"/>
    <d v="1899-12-30T21:00:00"/>
    <x v="1"/>
  </r>
  <r>
    <n v="5103"/>
    <x v="7"/>
    <n v="7115271755004"/>
    <x v="1810"/>
    <d v="2022-06-10T22:00:00"/>
    <d v="1899-12-30T01:00:00"/>
    <n v="300.0000000174623"/>
    <s v="UNPLANNED"/>
    <x v="0"/>
    <d v="1899-12-30T21:00:00"/>
    <x v="1"/>
  </r>
  <r>
    <n v="5104"/>
    <x v="7"/>
    <n v="7115271755002"/>
    <x v="1810"/>
    <d v="2022-06-10T22:00:00"/>
    <d v="1899-12-30T01:00:00"/>
    <n v="300.0000000174623"/>
    <s v="UNPLANNED"/>
    <x v="1"/>
    <d v="1899-12-30T21:00:00"/>
    <x v="1"/>
  </r>
  <r>
    <n v="5105"/>
    <x v="7"/>
    <n v="7115271755001"/>
    <x v="1810"/>
    <d v="2022-06-10T22:00:00"/>
    <d v="1899-12-30T01:00:00"/>
    <n v="300.0000000174623"/>
    <s v="UNPLANNED"/>
    <x v="1"/>
    <d v="1899-12-30T21:00:00"/>
    <x v="1"/>
  </r>
  <r>
    <n v="5106"/>
    <x v="8"/>
    <n v="4115270850404"/>
    <x v="1810"/>
    <d v="2022-06-10T22:00:00"/>
    <d v="1899-12-30T01:00:00"/>
    <n v="300.0000000174623"/>
    <s v="UNPLANNED"/>
    <x v="0"/>
    <d v="1899-12-30T21:00:00"/>
    <x v="1"/>
  </r>
  <r>
    <n v="5107"/>
    <x v="8"/>
    <n v="4115270850400"/>
    <x v="1810"/>
    <d v="2022-06-10T22:00:00"/>
    <d v="1899-12-30T01:00:00"/>
    <n v="300.0000000174623"/>
    <s v="UNPLANNED"/>
    <x v="1"/>
    <d v="1899-12-30T21:00:00"/>
    <x v="1"/>
  </r>
  <r>
    <n v="5108"/>
    <x v="2"/>
    <n v="12115271569219"/>
    <x v="1811"/>
    <d v="2022-06-10T23:25:00"/>
    <d v="1899-12-30T00:55:00"/>
    <n v="327.27272726580009"/>
    <s v="UNPLANNED"/>
    <x v="1"/>
    <d v="1899-12-30T22:30:00"/>
    <x v="2"/>
  </r>
  <r>
    <n v="5109"/>
    <x v="2"/>
    <n v="12115271569211"/>
    <x v="1811"/>
    <d v="2022-06-10T23:25:00"/>
    <d v="1899-12-30T00:55:00"/>
    <n v="327.27272726580009"/>
    <s v="UNPLANNED"/>
    <x v="2"/>
    <d v="1899-12-30T22:30:00"/>
    <x v="2"/>
  </r>
  <r>
    <n v="5110"/>
    <x v="2"/>
    <n v="12115271569208"/>
    <x v="1811"/>
    <d v="2022-06-10T23:25:00"/>
    <d v="1899-12-30T00:55:00"/>
    <n v="327.27272726580009"/>
    <s v="UNPLANNED"/>
    <x v="1"/>
    <d v="1899-12-30T22:30:00"/>
    <x v="2"/>
  </r>
  <r>
    <n v="5111"/>
    <x v="2"/>
    <n v="12115271569202"/>
    <x v="1811"/>
    <d v="2022-06-10T23:25:00"/>
    <d v="1899-12-30T00:55:00"/>
    <n v="327.27272726580009"/>
    <s v="UNPLANNED"/>
    <x v="1"/>
    <d v="1899-12-30T22:30:00"/>
    <x v="2"/>
  </r>
  <r>
    <n v="5112"/>
    <x v="2"/>
    <n v="12115271569201"/>
    <x v="1811"/>
    <d v="2022-06-10T23:25:00"/>
    <d v="1899-12-30T00:55:00"/>
    <n v="327.27272726580009"/>
    <s v="UNPLANNED"/>
    <x v="0"/>
    <d v="1899-12-30T22:30:00"/>
    <x v="2"/>
  </r>
  <r>
    <n v="5113"/>
    <x v="2"/>
    <n v="12115271569200"/>
    <x v="1811"/>
    <d v="2022-06-10T23:25:00"/>
    <d v="1899-12-30T00:55:00"/>
    <n v="327.27272726580009"/>
    <s v="UNPLANNED"/>
    <x v="0"/>
    <d v="1899-12-30T22:30:00"/>
    <x v="2"/>
  </r>
  <r>
    <n v="5114"/>
    <x v="12"/>
    <n v="14115271690224"/>
    <x v="1812"/>
    <d v="2022-06-11T13:55:00"/>
    <d v="1899-12-30T04:05:00"/>
    <n v="73.46938775440384"/>
    <s v="UNPLANNED"/>
    <x v="1"/>
    <d v="1899-12-30T09:50:00"/>
    <x v="0"/>
  </r>
  <r>
    <n v="5115"/>
    <x v="12"/>
    <n v="14115271690220"/>
    <x v="1812"/>
    <d v="2022-06-11T13:55:00"/>
    <d v="1899-12-30T04:05:00"/>
    <n v="73.46938775440384"/>
    <s v="UNPLANNED"/>
    <x v="0"/>
    <d v="1899-12-30T09:50:00"/>
    <x v="0"/>
  </r>
  <r>
    <n v="5116"/>
    <x v="10"/>
    <n v="11115271508106"/>
    <x v="1813"/>
    <d v="2022-06-11T13:55:00"/>
    <d v="1899-12-30T01:25:00"/>
    <n v="211.76470589685451"/>
    <s v="UNPLANNED"/>
    <x v="0"/>
    <d v="1899-12-30T12:30:00"/>
    <x v="0"/>
  </r>
  <r>
    <n v="5117"/>
    <x v="10"/>
    <n v="11115271508104"/>
    <x v="1813"/>
    <d v="2022-06-11T13:55:00"/>
    <d v="1899-12-30T01:25:00"/>
    <n v="211.76470589685451"/>
    <s v="UNPLANNED"/>
    <x v="0"/>
    <d v="1899-12-30T12:30:00"/>
    <x v="0"/>
  </r>
  <r>
    <n v="5118"/>
    <x v="6"/>
    <n v="9115271911706"/>
    <x v="1814"/>
    <d v="2022-06-11T13:55:00"/>
    <d v="1899-12-30T04:45:00"/>
    <n v="63.157894737616061"/>
    <s v="UNPLANNED"/>
    <x v="0"/>
    <d v="1899-12-30T09:10:00"/>
    <x v="0"/>
  </r>
  <r>
    <n v="5119"/>
    <x v="6"/>
    <n v="9115271911700"/>
    <x v="1814"/>
    <d v="2022-06-11T13:55:00"/>
    <d v="1899-12-30T04:45:00"/>
    <n v="63.157894737616061"/>
    <s v="UNPLANNED"/>
    <x v="0"/>
    <d v="1899-12-30T09:10:00"/>
    <x v="0"/>
  </r>
  <r>
    <n v="5120"/>
    <x v="3"/>
    <n v="8115271855804"/>
    <x v="1815"/>
    <d v="2022-06-11T13:55:00"/>
    <d v="1899-12-30T02:05:00"/>
    <n v="144.00000000134111"/>
    <s v="UNPLANNED"/>
    <x v="1"/>
    <d v="1899-12-30T11:50:00"/>
    <x v="0"/>
  </r>
  <r>
    <n v="5121"/>
    <x v="3"/>
    <n v="8115271855800"/>
    <x v="1815"/>
    <d v="2022-06-11T13:55:00"/>
    <d v="1899-12-30T02:05:00"/>
    <n v="144.00000000134111"/>
    <s v="UNPLANNED"/>
    <x v="0"/>
    <d v="1899-12-30T11:50:00"/>
    <x v="0"/>
  </r>
  <r>
    <n v="5122"/>
    <x v="3"/>
    <n v="8115271825809"/>
    <x v="1814"/>
    <d v="2022-06-11T13:55:00"/>
    <d v="1899-12-30T04:45:00"/>
    <n v="63.157894737616061"/>
    <s v="UNPLANNED"/>
    <x v="0"/>
    <d v="1899-12-30T09:10:00"/>
    <x v="0"/>
  </r>
  <r>
    <n v="5123"/>
    <x v="3"/>
    <n v="8115271825800"/>
    <x v="1814"/>
    <d v="2022-06-11T13:55:00"/>
    <d v="1899-12-30T04:45:00"/>
    <n v="63.157894737616061"/>
    <s v="UNPLANNED"/>
    <x v="0"/>
    <d v="1899-12-30T09:10:00"/>
    <x v="0"/>
  </r>
  <r>
    <n v="5124"/>
    <x v="1"/>
    <n v="6115271699101"/>
    <x v="1813"/>
    <d v="2022-06-11T13:55:00"/>
    <d v="1899-12-30T01:25:00"/>
    <n v="211.76470589685451"/>
    <s v="UNPLANNED"/>
    <x v="1"/>
    <d v="1899-12-30T12:30:00"/>
    <x v="0"/>
  </r>
  <r>
    <n v="5125"/>
    <x v="1"/>
    <n v="6115271699100"/>
    <x v="1813"/>
    <d v="2022-06-11T13:55:00"/>
    <d v="1899-12-30T01:25:00"/>
    <n v="211.76470589685451"/>
    <s v="UNPLANNED"/>
    <x v="0"/>
    <d v="1899-12-30T12:30:00"/>
    <x v="0"/>
  </r>
  <r>
    <n v="5126"/>
    <x v="14"/>
    <n v="1115270107501"/>
    <x v="1814"/>
    <d v="2022-06-11T13:55:00"/>
    <d v="1899-12-30T04:45:00"/>
    <n v="63.157894737616061"/>
    <s v="UNPLANNED"/>
    <x v="1"/>
    <d v="1899-12-30T09:10:00"/>
    <x v="0"/>
  </r>
  <r>
    <n v="5127"/>
    <x v="14"/>
    <n v="1115270107500"/>
    <x v="1814"/>
    <d v="2022-06-11T13:55:00"/>
    <d v="1899-12-30T04:45:00"/>
    <n v="63.157894737616061"/>
    <s v="UNPLANNED"/>
    <x v="0"/>
    <d v="1899-12-30T09:10:00"/>
    <x v="0"/>
  </r>
  <r>
    <n v="5128"/>
    <x v="4"/>
    <n v="15115271780900"/>
    <x v="1816"/>
    <d v="2022-06-11T21:55:00"/>
    <d v="1899-12-30T05:10:00"/>
    <n v="58.064516128160051"/>
    <s v="UNPLANNED"/>
    <x v="0"/>
    <d v="1899-12-30T16:45:00"/>
    <x v="1"/>
  </r>
  <r>
    <n v="5129"/>
    <x v="5"/>
    <n v="13115271592301"/>
    <x v="1817"/>
    <d v="2022-06-11T21:55:00"/>
    <d v="1899-12-30T01:45:00"/>
    <n v="171.42857143427341"/>
    <s v="UNPLANNED"/>
    <x v="0"/>
    <d v="1899-12-30T20:10:00"/>
    <x v="1"/>
  </r>
  <r>
    <n v="5130"/>
    <x v="2"/>
    <n v="12115271569813"/>
    <x v="1816"/>
    <d v="2022-06-11T21:55:00"/>
    <d v="1899-12-30T05:10:00"/>
    <n v="58.064516128160051"/>
    <s v="UNPLANNED"/>
    <x v="0"/>
    <d v="1899-12-30T16:45:00"/>
    <x v="1"/>
  </r>
  <r>
    <n v="5131"/>
    <x v="10"/>
    <n v="11115271524400"/>
    <x v="1818"/>
    <d v="2022-06-11T21:55:00"/>
    <d v="1899-12-30T01:25:00"/>
    <n v="211.7647058707517"/>
    <s v="UNPLANNED"/>
    <x v="1"/>
    <d v="1899-12-30T20:30:00"/>
    <x v="1"/>
  </r>
  <r>
    <n v="5132"/>
    <x v="6"/>
    <n v="9115271931900"/>
    <x v="1817"/>
    <d v="2022-06-11T21:55:00"/>
    <d v="1899-12-30T01:45:00"/>
    <n v="171.42857143427341"/>
    <s v="UNPLANNED"/>
    <x v="0"/>
    <d v="1899-12-30T20:10:00"/>
    <x v="1"/>
  </r>
  <r>
    <n v="5133"/>
    <x v="3"/>
    <n v="8115271830907"/>
    <x v="1816"/>
    <d v="2022-06-11T21:55:00"/>
    <d v="1899-12-30T05:10:00"/>
    <n v="58.064516128160051"/>
    <s v="UNPLANNED"/>
    <x v="1"/>
    <d v="1899-12-30T16:45:00"/>
    <x v="1"/>
  </r>
  <r>
    <n v="5134"/>
    <x v="3"/>
    <n v="8115271830900"/>
    <x v="1816"/>
    <d v="2022-06-11T21:55:00"/>
    <d v="1899-12-30T05:10:00"/>
    <n v="58.064516128160051"/>
    <s v="UNPLANNED"/>
    <x v="0"/>
    <d v="1899-12-30T16:45:00"/>
    <x v="1"/>
  </r>
  <r>
    <n v="5135"/>
    <x v="13"/>
    <n v="3115270321602"/>
    <x v="1818"/>
    <d v="2022-06-11T21:55:00"/>
    <d v="1899-12-30T01:25:00"/>
    <n v="211.7647058707517"/>
    <s v="UNPLANNED"/>
    <x v="0"/>
    <d v="1899-12-30T20:30:00"/>
    <x v="1"/>
  </r>
  <r>
    <n v="5136"/>
    <x v="14"/>
    <n v="1115270035400"/>
    <x v="1818"/>
    <d v="2022-06-11T21:55:00"/>
    <d v="1899-12-30T01:25:00"/>
    <n v="211.7647058707517"/>
    <s v="UNPLANNED"/>
    <x v="1"/>
    <d v="1899-12-30T20:30:00"/>
    <x v="1"/>
  </r>
  <r>
    <n v="5137"/>
    <x v="14"/>
    <n v="1115270034908"/>
    <x v="1816"/>
    <d v="2022-06-11T21:55:00"/>
    <d v="1899-12-30T05:10:00"/>
    <n v="58.064516128160051"/>
    <s v="UNPLANNED"/>
    <x v="1"/>
    <d v="1899-12-30T16:45:00"/>
    <x v="1"/>
  </r>
  <r>
    <n v="5138"/>
    <x v="14"/>
    <n v="1115270034900"/>
    <x v="1816"/>
    <d v="2022-06-11T21:55:00"/>
    <d v="1899-12-30T05:10:00"/>
    <n v="58.064516128160051"/>
    <s v="UNPLANNED"/>
    <x v="1"/>
    <d v="1899-12-30T16:45:00"/>
    <x v="1"/>
  </r>
  <r>
    <n v="5139"/>
    <x v="12"/>
    <n v="14115271680500"/>
    <x v="1819"/>
    <d v="2022-06-12T01:10:00"/>
    <d v="1899-12-30T01:40:00"/>
    <n v="179.99999999790452"/>
    <s v="UNPLANNED"/>
    <x v="1"/>
    <d v="1899-12-30T23:30:00"/>
    <x v="2"/>
  </r>
  <r>
    <n v="5140"/>
    <x v="2"/>
    <n v="12115271574508"/>
    <x v="1819"/>
    <d v="2022-06-12T01:10:00"/>
    <d v="1899-12-30T01:40:00"/>
    <n v="179.99999999790452"/>
    <s v="UNPLANNED"/>
    <x v="1"/>
    <d v="1899-12-30T23:30:00"/>
    <x v="2"/>
  </r>
  <r>
    <n v="5141"/>
    <x v="13"/>
    <n v="3115270336103"/>
    <x v="1820"/>
    <d v="2022-06-12T09:00:00"/>
    <d v="1899-12-30T01:58:00"/>
    <n v="152.54237288526878"/>
    <s v="UNPLANNED"/>
    <x v="0"/>
    <d v="1899-12-30T07:02:00"/>
    <x v="0"/>
  </r>
  <r>
    <n v="5142"/>
    <x v="13"/>
    <n v="3115270336100"/>
    <x v="1820"/>
    <d v="2022-06-12T09:00:00"/>
    <d v="1899-12-30T01:58:00"/>
    <n v="152.54237288526878"/>
    <s v="UNPLANNED"/>
    <x v="1"/>
    <d v="1899-12-30T07:02:00"/>
    <x v="0"/>
  </r>
  <r>
    <n v="5143"/>
    <x v="9"/>
    <n v="2115270221508"/>
    <x v="1820"/>
    <d v="2022-06-12T09:00:00"/>
    <d v="1899-12-30T01:58:00"/>
    <n v="152.54237288526878"/>
    <s v="UNPLANNED"/>
    <x v="0"/>
    <d v="1899-12-30T07:02:00"/>
    <x v="0"/>
  </r>
  <r>
    <n v="5144"/>
    <x v="9"/>
    <n v="2115270221502"/>
    <x v="1820"/>
    <d v="2022-06-12T09:00:00"/>
    <d v="1899-12-30T01:58:00"/>
    <n v="152.54237288526878"/>
    <s v="UNPLANNED"/>
    <x v="1"/>
    <d v="1899-12-30T07:02:00"/>
    <x v="0"/>
  </r>
  <r>
    <n v="5145"/>
    <x v="9"/>
    <n v="2115270221500"/>
    <x v="1820"/>
    <d v="2022-06-12T09:00:00"/>
    <d v="1899-12-30T01:58:00"/>
    <n v="152.54237288526878"/>
    <s v="UNPLANNED"/>
    <x v="1"/>
    <d v="1899-12-30T07:02:00"/>
    <x v="0"/>
  </r>
  <r>
    <n v="5146"/>
    <x v="12"/>
    <n v="14115271687637"/>
    <x v="1821"/>
    <d v="2022-06-12T14:26:00"/>
    <d v="1899-12-30T04:11:00"/>
    <n v="71.713147410092475"/>
    <s v="UNPLANNED"/>
    <x v="0"/>
    <d v="1899-12-30T10:15:00"/>
    <x v="0"/>
  </r>
  <r>
    <n v="5147"/>
    <x v="12"/>
    <n v="14115271687633"/>
    <x v="1821"/>
    <d v="2022-06-12T14:26:00"/>
    <d v="1899-12-30T04:11:00"/>
    <n v="71.713147410092475"/>
    <s v="UNPLANNED"/>
    <x v="0"/>
    <d v="1899-12-30T10:15:00"/>
    <x v="0"/>
  </r>
  <r>
    <n v="5148"/>
    <x v="5"/>
    <n v="13115271606009"/>
    <x v="1821"/>
    <d v="2022-06-12T14:26:00"/>
    <d v="1899-12-30T04:11:00"/>
    <n v="71.713147410092475"/>
    <s v="UNPLANNED"/>
    <x v="3"/>
    <d v="1899-12-30T10:15:00"/>
    <x v="0"/>
  </r>
  <r>
    <n v="5149"/>
    <x v="5"/>
    <n v="13115271606005"/>
    <x v="1821"/>
    <d v="2022-06-12T14:26:00"/>
    <d v="1899-12-30T04:11:00"/>
    <n v="71.713147410092475"/>
    <s v="UNPLANNED"/>
    <x v="0"/>
    <d v="1899-12-30T10:15:00"/>
    <x v="0"/>
  </r>
  <r>
    <n v="5150"/>
    <x v="2"/>
    <n v="12115271584408"/>
    <x v="1821"/>
    <d v="2022-06-12T14:26:00"/>
    <d v="1899-12-30T04:11:00"/>
    <n v="71.713147410092475"/>
    <s v="UNPLANNED"/>
    <x v="0"/>
    <d v="1899-12-30T10:15:00"/>
    <x v="0"/>
  </r>
  <r>
    <n v="5151"/>
    <x v="2"/>
    <n v="12115271584406"/>
    <x v="1821"/>
    <d v="2022-06-12T14:26:00"/>
    <d v="1899-12-30T04:11:00"/>
    <n v="71.713147410092475"/>
    <s v="UNPLANNED"/>
    <x v="0"/>
    <d v="1899-12-30T10:15:00"/>
    <x v="0"/>
  </r>
  <r>
    <n v="5152"/>
    <x v="2"/>
    <n v="12115271573309"/>
    <x v="1821"/>
    <d v="2022-06-12T14:26:00"/>
    <d v="1899-12-30T04:11:00"/>
    <n v="71.713147410092475"/>
    <s v="UNPLANNED"/>
    <x v="2"/>
    <d v="1899-12-30T10:15:00"/>
    <x v="0"/>
  </r>
  <r>
    <n v="5153"/>
    <x v="2"/>
    <n v="12115271573306"/>
    <x v="1821"/>
    <d v="2022-06-12T14:26:00"/>
    <d v="1899-12-30T04:11:00"/>
    <n v="71.713147410092475"/>
    <s v="UNPLANNED"/>
    <x v="0"/>
    <d v="1899-12-30T10:15:00"/>
    <x v="0"/>
  </r>
  <r>
    <n v="5154"/>
    <x v="10"/>
    <n v="11115271542802"/>
    <x v="1821"/>
    <d v="2022-06-12T14:26:00"/>
    <d v="1899-12-30T04:11:00"/>
    <n v="71.713147410092475"/>
    <s v="UNPLANNED"/>
    <x v="6"/>
    <d v="1899-12-30T10:15:00"/>
    <x v="0"/>
  </r>
  <r>
    <n v="5155"/>
    <x v="10"/>
    <n v="11115271542801"/>
    <x v="1821"/>
    <d v="2022-06-12T14:26:00"/>
    <d v="1899-12-30T04:11:00"/>
    <n v="71.713147410092475"/>
    <s v="UNPLANNED"/>
    <x v="1"/>
    <d v="1899-12-30T10:15:00"/>
    <x v="0"/>
  </r>
  <r>
    <n v="5156"/>
    <x v="7"/>
    <n v="7115271804514"/>
    <x v="1821"/>
    <d v="2022-06-12T14:26:00"/>
    <d v="1899-12-30T04:11:00"/>
    <n v="71.713147410092475"/>
    <s v="UNPLANNED"/>
    <x v="1"/>
    <d v="1899-12-30T10:15:00"/>
    <x v="0"/>
  </r>
  <r>
    <n v="5157"/>
    <x v="7"/>
    <n v="7115271804514"/>
    <x v="1821"/>
    <d v="2022-06-12T14:26:00"/>
    <d v="1899-12-30T04:11:00"/>
    <n v="71.713147410092475"/>
    <s v="UNPLANNED"/>
    <x v="0"/>
    <d v="1899-12-30T10:15:00"/>
    <x v="0"/>
  </r>
  <r>
    <n v="5158"/>
    <x v="5"/>
    <n v="13115271612117"/>
    <x v="1822"/>
    <d v="2022-06-12T19:20:00"/>
    <d v="1899-12-30T01:00:00"/>
    <n v="300.0000000174623"/>
    <s v="UNPLANNED"/>
    <x v="1"/>
    <d v="1899-12-30T18:20:00"/>
    <x v="1"/>
  </r>
  <r>
    <n v="5159"/>
    <x v="5"/>
    <n v="13115271612110"/>
    <x v="1822"/>
    <d v="2022-06-12T19:20:00"/>
    <d v="1899-12-30T01:00:00"/>
    <n v="300.0000000174623"/>
    <s v="UNPLANNED"/>
    <x v="0"/>
    <d v="1899-12-30T18:20:00"/>
    <x v="1"/>
  </r>
  <r>
    <n v="5160"/>
    <x v="5"/>
    <n v="13115271606006"/>
    <x v="1822"/>
    <d v="2022-06-12T19:20:00"/>
    <d v="1899-12-30T01:00:00"/>
    <n v="300.0000000174623"/>
    <s v="UNPLANNED"/>
    <x v="0"/>
    <d v="1899-12-30T18:20:00"/>
    <x v="1"/>
  </r>
  <r>
    <n v="5161"/>
    <x v="5"/>
    <n v="13115271606005"/>
    <x v="1822"/>
    <d v="2022-06-12T19:20:00"/>
    <d v="1899-12-30T01:00:00"/>
    <n v="300.0000000174623"/>
    <s v="UNPLANNED"/>
    <x v="3"/>
    <d v="1899-12-30T18:20:00"/>
    <x v="1"/>
  </r>
  <r>
    <n v="5162"/>
    <x v="13"/>
    <n v="3115270355900"/>
    <x v="1823"/>
    <d v="2022-06-12T21:05:00"/>
    <d v="1899-12-30T00:35:00"/>
    <n v="514.28571430282022"/>
    <s v="UNPLANNED"/>
    <x v="1"/>
    <d v="1899-12-30T20:30:00"/>
    <x v="1"/>
  </r>
  <r>
    <n v="5163"/>
    <x v="14"/>
    <n v="1115270029200"/>
    <x v="1824"/>
    <d v="2022-06-12T23:20:00"/>
    <d v="1899-12-30T00:50:00"/>
    <n v="360.00000003352761"/>
    <s v="UNPLANNED"/>
    <x v="1"/>
    <d v="1899-12-30T22:30:00"/>
    <x v="2"/>
  </r>
  <r>
    <n v="5164"/>
    <x v="7"/>
    <n v="7115271798219"/>
    <x v="1825"/>
    <d v="2022-06-13T09:30:00"/>
    <d v="1899-12-30T00:40:00"/>
    <n v="449.99999994761311"/>
    <s v="UNPLANNED"/>
    <x v="1"/>
    <d v="1899-12-30T08:50:00"/>
    <x v="0"/>
  </r>
  <r>
    <n v="5165"/>
    <x v="7"/>
    <n v="7115271798212"/>
    <x v="1825"/>
    <d v="2022-06-13T09:30:00"/>
    <d v="1899-12-30T00:40:00"/>
    <n v="449.99999994761311"/>
    <s v="UNPLANNED"/>
    <x v="1"/>
    <d v="1899-12-30T08:50:00"/>
    <x v="0"/>
  </r>
  <r>
    <n v="5166"/>
    <x v="7"/>
    <n v="7115271798209"/>
    <x v="1825"/>
    <d v="2022-06-13T09:30:00"/>
    <d v="1899-12-30T00:40:00"/>
    <n v="449.99999994761311"/>
    <s v="UNPLANNED"/>
    <x v="0"/>
    <d v="1899-12-30T08:50:00"/>
    <x v="0"/>
  </r>
  <r>
    <n v="5167"/>
    <x v="7"/>
    <n v="7115271798208"/>
    <x v="1825"/>
    <d v="2022-06-13T09:30:00"/>
    <d v="1899-12-30T00:40:00"/>
    <n v="449.99999994761311"/>
    <s v="UNPLANNED"/>
    <x v="0"/>
    <d v="1899-12-30T08:50:00"/>
    <x v="0"/>
  </r>
  <r>
    <n v="5168"/>
    <x v="7"/>
    <n v="7115271798207"/>
    <x v="1825"/>
    <d v="2022-06-13T09:30:00"/>
    <d v="1899-12-30T00:40:00"/>
    <n v="449.99999994761311"/>
    <s v="UNPLANNED"/>
    <x v="0"/>
    <d v="1899-12-30T08:50:00"/>
    <x v="0"/>
  </r>
  <r>
    <n v="5169"/>
    <x v="7"/>
    <n v="7115271798204"/>
    <x v="1825"/>
    <d v="2022-06-13T09:30:00"/>
    <d v="1899-12-30T00:40:00"/>
    <n v="449.99999994761311"/>
    <s v="UNPLANNED"/>
    <x v="1"/>
    <d v="1899-12-30T08:50:00"/>
    <x v="0"/>
  </r>
  <r>
    <n v="5170"/>
    <x v="7"/>
    <n v="7115271798204"/>
    <x v="1825"/>
    <d v="2022-06-13T09:30:00"/>
    <d v="1899-12-30T00:40:00"/>
    <n v="449.99999994761311"/>
    <s v="UNPLANNED"/>
    <x v="1"/>
    <d v="1899-12-30T08:50:00"/>
    <x v="0"/>
  </r>
  <r>
    <n v="5171"/>
    <x v="7"/>
    <n v="7115271798203"/>
    <x v="1825"/>
    <d v="2022-06-13T09:30:00"/>
    <d v="1899-12-30T00:40:00"/>
    <n v="449.99999994761311"/>
    <s v="UNPLANNED"/>
    <x v="2"/>
    <d v="1899-12-30T08:50:00"/>
    <x v="0"/>
  </r>
  <r>
    <n v="5172"/>
    <x v="7"/>
    <n v="7115271798201"/>
    <x v="1825"/>
    <d v="2022-06-13T09:30:00"/>
    <d v="1899-12-30T00:40:00"/>
    <n v="449.99999994761311"/>
    <s v="UNPLANNED"/>
    <x v="2"/>
    <d v="1899-12-30T08:50:00"/>
    <x v="0"/>
  </r>
  <r>
    <n v="5173"/>
    <x v="7"/>
    <n v="7115271795317"/>
    <x v="1826"/>
    <d v="2022-06-13T12:15:00"/>
    <d v="1899-12-30T02:00:00"/>
    <n v="150.00000000873115"/>
    <s v="UNPLANNED"/>
    <x v="1"/>
    <d v="1899-12-30T10:15:00"/>
    <x v="0"/>
  </r>
  <r>
    <n v="5174"/>
    <x v="7"/>
    <n v="7115271795307"/>
    <x v="1826"/>
    <d v="2022-06-13T12:15:00"/>
    <d v="1899-12-30T02:00:00"/>
    <n v="150.00000000873115"/>
    <s v="UNPLANNED"/>
    <x v="1"/>
    <d v="1899-12-30T10:15:00"/>
    <x v="0"/>
  </r>
  <r>
    <n v="5175"/>
    <x v="7"/>
    <n v="7115271795306"/>
    <x v="1826"/>
    <d v="2022-06-13T12:15:00"/>
    <d v="1899-12-30T02:00:00"/>
    <n v="150.00000000873115"/>
    <s v="UNPLANNED"/>
    <x v="1"/>
    <d v="1899-12-30T10:15:00"/>
    <x v="0"/>
  </r>
  <r>
    <n v="5176"/>
    <x v="7"/>
    <n v="7115271795303"/>
    <x v="1826"/>
    <d v="2022-06-13T12:15:00"/>
    <d v="1899-12-30T02:00:00"/>
    <n v="150.00000000873115"/>
    <s v="UNPLANNED"/>
    <x v="3"/>
    <d v="1899-12-30T10:15:00"/>
    <x v="0"/>
  </r>
  <r>
    <n v="5177"/>
    <x v="7"/>
    <n v="7115271795300"/>
    <x v="1826"/>
    <d v="2022-06-13T12:15:00"/>
    <d v="1899-12-30T02:00:00"/>
    <n v="150.00000000873115"/>
    <s v="UNPLANNED"/>
    <x v="1"/>
    <d v="1899-12-30T10:15:00"/>
    <x v="0"/>
  </r>
  <r>
    <n v="5178"/>
    <x v="14"/>
    <n v="1115270132118"/>
    <x v="1826"/>
    <d v="2022-06-13T12:15:00"/>
    <d v="1899-12-30T02:00:00"/>
    <n v="150.00000000873115"/>
    <s v="UNPLANNED"/>
    <x v="0"/>
    <d v="1899-12-30T10:15:00"/>
    <x v="0"/>
  </r>
  <r>
    <n v="5179"/>
    <x v="14"/>
    <n v="1115270132113"/>
    <x v="1826"/>
    <d v="2022-06-13T12:15:00"/>
    <d v="1899-12-30T02:00:00"/>
    <n v="150.00000000873115"/>
    <s v="UNPLANNED"/>
    <x v="1"/>
    <d v="1899-12-30T10:15:00"/>
    <x v="0"/>
  </r>
  <r>
    <n v="5180"/>
    <x v="14"/>
    <n v="1115270132108"/>
    <x v="1826"/>
    <d v="2022-06-13T12:15:00"/>
    <d v="1899-12-30T02:00:00"/>
    <n v="150.00000000873115"/>
    <s v="UNPLANNED"/>
    <x v="0"/>
    <d v="1899-12-30T10:15:00"/>
    <x v="0"/>
  </r>
  <r>
    <n v="5181"/>
    <x v="14"/>
    <n v="1115270132106"/>
    <x v="1826"/>
    <d v="2022-06-13T12:15:00"/>
    <d v="1899-12-30T02:00:00"/>
    <n v="150.00000000873115"/>
    <s v="UNPLANNED"/>
    <x v="2"/>
    <d v="1899-12-30T10:15:00"/>
    <x v="0"/>
  </r>
  <r>
    <n v="5182"/>
    <x v="14"/>
    <n v="1115270132101"/>
    <x v="1826"/>
    <d v="2022-06-13T12:15:00"/>
    <d v="1899-12-30T02:00:00"/>
    <n v="150.00000000873115"/>
    <s v="UNPLANNED"/>
    <x v="0"/>
    <d v="1899-12-30T10:15:00"/>
    <x v="0"/>
  </r>
  <r>
    <n v="5183"/>
    <x v="14"/>
    <n v="1115270132100"/>
    <x v="1826"/>
    <d v="2022-06-13T12:15:00"/>
    <d v="1899-12-30T02:00:00"/>
    <n v="150.00000000873115"/>
    <s v="UNPLANNED"/>
    <x v="1"/>
    <d v="1899-12-30T10:15:00"/>
    <x v="0"/>
  </r>
  <r>
    <n v="5184"/>
    <x v="14"/>
    <n v="1115270076716"/>
    <x v="1827"/>
    <d v="2022-06-13T14:15:00"/>
    <d v="1899-12-30T01:00:00"/>
    <n v="300.0000000174623"/>
    <s v="UNPLANNED"/>
    <x v="1"/>
    <d v="1899-12-30T13:15:00"/>
    <x v="0"/>
  </r>
  <r>
    <n v="5185"/>
    <x v="14"/>
    <n v="1115270076706"/>
    <x v="1827"/>
    <d v="2022-06-13T14:15:00"/>
    <d v="1899-12-30T01:00:00"/>
    <n v="300.0000000174623"/>
    <s v="UNPLANNED"/>
    <x v="1"/>
    <d v="1899-12-30T13:15:00"/>
    <x v="0"/>
  </r>
  <r>
    <n v="5186"/>
    <x v="14"/>
    <n v="1115270076700"/>
    <x v="1827"/>
    <d v="2022-06-13T14:15:00"/>
    <d v="1899-12-30T01:00:00"/>
    <n v="300.0000000174623"/>
    <s v="UNPLANNED"/>
    <x v="1"/>
    <d v="1899-12-30T13:15:00"/>
    <x v="0"/>
  </r>
  <r>
    <n v="5187"/>
    <x v="10"/>
    <n v="11115271542514"/>
    <x v="1828"/>
    <d v="2022-06-13T19:40:00"/>
    <d v="1899-12-30T02:17:00"/>
    <n v="131.38686131766457"/>
    <s v="UNPLANNED"/>
    <x v="1"/>
    <d v="1899-12-30T17:23:00"/>
    <x v="1"/>
  </r>
  <r>
    <n v="5188"/>
    <x v="10"/>
    <n v="11115271542506"/>
    <x v="1828"/>
    <d v="2022-06-13T19:40:00"/>
    <d v="1899-12-30T02:17:00"/>
    <n v="131.38686131766457"/>
    <s v="UNPLANNED"/>
    <x v="3"/>
    <d v="1899-12-30T17:23:00"/>
    <x v="1"/>
  </r>
  <r>
    <n v="5189"/>
    <x v="10"/>
    <n v="11115271542504"/>
    <x v="1828"/>
    <d v="2022-06-13T19:40:00"/>
    <d v="1899-12-30T02:17:00"/>
    <n v="131.38686131766457"/>
    <s v="UNPLANNED"/>
    <x v="0"/>
    <d v="1899-12-30T17:23:00"/>
    <x v="1"/>
  </r>
  <r>
    <n v="5190"/>
    <x v="10"/>
    <n v="11115271532515"/>
    <x v="1828"/>
    <d v="2022-06-13T19:40:00"/>
    <d v="1899-12-30T02:17:00"/>
    <n v="131.38686131766457"/>
    <s v="UNPLANNED"/>
    <x v="2"/>
    <d v="1899-12-30T17:23:00"/>
    <x v="1"/>
  </r>
  <r>
    <n v="5191"/>
    <x v="10"/>
    <n v="11115271532505"/>
    <x v="1828"/>
    <d v="2022-06-13T19:40:00"/>
    <d v="1899-12-30T02:17:00"/>
    <n v="131.38686131766457"/>
    <s v="UNPLANNED"/>
    <x v="0"/>
    <d v="1899-12-30T17:23:00"/>
    <x v="1"/>
  </r>
  <r>
    <n v="5192"/>
    <x v="10"/>
    <n v="11115271532500"/>
    <x v="1828"/>
    <d v="2022-06-13T19:40:00"/>
    <d v="1899-12-30T02:17:00"/>
    <n v="131.38686131766457"/>
    <s v="UNPLANNED"/>
    <x v="2"/>
    <d v="1899-12-30T17:23:00"/>
    <x v="1"/>
  </r>
  <r>
    <n v="5193"/>
    <x v="5"/>
    <n v="13115271591411"/>
    <x v="1829"/>
    <d v="2022-06-14T10:15:00"/>
    <d v="1899-12-30T00:45:00"/>
    <n v="400"/>
    <s v="UNPLANNED"/>
    <x v="0"/>
    <d v="1899-12-30T09:30:00"/>
    <x v="0"/>
  </r>
  <r>
    <n v="5194"/>
    <x v="5"/>
    <n v="13115271591406"/>
    <x v="1829"/>
    <d v="2022-06-14T10:15:00"/>
    <d v="1899-12-30T00:45:00"/>
    <n v="400"/>
    <s v="UNPLANNED"/>
    <x v="1"/>
    <d v="1899-12-30T09:30:00"/>
    <x v="0"/>
  </r>
  <r>
    <n v="5195"/>
    <x v="5"/>
    <n v="13115271591401"/>
    <x v="1829"/>
    <d v="2022-06-14T10:15:00"/>
    <d v="1899-12-30T00:45:00"/>
    <n v="400"/>
    <s v="UNPLANNED"/>
    <x v="2"/>
    <d v="1899-12-30T09:30:00"/>
    <x v="0"/>
  </r>
  <r>
    <n v="5196"/>
    <x v="5"/>
    <n v="13115271591400"/>
    <x v="1829"/>
    <d v="2022-06-14T10:15:00"/>
    <d v="1899-12-30T00:45:00"/>
    <n v="400"/>
    <s v="UNPLANNED"/>
    <x v="2"/>
    <d v="1899-12-30T09:30:00"/>
    <x v="0"/>
  </r>
  <r>
    <n v="5197"/>
    <x v="5"/>
    <n v="13115271591211"/>
    <x v="1829"/>
    <d v="2022-06-14T10:15:00"/>
    <d v="1899-12-30T00:45:00"/>
    <n v="400"/>
    <s v="UNPLANNED"/>
    <x v="3"/>
    <d v="1899-12-30T09:30:00"/>
    <x v="0"/>
  </r>
  <r>
    <n v="5198"/>
    <x v="12"/>
    <n v="14115271672419"/>
    <x v="1830"/>
    <d v="2022-06-14T20:30:00"/>
    <d v="1899-12-30T03:50:00"/>
    <n v="78.260869566801873"/>
    <s v="UNPLANNED"/>
    <x v="0"/>
    <d v="1899-12-30T16:40:00"/>
    <x v="1"/>
  </r>
  <r>
    <n v="5199"/>
    <x v="12"/>
    <n v="14115271672412"/>
    <x v="1830"/>
    <d v="2022-06-14T20:30:00"/>
    <d v="1899-12-30T03:50:00"/>
    <n v="78.260869566801873"/>
    <s v="UNPLANNED"/>
    <x v="0"/>
    <d v="1899-12-30T16:40:00"/>
    <x v="1"/>
  </r>
  <r>
    <n v="5200"/>
    <x v="12"/>
    <n v="14115271672411"/>
    <x v="1830"/>
    <d v="2022-06-14T20:30:00"/>
    <d v="1899-12-30T03:50:00"/>
    <n v="78.260869566801873"/>
    <s v="UNPLANNED"/>
    <x v="0"/>
    <d v="1899-12-30T16:40:00"/>
    <x v="1"/>
  </r>
  <r>
    <n v="5201"/>
    <x v="12"/>
    <n v="14115271672402"/>
    <x v="1830"/>
    <d v="2022-06-14T20:30:00"/>
    <d v="1899-12-30T03:50:00"/>
    <n v="78.260869566801873"/>
    <s v="UNPLANNED"/>
    <x v="0"/>
    <d v="1899-12-30T16:40:00"/>
    <x v="1"/>
  </r>
  <r>
    <n v="5202"/>
    <x v="12"/>
    <n v="14115271672202"/>
    <x v="1830"/>
    <d v="2022-06-14T20:30:00"/>
    <d v="1899-12-30T03:50:00"/>
    <n v="78.260869566801873"/>
    <s v="UNPLANNED"/>
    <x v="0"/>
    <d v="1899-12-30T16:40:00"/>
    <x v="1"/>
  </r>
  <r>
    <n v="5203"/>
    <x v="2"/>
    <n v="12115271573413"/>
    <x v="1831"/>
    <d v="2022-06-14T20:30:00"/>
    <d v="1899-12-30T03:25:00"/>
    <n v="87.804878049777741"/>
    <s v="UNPLANNED"/>
    <x v="0"/>
    <d v="1899-12-30T17:05:00"/>
    <x v="1"/>
  </r>
  <r>
    <n v="5204"/>
    <x v="2"/>
    <n v="12115271573408"/>
    <x v="1831"/>
    <d v="2022-06-14T20:30:00"/>
    <d v="1899-12-30T03:25:00"/>
    <n v="87.804878049777741"/>
    <s v="UNPLANNED"/>
    <x v="0"/>
    <d v="1899-12-30T17:05:00"/>
    <x v="1"/>
  </r>
  <r>
    <n v="5205"/>
    <x v="2"/>
    <n v="12115271573403"/>
    <x v="1831"/>
    <d v="2022-06-14T20:30:00"/>
    <d v="1899-12-30T03:25:00"/>
    <n v="87.804878049777741"/>
    <s v="UNPLANNED"/>
    <x v="0"/>
    <d v="1899-12-30T17:05:00"/>
    <x v="1"/>
  </r>
  <r>
    <n v="5206"/>
    <x v="2"/>
    <n v="12115271573313"/>
    <x v="1831"/>
    <d v="2022-06-14T20:30:00"/>
    <d v="1899-12-30T03:25:00"/>
    <n v="87.804878049777741"/>
    <s v="UNPLANNED"/>
    <x v="1"/>
    <d v="1899-12-30T17:05:00"/>
    <x v="1"/>
  </r>
  <r>
    <n v="5207"/>
    <x v="2"/>
    <n v="12115271569914"/>
    <x v="1832"/>
    <d v="2022-06-14T20:30:00"/>
    <d v="1899-12-30T02:30:00"/>
    <n v="120.00000000279397"/>
    <s v="UNPLANNED"/>
    <x v="0"/>
    <d v="1899-12-30T18:00:00"/>
    <x v="1"/>
  </r>
  <r>
    <n v="5208"/>
    <x v="2"/>
    <n v="12115271569904"/>
    <x v="1832"/>
    <d v="2022-06-14T20:30:00"/>
    <d v="1899-12-30T02:30:00"/>
    <n v="120.00000000279397"/>
    <s v="UNPLANNED"/>
    <x v="0"/>
    <d v="1899-12-30T18:00:00"/>
    <x v="1"/>
  </r>
  <r>
    <n v="5209"/>
    <x v="2"/>
    <n v="12115271569903"/>
    <x v="1832"/>
    <d v="2022-06-14T20:30:00"/>
    <d v="1899-12-30T02:30:00"/>
    <n v="120.00000000279397"/>
    <s v="UNPLANNED"/>
    <x v="0"/>
    <d v="1899-12-30T18:00:00"/>
    <x v="1"/>
  </r>
  <r>
    <n v="5210"/>
    <x v="2"/>
    <n v="12115271569814"/>
    <x v="1832"/>
    <d v="2022-06-14T20:30:00"/>
    <d v="1899-12-30T02:30:00"/>
    <n v="120.00000000279397"/>
    <s v="UNPLANNED"/>
    <x v="0"/>
    <d v="1899-12-30T18:00:00"/>
    <x v="1"/>
  </r>
  <r>
    <n v="5211"/>
    <x v="12"/>
    <n v="14115271678815"/>
    <x v="1833"/>
    <d v="2022-06-15T02:00:00"/>
    <d v="1899-12-30T03:40:00"/>
    <n v="81.818181816450021"/>
    <s v="UNPLANNED"/>
    <x v="1"/>
    <d v="1899-12-30T22:20:00"/>
    <x v="2"/>
  </r>
  <r>
    <n v="5212"/>
    <x v="12"/>
    <n v="14115271678805"/>
    <x v="1833"/>
    <d v="2022-06-15T02:00:00"/>
    <d v="1899-12-30T03:40:00"/>
    <n v="81.818181816450021"/>
    <s v="UNPLANNED"/>
    <x v="0"/>
    <d v="1899-12-30T22:20:00"/>
    <x v="2"/>
  </r>
  <r>
    <n v="5213"/>
    <x v="12"/>
    <n v="14115271678801"/>
    <x v="1833"/>
    <d v="2022-06-15T02:00:00"/>
    <d v="1899-12-30T03:40:00"/>
    <n v="81.818181816450021"/>
    <s v="UNPLANNED"/>
    <x v="0"/>
    <d v="1899-12-30T22:20:00"/>
    <x v="2"/>
  </r>
  <r>
    <n v="5214"/>
    <x v="12"/>
    <n v="14115271678715"/>
    <x v="1833"/>
    <d v="2022-06-15T02:00:00"/>
    <d v="1899-12-30T03:40:00"/>
    <n v="81.818181816450021"/>
    <s v="UNPLANNED"/>
    <x v="0"/>
    <d v="1899-12-30T22:20:00"/>
    <x v="2"/>
  </r>
  <r>
    <n v="5215"/>
    <x v="10"/>
    <n v="11115271542703"/>
    <x v="1834"/>
    <d v="2022-06-15T04:00:00"/>
    <d v="1899-12-30T01:30:00"/>
    <n v="200"/>
    <s v="UNPLANNED"/>
    <x v="1"/>
    <d v="1899-12-30T02:30:00"/>
    <x v="2"/>
  </r>
  <r>
    <n v="5216"/>
    <x v="10"/>
    <n v="11115271542702"/>
    <x v="1834"/>
    <d v="2022-06-15T04:00:00"/>
    <d v="1899-12-30T01:30:00"/>
    <n v="200"/>
    <s v="UNPLANNED"/>
    <x v="0"/>
    <d v="1899-12-30T02:30:00"/>
    <x v="2"/>
  </r>
  <r>
    <n v="5217"/>
    <x v="6"/>
    <n v="9115271934306"/>
    <x v="1834"/>
    <d v="2022-06-15T04:00:00"/>
    <d v="1899-12-30T01:30:00"/>
    <n v="200"/>
    <s v="UNPLANNED"/>
    <x v="0"/>
    <d v="1899-12-30T02:30:00"/>
    <x v="2"/>
  </r>
  <r>
    <n v="5218"/>
    <x v="6"/>
    <n v="9115271934304"/>
    <x v="1834"/>
    <d v="2022-06-15T04:00:00"/>
    <d v="1899-12-30T01:30:00"/>
    <n v="200"/>
    <s v="UNPLANNED"/>
    <x v="0"/>
    <d v="1899-12-30T02:30:00"/>
    <x v="2"/>
  </r>
  <r>
    <n v="5219"/>
    <x v="6"/>
    <n v="9115271934300"/>
    <x v="1834"/>
    <d v="2022-06-15T04:00:00"/>
    <d v="1899-12-30T01:30:00"/>
    <n v="200"/>
    <s v="UNPLANNED"/>
    <x v="0"/>
    <d v="1899-12-30T02:30:00"/>
    <x v="2"/>
  </r>
  <r>
    <n v="5220"/>
    <x v="2"/>
    <n v="12115271571605"/>
    <x v="1835"/>
    <d v="2022-06-15T09:30:00"/>
    <d v="1899-12-30T00:30:00"/>
    <n v="599.99999993015081"/>
    <s v="UNPLANNED"/>
    <x v="0"/>
    <d v="1899-12-30T09:00:00"/>
    <x v="0"/>
  </r>
  <r>
    <n v="5221"/>
    <x v="2"/>
    <n v="12115271571604"/>
    <x v="1835"/>
    <d v="2022-06-15T09:30:00"/>
    <d v="1899-12-30T00:30:00"/>
    <n v="599.99999993015081"/>
    <s v="UNPLANNED"/>
    <x v="0"/>
    <d v="1899-12-30T09:00:00"/>
    <x v="0"/>
  </r>
  <r>
    <n v="5222"/>
    <x v="2"/>
    <n v="12115271562118"/>
    <x v="1836"/>
    <d v="2022-06-15T11:05:00"/>
    <d v="1899-12-30T00:50:00"/>
    <n v="360.00000003352761"/>
    <s v="UNPLANNED"/>
    <x v="1"/>
    <d v="1899-12-30T10:15:00"/>
    <x v="0"/>
  </r>
  <r>
    <n v="5223"/>
    <x v="2"/>
    <n v="12115271562116"/>
    <x v="1836"/>
    <d v="2022-06-15T11:05:00"/>
    <d v="1899-12-30T00:50:00"/>
    <n v="360.00000003352761"/>
    <s v="UNPLANNED"/>
    <x v="0"/>
    <d v="1899-12-30T10:15:00"/>
    <x v="0"/>
  </r>
  <r>
    <n v="5224"/>
    <x v="4"/>
    <n v="15115271747205"/>
    <x v="1837"/>
    <d v="2022-06-15T14:05:00"/>
    <d v="1899-12-30T01:50:00"/>
    <n v="163.63636363290004"/>
    <s v="UNPLANNED"/>
    <x v="0"/>
    <d v="1899-12-30T12:15:00"/>
    <x v="0"/>
  </r>
  <r>
    <n v="5225"/>
    <x v="4"/>
    <n v="15115271747200"/>
    <x v="1837"/>
    <d v="2022-06-15T14:05:00"/>
    <d v="1899-12-30T01:50:00"/>
    <n v="163.63636363290004"/>
    <s v="UNPLANNED"/>
    <x v="0"/>
    <d v="1899-12-30T12:15:00"/>
    <x v="0"/>
  </r>
  <r>
    <n v="5226"/>
    <x v="7"/>
    <n v="7115271792406"/>
    <x v="1837"/>
    <d v="2022-06-15T14:05:00"/>
    <d v="1899-12-30T01:50:00"/>
    <n v="163.63636363290004"/>
    <s v="UNPLANNED"/>
    <x v="0"/>
    <d v="1899-12-30T12:15:00"/>
    <x v="0"/>
  </r>
  <r>
    <n v="5227"/>
    <x v="7"/>
    <n v="7115271792406"/>
    <x v="1837"/>
    <d v="2022-06-15T14:05:00"/>
    <d v="1899-12-30T01:50:00"/>
    <n v="163.63636363290004"/>
    <s v="UNPLANNED"/>
    <x v="2"/>
    <d v="1899-12-30T12:15:00"/>
    <x v="0"/>
  </r>
  <r>
    <n v="5228"/>
    <x v="14"/>
    <n v="1115270064107"/>
    <x v="1836"/>
    <d v="2022-06-15T14:05:00"/>
    <d v="1899-12-30T03:50:00"/>
    <n v="78.260869566801873"/>
    <s v="UNPLANNED"/>
    <x v="0"/>
    <d v="1899-12-30T10:15:00"/>
    <x v="0"/>
  </r>
  <r>
    <n v="5229"/>
    <x v="14"/>
    <n v="1115270064100"/>
    <x v="1836"/>
    <d v="2022-06-15T14:05:00"/>
    <d v="1899-12-30T03:50:00"/>
    <n v="78.260869566801873"/>
    <s v="UNPLANNED"/>
    <x v="1"/>
    <d v="1899-12-30T10:15:00"/>
    <x v="0"/>
  </r>
  <r>
    <n v="5230"/>
    <x v="12"/>
    <n v="14115271685700"/>
    <x v="1838"/>
    <d v="2022-06-15T22:36:00"/>
    <d v="1899-12-30T02:15:00"/>
    <n v="133.33333333333331"/>
    <s v="UNPLANNED"/>
    <x v="0"/>
    <d v="1899-12-30T20:21:00"/>
    <x v="1"/>
  </r>
  <r>
    <n v="5231"/>
    <x v="5"/>
    <n v="13115271656308"/>
    <x v="1839"/>
    <d v="2022-06-15T22:36:00"/>
    <d v="1899-12-30T04:31:00"/>
    <n v="66.420664205843153"/>
    <s v="UNPLANNED"/>
    <x v="0"/>
    <d v="1899-12-30T18:05:00"/>
    <x v="1"/>
  </r>
  <r>
    <n v="5232"/>
    <x v="2"/>
    <n v="12115271581001"/>
    <x v="1840"/>
    <d v="2022-06-15T22:36:00"/>
    <d v="1899-12-30T05:04:00"/>
    <n v="59.210526316651105"/>
    <s v="UNPLANNED"/>
    <x v="0"/>
    <d v="1899-12-30T17:32:00"/>
    <x v="1"/>
  </r>
  <r>
    <n v="5233"/>
    <x v="10"/>
    <n v="11115271543300"/>
    <x v="1838"/>
    <d v="2022-06-15T22:36:00"/>
    <d v="1899-12-30T02:15:00"/>
    <n v="133.33333333333331"/>
    <s v="UNPLANNED"/>
    <x v="0"/>
    <d v="1899-12-30T20:21:00"/>
    <x v="1"/>
  </r>
  <r>
    <n v="5234"/>
    <x v="11"/>
    <n v="10115271433700"/>
    <x v="1840"/>
    <d v="2022-06-15T22:36:00"/>
    <d v="1899-12-30T05:04:00"/>
    <n v="59.210526316651105"/>
    <s v="UNPLANNED"/>
    <x v="1"/>
    <d v="1899-12-30T17:32:00"/>
    <x v="1"/>
  </r>
  <r>
    <n v="5235"/>
    <x v="7"/>
    <n v="7115271804620"/>
    <x v="1841"/>
    <d v="2022-06-15T22:36:00"/>
    <d v="1899-12-30T06:56:00"/>
    <n v="43.269230769860414"/>
    <s v="UNPLANNED"/>
    <x v="0"/>
    <d v="1899-12-30T15:40:00"/>
    <x v="1"/>
  </r>
  <r>
    <n v="5236"/>
    <x v="7"/>
    <n v="7115271787804"/>
    <x v="1838"/>
    <d v="2022-06-15T22:36:00"/>
    <d v="1899-12-30T02:15:00"/>
    <n v="133.33333333333331"/>
    <s v="UNPLANNED"/>
    <x v="0"/>
    <d v="1899-12-30T20:21:00"/>
    <x v="1"/>
  </r>
  <r>
    <n v="5237"/>
    <x v="0"/>
    <n v="5115271238900"/>
    <x v="1838"/>
    <d v="2022-06-15T22:36:00"/>
    <d v="1899-12-30T02:15:00"/>
    <n v="133.33333333333331"/>
    <s v="UNPLANNED"/>
    <x v="0"/>
    <d v="1899-12-30T20:21:00"/>
    <x v="1"/>
  </r>
  <r>
    <n v="5238"/>
    <x v="10"/>
    <n v="11115271547304"/>
    <x v="1842"/>
    <d v="2022-06-16T03:40:00"/>
    <d v="1899-12-30T04:00:00"/>
    <n v="74.999999997817213"/>
    <s v="UNPLANNED"/>
    <x v="0"/>
    <d v="1899-12-30T23:40:00"/>
    <x v="2"/>
  </r>
  <r>
    <n v="5239"/>
    <x v="1"/>
    <n v="6115271741600"/>
    <x v="1842"/>
    <d v="2022-06-16T03:40:00"/>
    <d v="1899-12-30T04:00:00"/>
    <n v="74.999999997817213"/>
    <s v="UNPLANNED"/>
    <x v="0"/>
    <d v="1899-12-30T23:40:00"/>
    <x v="2"/>
  </r>
  <r>
    <n v="5240"/>
    <x v="1"/>
    <n v="6115271733601"/>
    <x v="1842"/>
    <d v="2022-06-16T03:40:00"/>
    <d v="1899-12-30T04:00:00"/>
    <n v="74.999999997817213"/>
    <s v="UNPLANNED"/>
    <x v="1"/>
    <d v="1899-12-30T23:40:00"/>
    <x v="2"/>
  </r>
  <r>
    <n v="5241"/>
    <x v="13"/>
    <n v="3115270336500"/>
    <x v="1842"/>
    <d v="2022-06-16T03:40:00"/>
    <d v="1899-12-30T04:00:00"/>
    <n v="74.999999997817213"/>
    <s v="UNPLANNED"/>
    <x v="0"/>
    <d v="1899-12-30T23:40:00"/>
    <x v="2"/>
  </r>
  <r>
    <n v="5242"/>
    <x v="2"/>
    <n v="12115271569906"/>
    <x v="1843"/>
    <d v="2022-06-16T06:10:00"/>
    <d v="1899-12-30T01:40:00"/>
    <n v="179.99999999790452"/>
    <s v="UNPLANNED"/>
    <x v="0"/>
    <d v="1899-12-30T04:30:00"/>
    <x v="2"/>
  </r>
  <r>
    <n v="5243"/>
    <x v="2"/>
    <n v="12115271569902"/>
    <x v="1843"/>
    <d v="2022-06-16T06:10:00"/>
    <d v="1899-12-30T01:40:00"/>
    <n v="179.99999999790452"/>
    <s v="UNPLANNED"/>
    <x v="6"/>
    <d v="1899-12-30T04:30:00"/>
    <x v="2"/>
  </r>
  <r>
    <n v="5244"/>
    <x v="2"/>
    <n v="12115271569901"/>
    <x v="1843"/>
    <d v="2022-06-16T06:10:00"/>
    <d v="1899-12-30T01:40:00"/>
    <n v="179.99999999790452"/>
    <s v="UNPLANNED"/>
    <x v="0"/>
    <d v="1899-12-30T04:30:00"/>
    <x v="2"/>
  </r>
  <r>
    <n v="5245"/>
    <x v="14"/>
    <n v="1115270019209"/>
    <x v="1843"/>
    <d v="2022-06-16T06:10:00"/>
    <d v="1899-12-30T01:40:00"/>
    <n v="179.99999999790452"/>
    <s v="UNPLANNED"/>
    <x v="1"/>
    <d v="1899-12-30T04:30:00"/>
    <x v="2"/>
  </r>
  <r>
    <n v="5246"/>
    <x v="14"/>
    <n v="1115270019201"/>
    <x v="1843"/>
    <d v="2022-06-16T06:10:00"/>
    <d v="1899-12-30T01:40:00"/>
    <n v="179.99999999790452"/>
    <s v="UNPLANNED"/>
    <x v="0"/>
    <d v="1899-12-30T04:30:00"/>
    <x v="2"/>
  </r>
  <r>
    <n v="5247"/>
    <x v="14"/>
    <n v="1115270019200"/>
    <x v="1843"/>
    <d v="2022-06-16T06:10:00"/>
    <d v="1899-12-30T01:40:00"/>
    <n v="179.99999999790452"/>
    <s v="UNPLANNED"/>
    <x v="0"/>
    <d v="1899-12-30T04:30:00"/>
    <x v="2"/>
  </r>
  <r>
    <n v="5248"/>
    <x v="5"/>
    <n v="13115271617702"/>
    <x v="1844"/>
    <d v="2022-06-16T13:50:00"/>
    <d v="1899-12-30T01:10:00"/>
    <n v="257.14285715141011"/>
    <s v="UNPLANNED"/>
    <x v="2"/>
    <d v="1899-12-30T12:40:00"/>
    <x v="0"/>
  </r>
  <r>
    <n v="5249"/>
    <x v="5"/>
    <n v="13115271617701"/>
    <x v="1844"/>
    <d v="2022-06-16T13:50:00"/>
    <d v="1899-12-30T01:10:00"/>
    <n v="257.14285715141011"/>
    <s v="UNPLANNED"/>
    <x v="0"/>
    <d v="1899-12-30T12:40:00"/>
    <x v="0"/>
  </r>
  <r>
    <n v="5250"/>
    <x v="10"/>
    <n v="11115271557909"/>
    <x v="1845"/>
    <d v="2022-06-16T13:50:00"/>
    <d v="1899-12-30T04:30:00"/>
    <n v="66.666666666666657"/>
    <s v="UNPLANNED"/>
    <x v="0"/>
    <d v="1899-12-30T09:20:00"/>
    <x v="0"/>
  </r>
  <r>
    <n v="5251"/>
    <x v="10"/>
    <n v="11115271557900"/>
    <x v="1845"/>
    <d v="2022-06-16T13:50:00"/>
    <d v="1899-12-30T04:30:00"/>
    <n v="66.666666666666657"/>
    <s v="UNPLANNED"/>
    <x v="0"/>
    <d v="1899-12-30T09:20:00"/>
    <x v="0"/>
  </r>
  <r>
    <n v="5252"/>
    <x v="7"/>
    <n v="7115271758708"/>
    <x v="1845"/>
    <d v="2022-06-16T13:50:00"/>
    <d v="1899-12-30T04:30:00"/>
    <n v="66.666666666666657"/>
    <s v="UNPLANNED"/>
    <x v="0"/>
    <d v="1899-12-30T09:20:00"/>
    <x v="0"/>
  </r>
  <r>
    <n v="5253"/>
    <x v="7"/>
    <n v="7115271758703"/>
    <x v="1845"/>
    <d v="2022-06-16T13:50:00"/>
    <d v="1899-12-30T04:30:00"/>
    <n v="66.666666666666657"/>
    <s v="UNPLANNED"/>
    <x v="1"/>
    <d v="1899-12-30T09:20:00"/>
    <x v="0"/>
  </r>
  <r>
    <n v="5254"/>
    <x v="7"/>
    <n v="7115271758702"/>
    <x v="1845"/>
    <d v="2022-06-16T13:50:00"/>
    <d v="1899-12-30T04:30:00"/>
    <n v="66.666666666666657"/>
    <s v="UNPLANNED"/>
    <x v="0"/>
    <d v="1899-12-30T09:20:00"/>
    <x v="0"/>
  </r>
  <r>
    <n v="5255"/>
    <x v="14"/>
    <n v="1115270087304"/>
    <x v="1846"/>
    <d v="2022-06-16T13:50:00"/>
    <d v="1899-12-30T00:58:00"/>
    <n v="310.34482758371524"/>
    <s v="UNPLANNED"/>
    <x v="0"/>
    <d v="1899-12-30T12:52:00"/>
    <x v="0"/>
  </r>
  <r>
    <n v="5256"/>
    <x v="14"/>
    <n v="1115270087300"/>
    <x v="1846"/>
    <d v="2022-06-16T13:50:00"/>
    <d v="1899-12-30T00:58:00"/>
    <n v="310.34482758371524"/>
    <s v="UNPLANNED"/>
    <x v="0"/>
    <d v="1899-12-30T12:52:00"/>
    <x v="0"/>
  </r>
  <r>
    <n v="5257"/>
    <x v="2"/>
    <n v="12115271569919"/>
    <x v="1847"/>
    <d v="2022-06-16T21:52:00"/>
    <d v="1899-12-30T01:32:00"/>
    <n v="195.65217389917927"/>
    <s v="UNPLANNED"/>
    <x v="0"/>
    <d v="1899-12-30T20:20:00"/>
    <x v="1"/>
  </r>
  <r>
    <n v="5258"/>
    <x v="2"/>
    <n v="12115271569917"/>
    <x v="1847"/>
    <d v="2022-06-16T21:52:00"/>
    <d v="1899-12-30T01:32:00"/>
    <n v="195.65217389917927"/>
    <s v="UNPLANNED"/>
    <x v="0"/>
    <d v="1899-12-30T20:20:00"/>
    <x v="1"/>
  </r>
  <r>
    <n v="5259"/>
    <x v="2"/>
    <n v="12115271569910"/>
    <x v="1847"/>
    <d v="2022-06-16T21:52:00"/>
    <d v="1899-12-30T01:32:00"/>
    <n v="195.65217389917927"/>
    <s v="UNPLANNED"/>
    <x v="2"/>
    <d v="1899-12-30T20:20:00"/>
    <x v="1"/>
  </r>
  <r>
    <n v="5260"/>
    <x v="10"/>
    <n v="11115271541206"/>
    <x v="1847"/>
    <d v="2022-06-16T21:52:00"/>
    <d v="1899-12-30T01:32:00"/>
    <n v="195.65217389917927"/>
    <s v="UNPLANNED"/>
    <x v="1"/>
    <d v="1899-12-30T20:20:00"/>
    <x v="1"/>
  </r>
  <r>
    <n v="5261"/>
    <x v="10"/>
    <n v="11115271541206"/>
    <x v="1847"/>
    <d v="2022-06-16T21:52:00"/>
    <d v="1899-12-30T01:32:00"/>
    <n v="195.65217389917927"/>
    <s v="UNPLANNED"/>
    <x v="3"/>
    <d v="1899-12-30T20:20:00"/>
    <x v="1"/>
  </r>
  <r>
    <n v="5262"/>
    <x v="10"/>
    <n v="11115271541201"/>
    <x v="1847"/>
    <d v="2022-06-16T21:52:00"/>
    <d v="1899-12-30T01:32:00"/>
    <n v="195.65217389917927"/>
    <s v="UNPLANNED"/>
    <x v="0"/>
    <d v="1899-12-30T20:20:00"/>
    <x v="1"/>
  </r>
  <r>
    <n v="5263"/>
    <x v="11"/>
    <n v="10115271433909"/>
    <x v="1847"/>
    <d v="2022-06-16T21:52:00"/>
    <d v="1899-12-30T01:32:00"/>
    <n v="195.65217389917927"/>
    <s v="UNPLANNED"/>
    <x v="0"/>
    <d v="1899-12-30T20:20:00"/>
    <x v="1"/>
  </r>
  <r>
    <n v="5264"/>
    <x v="11"/>
    <n v="10115271433900"/>
    <x v="1847"/>
    <d v="2022-06-16T21:52:00"/>
    <d v="1899-12-30T01:32:00"/>
    <n v="195.65217389917927"/>
    <s v="UNPLANNED"/>
    <x v="0"/>
    <d v="1899-12-30T20:20:00"/>
    <x v="1"/>
  </r>
  <r>
    <n v="5265"/>
    <x v="5"/>
    <n v="13115271627409"/>
    <x v="1848"/>
    <d v="2022-06-17T14:00:00"/>
    <d v="1899-12-30T02:40:00"/>
    <n v="112.49999999427018"/>
    <s v="UNPLANNED"/>
    <x v="0"/>
    <d v="1899-12-30T11:20:00"/>
    <x v="0"/>
  </r>
  <r>
    <n v="5266"/>
    <x v="5"/>
    <n v="13115271627405"/>
    <x v="1848"/>
    <d v="2022-06-17T14:00:00"/>
    <d v="1899-12-30T02:40:00"/>
    <n v="112.49999999427018"/>
    <s v="UNPLANNED"/>
    <x v="0"/>
    <d v="1899-12-30T11:20:00"/>
    <x v="0"/>
  </r>
  <r>
    <n v="5267"/>
    <x v="5"/>
    <n v="13115271627404"/>
    <x v="1848"/>
    <d v="2022-06-17T14:00:00"/>
    <d v="1899-12-30T02:40:00"/>
    <n v="112.49999999427018"/>
    <s v="UNPLANNED"/>
    <x v="0"/>
    <d v="1899-12-30T11:20:00"/>
    <x v="0"/>
  </r>
  <r>
    <n v="5268"/>
    <x v="7"/>
    <n v="7115271758707"/>
    <x v="1848"/>
    <d v="2022-06-17T14:00:00"/>
    <d v="1899-12-30T02:40:00"/>
    <n v="112.49999999427018"/>
    <s v="UNPLANNED"/>
    <x v="0"/>
    <d v="1899-12-30T11:20:00"/>
    <x v="0"/>
  </r>
  <r>
    <n v="5269"/>
    <x v="7"/>
    <n v="7115271758701"/>
    <x v="1848"/>
    <d v="2022-06-17T14:00:00"/>
    <d v="1899-12-30T02:40:00"/>
    <n v="112.49999999427018"/>
    <s v="UNPLANNED"/>
    <x v="0"/>
    <d v="1899-12-30T11:20:00"/>
    <x v="0"/>
  </r>
  <r>
    <n v="5270"/>
    <x v="7"/>
    <n v="7115271758700"/>
    <x v="1848"/>
    <d v="2022-06-17T14:00:00"/>
    <d v="1899-12-30T02:40:00"/>
    <n v="112.49999999427018"/>
    <s v="UNPLANNED"/>
    <x v="0"/>
    <d v="1899-12-30T11:20:00"/>
    <x v="0"/>
  </r>
  <r>
    <n v="5271"/>
    <x v="12"/>
    <n v="14115271680508"/>
    <x v="1849"/>
    <d v="2022-06-17T19:00:00"/>
    <d v="1899-12-30T01:20:00"/>
    <n v="225.00000000327418"/>
    <s v="UNPLANNED"/>
    <x v="1"/>
    <d v="1899-12-30T17:40:00"/>
    <x v="1"/>
  </r>
  <r>
    <n v="5272"/>
    <x v="12"/>
    <n v="14115271680501"/>
    <x v="1849"/>
    <d v="2022-06-17T19:00:00"/>
    <d v="1899-12-30T01:20:00"/>
    <n v="225.00000000327418"/>
    <s v="UNPLANNED"/>
    <x v="1"/>
    <d v="1899-12-30T17:40:00"/>
    <x v="1"/>
  </r>
  <r>
    <n v="5273"/>
    <x v="12"/>
    <n v="14115271680500"/>
    <x v="1849"/>
    <d v="2022-06-17T19:00:00"/>
    <d v="1899-12-30T01:20:00"/>
    <n v="225.00000000327418"/>
    <s v="UNPLANNED"/>
    <x v="0"/>
    <d v="1899-12-30T17:40:00"/>
    <x v="1"/>
  </r>
  <r>
    <n v="5274"/>
    <x v="14"/>
    <n v="1115270062109"/>
    <x v="1849"/>
    <d v="2022-06-17T19:00:00"/>
    <d v="1899-12-30T01:20:00"/>
    <n v="225.00000000327418"/>
    <s v="UNPLANNED"/>
    <x v="6"/>
    <d v="1899-12-30T17:40:00"/>
    <x v="1"/>
  </r>
  <r>
    <n v="5275"/>
    <x v="14"/>
    <n v="1115270062101"/>
    <x v="1849"/>
    <d v="2022-06-17T19:00:00"/>
    <d v="1899-12-30T01:20:00"/>
    <n v="225.00000000327418"/>
    <s v="UNPLANNED"/>
    <x v="1"/>
    <d v="1899-12-30T17:40:00"/>
    <x v="1"/>
  </r>
  <r>
    <n v="5276"/>
    <x v="14"/>
    <n v="1115270062100"/>
    <x v="1849"/>
    <d v="2022-06-17T19:00:00"/>
    <d v="1899-12-30T01:20:00"/>
    <n v="225.00000000327418"/>
    <s v="UNPLANNED"/>
    <x v="1"/>
    <d v="1899-12-30T17:40:00"/>
    <x v="1"/>
  </r>
  <r>
    <n v="5277"/>
    <x v="10"/>
    <n v="11115271536009"/>
    <x v="1850"/>
    <d v="2022-06-17T20:35:00"/>
    <d v="1899-12-30T01:20:00"/>
    <n v="225.00000000327418"/>
    <s v="UNPLANNED"/>
    <x v="1"/>
    <d v="1899-12-30T19:15:00"/>
    <x v="1"/>
  </r>
  <r>
    <n v="5278"/>
    <x v="10"/>
    <n v="11115271536007"/>
    <x v="1850"/>
    <d v="2022-06-17T20:35:00"/>
    <d v="1899-12-30T01:20:00"/>
    <n v="225.00000000327418"/>
    <s v="UNPLANNED"/>
    <x v="1"/>
    <d v="1899-12-30T19:15:00"/>
    <x v="1"/>
  </r>
  <r>
    <n v="5279"/>
    <x v="10"/>
    <n v="11115271536002"/>
    <x v="1850"/>
    <d v="2022-06-17T20:35:00"/>
    <d v="1899-12-30T01:20:00"/>
    <n v="225.00000000327418"/>
    <s v="UNPLANNED"/>
    <x v="0"/>
    <d v="1899-12-30T19:15:00"/>
    <x v="1"/>
  </r>
  <r>
    <n v="5280"/>
    <x v="10"/>
    <n v="11115271536001"/>
    <x v="1850"/>
    <d v="2022-06-17T20:35:00"/>
    <d v="1899-12-30T01:20:00"/>
    <n v="225.00000000327418"/>
    <s v="UNPLANNED"/>
    <x v="1"/>
    <d v="1899-12-30T19:15:00"/>
    <x v="1"/>
  </r>
  <r>
    <n v="5281"/>
    <x v="9"/>
    <n v="2115270297501"/>
    <x v="1850"/>
    <d v="2022-06-17T20:35:00"/>
    <d v="1899-12-30T01:20:00"/>
    <n v="225.00000000327418"/>
    <s v="UNPLANNED"/>
    <x v="2"/>
    <d v="1899-12-30T19:15:00"/>
    <x v="1"/>
  </r>
  <r>
    <n v="5282"/>
    <x v="9"/>
    <n v="2115270297500"/>
    <x v="1850"/>
    <d v="2022-06-17T20:35:00"/>
    <d v="1899-12-30T01:20:00"/>
    <n v="225.00000000327418"/>
    <s v="UNPLANNED"/>
    <x v="1"/>
    <d v="1899-12-30T19:15:00"/>
    <x v="1"/>
  </r>
  <r>
    <n v="5283"/>
    <x v="14"/>
    <n v="1115270107501"/>
    <x v="1850"/>
    <d v="2022-06-17T20:35:00"/>
    <d v="1899-12-30T01:20:00"/>
    <n v="225.00000000327418"/>
    <s v="UNPLANNED"/>
    <x v="1"/>
    <d v="1899-12-30T19:15:00"/>
    <x v="1"/>
  </r>
  <r>
    <n v="5284"/>
    <x v="14"/>
    <n v="1115270107500"/>
    <x v="1850"/>
    <d v="2022-06-17T20:35:00"/>
    <d v="1899-12-30T01:20:00"/>
    <n v="225.00000000327418"/>
    <s v="UNPLANNED"/>
    <x v="6"/>
    <d v="1899-12-30T19:15:00"/>
    <x v="1"/>
  </r>
  <r>
    <n v="5285"/>
    <x v="3"/>
    <n v="8115271821108"/>
    <x v="1851"/>
    <d v="2022-06-17T23:30:00"/>
    <d v="1899-12-30T01:00:00"/>
    <n v="300.0000000174623"/>
    <s v="UNPLANNED"/>
    <x v="1"/>
    <d v="1899-12-30T22:30:00"/>
    <x v="2"/>
  </r>
  <r>
    <n v="5286"/>
    <x v="3"/>
    <n v="8115271821105"/>
    <x v="1851"/>
    <d v="2022-06-17T23:30:00"/>
    <d v="1899-12-30T01:00:00"/>
    <n v="300.0000000174623"/>
    <s v="UNPLANNED"/>
    <x v="1"/>
    <d v="1899-12-30T22:30:00"/>
    <x v="2"/>
  </r>
  <r>
    <n v="5287"/>
    <x v="3"/>
    <n v="8115271821101"/>
    <x v="1851"/>
    <d v="2022-06-17T23:30:00"/>
    <d v="1899-12-30T01:00:00"/>
    <n v="300.0000000174623"/>
    <s v="UNPLANNED"/>
    <x v="1"/>
    <d v="1899-12-30T22:30:00"/>
    <x v="2"/>
  </r>
  <r>
    <n v="5288"/>
    <x v="3"/>
    <n v="8115271821100"/>
    <x v="1851"/>
    <d v="2022-06-17T23:30:00"/>
    <d v="1899-12-30T01:00:00"/>
    <n v="300.0000000174623"/>
    <s v="UNPLANNED"/>
    <x v="1"/>
    <d v="1899-12-30T22:30:00"/>
    <x v="2"/>
  </r>
  <r>
    <n v="5289"/>
    <x v="12"/>
    <n v="14111527168040"/>
    <x v="1852"/>
    <d v="2022-06-18T03:40:00"/>
    <d v="1899-12-30T03:20:00"/>
    <n v="89.999999998952262"/>
    <s v="UNPLANNED"/>
    <x v="0"/>
    <d v="1899-12-30T00:20:00"/>
    <x v="2"/>
  </r>
  <r>
    <n v="5290"/>
    <x v="7"/>
    <n v="7115271768104"/>
    <x v="1852"/>
    <d v="2022-06-18T03:40:00"/>
    <d v="1899-12-30T03:20:00"/>
    <n v="89.999999998952262"/>
    <s v="UNPLANNED"/>
    <x v="0"/>
    <d v="1899-12-30T00:20:00"/>
    <x v="2"/>
  </r>
  <r>
    <n v="5291"/>
    <x v="8"/>
    <n v="4115270868903"/>
    <x v="1852"/>
    <d v="2022-06-18T03:40:00"/>
    <d v="1899-12-30T03:20:00"/>
    <n v="89.999999998952262"/>
    <s v="UNPLANNED"/>
    <x v="1"/>
    <d v="1899-12-30T00:20:00"/>
    <x v="2"/>
  </r>
  <r>
    <n v="5292"/>
    <x v="13"/>
    <n v="3115270341006"/>
    <x v="1852"/>
    <d v="2022-06-18T03:40:00"/>
    <d v="1899-12-30T03:20:00"/>
    <n v="89.999999998952262"/>
    <s v="UNPLANNED"/>
    <x v="1"/>
    <d v="1899-12-30T00:20:00"/>
    <x v="2"/>
  </r>
  <r>
    <n v="5293"/>
    <x v="14"/>
    <n v="1115270028900"/>
    <x v="1852"/>
    <d v="2022-06-18T03:40:00"/>
    <d v="1899-12-30T03:20:00"/>
    <n v="89.999999998952262"/>
    <s v="UNPLANNED"/>
    <x v="1"/>
    <d v="1899-12-30T00:20:00"/>
    <x v="2"/>
  </r>
  <r>
    <n v="5294"/>
    <x v="4"/>
    <n v="15115271719272"/>
    <x v="1853"/>
    <d v="2022-06-18T14:10:00"/>
    <d v="1899-12-30T02:50:00"/>
    <n v="105.88235293537585"/>
    <s v="UNPLANNED"/>
    <x v="0"/>
    <d v="1899-12-30T11:20:00"/>
    <x v="0"/>
  </r>
  <r>
    <n v="5295"/>
    <x v="2"/>
    <n v="12115271567350"/>
    <x v="1854"/>
    <d v="2022-06-18T14:10:00"/>
    <d v="1899-12-30T05:00:00"/>
    <n v="59.999999999301515"/>
    <s v="UNPLANNED"/>
    <x v="0"/>
    <d v="1899-12-30T09:10:00"/>
    <x v="0"/>
  </r>
  <r>
    <n v="5296"/>
    <x v="11"/>
    <n v="10115271957600"/>
    <x v="1855"/>
    <d v="2022-06-18T14:10:00"/>
    <d v="1899-12-30T02:40:00"/>
    <n v="112.49999999427018"/>
    <s v="UNPLANNED"/>
    <x v="0"/>
    <d v="1899-12-30T11:30:00"/>
    <x v="0"/>
  </r>
  <r>
    <n v="5297"/>
    <x v="3"/>
    <n v="8115271838900"/>
    <x v="1854"/>
    <d v="2022-06-18T14:10:00"/>
    <d v="1899-12-30T05:00:00"/>
    <n v="59.999999999301515"/>
    <s v="UNPLANNED"/>
    <x v="0"/>
    <d v="1899-12-30T09:10:00"/>
    <x v="0"/>
  </r>
  <r>
    <n v="5298"/>
    <x v="7"/>
    <n v="7115271779306"/>
    <x v="1856"/>
    <d v="2022-06-18T14:10:00"/>
    <d v="1899-12-30T03:40:00"/>
    <n v="81.818181816450021"/>
    <s v="UNPLANNED"/>
    <x v="0"/>
    <d v="1899-12-30T10:30:00"/>
    <x v="0"/>
  </r>
  <r>
    <n v="5299"/>
    <x v="7"/>
    <n v="7115271768300"/>
    <x v="1856"/>
    <d v="2022-06-18T14:10:00"/>
    <d v="1899-12-30T03:40:00"/>
    <n v="81.818181816450021"/>
    <s v="UNPLANNED"/>
    <x v="2"/>
    <d v="1899-12-30T10:30:00"/>
    <x v="0"/>
  </r>
  <r>
    <n v="5300"/>
    <x v="7"/>
    <n v="7115271759014"/>
    <x v="1854"/>
    <d v="2022-06-18T14:10:00"/>
    <d v="1899-12-30T05:00:00"/>
    <n v="59.999999999301515"/>
    <s v="UNPLANNED"/>
    <x v="1"/>
    <d v="1899-12-30T09:10:00"/>
    <x v="0"/>
  </r>
  <r>
    <n v="5301"/>
    <x v="1"/>
    <n v="6115271698300"/>
    <x v="1856"/>
    <d v="2022-06-18T14:10:00"/>
    <d v="1899-12-30T03:40:00"/>
    <n v="81.818181816450021"/>
    <s v="UNPLANNED"/>
    <x v="0"/>
    <d v="1899-12-30T10:30:00"/>
    <x v="0"/>
  </r>
  <r>
    <n v="5302"/>
    <x v="13"/>
    <n v="3115270317900"/>
    <x v="1857"/>
    <d v="2022-06-18T14:10:00"/>
    <d v="1899-12-30T00:55:00"/>
    <n v="327.27272726580009"/>
    <s v="UNPLANNED"/>
    <x v="1"/>
    <d v="1899-12-30T13:15:00"/>
    <x v="0"/>
  </r>
  <r>
    <n v="5303"/>
    <x v="13"/>
    <n v="3115270317100"/>
    <x v="1854"/>
    <d v="2022-06-18T14:10:00"/>
    <d v="1899-12-30T05:00:00"/>
    <n v="59.999999999301515"/>
    <s v="UNPLANNED"/>
    <x v="1"/>
    <d v="1899-12-30T09:10:00"/>
    <x v="0"/>
  </r>
  <r>
    <n v="5304"/>
    <x v="14"/>
    <n v="1115270093100"/>
    <x v="1853"/>
    <d v="2022-06-18T14:10:00"/>
    <d v="1899-12-30T02:50:00"/>
    <n v="105.88235293537585"/>
    <s v="UNPLANNED"/>
    <x v="1"/>
    <d v="1899-12-30T11:20:00"/>
    <x v="0"/>
  </r>
  <r>
    <n v="5305"/>
    <x v="14"/>
    <n v="1115270067301"/>
    <x v="1853"/>
    <d v="2022-06-18T14:10:00"/>
    <d v="1899-12-30T02:50:00"/>
    <n v="105.88235293537585"/>
    <s v="UNPLANNED"/>
    <x v="0"/>
    <d v="1899-12-30T11:20:00"/>
    <x v="0"/>
  </r>
  <r>
    <n v="5306"/>
    <x v="10"/>
    <n v="11115271542101"/>
    <x v="1858"/>
    <d v="2022-06-18T22:15:00"/>
    <d v="1899-12-30T05:35:00"/>
    <n v="53.731343283208645"/>
    <s v="UNPLANNED"/>
    <x v="0"/>
    <d v="1899-12-30T16:40:00"/>
    <x v="1"/>
  </r>
  <r>
    <n v="5307"/>
    <x v="1"/>
    <n v="6115271731800"/>
    <x v="1859"/>
    <d v="2022-06-18T22:15:00"/>
    <d v="1899-12-30T02:15:00"/>
    <n v="133.33333333333331"/>
    <s v="UNPLANNED"/>
    <x v="0"/>
    <d v="1899-12-30T20:00:00"/>
    <x v="1"/>
  </r>
  <r>
    <n v="5308"/>
    <x v="1"/>
    <n v="6115271692300"/>
    <x v="1858"/>
    <d v="2022-06-18T22:15:00"/>
    <d v="1899-12-30T05:35:00"/>
    <n v="53.731343283208645"/>
    <s v="UNPLANNED"/>
    <x v="1"/>
    <d v="1899-12-30T16:40:00"/>
    <x v="1"/>
  </r>
  <r>
    <n v="5309"/>
    <x v="9"/>
    <n v="2115270217800"/>
    <x v="1859"/>
    <d v="2022-06-18T22:15:00"/>
    <d v="1899-12-30T02:15:00"/>
    <n v="133.33333333333331"/>
    <s v="UNPLANNED"/>
    <x v="0"/>
    <d v="1899-12-30T20:00:00"/>
    <x v="1"/>
  </r>
  <r>
    <n v="5310"/>
    <x v="7"/>
    <n v="7115271761101"/>
    <x v="1860"/>
    <d v="2022-06-19T00:45:00"/>
    <d v="1899-12-30T01:45:00"/>
    <n v="171.42857143427341"/>
    <s v="UNPLANNED"/>
    <x v="0"/>
    <d v="1899-12-30T23:00:00"/>
    <x v="2"/>
  </r>
  <r>
    <n v="5311"/>
    <x v="13"/>
    <n v="3115270327200"/>
    <x v="1860"/>
    <d v="2022-06-19T00:45:00"/>
    <d v="1899-12-30T01:45:00"/>
    <n v="171.42857143427341"/>
    <s v="UNPLANNED"/>
    <x v="1"/>
    <d v="1899-12-30T23:00:00"/>
    <x v="2"/>
  </r>
  <r>
    <n v="5312"/>
    <x v="14"/>
    <n v="1115270112700"/>
    <x v="1860"/>
    <d v="2022-06-19T00:45:00"/>
    <d v="1899-12-30T01:45:00"/>
    <n v="171.42857143427341"/>
    <s v="UNPLANNED"/>
    <x v="0"/>
    <d v="1899-12-30T23:00:00"/>
    <x v="2"/>
  </r>
  <r>
    <n v="5313"/>
    <x v="4"/>
    <n v="15115271779108"/>
    <x v="1861"/>
    <d v="2022-06-20T13:30:00"/>
    <d v="1899-12-30T01:10:00"/>
    <n v="257.14285715141011"/>
    <s v="UNPLANNED"/>
    <x v="0"/>
    <d v="1899-12-30T12:20:00"/>
    <x v="0"/>
  </r>
  <r>
    <n v="5314"/>
    <x v="4"/>
    <n v="15115271779100"/>
    <x v="1862"/>
    <d v="2022-06-19T13:30:00"/>
    <d v="1899-12-30T01:10:00"/>
    <n v="257.14285715141011"/>
    <s v="UNPLANNED"/>
    <x v="0"/>
    <d v="1899-12-30T12:20:00"/>
    <x v="0"/>
  </r>
  <r>
    <n v="5315"/>
    <x v="2"/>
    <n v="12115271564751"/>
    <x v="1863"/>
    <d v="2022-06-19T13:30:00"/>
    <d v="1899-12-30T03:05:00"/>
    <n v="97.297297299746361"/>
    <s v="UNPLANNED"/>
    <x v="0"/>
    <d v="1899-12-30T10:25:00"/>
    <x v="0"/>
  </r>
  <r>
    <n v="5316"/>
    <x v="6"/>
    <n v="9115271942708"/>
    <x v="1864"/>
    <d v="2022-06-19T13:30:00"/>
    <d v="1899-12-30T02:23:00"/>
    <n v="125.87412586961706"/>
    <s v="UNPLANNED"/>
    <x v="0"/>
    <d v="1899-12-30T11:07:00"/>
    <x v="0"/>
  </r>
  <r>
    <n v="5317"/>
    <x v="6"/>
    <n v="9115271942700"/>
    <x v="1864"/>
    <d v="2022-06-19T13:30:00"/>
    <d v="1899-12-30T02:23:00"/>
    <n v="125.87412586961706"/>
    <s v="UNPLANNED"/>
    <x v="1"/>
    <d v="1899-12-30T11:07:00"/>
    <x v="0"/>
  </r>
  <r>
    <n v="5318"/>
    <x v="13"/>
    <n v="3115270433400"/>
    <x v="1863"/>
    <d v="2022-06-19T13:30:00"/>
    <d v="1899-12-30T03:05:00"/>
    <n v="97.297297299746361"/>
    <s v="UNPLANNED"/>
    <x v="1"/>
    <d v="1899-12-30T10:25:00"/>
    <x v="0"/>
  </r>
  <r>
    <n v="5319"/>
    <x v="14"/>
    <n v="1115270037305"/>
    <x v="1864"/>
    <d v="2022-06-19T13:30:00"/>
    <d v="1899-12-30T02:23:00"/>
    <n v="125.87412586961706"/>
    <s v="UNPLANNED"/>
    <x v="0"/>
    <d v="1899-12-30T11:07:00"/>
    <x v="0"/>
  </r>
  <r>
    <n v="5320"/>
    <x v="14"/>
    <n v="1115270037300"/>
    <x v="1864"/>
    <d v="2022-06-19T13:30:00"/>
    <d v="1899-12-30T02:23:00"/>
    <n v="125.87412586961706"/>
    <s v="UNPLANNED"/>
    <x v="2"/>
    <d v="1899-12-30T11:07:00"/>
    <x v="0"/>
  </r>
  <r>
    <n v="5321"/>
    <x v="3"/>
    <n v="8115271820404"/>
    <x v="1865"/>
    <d v="2022-06-20T20:30:00"/>
    <d v="1899-12-30T03:50:00"/>
    <n v="78.260869566801873"/>
    <s v="UNPLANNED"/>
    <x v="0"/>
    <d v="1899-12-30T16:40:00"/>
    <x v="1"/>
  </r>
  <r>
    <n v="5322"/>
    <x v="3"/>
    <n v="8115271820403"/>
    <x v="1866"/>
    <d v="2022-06-19T20:30:00"/>
    <d v="1899-12-30T03:50:00"/>
    <n v="78.260869566801873"/>
    <s v="UNPLANNED"/>
    <x v="0"/>
    <d v="1899-12-30T16:40:00"/>
    <x v="1"/>
  </r>
  <r>
    <n v="5323"/>
    <x v="3"/>
    <n v="8115271820402"/>
    <x v="1866"/>
    <d v="2022-06-19T20:30:00"/>
    <d v="1899-12-30T03:50:00"/>
    <n v="78.260869566801873"/>
    <s v="UNPLANNED"/>
    <x v="0"/>
    <d v="1899-12-30T16:40:00"/>
    <x v="1"/>
  </r>
  <r>
    <n v="5324"/>
    <x v="7"/>
    <n v="7115271769609"/>
    <x v="1865"/>
    <d v="2022-06-20T20:30:00"/>
    <d v="1899-12-30T03:50:00"/>
    <n v="78.260869566801873"/>
    <s v="UNPLANNED"/>
    <x v="0"/>
    <d v="1899-12-30T16:40:00"/>
    <x v="1"/>
  </r>
  <r>
    <n v="5325"/>
    <x v="7"/>
    <n v="7115271769608"/>
    <x v="1866"/>
    <d v="2022-06-19T20:30:00"/>
    <d v="1899-12-30T03:50:00"/>
    <n v="78.260869566801873"/>
    <s v="UNPLANNED"/>
    <x v="0"/>
    <d v="1899-12-30T16:40:00"/>
    <x v="1"/>
  </r>
  <r>
    <n v="5326"/>
    <x v="7"/>
    <n v="7115271769604"/>
    <x v="1866"/>
    <d v="2022-06-19T20:30:00"/>
    <d v="1899-12-30T03:50:00"/>
    <n v="78.260869566801873"/>
    <s v="UNPLANNED"/>
    <x v="0"/>
    <d v="1899-12-30T16:40:00"/>
    <x v="1"/>
  </r>
  <r>
    <n v="5327"/>
    <x v="13"/>
    <n v="3115270386307"/>
    <x v="1866"/>
    <d v="2022-06-19T20:30:00"/>
    <d v="1899-12-30T03:50:00"/>
    <n v="78.260869566801873"/>
    <s v="UNPLANNED"/>
    <x v="1"/>
    <d v="1899-12-30T16:40:00"/>
    <x v="1"/>
  </r>
  <r>
    <n v="5328"/>
    <x v="13"/>
    <n v="3115270386302"/>
    <x v="1866"/>
    <d v="2022-06-19T20:30:00"/>
    <d v="1899-12-30T03:50:00"/>
    <n v="78.260869566801873"/>
    <s v="UNPLANNED"/>
    <x v="0"/>
    <d v="1899-12-30T16:40:00"/>
    <x v="1"/>
  </r>
  <r>
    <n v="5329"/>
    <x v="13"/>
    <n v="3115270386301"/>
    <x v="1865"/>
    <d v="2022-06-20T20:30:00"/>
    <d v="1899-12-30T03:50:00"/>
    <n v="78.260869566801873"/>
    <s v="UNPLANNED"/>
    <x v="0"/>
    <d v="1899-12-30T16:40:00"/>
    <x v="1"/>
  </r>
  <r>
    <n v="5330"/>
    <x v="9"/>
    <n v="2115270229903"/>
    <x v="1867"/>
    <d v="2022-06-20T20:30:00"/>
    <d v="1899-12-30T03:30:00"/>
    <n v="85.714285717136704"/>
    <s v="UNPLANNED"/>
    <x v="0"/>
    <d v="1899-12-30T17:00:00"/>
    <x v="1"/>
  </r>
  <r>
    <n v="5331"/>
    <x v="9"/>
    <n v="2115270229902"/>
    <x v="1868"/>
    <d v="2022-06-19T20:30:00"/>
    <d v="1899-12-30T03:30:00"/>
    <n v="85.714285717136704"/>
    <s v="UNPLANNED"/>
    <x v="0"/>
    <d v="1899-12-30T17:00:00"/>
    <x v="1"/>
  </r>
  <r>
    <n v="5332"/>
    <x v="9"/>
    <n v="2115270229900"/>
    <x v="1868"/>
    <d v="2022-06-19T20:30:00"/>
    <d v="1899-12-30T03:30:00"/>
    <n v="85.714285717136704"/>
    <s v="UNPLANNED"/>
    <x v="1"/>
    <d v="1899-12-30T17:00:00"/>
    <x v="1"/>
  </r>
  <r>
    <n v="5333"/>
    <x v="14"/>
    <n v="1115270097409"/>
    <x v="1868"/>
    <d v="2022-06-19T20:30:00"/>
    <d v="1899-12-30T03:30:00"/>
    <n v="85.714285717136704"/>
    <s v="UNPLANNED"/>
    <x v="0"/>
    <d v="1899-12-30T17:00:00"/>
    <x v="1"/>
  </r>
  <r>
    <n v="5334"/>
    <x v="14"/>
    <n v="1115270097405"/>
    <x v="1867"/>
    <d v="2022-06-20T20:30:00"/>
    <d v="1899-12-30T03:30:00"/>
    <n v="85.714285717136704"/>
    <s v="UNPLANNED"/>
    <x v="0"/>
    <d v="1899-12-30T17:00:00"/>
    <x v="1"/>
  </r>
  <r>
    <n v="5335"/>
    <x v="14"/>
    <n v="1115270097400"/>
    <x v="1868"/>
    <d v="2022-06-19T20:30:00"/>
    <d v="1899-12-30T03:30:00"/>
    <n v="85.714285717136704"/>
    <s v="UNPLANNED"/>
    <x v="0"/>
    <d v="1899-12-30T17:00:00"/>
    <x v="1"/>
  </r>
  <r>
    <n v="5336"/>
    <x v="11"/>
    <n v="10115271433907"/>
    <x v="1869"/>
    <d v="2022-06-19T22:00:00"/>
    <d v="1899-12-30T00:50:00"/>
    <n v="360.00000003352761"/>
    <s v="UNPLANNED"/>
    <x v="0"/>
    <d v="1899-12-30T21:10:00"/>
    <x v="1"/>
  </r>
  <r>
    <n v="5337"/>
    <x v="11"/>
    <n v="10115271433907"/>
    <x v="1870"/>
    <d v="2022-06-20T22:00:00"/>
    <d v="1899-12-30T00:50:00"/>
    <n v="360.00000003352761"/>
    <s v="UNPLANNED"/>
    <x v="1"/>
    <d v="1899-12-30T21:10:00"/>
    <x v="1"/>
  </r>
  <r>
    <n v="5338"/>
    <x v="11"/>
    <n v="10115271433901"/>
    <x v="1869"/>
    <d v="2022-06-19T22:00:00"/>
    <d v="1899-12-30T00:50:00"/>
    <n v="360.00000003352761"/>
    <s v="UNPLANNED"/>
    <x v="2"/>
    <d v="1899-12-30T21:10:00"/>
    <x v="1"/>
  </r>
  <r>
    <n v="5339"/>
    <x v="1"/>
    <n v="6115271721709"/>
    <x v="1871"/>
    <d v="2022-06-20T00:30:00"/>
    <d v="1899-12-30T01:55:00"/>
    <n v="156.52173911934341"/>
    <s v="UNPLANNED"/>
    <x v="1"/>
    <d v="1899-12-30T22:35:00"/>
    <x v="2"/>
  </r>
  <r>
    <n v="5340"/>
    <x v="1"/>
    <n v="6115271721708"/>
    <x v="1871"/>
    <d v="2022-06-20T00:30:00"/>
    <d v="1899-12-30T01:55:00"/>
    <n v="156.52173911934341"/>
    <s v="UNPLANNED"/>
    <x v="1"/>
    <d v="1899-12-30T22:35:00"/>
    <x v="2"/>
  </r>
  <r>
    <n v="5341"/>
    <x v="1"/>
    <n v="6115271721703"/>
    <x v="1872"/>
    <d v="2022-06-21T00:30:00"/>
    <d v="1899-12-30T01:55:00"/>
    <n v="156.52173911934341"/>
    <s v="UNPLANNED"/>
    <x v="0"/>
    <d v="1899-12-30T22:35:00"/>
    <x v="2"/>
  </r>
  <r>
    <n v="5342"/>
    <x v="14"/>
    <n v="1115270067105"/>
    <x v="1871"/>
    <d v="2022-06-20T00:30:00"/>
    <d v="1899-12-30T01:55:00"/>
    <n v="156.52173911934341"/>
    <s v="UNPLANNED"/>
    <x v="1"/>
    <d v="1899-12-30T22:35:00"/>
    <x v="2"/>
  </r>
  <r>
    <n v="5343"/>
    <x v="14"/>
    <n v="1115270067105"/>
    <x v="1872"/>
    <d v="2022-06-21T00:30:00"/>
    <d v="1899-12-30T01:55:00"/>
    <n v="156.52173911934341"/>
    <s v="UNPLANNED"/>
    <x v="6"/>
    <d v="1899-12-30T22:35:00"/>
    <x v="2"/>
  </r>
  <r>
    <n v="5344"/>
    <x v="14"/>
    <n v="1115270067100"/>
    <x v="1871"/>
    <d v="2022-06-20T00:30:00"/>
    <d v="1899-12-30T01:55:00"/>
    <n v="156.52173911934341"/>
    <s v="UNPLANNED"/>
    <x v="1"/>
    <d v="1899-12-30T22:35:00"/>
    <x v="2"/>
  </r>
  <r>
    <n v="5345"/>
    <x v="2"/>
    <n v="12115271563008"/>
    <x v="1873"/>
    <d v="2022-06-21T13:50:00"/>
    <d v="1899-12-31T04:20:00"/>
    <n v="10.588235294124898"/>
    <s v="UNPLANNED"/>
    <x v="0"/>
    <d v="1899-12-30T09:30:00"/>
    <x v="0"/>
  </r>
  <r>
    <n v="5346"/>
    <x v="2"/>
    <n v="12115271563003"/>
    <x v="1873"/>
    <d v="2022-06-21T13:50:00"/>
    <d v="1899-12-31T04:20:00"/>
    <n v="10.588235294124898"/>
    <s v="UNPLANNED"/>
    <x v="1"/>
    <d v="1899-12-30T09:30:00"/>
    <x v="0"/>
  </r>
  <r>
    <n v="5347"/>
    <x v="2"/>
    <n v="12115271563001"/>
    <x v="1874"/>
    <d v="2022-06-21T13:50:00"/>
    <d v="1899-12-30T04:20:00"/>
    <n v="69.230769231079208"/>
    <s v="UNPLANNED"/>
    <x v="0"/>
    <d v="1899-12-30T09:30:00"/>
    <x v="0"/>
  </r>
  <r>
    <n v="5348"/>
    <x v="2"/>
    <n v="12115271563000"/>
    <x v="1874"/>
    <d v="2022-06-21T13:50:00"/>
    <d v="1899-12-30T04:20:00"/>
    <n v="69.230769231079208"/>
    <s v="UNPLANNED"/>
    <x v="1"/>
    <d v="1899-12-30T09:30:00"/>
    <x v="0"/>
  </r>
  <r>
    <n v="5349"/>
    <x v="2"/>
    <n v="12115271560116"/>
    <x v="1873"/>
    <d v="2022-06-21T13:50:00"/>
    <d v="1899-12-31T04:20:00"/>
    <n v="10.588235294124898"/>
    <s v="UNPLANNED"/>
    <x v="0"/>
    <d v="1899-12-30T09:30:00"/>
    <x v="0"/>
  </r>
  <r>
    <n v="5350"/>
    <x v="2"/>
    <n v="12115271560116"/>
    <x v="1873"/>
    <d v="2022-06-21T13:50:00"/>
    <d v="1899-12-31T04:20:00"/>
    <n v="10.588235294124898"/>
    <s v="UNPLANNED"/>
    <x v="0"/>
    <d v="1899-12-30T09:30:00"/>
    <x v="0"/>
  </r>
  <r>
    <n v="5351"/>
    <x v="2"/>
    <n v="12115271560114"/>
    <x v="1874"/>
    <d v="2022-06-21T13:50:00"/>
    <d v="1899-12-30T04:20:00"/>
    <n v="69.230769231079208"/>
    <s v="UNPLANNED"/>
    <x v="2"/>
    <d v="1899-12-30T09:30:00"/>
    <x v="0"/>
  </r>
  <r>
    <n v="5352"/>
    <x v="2"/>
    <n v="12115271560113"/>
    <x v="1874"/>
    <d v="2022-06-21T13:50:00"/>
    <d v="1899-12-30T04:20:00"/>
    <n v="69.230769231079208"/>
    <s v="UNPLANNED"/>
    <x v="1"/>
    <d v="1899-12-30T09:30:00"/>
    <x v="0"/>
  </r>
  <r>
    <n v="5353"/>
    <x v="6"/>
    <n v="9115271933512"/>
    <x v="1873"/>
    <d v="2022-06-21T13:50:00"/>
    <d v="1899-12-31T04:20:00"/>
    <n v="10.588235294124898"/>
    <s v="UNPLANNED"/>
    <x v="6"/>
    <d v="1899-12-30T09:30:00"/>
    <x v="0"/>
  </r>
  <r>
    <n v="5354"/>
    <x v="6"/>
    <n v="9115271933510"/>
    <x v="1873"/>
    <d v="2022-06-21T13:50:00"/>
    <d v="1899-12-31T04:20:00"/>
    <n v="10.588235294124898"/>
    <s v="UNPLANNED"/>
    <x v="0"/>
    <d v="1899-12-30T09:30:00"/>
    <x v="0"/>
  </r>
  <r>
    <n v="5355"/>
    <x v="6"/>
    <n v="9115271933502"/>
    <x v="1874"/>
    <d v="2022-06-21T13:50:00"/>
    <d v="1899-12-30T04:20:00"/>
    <n v="69.230769231079208"/>
    <s v="UNPLANNED"/>
    <x v="1"/>
    <d v="1899-12-30T09:30:00"/>
    <x v="0"/>
  </r>
  <r>
    <n v="5356"/>
    <x v="6"/>
    <n v="9115271933500"/>
    <x v="1874"/>
    <d v="2022-06-21T13:50:00"/>
    <d v="1899-12-30T04:20:00"/>
    <n v="69.230769231079208"/>
    <s v="UNPLANNED"/>
    <x v="6"/>
    <d v="1899-12-30T09:30:00"/>
    <x v="0"/>
  </r>
  <r>
    <n v="5357"/>
    <x v="0"/>
    <n v="5115271239408"/>
    <x v="1873"/>
    <d v="2022-06-21T13:50:00"/>
    <d v="1899-12-31T04:20:00"/>
    <n v="10.588235294124898"/>
    <s v="UNPLANNED"/>
    <x v="0"/>
    <d v="1899-12-30T09:30:00"/>
    <x v="0"/>
  </r>
  <r>
    <n v="5358"/>
    <x v="0"/>
    <n v="5115271239406"/>
    <x v="1873"/>
    <d v="2022-06-21T13:50:00"/>
    <d v="1899-12-31T04:20:00"/>
    <n v="10.588235294124898"/>
    <s v="UNPLANNED"/>
    <x v="0"/>
    <d v="1899-12-30T09:30:00"/>
    <x v="0"/>
  </r>
  <r>
    <n v="5359"/>
    <x v="0"/>
    <n v="5115271239401"/>
    <x v="1874"/>
    <d v="2022-06-21T13:50:00"/>
    <d v="1899-12-30T04:20:00"/>
    <n v="69.230769231079208"/>
    <s v="UNPLANNED"/>
    <x v="1"/>
    <d v="1899-12-30T09:30:00"/>
    <x v="0"/>
  </r>
  <r>
    <n v="5360"/>
    <x v="0"/>
    <n v="5115271239400"/>
    <x v="1874"/>
    <d v="2022-06-21T13:50:00"/>
    <d v="1899-12-30T04:20:00"/>
    <n v="69.230769231079208"/>
    <s v="UNPLANNED"/>
    <x v="1"/>
    <d v="1899-12-30T09:30:00"/>
    <x v="0"/>
  </r>
  <r>
    <n v="5361"/>
    <x v="13"/>
    <n v="3115270370508"/>
    <x v="1875"/>
    <d v="2022-06-21T16:30:00"/>
    <d v="1899-12-31T01:00:00"/>
    <n v="12.00000000002794"/>
    <s v="UNPLANNED"/>
    <x v="0"/>
    <d v="1899-12-30T15:30:00"/>
    <x v="1"/>
  </r>
  <r>
    <n v="5362"/>
    <x v="13"/>
    <n v="3115270370506"/>
    <x v="1876"/>
    <d v="2022-06-21T16:30:00"/>
    <d v="1899-12-30T01:00:00"/>
    <n v="300.0000000174623"/>
    <s v="UNPLANNED"/>
    <x v="1"/>
    <d v="1899-12-30T15:30:00"/>
    <x v="1"/>
  </r>
  <r>
    <n v="5363"/>
    <x v="13"/>
    <n v="3115270370505"/>
    <x v="1875"/>
    <d v="2022-06-21T16:30:00"/>
    <d v="1899-12-31T01:00:00"/>
    <n v="12.00000000002794"/>
    <s v="UNPLANNED"/>
    <x v="0"/>
    <d v="1899-12-30T15:30:00"/>
    <x v="1"/>
  </r>
  <r>
    <n v="5364"/>
    <x v="13"/>
    <n v="3115270370501"/>
    <x v="1876"/>
    <d v="2022-06-21T16:30:00"/>
    <d v="1899-12-30T01:00:00"/>
    <n v="300.0000000174623"/>
    <s v="UNPLANNED"/>
    <x v="1"/>
    <d v="1899-12-30T15:30:00"/>
    <x v="1"/>
  </r>
  <r>
    <n v="5365"/>
    <x v="4"/>
    <n v="15115271770509"/>
    <x v="1877"/>
    <d v="2022-06-21T20:50:00"/>
    <d v="1899-12-30T02:50:00"/>
    <n v="105.88235294190156"/>
    <s v="UNPLANNED"/>
    <x v="1"/>
    <d v="1899-12-30T18:00:00"/>
    <x v="1"/>
  </r>
  <r>
    <n v="5366"/>
    <x v="4"/>
    <n v="15115271770508"/>
    <x v="1877"/>
    <d v="2022-06-21T20:50:00"/>
    <d v="1899-12-30T02:50:00"/>
    <n v="105.88235294190156"/>
    <s v="UNPLANNED"/>
    <x v="1"/>
    <d v="1899-12-30T18:00:00"/>
    <x v="1"/>
  </r>
  <r>
    <n v="5367"/>
    <x v="1"/>
    <n v="6115271720407"/>
    <x v="1878"/>
    <d v="2022-06-21T20:50:00"/>
    <d v="1899-12-31T02:50:00"/>
    <n v="11.180124223610569"/>
    <s v="UNPLANNED"/>
    <x v="1"/>
    <d v="1899-12-30T18:00:00"/>
    <x v="1"/>
  </r>
  <r>
    <n v="5368"/>
    <x v="1"/>
    <n v="6115271720407"/>
    <x v="1877"/>
    <d v="2022-06-21T20:50:00"/>
    <d v="1899-12-30T02:50:00"/>
    <n v="105.88235294190156"/>
    <s v="UNPLANNED"/>
    <x v="1"/>
    <d v="1899-12-30T18:00:00"/>
    <x v="1"/>
  </r>
  <r>
    <n v="5369"/>
    <x v="1"/>
    <n v="6115271720402"/>
    <x v="1877"/>
    <d v="2022-06-21T20:50:00"/>
    <d v="1899-12-30T02:50:00"/>
    <n v="105.88235294190156"/>
    <s v="UNPLANNED"/>
    <x v="1"/>
    <d v="1899-12-30T18:00:00"/>
    <x v="1"/>
  </r>
  <r>
    <n v="5370"/>
    <x v="14"/>
    <n v="1115270052108"/>
    <x v="1879"/>
    <d v="2022-06-21T23:30:00"/>
    <d v="1899-12-30T00:45:00"/>
    <n v="400"/>
    <s v="UNPLANNED"/>
    <x v="1"/>
    <d v="1899-12-30T22:45:00"/>
    <x v="2"/>
  </r>
  <r>
    <n v="5371"/>
    <x v="14"/>
    <n v="1115270052104"/>
    <x v="1879"/>
    <d v="2022-06-21T23:30:00"/>
    <d v="1899-12-30T00:45:00"/>
    <n v="400"/>
    <s v="UNPLANNED"/>
    <x v="1"/>
    <d v="1899-12-30T22:45:00"/>
    <x v="2"/>
  </r>
  <r>
    <n v="5372"/>
    <x v="14"/>
    <n v="1115270052100"/>
    <x v="1879"/>
    <d v="2022-06-21T23:30:00"/>
    <d v="1899-12-30T00:45:00"/>
    <n v="400"/>
    <s v="UNPLANNED"/>
    <x v="1"/>
    <d v="1899-12-30T22:45:00"/>
    <x v="2"/>
  </r>
  <r>
    <n v="5373"/>
    <x v="2"/>
    <n v="12115271560819"/>
    <x v="1880"/>
    <d v="2022-06-22T06:00:00"/>
    <d v="1899-12-30T06:05:00"/>
    <n v="49.31506849377984"/>
    <s v="UNPLANNED"/>
    <x v="0"/>
    <d v="1899-12-30T23:55:00"/>
    <x v="2"/>
  </r>
  <r>
    <n v="5374"/>
    <x v="2"/>
    <n v="12115271560818"/>
    <x v="1880"/>
    <d v="2022-06-22T06:00:00"/>
    <d v="1899-12-30T06:05:00"/>
    <n v="49.31506849377984"/>
    <s v="UNPLANNED"/>
    <x v="0"/>
    <d v="1899-12-30T23:55:00"/>
    <x v="2"/>
  </r>
  <r>
    <n v="5375"/>
    <x v="7"/>
    <n v="7115271793205"/>
    <x v="1880"/>
    <d v="2022-06-22T06:00:00"/>
    <d v="1899-12-30T06:05:00"/>
    <n v="49.31506849377984"/>
    <s v="UNPLANNED"/>
    <x v="1"/>
    <d v="1899-12-30T23:55:00"/>
    <x v="2"/>
  </r>
  <r>
    <n v="5376"/>
    <x v="7"/>
    <n v="7115271793203"/>
    <x v="1880"/>
    <d v="2022-06-22T06:00:00"/>
    <d v="1899-12-30T06:05:00"/>
    <n v="49.31506849377984"/>
    <s v="UNPLANNED"/>
    <x v="1"/>
    <d v="1899-12-30T23:55:00"/>
    <x v="2"/>
  </r>
  <r>
    <n v="5377"/>
    <x v="14"/>
    <n v="1115270028107"/>
    <x v="1880"/>
    <d v="2022-06-22T06:00:00"/>
    <d v="1899-12-30T06:05:00"/>
    <n v="49.31506849377984"/>
    <s v="UNPLANNED"/>
    <x v="0"/>
    <d v="1899-12-30T23:55:00"/>
    <x v="2"/>
  </r>
  <r>
    <n v="5378"/>
    <x v="14"/>
    <n v="1115270028100"/>
    <x v="1880"/>
    <d v="2022-06-22T06:00:00"/>
    <d v="1899-12-30T06:05:00"/>
    <n v="49.31506849377984"/>
    <s v="UNPLANNED"/>
    <x v="0"/>
    <d v="1899-12-30T23:55:00"/>
    <x v="2"/>
  </r>
  <r>
    <n v="5379"/>
    <x v="14"/>
    <n v="1115270067506"/>
    <x v="1881"/>
    <d v="2022-06-22T08:30:00"/>
    <d v="1899-12-30T01:10:00"/>
    <n v="257.14285715141011"/>
    <s v="UNPLANNED"/>
    <x v="0"/>
    <d v="1899-12-30T07:20:00"/>
    <x v="0"/>
  </r>
  <r>
    <n v="5380"/>
    <x v="14"/>
    <n v="1115270067503"/>
    <x v="1881"/>
    <d v="2022-06-22T08:30:00"/>
    <d v="1899-12-30T01:10:00"/>
    <n v="257.14285715141011"/>
    <s v="UNPLANNED"/>
    <x v="0"/>
    <d v="1899-12-30T07:20:00"/>
    <x v="0"/>
  </r>
  <r>
    <n v="5381"/>
    <x v="14"/>
    <n v="1115270067502"/>
    <x v="1881"/>
    <d v="2022-06-22T08:30:00"/>
    <d v="1899-12-30T01:10:00"/>
    <n v="257.14285715141011"/>
    <s v="UNPLANNED"/>
    <x v="2"/>
    <d v="1899-12-30T07:20:00"/>
    <x v="0"/>
  </r>
  <r>
    <n v="5382"/>
    <x v="14"/>
    <n v="1115270067501"/>
    <x v="1881"/>
    <d v="2022-06-22T08:30:00"/>
    <d v="1899-12-30T01:10:00"/>
    <n v="257.14285715141011"/>
    <s v="UNPLANNED"/>
    <x v="0"/>
    <d v="1899-12-30T07:20:00"/>
    <x v="0"/>
  </r>
  <r>
    <n v="5383"/>
    <x v="4"/>
    <n v="15115271562409"/>
    <x v="1882"/>
    <d v="2022-06-22T13:55:00"/>
    <d v="1899-12-30T02:40:00"/>
    <n v="112.50000000163709"/>
    <s v="UNPLANNED"/>
    <x v="0"/>
    <d v="1899-12-30T11:15:00"/>
    <x v="0"/>
  </r>
  <r>
    <n v="5384"/>
    <x v="4"/>
    <n v="15115271562401"/>
    <x v="1882"/>
    <d v="2022-06-22T13:55:00"/>
    <d v="1899-12-30T02:40:00"/>
    <n v="112.50000000163709"/>
    <s v="UNPLANNED"/>
    <x v="1"/>
    <d v="1899-12-30T11:15:00"/>
    <x v="0"/>
  </r>
  <r>
    <n v="5385"/>
    <x v="12"/>
    <n v="14115271727407"/>
    <x v="1882"/>
    <d v="2022-06-22T13:55:00"/>
    <d v="1899-12-30T02:40:00"/>
    <n v="112.50000000163709"/>
    <s v="UNPLANNED"/>
    <x v="0"/>
    <d v="1899-12-30T11:15:00"/>
    <x v="0"/>
  </r>
  <r>
    <n v="5386"/>
    <x v="12"/>
    <n v="14115271727403"/>
    <x v="1882"/>
    <d v="2022-06-22T13:55:00"/>
    <d v="1899-12-30T02:40:00"/>
    <n v="112.50000000163709"/>
    <s v="UNPLANNED"/>
    <x v="0"/>
    <d v="1899-12-30T11:15:00"/>
    <x v="0"/>
  </r>
  <r>
    <n v="5387"/>
    <x v="12"/>
    <n v="14115271727400"/>
    <x v="1882"/>
    <d v="2022-06-22T13:55:00"/>
    <d v="1899-12-30T02:40:00"/>
    <n v="112.50000000163709"/>
    <s v="UNPLANNED"/>
    <x v="0"/>
    <d v="1899-12-30T11:15:00"/>
    <x v="0"/>
  </r>
  <r>
    <n v="5388"/>
    <x v="10"/>
    <n v="11115271521705"/>
    <x v="1882"/>
    <d v="2022-06-22T13:55:00"/>
    <d v="1899-12-30T02:40:00"/>
    <n v="112.50000000163709"/>
    <s v="UNPLANNED"/>
    <x v="0"/>
    <d v="1899-12-30T11:15:00"/>
    <x v="0"/>
  </r>
  <r>
    <n v="5389"/>
    <x v="10"/>
    <n v="11115271521703"/>
    <x v="1882"/>
    <d v="2022-06-22T13:55:00"/>
    <d v="1899-12-30T02:40:00"/>
    <n v="112.50000000163709"/>
    <s v="UNPLANNED"/>
    <x v="1"/>
    <d v="1899-12-30T11:15:00"/>
    <x v="0"/>
  </r>
  <r>
    <n v="5390"/>
    <x v="10"/>
    <n v="11115271521700"/>
    <x v="1882"/>
    <d v="2022-06-22T13:55:00"/>
    <d v="1899-12-30T02:40:00"/>
    <n v="112.50000000163709"/>
    <s v="UNPLANNED"/>
    <x v="1"/>
    <d v="1899-12-30T11:15:00"/>
    <x v="0"/>
  </r>
  <r>
    <n v="5391"/>
    <x v="10"/>
    <n v="11115271484005"/>
    <x v="1882"/>
    <d v="2022-06-22T13:55:00"/>
    <d v="1899-12-30T02:40:00"/>
    <n v="112.50000000163709"/>
    <s v="UNPLANNED"/>
    <x v="0"/>
    <d v="1899-12-30T11:15:00"/>
    <x v="0"/>
  </r>
  <r>
    <n v="5392"/>
    <x v="10"/>
    <n v="11115271484001"/>
    <x v="1882"/>
    <d v="2022-06-22T13:55:00"/>
    <d v="1899-12-30T02:40:00"/>
    <n v="112.50000000163709"/>
    <s v="UNPLANNED"/>
    <x v="0"/>
    <d v="1899-12-30T11:15:00"/>
    <x v="0"/>
  </r>
  <r>
    <n v="5393"/>
    <x v="10"/>
    <n v="11115271484000"/>
    <x v="1882"/>
    <d v="2022-06-22T13:55:00"/>
    <d v="1899-12-30T02:40:00"/>
    <n v="112.50000000163709"/>
    <s v="UNPLANNED"/>
    <x v="1"/>
    <d v="1899-12-30T11:15:00"/>
    <x v="0"/>
  </r>
  <r>
    <n v="5394"/>
    <x v="5"/>
    <n v="13115271608607"/>
    <x v="1883"/>
    <d v="2022-06-22T18:55:00"/>
    <d v="1899-12-30T02:25:00"/>
    <n v="124.1379310334861"/>
    <s v="UNPLANNED"/>
    <x v="0"/>
    <d v="1899-12-30T16:30:00"/>
    <x v="1"/>
  </r>
  <r>
    <n v="5395"/>
    <x v="5"/>
    <n v="13115271608606"/>
    <x v="1883"/>
    <d v="2022-06-22T18:55:00"/>
    <d v="1899-12-30T02:25:00"/>
    <n v="124.1379310334861"/>
    <s v="UNPLANNED"/>
    <x v="0"/>
    <d v="1899-12-30T16:30:00"/>
    <x v="1"/>
  </r>
  <r>
    <n v="5396"/>
    <x v="5"/>
    <n v="13115271608606"/>
    <x v="1883"/>
    <d v="2022-06-22T18:55:00"/>
    <d v="1899-12-30T02:25:00"/>
    <n v="124.1379310334861"/>
    <s v="UNPLANNED"/>
    <x v="1"/>
    <d v="1899-12-30T16:30:00"/>
    <x v="1"/>
  </r>
  <r>
    <n v="5397"/>
    <x v="5"/>
    <n v="13115271608600"/>
    <x v="1883"/>
    <d v="2022-06-22T18:55:00"/>
    <d v="1899-12-30T02:25:00"/>
    <n v="124.1379310334861"/>
    <s v="UNPLANNED"/>
    <x v="0"/>
    <d v="1899-12-30T16:30:00"/>
    <x v="1"/>
  </r>
  <r>
    <n v="5398"/>
    <x v="1"/>
    <n v="6115271698209"/>
    <x v="1883"/>
    <d v="2022-06-22T18:55:00"/>
    <d v="1899-12-30T02:25:00"/>
    <n v="124.1379310334861"/>
    <s v="UNPLANNED"/>
    <x v="0"/>
    <d v="1899-12-30T16:30:00"/>
    <x v="1"/>
  </r>
  <r>
    <n v="5399"/>
    <x v="1"/>
    <n v="6115271698205"/>
    <x v="1883"/>
    <d v="2022-06-22T18:55:00"/>
    <d v="1899-12-30T02:25:00"/>
    <n v="124.1379310334861"/>
    <s v="UNPLANNED"/>
    <x v="1"/>
    <d v="1899-12-30T16:30:00"/>
    <x v="1"/>
  </r>
  <r>
    <n v="5400"/>
    <x v="1"/>
    <n v="6115271698202"/>
    <x v="1883"/>
    <d v="2022-06-22T18:55:00"/>
    <d v="1899-12-30T02:25:00"/>
    <n v="124.1379310334861"/>
    <s v="UNPLANNED"/>
    <x v="0"/>
    <d v="1899-12-30T16:30:00"/>
    <x v="1"/>
  </r>
  <r>
    <n v="5401"/>
    <x v="1"/>
    <n v="6115271698200"/>
    <x v="1883"/>
    <d v="2022-06-22T18:55:00"/>
    <d v="1899-12-30T02:25:00"/>
    <n v="124.1379310334861"/>
    <s v="UNPLANNED"/>
    <x v="2"/>
    <d v="1899-12-30T16:30:00"/>
    <x v="1"/>
  </r>
  <r>
    <n v="5402"/>
    <x v="13"/>
    <n v="3115270360204"/>
    <x v="1883"/>
    <d v="2022-06-22T18:55:00"/>
    <d v="1899-12-30T02:25:00"/>
    <n v="124.1379310334861"/>
    <s v="UNPLANNED"/>
    <x v="0"/>
    <d v="1899-12-30T16:30:00"/>
    <x v="1"/>
  </r>
  <r>
    <n v="5403"/>
    <x v="13"/>
    <n v="3115270360200"/>
    <x v="1883"/>
    <d v="2022-06-22T18:55:00"/>
    <d v="1899-12-30T02:25:00"/>
    <n v="124.1379310334861"/>
    <s v="UNPLANNED"/>
    <x v="1"/>
    <d v="1899-12-30T16:30:00"/>
    <x v="1"/>
  </r>
  <r>
    <n v="5404"/>
    <x v="13"/>
    <n v="3115270360207"/>
    <x v="1884"/>
    <d v="2022-06-23T02:50:00"/>
    <d v="1899-12-30T02:49:59"/>
    <n v="105.89273458497404"/>
    <s v="UNPLANNED"/>
    <x v="0"/>
    <d v="1899-12-30T00:00:01"/>
    <x v="2"/>
  </r>
  <r>
    <n v="5405"/>
    <x v="13"/>
    <n v="3115270360206"/>
    <x v="1884"/>
    <d v="2022-06-23T02:50:00"/>
    <d v="1899-12-30T02:49:59"/>
    <n v="105.89273458497404"/>
    <s v="UNPLANNED"/>
    <x v="0"/>
    <d v="1899-12-30T00:00:01"/>
    <x v="2"/>
  </r>
  <r>
    <n v="5406"/>
    <x v="14"/>
    <n v="1115270107801"/>
    <x v="1884"/>
    <d v="2022-06-23T02:50:00"/>
    <d v="1899-12-30T02:49:59"/>
    <n v="105.89273458497404"/>
    <s v="UNPLANNED"/>
    <x v="0"/>
    <d v="1899-12-30T00:00:01"/>
    <x v="2"/>
  </r>
  <r>
    <n v="5407"/>
    <x v="14"/>
    <n v="1115270107800"/>
    <x v="1884"/>
    <d v="2022-06-23T02:50:00"/>
    <d v="1899-12-30T02:49:59"/>
    <n v="105.89273458497404"/>
    <s v="UNPLANNED"/>
    <x v="0"/>
    <d v="1899-12-30T00:00:01"/>
    <x v="2"/>
  </r>
  <r>
    <n v="5408"/>
    <x v="2"/>
    <n v="12115271573208"/>
    <x v="1885"/>
    <d v="2022-06-23T03:45:00"/>
    <d v="1899-12-30T00:45:00"/>
    <n v="400"/>
    <s v="UNPLANNED"/>
    <x v="1"/>
    <d v="1899-12-30T03:00:00"/>
    <x v="2"/>
  </r>
  <r>
    <n v="5409"/>
    <x v="2"/>
    <n v="12115271573207"/>
    <x v="1885"/>
    <d v="2022-06-23T03:45:00"/>
    <d v="1899-12-30T00:45:00"/>
    <n v="400"/>
    <s v="UNPLANNED"/>
    <x v="0"/>
    <d v="1899-12-30T03:00:00"/>
    <x v="2"/>
  </r>
  <r>
    <n v="5410"/>
    <x v="5"/>
    <n v="13115271601509"/>
    <x v="1886"/>
    <d v="2022-06-23T14:57:00"/>
    <d v="1899-12-30T07:17:00"/>
    <n v="41.189931350158311"/>
    <s v="UNPLANNED"/>
    <x v="1"/>
    <d v="1899-12-30T07:40:00"/>
    <x v="0"/>
  </r>
  <r>
    <n v="5411"/>
    <x v="5"/>
    <n v="13115271601504"/>
    <x v="1886"/>
    <d v="2022-06-23T14:57:00"/>
    <d v="1899-12-30T07:17:00"/>
    <n v="41.189931350158311"/>
    <s v="UNPLANNED"/>
    <x v="0"/>
    <d v="1899-12-30T07:40:00"/>
    <x v="0"/>
  </r>
  <r>
    <n v="5412"/>
    <x v="2"/>
    <n v="12115271573217"/>
    <x v="1887"/>
    <d v="2022-06-23T14:57:00"/>
    <d v="1899-12-30T01:22:00"/>
    <n v="219.51219510761572"/>
    <s v="UNPLANNED"/>
    <x v="6"/>
    <d v="1899-12-30T13:35:00"/>
    <x v="0"/>
  </r>
  <r>
    <n v="5413"/>
    <x v="10"/>
    <n v="11115271484001"/>
    <x v="1888"/>
    <d v="2022-06-23T14:57:00"/>
    <d v="1899-12-30T03:57:00"/>
    <n v="75.949367089502957"/>
    <s v="UNPLANNED"/>
    <x v="1"/>
    <d v="1899-12-30T11:00:00"/>
    <x v="0"/>
  </r>
  <r>
    <n v="5414"/>
    <x v="10"/>
    <n v="11115271484000"/>
    <x v="1888"/>
    <d v="2022-06-23T14:57:00"/>
    <d v="1899-12-30T03:57:00"/>
    <n v="75.949367089502957"/>
    <s v="UNPLANNED"/>
    <x v="1"/>
    <d v="1899-12-30T11:00:00"/>
    <x v="0"/>
  </r>
  <r>
    <n v="5415"/>
    <x v="7"/>
    <n v="7115271758709"/>
    <x v="1886"/>
    <d v="2022-06-23T14:57:00"/>
    <d v="1899-12-30T07:17:00"/>
    <n v="41.189931350158311"/>
    <s v="UNPLANNED"/>
    <x v="2"/>
    <d v="1899-12-30T07:40:00"/>
    <x v="0"/>
  </r>
  <r>
    <n v="5416"/>
    <x v="7"/>
    <n v="7115271758702"/>
    <x v="1886"/>
    <d v="2022-06-23T14:57:00"/>
    <d v="1899-12-30T07:17:00"/>
    <n v="41.189931350158311"/>
    <s v="UNPLANNED"/>
    <x v="0"/>
    <d v="1899-12-30T07:40:00"/>
    <x v="0"/>
  </r>
  <r>
    <n v="5417"/>
    <x v="1"/>
    <n v="6115271720800"/>
    <x v="1889"/>
    <d v="2022-06-23T14:57:00"/>
    <d v="1899-12-30T02:37:00"/>
    <n v="114.6496815298526"/>
    <s v="UNPLANNED"/>
    <x v="0"/>
    <d v="1899-12-30T12:20:00"/>
    <x v="0"/>
  </r>
  <r>
    <n v="5418"/>
    <x v="8"/>
    <n v="4115270879101"/>
    <x v="1890"/>
    <d v="2022-06-23T14:57:00"/>
    <d v="1899-12-30T03:37:00"/>
    <n v="82.949308753713353"/>
    <s v="UNPLANNED"/>
    <x v="0"/>
    <d v="1899-12-30T11:20:00"/>
    <x v="0"/>
  </r>
  <r>
    <n v="5419"/>
    <x v="8"/>
    <n v="4115270879100"/>
    <x v="1890"/>
    <d v="2022-06-23T14:57:00"/>
    <d v="1899-12-30T03:37:00"/>
    <n v="82.949308753713353"/>
    <s v="UNPLANNED"/>
    <x v="1"/>
    <d v="1899-12-30T11:20:00"/>
    <x v="0"/>
  </r>
  <r>
    <n v="5420"/>
    <x v="14"/>
    <n v="1115270008800"/>
    <x v="1891"/>
    <d v="2022-06-23T14:57:00"/>
    <d v="1899-12-30T01:52:00"/>
    <n v="160.7142857166244"/>
    <s v="UNPLANNED"/>
    <x v="0"/>
    <d v="1899-12-30T13:05:00"/>
    <x v="0"/>
  </r>
  <r>
    <n v="5421"/>
    <x v="10"/>
    <n v="11115271522401"/>
    <x v="1892"/>
    <d v="2022-06-23T20:00:00"/>
    <d v="1899-12-30T03:30:00"/>
    <n v="85.714285712860217"/>
    <s v="UNPLANNED"/>
    <x v="0"/>
    <d v="1899-12-30T16:30:00"/>
    <x v="1"/>
  </r>
  <r>
    <n v="5422"/>
    <x v="3"/>
    <n v="8115271820900"/>
    <x v="1892"/>
    <d v="2022-06-23T20:00:00"/>
    <d v="1899-12-30T03:30:00"/>
    <n v="85.714285712860217"/>
    <s v="UNPLANNED"/>
    <x v="1"/>
    <d v="1899-12-30T16:30:00"/>
    <x v="1"/>
  </r>
  <r>
    <n v="5423"/>
    <x v="3"/>
    <n v="8115271809904"/>
    <x v="1892"/>
    <d v="2022-06-23T20:00:00"/>
    <d v="1899-12-30T03:30:00"/>
    <n v="85.714285712860217"/>
    <s v="UNPLANNED"/>
    <x v="0"/>
    <d v="1899-12-30T16:30:00"/>
    <x v="1"/>
  </r>
  <r>
    <n v="5424"/>
    <x v="1"/>
    <n v="6115271722200"/>
    <x v="1892"/>
    <d v="2022-06-23T20:00:00"/>
    <d v="1899-12-30T03:30:00"/>
    <n v="85.714285712860217"/>
    <s v="UNPLANNED"/>
    <x v="0"/>
    <d v="1899-12-30T16:30:00"/>
    <x v="1"/>
  </r>
  <r>
    <n v="5425"/>
    <x v="14"/>
    <n v="1115270051800"/>
    <x v="1893"/>
    <d v="2022-06-25T00:15:00"/>
    <d v="1899-12-30T01:25:00"/>
    <n v="211.76470589685451"/>
    <s v="UNPLANNED"/>
    <x v="1"/>
    <d v="1899-12-30T22:50:00"/>
    <x v="2"/>
  </r>
  <r>
    <n v="5426"/>
    <x v="13"/>
    <n v="3115270311200"/>
    <x v="1894"/>
    <d v="2022-06-24T00:30:00"/>
    <d v="1899-12-30T01:50:00"/>
    <n v="163.63636363290004"/>
    <s v="UNPLANNED"/>
    <x v="0"/>
    <d v="1899-12-30T22:40:00"/>
    <x v="2"/>
  </r>
  <r>
    <n v="5427"/>
    <x v="9"/>
    <n v="2115270220700"/>
    <x v="1894"/>
    <d v="2022-06-24T00:30:00"/>
    <d v="1899-12-30T01:50:00"/>
    <n v="163.63636363290004"/>
    <s v="UNPLANNED"/>
    <x v="0"/>
    <d v="1899-12-30T22:40:00"/>
    <x v="2"/>
  </r>
  <r>
    <n v="5428"/>
    <x v="12"/>
    <n v="14115271679701"/>
    <x v="1895"/>
    <d v="2022-06-24T14:45:00"/>
    <d v="1899-12-30T02:27:00"/>
    <n v="122.44897958543658"/>
    <s v="UNPLANNED"/>
    <x v="0"/>
    <d v="1899-12-30T12:18:00"/>
    <x v="0"/>
  </r>
  <r>
    <n v="5429"/>
    <x v="12"/>
    <n v="14115271675406"/>
    <x v="1896"/>
    <d v="2022-06-24T14:45:00"/>
    <d v="1899-12-30T00:55:00"/>
    <n v="327.27272726580009"/>
    <s v="UNPLANNED"/>
    <x v="0"/>
    <d v="1899-12-30T13:50:00"/>
    <x v="0"/>
  </r>
  <r>
    <n v="5430"/>
    <x v="2"/>
    <n v="12115271587810"/>
    <x v="1896"/>
    <d v="2022-06-24T14:45:00"/>
    <d v="1899-12-30T00:55:00"/>
    <n v="327.27272726580009"/>
    <s v="UNPLANNED"/>
    <x v="0"/>
    <d v="1899-12-30T13:50:00"/>
    <x v="0"/>
  </r>
  <r>
    <n v="5431"/>
    <x v="1"/>
    <n v="6115271740811"/>
    <x v="1897"/>
    <d v="2022-06-24T14:45:00"/>
    <d v="1899-12-30T01:35:00"/>
    <n v="189.47368419891703"/>
    <s v="UNPLANNED"/>
    <x v="0"/>
    <d v="1899-12-30T13:10:00"/>
    <x v="0"/>
  </r>
  <r>
    <n v="5432"/>
    <x v="12"/>
    <n v="14115271724100"/>
    <x v="1898"/>
    <d v="2022-06-24T22:15:00"/>
    <d v="1899-12-30T07:15:00"/>
    <n v="41.379310344495366"/>
    <s v="UNPLANNED"/>
    <x v="6"/>
    <d v="1899-12-30T15:00:00"/>
    <x v="1"/>
  </r>
  <r>
    <n v="5433"/>
    <x v="12"/>
    <n v="14115271713200"/>
    <x v="1899"/>
    <d v="2022-06-24T22:15:00"/>
    <d v="1899-12-30T05:05:00"/>
    <n v="59.016393442848212"/>
    <s v="UNPLANNED"/>
    <x v="1"/>
    <d v="1899-12-30T17:10:00"/>
    <x v="1"/>
  </r>
  <r>
    <n v="5434"/>
    <x v="12"/>
    <n v="14115271701104"/>
    <x v="1898"/>
    <d v="2022-06-24T22:15:00"/>
    <d v="1899-12-30T07:15:00"/>
    <n v="41.379310344495366"/>
    <s v="UNPLANNED"/>
    <x v="1"/>
    <d v="1899-12-30T15:00:00"/>
    <x v="1"/>
  </r>
  <r>
    <n v="5435"/>
    <x v="12"/>
    <n v="14115271691510"/>
    <x v="1898"/>
    <d v="2022-06-24T22:15:00"/>
    <d v="1899-12-30T07:15:00"/>
    <n v="41.379310344495366"/>
    <s v="UNPLANNED"/>
    <x v="1"/>
    <d v="1899-12-30T15:00:00"/>
    <x v="1"/>
  </r>
  <r>
    <n v="5436"/>
    <x v="2"/>
    <n v="12115271574314"/>
    <x v="1899"/>
    <d v="2022-06-24T22:15:00"/>
    <d v="1899-12-30T05:05:00"/>
    <n v="59.016393442848212"/>
    <s v="UNPLANNED"/>
    <x v="1"/>
    <d v="1899-12-30T17:10:00"/>
    <x v="1"/>
  </r>
  <r>
    <n v="5437"/>
    <x v="2"/>
    <n v="12115271573208"/>
    <x v="1899"/>
    <d v="2022-06-24T22:15:00"/>
    <d v="1899-12-30T05:05:00"/>
    <n v="59.016393442848212"/>
    <s v="UNPLANNED"/>
    <x v="1"/>
    <d v="1899-12-30T17:10:00"/>
    <x v="1"/>
  </r>
  <r>
    <n v="5438"/>
    <x v="10"/>
    <n v="11115271533700"/>
    <x v="1898"/>
    <d v="2022-06-24T22:15:00"/>
    <d v="1899-12-30T07:15:00"/>
    <n v="41.379310344495366"/>
    <s v="UNPLANNED"/>
    <x v="0"/>
    <d v="1899-12-30T15:00:00"/>
    <x v="1"/>
  </r>
  <r>
    <n v="5439"/>
    <x v="11"/>
    <n v="10115271963600"/>
    <x v="1898"/>
    <d v="2022-06-24T22:15:00"/>
    <d v="1899-12-30T07:15:00"/>
    <n v="41.379310344495366"/>
    <s v="UNPLANNED"/>
    <x v="6"/>
    <d v="1899-12-30T15:00:00"/>
    <x v="1"/>
  </r>
  <r>
    <n v="5440"/>
    <x v="3"/>
    <n v="8115271839102"/>
    <x v="1899"/>
    <d v="2022-06-24T22:15:00"/>
    <d v="1899-12-30T05:05:00"/>
    <n v="59.016393442848212"/>
    <s v="UNPLANNED"/>
    <x v="1"/>
    <d v="1899-12-30T17:10:00"/>
    <x v="1"/>
  </r>
  <r>
    <n v="5441"/>
    <x v="7"/>
    <n v="7115271784902"/>
    <x v="1899"/>
    <d v="2022-06-24T22:15:00"/>
    <d v="1899-12-30T05:05:00"/>
    <n v="59.016393442848212"/>
    <s v="UNPLANNED"/>
    <x v="1"/>
    <d v="1899-12-30T17:10:00"/>
    <x v="1"/>
  </r>
  <r>
    <n v="5442"/>
    <x v="7"/>
    <n v="7115271784900"/>
    <x v="1899"/>
    <d v="2022-06-24T22:15:00"/>
    <d v="1899-12-30T05:05:00"/>
    <n v="59.016393442848212"/>
    <s v="UNPLANNED"/>
    <x v="0"/>
    <d v="1899-12-30T17:10:00"/>
    <x v="1"/>
  </r>
  <r>
    <n v="5443"/>
    <x v="7"/>
    <n v="7115271759014"/>
    <x v="1899"/>
    <d v="2022-06-24T22:15:00"/>
    <d v="1899-12-30T05:05:00"/>
    <n v="59.016393442848212"/>
    <s v="UNPLANNED"/>
    <x v="1"/>
    <d v="1899-12-30T17:10:00"/>
    <x v="1"/>
  </r>
  <r>
    <n v="5444"/>
    <x v="8"/>
    <n v="4115270848700"/>
    <x v="1898"/>
    <d v="2022-06-24T22:15:00"/>
    <d v="1899-12-30T07:15:00"/>
    <n v="41.379310344495366"/>
    <s v="UNPLANNED"/>
    <x v="1"/>
    <d v="1899-12-30T15:00:00"/>
    <x v="1"/>
  </r>
  <r>
    <n v="5445"/>
    <x v="13"/>
    <n v="3115270421800"/>
    <x v="1898"/>
    <d v="2022-06-24T22:15:00"/>
    <d v="1899-12-30T07:15:00"/>
    <n v="41.379310344495366"/>
    <s v="UNPLANNED"/>
    <x v="1"/>
    <d v="1899-12-30T15:00:00"/>
    <x v="1"/>
  </r>
  <r>
    <n v="5446"/>
    <x v="13"/>
    <n v="3115270333900"/>
    <x v="1898"/>
    <d v="2022-06-24T22:15:00"/>
    <d v="1899-12-30T07:15:00"/>
    <n v="41.379310344495366"/>
    <s v="UNPLANNED"/>
    <x v="0"/>
    <d v="1899-12-30T15:00:00"/>
    <x v="1"/>
  </r>
  <r>
    <n v="5447"/>
    <x v="13"/>
    <n v="3115270321900"/>
    <x v="1898"/>
    <d v="2022-06-24T22:15:00"/>
    <d v="1899-12-30T07:15:00"/>
    <n v="41.379310344495366"/>
    <s v="UNPLANNED"/>
    <x v="0"/>
    <d v="1899-12-30T15:00:00"/>
    <x v="1"/>
  </r>
  <r>
    <n v="5448"/>
    <x v="13"/>
    <n v="3115270309300"/>
    <x v="1899"/>
    <d v="2022-06-24T22:15:00"/>
    <d v="1899-12-30T05:05:00"/>
    <n v="59.016393442848212"/>
    <s v="UNPLANNED"/>
    <x v="2"/>
    <d v="1899-12-30T17:10:00"/>
    <x v="1"/>
  </r>
  <r>
    <n v="5449"/>
    <x v="14"/>
    <n v="1115270088100"/>
    <x v="1899"/>
    <d v="2022-06-24T22:15:00"/>
    <d v="1899-12-30T05:05:00"/>
    <n v="59.016393442848212"/>
    <s v="UNPLANNED"/>
    <x v="1"/>
    <d v="1899-12-30T17:10:00"/>
    <x v="1"/>
  </r>
  <r>
    <n v="5450"/>
    <x v="14"/>
    <n v="1115270059800"/>
    <x v="1899"/>
    <d v="2022-06-24T22:15:00"/>
    <d v="1899-12-30T05:05:00"/>
    <n v="59.016393442848212"/>
    <s v="UNPLANNED"/>
    <x v="1"/>
    <d v="1899-12-30T17:10:00"/>
    <x v="1"/>
  </r>
  <r>
    <n v="5451"/>
    <x v="13"/>
    <n v="3115270366904"/>
    <x v="1893"/>
    <d v="2022-06-25T00:15:00"/>
    <d v="1899-12-30T01:25:00"/>
    <n v="211.76470589685451"/>
    <s v="UNPLANNED"/>
    <x v="1"/>
    <d v="1899-12-30T22:50:00"/>
    <x v="2"/>
  </r>
  <r>
    <n v="5452"/>
    <x v="14"/>
    <n v="1115270075200"/>
    <x v="1893"/>
    <d v="2022-06-25T00:15:00"/>
    <d v="1899-12-30T01:25:00"/>
    <n v="211.76470589685451"/>
    <s v="UNPLANNED"/>
    <x v="1"/>
    <d v="1899-12-30T22:50:00"/>
    <x v="2"/>
  </r>
  <r>
    <n v="5453"/>
    <x v="7"/>
    <n v="7115271773616"/>
    <x v="1900"/>
    <d v="2022-06-25T02:30:00"/>
    <d v="1899-12-30T01:50:00"/>
    <n v="163.63636364848622"/>
    <s v="UNPLANNED"/>
    <x v="0"/>
    <d v="1899-12-30T00:40:00"/>
    <x v="2"/>
  </r>
  <r>
    <n v="5454"/>
    <x v="8"/>
    <n v="4115270832700"/>
    <x v="1900"/>
    <d v="2022-06-25T02:30:00"/>
    <d v="1899-12-30T01:50:00"/>
    <n v="163.63636364848622"/>
    <s v="UNPLANNED"/>
    <x v="1"/>
    <d v="1899-12-30T00:40:00"/>
    <x v="2"/>
  </r>
  <r>
    <n v="5455"/>
    <x v="12"/>
    <n v="14115271679604"/>
    <x v="1901"/>
    <d v="2022-06-25T15:15:00"/>
    <d v="1899-12-30T07:15:00"/>
    <n v="41.37931034549203"/>
    <s v="UNPLANNED"/>
    <x v="1"/>
    <d v="1899-12-30T08:00:00"/>
    <x v="0"/>
  </r>
  <r>
    <n v="5456"/>
    <x v="5"/>
    <n v="13115271592407"/>
    <x v="1902"/>
    <d v="2022-06-25T15:15:00"/>
    <d v="1899-12-30T05:55:00"/>
    <n v="50.704225352944057"/>
    <s v="UNPLANNED"/>
    <x v="0"/>
    <d v="1899-12-30T09:20:00"/>
    <x v="0"/>
  </r>
  <r>
    <n v="5457"/>
    <x v="2"/>
    <n v="12115271581915"/>
    <x v="1903"/>
    <d v="2022-06-25T15:15:00"/>
    <d v="1899-12-30T02:35:00"/>
    <n v="116.12903226416995"/>
    <s v="UNPLANNED"/>
    <x v="1"/>
    <d v="1899-12-30T12:40:00"/>
    <x v="0"/>
  </r>
  <r>
    <n v="5458"/>
    <x v="2"/>
    <n v="12115271577320"/>
    <x v="1903"/>
    <d v="2022-06-25T15:15:00"/>
    <d v="1899-12-30T02:35:00"/>
    <n v="116.12903226416995"/>
    <s v="UNPLANNED"/>
    <x v="1"/>
    <d v="1899-12-30T12:40:00"/>
    <x v="0"/>
  </r>
  <r>
    <n v="5459"/>
    <x v="2"/>
    <n v="12115271573214"/>
    <x v="1903"/>
    <d v="2022-06-25T15:15:00"/>
    <d v="1899-12-30T02:35:00"/>
    <n v="116.12903226416995"/>
    <s v="UNPLANNED"/>
    <x v="0"/>
    <d v="1899-12-30T12:40:00"/>
    <x v="0"/>
  </r>
  <r>
    <n v="5460"/>
    <x v="11"/>
    <n v="10115271472701"/>
    <x v="1902"/>
    <d v="2022-06-25T15:15:00"/>
    <d v="1899-12-30T05:55:00"/>
    <n v="50.704225352944057"/>
    <s v="UNPLANNED"/>
    <x v="2"/>
    <d v="1899-12-30T09:20:00"/>
    <x v="0"/>
  </r>
  <r>
    <n v="5461"/>
    <x v="11"/>
    <n v="10115271433900"/>
    <x v="1901"/>
    <d v="2022-06-25T15:15:00"/>
    <d v="1899-12-30T07:15:00"/>
    <n v="41.37931034549203"/>
    <s v="UNPLANNED"/>
    <x v="1"/>
    <d v="1899-12-30T08:00:00"/>
    <x v="0"/>
  </r>
  <r>
    <n v="5462"/>
    <x v="3"/>
    <n v="8115271872100"/>
    <x v="1904"/>
    <d v="2022-06-25T15:15:00"/>
    <d v="1899-12-30T04:21:00"/>
    <n v="68.965517243594107"/>
    <s v="UNPLANNED"/>
    <x v="0"/>
    <d v="1899-12-30T10:54:00"/>
    <x v="0"/>
  </r>
  <r>
    <n v="5463"/>
    <x v="0"/>
    <n v="5115271271100"/>
    <x v="1902"/>
    <d v="2022-06-25T15:15:00"/>
    <d v="1899-12-30T05:55:00"/>
    <n v="50.704225352944057"/>
    <s v="UNPLANNED"/>
    <x v="0"/>
    <d v="1899-12-30T09:20:00"/>
    <x v="0"/>
  </r>
  <r>
    <n v="5464"/>
    <x v="0"/>
    <n v="5115271239300"/>
    <x v="1902"/>
    <d v="2022-06-25T15:15:00"/>
    <d v="1899-12-30T05:55:00"/>
    <n v="50.704225352944057"/>
    <s v="UNPLANNED"/>
    <x v="0"/>
    <d v="1899-12-30T09:20:00"/>
    <x v="0"/>
  </r>
  <r>
    <n v="5465"/>
    <x v="13"/>
    <n v="3115270395000"/>
    <x v="1902"/>
    <d v="2022-06-25T15:15:00"/>
    <d v="1899-12-30T05:55:00"/>
    <n v="50.704225352944057"/>
    <s v="UNPLANNED"/>
    <x v="0"/>
    <d v="1899-12-30T09:20:00"/>
    <x v="0"/>
  </r>
  <r>
    <n v="5466"/>
    <x v="13"/>
    <n v="3115270393600"/>
    <x v="1901"/>
    <d v="2022-06-25T15:15:00"/>
    <d v="1899-12-30T07:15:00"/>
    <n v="41.37931034549203"/>
    <s v="UNPLANNED"/>
    <x v="0"/>
    <d v="1899-12-30T08:00:00"/>
    <x v="0"/>
  </r>
  <r>
    <n v="5467"/>
    <x v="13"/>
    <n v="3115270375403"/>
    <x v="1903"/>
    <d v="2022-06-25T15:15:00"/>
    <d v="1899-12-30T02:35:00"/>
    <n v="116.12903226416995"/>
    <s v="UNPLANNED"/>
    <x v="0"/>
    <d v="1899-12-30T12:40:00"/>
    <x v="0"/>
  </r>
  <r>
    <n v="5468"/>
    <x v="14"/>
    <n v="1115270088100"/>
    <x v="1903"/>
    <d v="2022-06-25T15:15:00"/>
    <d v="1899-12-30T02:35:00"/>
    <n v="116.12903226416995"/>
    <s v="UNPLANNED"/>
    <x v="1"/>
    <d v="1899-12-30T12:40:00"/>
    <x v="0"/>
  </r>
  <r>
    <n v="5469"/>
    <x v="7"/>
    <n v="7115271799401"/>
    <x v="1905"/>
    <d v="2022-06-25T17:30:00"/>
    <d v="1899-12-30T02:30:00"/>
    <n v="120.00000000279397"/>
    <s v="UNPLANNED"/>
    <x v="0"/>
    <d v="1899-12-30T15:00:00"/>
    <x v="1"/>
  </r>
  <r>
    <n v="5470"/>
    <x v="1"/>
    <n v="6115271740819"/>
    <x v="1905"/>
    <d v="2022-06-25T17:30:00"/>
    <d v="1899-12-30T02:30:00"/>
    <n v="120.00000000279397"/>
    <s v="UNPLANNED"/>
    <x v="0"/>
    <d v="1899-12-30T15:00:00"/>
    <x v="1"/>
  </r>
  <r>
    <n v="5471"/>
    <x v="13"/>
    <n v="3115270421800"/>
    <x v="1905"/>
    <d v="2022-06-25T17:30:00"/>
    <d v="1899-12-30T02:30:00"/>
    <n v="120.00000000279397"/>
    <s v="UNPLANNED"/>
    <x v="0"/>
    <d v="1899-12-30T15:00:00"/>
    <x v="1"/>
  </r>
  <r>
    <n v="5472"/>
    <x v="13"/>
    <n v="3115270386500"/>
    <x v="1905"/>
    <d v="2022-06-25T17:30:00"/>
    <d v="1899-12-30T02:30:00"/>
    <n v="120.00000000279397"/>
    <s v="UNPLANNED"/>
    <x v="0"/>
    <d v="1899-12-30T15:00:00"/>
    <x v="1"/>
  </r>
  <r>
    <n v="5473"/>
    <x v="4"/>
    <n v="15115271779303"/>
    <x v="1906"/>
    <d v="2022-06-25T22:05:00"/>
    <d v="1899-12-30T03:35:00"/>
    <n v="83.720930233011458"/>
    <s v="UNPLANNED"/>
    <x v="0"/>
    <d v="1899-12-30T18:30:00"/>
    <x v="1"/>
  </r>
  <r>
    <n v="5474"/>
    <x v="10"/>
    <n v="11115271542600"/>
    <x v="1906"/>
    <d v="2022-06-25T22:05:00"/>
    <d v="1899-12-30T03:35:00"/>
    <n v="83.720930233011458"/>
    <s v="UNPLANNED"/>
    <x v="1"/>
    <d v="1899-12-30T18:30:00"/>
    <x v="1"/>
  </r>
  <r>
    <n v="5475"/>
    <x v="6"/>
    <n v="9115271893508"/>
    <x v="1906"/>
    <d v="2022-06-25T22:05:00"/>
    <d v="1899-12-30T03:35:00"/>
    <n v="83.720930233011458"/>
    <s v="UNPLANNED"/>
    <x v="0"/>
    <d v="1899-12-30T18:30:00"/>
    <x v="1"/>
  </r>
  <r>
    <n v="5476"/>
    <x v="3"/>
    <n v="8115271821827"/>
    <x v="1906"/>
    <d v="2022-06-25T22:05:00"/>
    <d v="1899-12-30T03:35:00"/>
    <n v="83.720930233011458"/>
    <s v="UNPLANNED"/>
    <x v="2"/>
    <d v="1899-12-30T18:30:00"/>
    <x v="1"/>
  </r>
  <r>
    <n v="5477"/>
    <x v="7"/>
    <n v="7115271783000"/>
    <x v="1906"/>
    <d v="2022-06-25T22:05:00"/>
    <d v="1899-12-30T03:35:00"/>
    <n v="83.720930233011458"/>
    <s v="UNPLANNED"/>
    <x v="0"/>
    <d v="1899-12-30T18:30:00"/>
    <x v="1"/>
  </r>
  <r>
    <n v="5478"/>
    <x v="13"/>
    <n v="3115270400400"/>
    <x v="1906"/>
    <d v="2022-06-25T22:05:00"/>
    <d v="1899-12-30T03:35:00"/>
    <n v="83.720930233011458"/>
    <s v="UNPLANNED"/>
    <x v="1"/>
    <d v="1899-12-30T18:30:00"/>
    <x v="1"/>
  </r>
  <r>
    <n v="5479"/>
    <x v="13"/>
    <n v="3115270370400"/>
    <x v="1906"/>
    <d v="2022-06-25T22:05:00"/>
    <d v="1899-12-30T03:35:00"/>
    <n v="83.720930233011458"/>
    <s v="UNPLANNED"/>
    <x v="0"/>
    <d v="1899-12-30T18:30:00"/>
    <x v="1"/>
  </r>
  <r>
    <n v="5480"/>
    <x v="9"/>
    <n v="2115270262100"/>
    <x v="1906"/>
    <d v="2022-06-25T22:05:00"/>
    <d v="1899-12-30T03:35:00"/>
    <n v="83.720930233011458"/>
    <s v="UNPLANNED"/>
    <x v="1"/>
    <d v="1899-12-30T18:30:00"/>
    <x v="1"/>
  </r>
  <r>
    <n v="5481"/>
    <x v="10"/>
    <n v="11115271559103"/>
    <x v="1907"/>
    <d v="2022-06-26T01:30:00"/>
    <d v="1899-12-30T01:50:00"/>
    <n v="163.63636363290004"/>
    <s v="UNPLANNED"/>
    <x v="1"/>
    <d v="1899-12-30T23:40:00"/>
    <x v="2"/>
  </r>
  <r>
    <n v="5482"/>
    <x v="3"/>
    <n v="8115271808113"/>
    <x v="1907"/>
    <d v="2022-06-26T01:30:00"/>
    <d v="1899-12-30T01:50:00"/>
    <n v="163.63636363290004"/>
    <s v="UNPLANNED"/>
    <x v="0"/>
    <d v="1899-12-30T23:40:00"/>
    <x v="2"/>
  </r>
  <r>
    <n v="5483"/>
    <x v="14"/>
    <n v="1115270097400"/>
    <x v="1907"/>
    <d v="2022-06-26T01:30:00"/>
    <d v="1899-12-30T01:50:00"/>
    <n v="163.63636363290004"/>
    <s v="UNPLANNED"/>
    <x v="0"/>
    <d v="1899-12-30T23:40:00"/>
    <x v="2"/>
  </r>
  <r>
    <n v="5484"/>
    <x v="2"/>
    <n v="12115271581913"/>
    <x v="1908"/>
    <d v="2022-06-26T04:30:00"/>
    <d v="1899-12-30T01:15:00"/>
    <n v="239.99999998882413"/>
    <s v="UNPLANNED"/>
    <x v="0"/>
    <d v="1899-12-30T03:15:00"/>
    <x v="2"/>
  </r>
  <r>
    <n v="5485"/>
    <x v="2"/>
    <n v="12115271571047"/>
    <x v="1908"/>
    <d v="2022-06-26T04:30:00"/>
    <d v="1899-12-30T01:15:00"/>
    <n v="239.99999998882413"/>
    <s v="UNPLANNED"/>
    <x v="0"/>
    <d v="1899-12-30T03:15:00"/>
    <x v="2"/>
  </r>
  <r>
    <n v="5486"/>
    <x v="10"/>
    <n v="11115271508100"/>
    <x v="1909"/>
    <d v="2022-06-26T13:45:00"/>
    <d v="1899-12-30T05:53:00"/>
    <n v="50.991501416699656"/>
    <s v="UNPLANNED"/>
    <x v="0"/>
    <d v="1899-12-30T07:52:00"/>
    <x v="0"/>
  </r>
  <r>
    <n v="5487"/>
    <x v="11"/>
    <n v="10115271456100"/>
    <x v="1909"/>
    <d v="2022-06-26T13:45:00"/>
    <d v="1899-12-30T05:53:00"/>
    <n v="50.991501416699656"/>
    <s v="UNPLANNED"/>
    <x v="0"/>
    <d v="1899-12-30T07:52:00"/>
    <x v="0"/>
  </r>
  <r>
    <n v="5488"/>
    <x v="11"/>
    <n v="10115271455800"/>
    <x v="1910"/>
    <d v="2022-06-26T13:45:00"/>
    <d v="1899-12-30T04:15:00"/>
    <n v="70.588235296051195"/>
    <s v="UNPLANNED"/>
    <x v="2"/>
    <d v="1899-12-30T09:30:00"/>
    <x v="0"/>
  </r>
  <r>
    <n v="5489"/>
    <x v="6"/>
    <n v="9115271933700"/>
    <x v="1910"/>
    <d v="2022-06-26T13:45:00"/>
    <d v="1899-12-30T04:15:00"/>
    <n v="70.588235296051195"/>
    <s v="UNPLANNED"/>
    <x v="0"/>
    <d v="1899-12-30T09:30:00"/>
    <x v="0"/>
  </r>
  <r>
    <n v="5490"/>
    <x v="7"/>
    <n v="7115271787300"/>
    <x v="1910"/>
    <d v="2022-06-26T13:45:00"/>
    <d v="1899-12-30T04:15:00"/>
    <n v="70.588235296051195"/>
    <s v="UNPLANNED"/>
    <x v="1"/>
    <d v="1899-12-30T09:30:00"/>
    <x v="0"/>
  </r>
  <r>
    <n v="5491"/>
    <x v="7"/>
    <n v="7115271783301"/>
    <x v="1909"/>
    <d v="2022-06-26T13:45:00"/>
    <d v="1899-12-30T05:53:00"/>
    <n v="50.991501416699656"/>
    <s v="UNPLANNED"/>
    <x v="0"/>
    <d v="1899-12-30T07:52:00"/>
    <x v="0"/>
  </r>
  <r>
    <n v="5492"/>
    <x v="9"/>
    <n v="2115270205200"/>
    <x v="1910"/>
    <d v="2022-06-26T13:45:00"/>
    <d v="1899-12-30T04:15:00"/>
    <n v="70.588235296051195"/>
    <s v="UNPLANNED"/>
    <x v="0"/>
    <d v="1899-12-30T09:30:00"/>
    <x v="0"/>
  </r>
  <r>
    <n v="5493"/>
    <x v="2"/>
    <n v="12115271560172"/>
    <x v="1911"/>
    <d v="2022-06-26T22:10:00"/>
    <d v="1899-12-30T01:10:00"/>
    <n v="257.14285715141011"/>
    <s v="UNPLANNED"/>
    <x v="1"/>
    <d v="1899-12-30T21:00:00"/>
    <x v="1"/>
  </r>
  <r>
    <n v="5494"/>
    <x v="10"/>
    <n v="11115271559202"/>
    <x v="1912"/>
    <d v="2022-06-26T22:10:00"/>
    <d v="1899-12-30T03:10:00"/>
    <n v="94.736842104682694"/>
    <s v="UNPLANNED"/>
    <x v="1"/>
    <d v="1899-12-30T19:00:00"/>
    <x v="1"/>
  </r>
  <r>
    <n v="5495"/>
    <x v="10"/>
    <n v="11115271542605"/>
    <x v="1911"/>
    <d v="2022-06-26T22:10:00"/>
    <d v="1899-12-30T01:10:00"/>
    <n v="257.14285715141011"/>
    <s v="UNPLANNED"/>
    <x v="1"/>
    <d v="1899-12-30T21:00:00"/>
    <x v="1"/>
  </r>
  <r>
    <n v="5496"/>
    <x v="8"/>
    <n v="4115270826700"/>
    <x v="1912"/>
    <d v="2022-06-26T22:10:00"/>
    <d v="1899-12-30T03:10:00"/>
    <n v="94.736842104682694"/>
    <s v="UNPLANNED"/>
    <x v="1"/>
    <d v="1899-12-30T19:00:00"/>
    <x v="1"/>
  </r>
  <r>
    <n v="5497"/>
    <x v="14"/>
    <n v="1115270075200"/>
    <x v="1912"/>
    <d v="2022-06-26T22:10:00"/>
    <d v="1899-12-30T03:10:00"/>
    <n v="94.736842104682694"/>
    <s v="UNPLANNED"/>
    <x v="0"/>
    <d v="1899-12-30T19:00:00"/>
    <x v="1"/>
  </r>
  <r>
    <n v="5498"/>
    <x v="5"/>
    <n v="13115271590601"/>
    <x v="1913"/>
    <d v="2022-06-27T03:30:00"/>
    <d v="1899-12-30T04:45:00"/>
    <n v="63.157894735294192"/>
    <s v="UNPLANNED"/>
    <x v="0"/>
    <d v="1899-12-30T22:45:00"/>
    <x v="2"/>
  </r>
  <r>
    <n v="5499"/>
    <x v="2"/>
    <n v="12115271562908"/>
    <x v="1913"/>
    <d v="2022-06-27T03:30:00"/>
    <d v="1899-12-30T04:45:00"/>
    <n v="63.157894735294192"/>
    <s v="UNPLANNED"/>
    <x v="0"/>
    <d v="1899-12-30T22:45:00"/>
    <x v="2"/>
  </r>
  <r>
    <n v="5500"/>
    <x v="3"/>
    <n v="8115271820900"/>
    <x v="1913"/>
    <d v="2022-06-27T03:30:00"/>
    <d v="1899-12-30T04:45:00"/>
    <n v="63.157894735294192"/>
    <s v="UNPLANNED"/>
    <x v="0"/>
    <d v="1899-12-30T22:45:00"/>
    <x v="2"/>
  </r>
  <r>
    <n v="5501"/>
    <x v="7"/>
    <n v="7115271793802"/>
    <x v="1913"/>
    <d v="2022-06-27T03:30:00"/>
    <d v="1899-12-30T04:45:00"/>
    <n v="63.157894735294192"/>
    <s v="UNPLANNED"/>
    <x v="0"/>
    <d v="1899-12-30T22:45:00"/>
    <x v="2"/>
  </r>
  <r>
    <n v="5502"/>
    <x v="7"/>
    <n v="7115271790303"/>
    <x v="1913"/>
    <d v="2022-06-27T03:30:00"/>
    <d v="1899-12-30T04:45:00"/>
    <n v="63.157894735294192"/>
    <s v="UNPLANNED"/>
    <x v="0"/>
    <d v="1899-12-30T22:45:00"/>
    <x v="2"/>
  </r>
  <r>
    <n v="5503"/>
    <x v="1"/>
    <n v="6115271733307"/>
    <x v="1913"/>
    <d v="2022-06-27T03:30:00"/>
    <d v="1899-12-30T04:45:00"/>
    <n v="63.157894735294192"/>
    <s v="UNPLANNED"/>
    <x v="1"/>
    <d v="1899-12-30T22:45:00"/>
    <x v="2"/>
  </r>
  <r>
    <n v="5504"/>
    <x v="1"/>
    <n v="6115271732100"/>
    <x v="1913"/>
    <d v="2022-06-27T03:30:00"/>
    <d v="1899-12-30T04:45:00"/>
    <n v="63.157894735294192"/>
    <s v="UNPLANNED"/>
    <x v="0"/>
    <d v="1899-12-30T22:45:00"/>
    <x v="2"/>
  </r>
  <r>
    <n v="5505"/>
    <x v="1"/>
    <n v="6115271698503"/>
    <x v="1913"/>
    <d v="2022-06-27T03:30:00"/>
    <d v="1899-12-30T04:45:00"/>
    <n v="63.157894735294192"/>
    <s v="UNPLANNED"/>
    <x v="0"/>
    <d v="1899-12-30T22:45:00"/>
    <x v="2"/>
  </r>
  <r>
    <n v="5506"/>
    <x v="0"/>
    <n v="5115271274606"/>
    <x v="1913"/>
    <d v="2022-06-27T03:30:00"/>
    <d v="1899-12-30T04:45:00"/>
    <n v="63.157894735294192"/>
    <s v="UNPLANNED"/>
    <x v="6"/>
    <d v="1899-12-30T22:45:00"/>
    <x v="2"/>
  </r>
  <r>
    <n v="5507"/>
    <x v="9"/>
    <n v="2115270263000"/>
    <x v="1913"/>
    <d v="2022-06-27T03:30:00"/>
    <d v="1899-12-30T04:45:00"/>
    <n v="63.157894735294192"/>
    <s v="UNPLANNED"/>
    <x v="0"/>
    <d v="1899-12-30T22:45:00"/>
    <x v="2"/>
  </r>
  <r>
    <n v="5508"/>
    <x v="14"/>
    <n v="1115270071600"/>
    <x v="1913"/>
    <d v="2022-06-27T03:30:00"/>
    <d v="1899-12-30T04:45:00"/>
    <n v="63.157894735294192"/>
    <s v="UNPLANNED"/>
    <x v="0"/>
    <d v="1899-12-30T22:45:00"/>
    <x v="2"/>
  </r>
  <r>
    <n v="5509"/>
    <x v="14"/>
    <n v="1115270016000"/>
    <x v="1913"/>
    <d v="2022-06-27T03:30:00"/>
    <d v="1899-12-30T04:45:00"/>
    <n v="63.157894735294192"/>
    <s v="UNPLANNED"/>
    <x v="0"/>
    <d v="1899-12-30T22:45:00"/>
    <x v="2"/>
  </r>
  <r>
    <n v="5510"/>
    <x v="2"/>
    <n v="12115271560130"/>
    <x v="1914"/>
    <d v="2022-06-27T15:05:00"/>
    <d v="1899-12-30T03:45:00"/>
    <n v="80"/>
    <s v="UNPLANNED"/>
    <x v="6"/>
    <d v="1899-12-30T11:20:00"/>
    <x v="0"/>
  </r>
  <r>
    <n v="5511"/>
    <x v="2"/>
    <n v="12115271560119"/>
    <x v="1915"/>
    <d v="2022-06-27T15:05:00"/>
    <d v="1899-12-30T07:35:00"/>
    <n v="39.560439560844436"/>
    <s v="UNPLANNED"/>
    <x v="6"/>
    <d v="1899-12-30T07:30:00"/>
    <x v="0"/>
  </r>
  <r>
    <n v="5512"/>
    <x v="10"/>
    <n v="11115271502601"/>
    <x v="1916"/>
    <d v="2022-06-27T15:05:00"/>
    <d v="1899-12-30T02:20:00"/>
    <n v="128.57142857570506"/>
    <s v="UNPLANNED"/>
    <x v="1"/>
    <d v="1899-12-30T12:45:00"/>
    <x v="0"/>
  </r>
  <r>
    <n v="5513"/>
    <x v="10"/>
    <n v="11115271052301"/>
    <x v="1915"/>
    <d v="2022-06-27T15:05:00"/>
    <d v="1899-12-30T07:35:00"/>
    <n v="39.560439560844436"/>
    <s v="UNPLANNED"/>
    <x v="1"/>
    <d v="1899-12-30T07:30:00"/>
    <x v="0"/>
  </r>
  <r>
    <n v="5514"/>
    <x v="11"/>
    <n v="10115271964001"/>
    <x v="1916"/>
    <d v="2022-06-27T15:05:00"/>
    <d v="1899-12-30T02:20:00"/>
    <n v="128.57142857570506"/>
    <s v="UNPLANNED"/>
    <x v="2"/>
    <d v="1899-12-30T12:45:00"/>
    <x v="0"/>
  </r>
  <r>
    <n v="5515"/>
    <x v="7"/>
    <n v="7115271787213"/>
    <x v="1914"/>
    <d v="2022-06-27T15:05:00"/>
    <d v="1899-12-30T03:45:00"/>
    <n v="80"/>
    <s v="UNPLANNED"/>
    <x v="1"/>
    <d v="1899-12-30T11:20:00"/>
    <x v="0"/>
  </r>
  <r>
    <n v="5516"/>
    <x v="7"/>
    <n v="7115271760310"/>
    <x v="1915"/>
    <d v="2022-06-27T15:05:00"/>
    <d v="1899-12-30T07:35:00"/>
    <n v="39.560439560844436"/>
    <s v="UNPLANNED"/>
    <x v="1"/>
    <d v="1899-12-30T07:30:00"/>
    <x v="0"/>
  </r>
  <r>
    <n v="5517"/>
    <x v="1"/>
    <n v="6115271740104"/>
    <x v="1914"/>
    <d v="2022-06-27T15:05:00"/>
    <d v="1899-12-30T03:45:00"/>
    <n v="80"/>
    <s v="UNPLANNED"/>
    <x v="1"/>
    <d v="1899-12-30T11:20:00"/>
    <x v="0"/>
  </r>
  <r>
    <n v="5518"/>
    <x v="1"/>
    <n v="6115271720110"/>
    <x v="1915"/>
    <d v="2022-06-27T15:05:00"/>
    <d v="1899-12-30T07:35:00"/>
    <n v="39.560439560844436"/>
    <s v="UNPLANNED"/>
    <x v="0"/>
    <d v="1899-12-30T07:30:00"/>
    <x v="0"/>
  </r>
  <r>
    <n v="5519"/>
    <x v="0"/>
    <n v="5115271259502"/>
    <x v="1915"/>
    <d v="2022-06-27T15:05:00"/>
    <d v="1899-12-30T07:35:00"/>
    <n v="39.560439560844436"/>
    <s v="UNPLANNED"/>
    <x v="0"/>
    <d v="1899-12-30T07:30:00"/>
    <x v="0"/>
  </r>
  <r>
    <n v="5520"/>
    <x v="8"/>
    <n v="4115270842700"/>
    <x v="1915"/>
    <d v="2022-06-27T15:05:00"/>
    <d v="1899-12-30T07:35:00"/>
    <n v="39.560439560844436"/>
    <s v="UNPLANNED"/>
    <x v="0"/>
    <d v="1899-12-30T07:30:00"/>
    <x v="0"/>
  </r>
  <r>
    <n v="5521"/>
    <x v="8"/>
    <n v="4115270826900"/>
    <x v="1916"/>
    <d v="2022-06-27T15:05:00"/>
    <d v="1899-12-30T02:20:00"/>
    <n v="128.57142857570506"/>
    <s v="UNPLANNED"/>
    <x v="1"/>
    <d v="1899-12-30T12:45:00"/>
    <x v="0"/>
  </r>
  <r>
    <n v="5522"/>
    <x v="13"/>
    <n v="3115270411800"/>
    <x v="1916"/>
    <d v="2022-06-27T15:05:00"/>
    <d v="1899-12-30T02:20:00"/>
    <n v="128.57142857570506"/>
    <s v="UNPLANNED"/>
    <x v="1"/>
    <d v="1899-12-30T12:45:00"/>
    <x v="0"/>
  </r>
  <r>
    <n v="5523"/>
    <x v="14"/>
    <n v="1115270127500"/>
    <x v="1915"/>
    <d v="2022-06-27T15:05:00"/>
    <d v="1899-12-30T07:35:00"/>
    <n v="39.560439560844436"/>
    <s v="UNPLANNED"/>
    <x v="0"/>
    <d v="1899-12-30T07:30:00"/>
    <x v="0"/>
  </r>
  <r>
    <n v="5524"/>
    <x v="14"/>
    <n v="1115270076700"/>
    <x v="1914"/>
    <d v="2022-06-27T15:05:00"/>
    <d v="1899-12-30T03:45:00"/>
    <n v="80"/>
    <s v="UNPLANNED"/>
    <x v="0"/>
    <d v="1899-12-30T11:20:00"/>
    <x v="0"/>
  </r>
  <r>
    <n v="5525"/>
    <x v="2"/>
    <n v="12115271569827"/>
    <x v="1917"/>
    <d v="2022-06-27T22:45:00"/>
    <d v="1899-12-30T07:00:00"/>
    <n v="42.857142857499234"/>
    <s v="UNPLANNED"/>
    <x v="1"/>
    <d v="1899-12-30T15:45:00"/>
    <x v="1"/>
  </r>
  <r>
    <n v="5526"/>
    <x v="2"/>
    <n v="12115271567005"/>
    <x v="1918"/>
    <d v="2022-06-27T22:45:00"/>
    <d v="1899-12-30T03:15:00"/>
    <n v="92.307692309345541"/>
    <s v="UNPLANNED"/>
    <x v="1"/>
    <d v="1899-12-30T19:30:00"/>
    <x v="1"/>
  </r>
  <r>
    <n v="5527"/>
    <x v="10"/>
    <n v="11115271542600"/>
    <x v="1918"/>
    <d v="2022-06-27T22:45:00"/>
    <d v="1899-12-30T03:15:00"/>
    <n v="92.307692309345541"/>
    <s v="UNPLANNED"/>
    <x v="1"/>
    <d v="1899-12-30T19:30:00"/>
    <x v="1"/>
  </r>
  <r>
    <n v="5528"/>
    <x v="7"/>
    <n v="7115271782506"/>
    <x v="1918"/>
    <d v="2022-06-27T22:45:00"/>
    <d v="1899-12-30T03:15:00"/>
    <n v="92.307692309345541"/>
    <s v="UNPLANNED"/>
    <x v="1"/>
    <d v="1899-12-30T19:30:00"/>
    <x v="1"/>
  </r>
  <r>
    <n v="5529"/>
    <x v="7"/>
    <n v="7115271773616"/>
    <x v="1917"/>
    <d v="2022-06-27T22:45:00"/>
    <d v="1899-12-30T07:00:00"/>
    <n v="42.857142857499234"/>
    <s v="UNPLANNED"/>
    <x v="1"/>
    <d v="1899-12-30T15:45:00"/>
    <x v="1"/>
  </r>
  <r>
    <n v="5530"/>
    <x v="7"/>
    <n v="7115271758902"/>
    <x v="1918"/>
    <d v="2022-06-27T22:45:00"/>
    <d v="1899-12-30T03:15:00"/>
    <n v="92.307692309345541"/>
    <s v="UNPLANNED"/>
    <x v="1"/>
    <d v="1899-12-30T19:30:00"/>
    <x v="1"/>
  </r>
  <r>
    <n v="5531"/>
    <x v="1"/>
    <n v="6115271733308"/>
    <x v="1918"/>
    <d v="2022-06-27T22:45:00"/>
    <d v="1899-12-30T03:15:00"/>
    <n v="92.307692309345541"/>
    <s v="UNPLANNED"/>
    <x v="1"/>
    <d v="1899-12-30T19:30:00"/>
    <x v="1"/>
  </r>
  <r>
    <n v="5532"/>
    <x v="13"/>
    <n v="3115270360208"/>
    <x v="1917"/>
    <d v="2022-06-27T22:45:00"/>
    <d v="1899-12-30T07:00:00"/>
    <n v="42.857142857499234"/>
    <s v="UNPLANNED"/>
    <x v="0"/>
    <d v="1899-12-30T15:45:00"/>
    <x v="1"/>
  </r>
  <r>
    <n v="5533"/>
    <x v="9"/>
    <n v="2115270287600"/>
    <x v="1918"/>
    <d v="2022-06-27T22:45:00"/>
    <d v="1899-12-30T03:15:00"/>
    <n v="92.307692309345541"/>
    <s v="UNPLANNED"/>
    <x v="1"/>
    <d v="1899-12-30T19:30:00"/>
    <x v="1"/>
  </r>
  <r>
    <n v="5534"/>
    <x v="14"/>
    <n v="1115270107500"/>
    <x v="1918"/>
    <d v="2022-06-27T22:45:00"/>
    <d v="1899-12-30T03:15:00"/>
    <n v="92.307692309345541"/>
    <s v="UNPLANNED"/>
    <x v="1"/>
    <d v="1899-12-30T19:30:00"/>
    <x v="1"/>
  </r>
  <r>
    <n v="5535"/>
    <x v="10"/>
    <n v="11115271559112"/>
    <x v="1919"/>
    <d v="2022-06-28T00:15:00"/>
    <d v="1899-12-30T00:45:00"/>
    <n v="400"/>
    <s v="UNPLANNED"/>
    <x v="0"/>
    <d v="1899-12-30T23:30:00"/>
    <x v="2"/>
  </r>
  <r>
    <n v="5536"/>
    <x v="10"/>
    <n v="11115271559939"/>
    <x v="1920"/>
    <d v="2022-06-28T03:50:00"/>
    <d v="1899-12-30T00:50:00"/>
    <n v="360.00000003352761"/>
    <s v="UNPLANNED"/>
    <x v="1"/>
    <d v="1899-12-30T03:00:00"/>
    <x v="2"/>
  </r>
  <r>
    <n v="5537"/>
    <x v="10"/>
    <n v="11115271559938"/>
    <x v="1920"/>
    <d v="2022-06-28T03:50:00"/>
    <d v="1899-12-30T00:50:00"/>
    <n v="360.00000003352761"/>
    <s v="UNPLANNED"/>
    <x v="0"/>
    <d v="1899-12-30T03:00:00"/>
    <x v="2"/>
  </r>
  <r>
    <n v="5538"/>
    <x v="12"/>
    <n v="14115271690227"/>
    <x v="1921"/>
    <d v="2022-06-28T13:45:00"/>
    <d v="1899-12-30T04:15:00"/>
    <n v="70.588235296051195"/>
    <s v="UNPLANNED"/>
    <x v="1"/>
    <d v="1899-12-30T09:30:00"/>
    <x v="0"/>
  </r>
  <r>
    <n v="5539"/>
    <x v="12"/>
    <n v="14115271690220"/>
    <x v="1921"/>
    <d v="2022-06-28T13:45:00"/>
    <d v="1899-12-30T04:15:00"/>
    <n v="70.588235296051195"/>
    <s v="UNPLANNED"/>
    <x v="0"/>
    <d v="1899-12-30T09:30:00"/>
    <x v="0"/>
  </r>
  <r>
    <n v="5540"/>
    <x v="5"/>
    <n v="13115271591308"/>
    <x v="1921"/>
    <d v="2022-06-28T13:45:00"/>
    <d v="1899-12-30T04:15:00"/>
    <n v="70.588235296051195"/>
    <s v="UNPLANNED"/>
    <x v="0"/>
    <d v="1899-12-30T09:30:00"/>
    <x v="0"/>
  </r>
  <r>
    <n v="5541"/>
    <x v="5"/>
    <n v="13115271591300"/>
    <x v="1921"/>
    <d v="2022-06-28T13:45:00"/>
    <d v="1899-12-30T04:15:00"/>
    <n v="70.588235296051195"/>
    <s v="UNPLANNED"/>
    <x v="2"/>
    <d v="1899-12-30T09:30:00"/>
    <x v="0"/>
  </r>
  <r>
    <n v="5542"/>
    <x v="6"/>
    <n v="9115271944302"/>
    <x v="1921"/>
    <d v="2022-06-28T13:45:00"/>
    <d v="1899-12-30T04:15:00"/>
    <n v="70.588235296051195"/>
    <s v="UNPLANNED"/>
    <x v="0"/>
    <d v="1899-12-30T09:30:00"/>
    <x v="0"/>
  </r>
  <r>
    <n v="5543"/>
    <x v="6"/>
    <n v="9115271944300"/>
    <x v="1921"/>
    <d v="2022-06-28T13:45:00"/>
    <d v="1899-12-30T04:15:00"/>
    <n v="70.588235296051195"/>
    <s v="UNPLANNED"/>
    <x v="0"/>
    <d v="1899-12-30T09:30:00"/>
    <x v="0"/>
  </r>
  <r>
    <n v="5544"/>
    <x v="1"/>
    <n v="6115271690805"/>
    <x v="1921"/>
    <d v="2022-06-28T13:45:00"/>
    <d v="1899-12-30T04:15:00"/>
    <n v="70.588235296051195"/>
    <s v="UNPLANNED"/>
    <x v="0"/>
    <d v="1899-12-30T09:30:00"/>
    <x v="0"/>
  </r>
  <r>
    <n v="5545"/>
    <x v="1"/>
    <n v="6115271690804"/>
    <x v="1921"/>
    <d v="2022-06-28T13:45:00"/>
    <d v="1899-12-30T04:15:00"/>
    <n v="70.588235296051195"/>
    <s v="UNPLANNED"/>
    <x v="1"/>
    <d v="1899-12-30T09:30:00"/>
    <x v="0"/>
  </r>
  <r>
    <n v="5546"/>
    <x v="4"/>
    <n v="15115271762504"/>
    <x v="1922"/>
    <d v="2022-06-28T21:15:00"/>
    <d v="1899-12-30T02:25:00"/>
    <n v="124.1379310334861"/>
    <s v="UNPLANNED"/>
    <x v="0"/>
    <d v="1899-12-30T18:50:00"/>
    <x v="1"/>
  </r>
  <r>
    <n v="5547"/>
    <x v="4"/>
    <n v="15115271762500"/>
    <x v="1922"/>
    <d v="2022-06-28T21:15:00"/>
    <d v="1899-12-30T02:25:00"/>
    <n v="124.1379310334861"/>
    <s v="UNPLANNED"/>
    <x v="0"/>
    <d v="1899-12-30T18:50:00"/>
    <x v="1"/>
  </r>
  <r>
    <n v="5548"/>
    <x v="7"/>
    <n v="7115271759019"/>
    <x v="1922"/>
    <d v="2022-06-28T21:15:00"/>
    <d v="1899-12-30T02:25:00"/>
    <n v="124.1379310334861"/>
    <s v="UNPLANNED"/>
    <x v="1"/>
    <d v="1899-12-30T18:50:00"/>
    <x v="1"/>
  </r>
  <r>
    <n v="5549"/>
    <x v="7"/>
    <n v="7115271759014"/>
    <x v="1922"/>
    <d v="2022-06-28T21:15:00"/>
    <d v="1899-12-30T02:25:00"/>
    <n v="124.1379310334861"/>
    <s v="UNPLANNED"/>
    <x v="1"/>
    <d v="1899-12-30T18:50:00"/>
    <x v="1"/>
  </r>
  <r>
    <n v="5550"/>
    <x v="13"/>
    <n v="3115270360501"/>
    <x v="1922"/>
    <d v="2022-06-28T21:15:00"/>
    <d v="1899-12-30T02:25:00"/>
    <n v="124.1379310334861"/>
    <s v="UNPLANNED"/>
    <x v="0"/>
    <d v="1899-12-30T18:50:00"/>
    <x v="1"/>
  </r>
  <r>
    <n v="5551"/>
    <x v="13"/>
    <n v="3115270360500"/>
    <x v="1922"/>
    <d v="2022-06-28T21:15:00"/>
    <d v="1899-12-30T02:25:00"/>
    <n v="124.1379310334861"/>
    <s v="UNPLANNED"/>
    <x v="0"/>
    <d v="1899-12-30T18:50:00"/>
    <x v="1"/>
  </r>
  <r>
    <n v="5552"/>
    <x v="2"/>
    <n v="12115271572806"/>
    <x v="1923"/>
    <d v="2022-06-29T00:30:00"/>
    <d v="1899-12-30T01:30:00"/>
    <n v="200"/>
    <s v="UNPLANNED"/>
    <x v="1"/>
    <d v="1899-12-30T23:00:00"/>
    <x v="2"/>
  </r>
  <r>
    <n v="5553"/>
    <x v="2"/>
    <n v="12115271572802"/>
    <x v="1923"/>
    <d v="2022-06-29T00:30:00"/>
    <d v="1899-12-30T01:30:00"/>
    <n v="200"/>
    <s v="UNPLANNED"/>
    <x v="0"/>
    <d v="1899-12-30T23:00:00"/>
    <x v="2"/>
  </r>
  <r>
    <n v="5554"/>
    <x v="13"/>
    <n v="3115270400309"/>
    <x v="1923"/>
    <d v="2022-06-29T00:30:00"/>
    <d v="1899-12-30T01:30:00"/>
    <n v="200"/>
    <s v="UNPLANNED"/>
    <x v="1"/>
    <d v="1899-12-30T23:00:00"/>
    <x v="2"/>
  </r>
  <r>
    <n v="5555"/>
    <x v="13"/>
    <n v="3115270400303"/>
    <x v="1923"/>
    <d v="2022-06-29T00:30:00"/>
    <d v="1899-12-30T01:30:00"/>
    <n v="200"/>
    <s v="UNPLANNED"/>
    <x v="0"/>
    <d v="1899-12-30T23:00:00"/>
    <x v="2"/>
  </r>
  <r>
    <n v="5556"/>
    <x v="13"/>
    <n v="3115270400300"/>
    <x v="1923"/>
    <d v="2022-06-29T00:30:00"/>
    <d v="1899-12-30T01:30:00"/>
    <n v="200"/>
    <s v="UNPLANNED"/>
    <x v="0"/>
    <d v="1899-12-30T23:00:00"/>
    <x v="2"/>
  </r>
  <r>
    <n v="5557"/>
    <x v="7"/>
    <n v="7115271758801"/>
    <x v="1924"/>
    <d v="2022-06-29T10:40:00"/>
    <d v="1899-12-30T00:55:00"/>
    <n v="327.27272726580009"/>
    <s v="UNPLANNED"/>
    <x v="2"/>
    <d v="1899-12-30T09:45:00"/>
    <x v="0"/>
  </r>
  <r>
    <n v="5558"/>
    <x v="7"/>
    <n v="7115271758800"/>
    <x v="1924"/>
    <d v="2022-06-29T10:40:00"/>
    <d v="1899-12-30T00:55:00"/>
    <n v="327.27272726580009"/>
    <s v="UNPLANNED"/>
    <x v="0"/>
    <d v="1899-12-30T09:45:00"/>
    <x v="0"/>
  </r>
  <r>
    <n v="5559"/>
    <x v="8"/>
    <n v="4115270848708"/>
    <x v="1925"/>
    <d v="2022-06-29T14:30:00"/>
    <d v="1899-12-30T01:30:00"/>
    <n v="200"/>
    <s v="UNPLANNED"/>
    <x v="1"/>
    <d v="1899-12-30T13:00:00"/>
    <x v="0"/>
  </r>
  <r>
    <n v="5560"/>
    <x v="8"/>
    <n v="4115270848700"/>
    <x v="1925"/>
    <d v="2022-06-29T14:30:00"/>
    <d v="1899-12-30T01:30:00"/>
    <n v="200"/>
    <s v="UNPLANNED"/>
    <x v="0"/>
    <d v="1899-12-30T13:00:00"/>
    <x v="0"/>
  </r>
  <r>
    <n v="5561"/>
    <x v="13"/>
    <n v="3115270383906"/>
    <x v="1925"/>
    <d v="2022-06-29T14:30:00"/>
    <d v="1899-12-30T01:30:00"/>
    <n v="200"/>
    <s v="UNPLANNED"/>
    <x v="0"/>
    <d v="1899-12-30T13:00:00"/>
    <x v="0"/>
  </r>
  <r>
    <n v="5562"/>
    <x v="13"/>
    <n v="3115270383900"/>
    <x v="1925"/>
    <d v="2022-06-29T14:30:00"/>
    <d v="1899-12-30T01:30:00"/>
    <n v="200"/>
    <s v="UNPLANNED"/>
    <x v="0"/>
    <d v="1899-12-30T13:00:00"/>
    <x v="0"/>
  </r>
  <r>
    <n v="5563"/>
    <x v="14"/>
    <n v="1115270107504"/>
    <x v="1925"/>
    <d v="2022-06-29T14:30:00"/>
    <d v="1899-12-30T01:30:00"/>
    <n v="200"/>
    <s v="UNPLANNED"/>
    <x v="1"/>
    <d v="1899-12-30T13:00:00"/>
    <x v="0"/>
  </r>
  <r>
    <n v="5564"/>
    <x v="14"/>
    <n v="1115270107500"/>
    <x v="1925"/>
    <d v="2022-06-29T14:30:00"/>
    <d v="1899-12-30T01:30:00"/>
    <n v="200"/>
    <s v="UNPLANNED"/>
    <x v="0"/>
    <d v="1899-12-30T13:00:00"/>
    <x v="0"/>
  </r>
  <r>
    <n v="5565"/>
    <x v="17"/>
    <n v="46115272424448"/>
    <x v="1926"/>
    <d v="2022-06-29T20:15:00"/>
    <d v="1899-12-30T03:27:00"/>
    <n v="86.956521737369897"/>
    <s v="UNPLANNED"/>
    <x v="0"/>
    <d v="1899-12-30T16:48:00"/>
    <x v="1"/>
  </r>
  <r>
    <n v="5566"/>
    <x v="17"/>
    <n v="46115272424440"/>
    <x v="1926"/>
    <d v="2022-06-29T20:15:00"/>
    <d v="1899-12-30T03:27:00"/>
    <n v="86.956521737369897"/>
    <s v="UNPLANNED"/>
    <x v="1"/>
    <d v="1899-12-30T16:48:00"/>
    <x v="1"/>
  </r>
  <r>
    <n v="5567"/>
    <x v="4"/>
    <n v="15115271591208"/>
    <x v="1926"/>
    <d v="2022-06-29T20:15:00"/>
    <d v="1899-12-30T03:27:00"/>
    <n v="86.956521737369897"/>
    <s v="UNPLANNED"/>
    <x v="0"/>
    <d v="1899-12-30T16:48:00"/>
    <x v="1"/>
  </r>
  <r>
    <n v="5568"/>
    <x v="4"/>
    <n v="15115271591200"/>
    <x v="1926"/>
    <d v="2022-06-29T20:15:00"/>
    <d v="1899-12-30T03:27:00"/>
    <n v="86.956521737369897"/>
    <s v="UNPLANNED"/>
    <x v="0"/>
    <d v="1899-12-30T16:48:00"/>
    <x v="1"/>
  </r>
  <r>
    <n v="5569"/>
    <x v="5"/>
    <n v="13115271601509"/>
    <x v="1927"/>
    <d v="2022-06-29T20:15:00"/>
    <d v="1899-12-30T01:00:00"/>
    <n v="300.0000000174623"/>
    <s v="UNPLANNED"/>
    <x v="1"/>
    <d v="1899-12-30T19:15:00"/>
    <x v="1"/>
  </r>
  <r>
    <n v="5570"/>
    <x v="5"/>
    <n v="13115271601508"/>
    <x v="1927"/>
    <d v="2022-06-29T20:15:00"/>
    <d v="1899-12-30T01:00:00"/>
    <n v="300.0000000174623"/>
    <s v="UNPLANNED"/>
    <x v="1"/>
    <d v="1899-12-30T19:15:00"/>
    <x v="1"/>
  </r>
  <r>
    <n v="5571"/>
    <x v="7"/>
    <n v="7115271762506"/>
    <x v="1926"/>
    <d v="2022-06-29T20:15:00"/>
    <d v="1899-12-30T03:27:00"/>
    <n v="86.956521737369897"/>
    <s v="UNPLANNED"/>
    <x v="0"/>
    <d v="1899-12-30T16:48:00"/>
    <x v="1"/>
  </r>
  <r>
    <n v="5572"/>
    <x v="7"/>
    <n v="7115271762506"/>
    <x v="1926"/>
    <d v="2022-06-29T20:15:00"/>
    <d v="1899-12-30T03:27:00"/>
    <n v="86.956521737369897"/>
    <s v="UNPLANNED"/>
    <x v="0"/>
    <d v="1899-12-30T16:48:00"/>
    <x v="1"/>
  </r>
  <r>
    <n v="5573"/>
    <x v="9"/>
    <n v="2115270241503"/>
    <x v="1926"/>
    <d v="2022-06-29T20:15:00"/>
    <d v="1899-12-30T03:27:00"/>
    <n v="86.956521737369897"/>
    <s v="UNPLANNED"/>
    <x v="0"/>
    <d v="1899-12-30T16:48:00"/>
    <x v="1"/>
  </r>
  <r>
    <n v="5574"/>
    <x v="9"/>
    <n v="2115270241500"/>
    <x v="1926"/>
    <d v="2022-06-29T20:15:00"/>
    <d v="1899-12-30T03:27:00"/>
    <n v="86.956521737369897"/>
    <s v="UNPLANNED"/>
    <x v="0"/>
    <d v="1899-12-30T16:48:00"/>
    <x v="1"/>
  </r>
  <r>
    <n v="5575"/>
    <x v="14"/>
    <n v="1115270127508"/>
    <x v="1927"/>
    <d v="2022-06-29T20:15:00"/>
    <d v="1899-12-30T01:00:00"/>
    <n v="300.0000000174623"/>
    <s v="UNPLANNED"/>
    <x v="0"/>
    <d v="1899-12-30T19:15:00"/>
    <x v="1"/>
  </r>
  <r>
    <n v="5576"/>
    <x v="14"/>
    <n v="1115270127500"/>
    <x v="1927"/>
    <d v="2022-06-29T20:15:00"/>
    <d v="1899-12-30T01:00:00"/>
    <n v="300.0000000174623"/>
    <s v="UNPLANNED"/>
    <x v="2"/>
    <d v="1899-12-30T19:15:00"/>
    <x v="1"/>
  </r>
  <r>
    <n v="5577"/>
    <x v="0"/>
    <n v="5115271239405"/>
    <x v="1928"/>
    <d v="2022-06-29T22:36:00"/>
    <d v="1899-12-30T01:56:00"/>
    <n v="155.17241379185762"/>
    <s v="UNPLANNED"/>
    <x v="1"/>
    <d v="1899-12-30T20:40:00"/>
    <x v="1"/>
  </r>
  <r>
    <n v="5578"/>
    <x v="0"/>
    <n v="5115271239400"/>
    <x v="1928"/>
    <d v="2022-06-29T22:36:00"/>
    <d v="1899-12-30T01:56:00"/>
    <n v="155.17241379185762"/>
    <s v="UNPLANNED"/>
    <x v="1"/>
    <d v="1899-12-30T20:40:00"/>
    <x v="1"/>
  </r>
  <r>
    <n v="5579"/>
    <x v="2"/>
    <n v="12115271565517"/>
    <x v="1929"/>
    <d v="2022-06-30T00:30:00"/>
    <d v="1899-12-30T02:15:00"/>
    <n v="133.33333333333331"/>
    <s v="UNPLANNED"/>
    <x v="0"/>
    <d v="1899-12-30T22:15:00"/>
    <x v="2"/>
  </r>
  <r>
    <n v="5580"/>
    <x v="2"/>
    <n v="12115271565511"/>
    <x v="1929"/>
    <d v="2022-06-30T00:30:00"/>
    <d v="1899-12-30T02:15:00"/>
    <n v="133.33333333333331"/>
    <s v="UNPLANNED"/>
    <x v="0"/>
    <d v="1899-12-30T22:15:00"/>
    <x v="2"/>
  </r>
  <r>
    <n v="5581"/>
    <x v="11"/>
    <n v="10115271412603"/>
    <x v="1929"/>
    <d v="2022-06-30T00:30:00"/>
    <d v="1899-12-30T02:15:00"/>
    <n v="133.33333333333331"/>
    <s v="UNPLANNED"/>
    <x v="0"/>
    <d v="1899-12-30T22:15:00"/>
    <x v="2"/>
  </r>
  <r>
    <n v="5582"/>
    <x v="11"/>
    <n v="10115271412603"/>
    <x v="1929"/>
    <d v="2022-06-30T00:30:00"/>
    <d v="1899-12-30T02:15:00"/>
    <n v="133.33333333333331"/>
    <s v="UNPLANNED"/>
    <x v="6"/>
    <d v="1899-12-30T22:15:00"/>
    <x v="2"/>
  </r>
  <r>
    <n v="5583"/>
    <x v="14"/>
    <n v="1115270075505"/>
    <x v="1929"/>
    <d v="2022-06-30T00:30:00"/>
    <d v="1899-12-30T02:15:00"/>
    <n v="133.33333333333331"/>
    <s v="UNPLANNED"/>
    <x v="0"/>
    <d v="1899-12-30T22:15:00"/>
    <x v="2"/>
  </r>
  <r>
    <n v="5584"/>
    <x v="14"/>
    <n v="1115270075501"/>
    <x v="1929"/>
    <d v="2022-06-30T00:30:00"/>
    <d v="1899-12-30T02:15:00"/>
    <n v="133.33333333333331"/>
    <s v="UNPLANNED"/>
    <x v="0"/>
    <d v="1899-12-30T22:15:00"/>
    <x v="2"/>
  </r>
  <r>
    <n v="5585"/>
    <x v="0"/>
    <n v="5115271689401"/>
    <x v="1930"/>
    <d v="2022-06-30T03:20:00"/>
    <d v="1899-12-30T00:50:00"/>
    <n v="359.99999995809048"/>
    <s v="UNPLANNED"/>
    <x v="1"/>
    <d v="1899-12-30T02:30:00"/>
    <x v="2"/>
  </r>
  <r>
    <n v="5586"/>
    <x v="7"/>
    <n v="7115271759005"/>
    <x v="1931"/>
    <d v="2022-06-30T13:55:00"/>
    <d v="1899-12-30T04:15:00"/>
    <n v="70.588235296051195"/>
    <s v="UNPLANNED"/>
    <x v="0"/>
    <d v="1899-12-30T09:40:00"/>
    <x v="0"/>
  </r>
  <r>
    <n v="5587"/>
    <x v="1"/>
    <n v="6115271733501"/>
    <x v="1931"/>
    <d v="2022-06-30T13:55:00"/>
    <d v="1899-12-30T04:15:00"/>
    <n v="70.588235296051195"/>
    <s v="UNPLANNED"/>
    <x v="0"/>
    <d v="1899-12-30T09:40:00"/>
    <x v="0"/>
  </r>
  <r>
    <n v="5588"/>
    <x v="1"/>
    <n v="6115271731609"/>
    <x v="1931"/>
    <d v="2022-06-30T13:55:00"/>
    <d v="1899-12-30T04:15:00"/>
    <n v="70.588235296051195"/>
    <s v="UNPLANNED"/>
    <x v="0"/>
    <d v="1899-12-30T09:40:00"/>
    <x v="0"/>
  </r>
  <r>
    <n v="5589"/>
    <x v="1"/>
    <n v="6115271731604"/>
    <x v="1931"/>
    <d v="2022-06-30T13:55:00"/>
    <d v="1899-12-30T04:15:00"/>
    <n v="70.588235296051195"/>
    <s v="UNPLANNED"/>
    <x v="0"/>
    <d v="1899-12-30T09:40:00"/>
    <x v="0"/>
  </r>
  <r>
    <n v="5590"/>
    <x v="9"/>
    <n v="2115270241105"/>
    <x v="1932"/>
    <d v="2022-06-30T13:55:00"/>
    <d v="1899-12-30T05:09:00"/>
    <n v="58.252427184202659"/>
    <s v="UNPLANNED"/>
    <x v="0"/>
    <d v="1899-12-30T08:46:00"/>
    <x v="0"/>
  </r>
  <r>
    <n v="5591"/>
    <x v="9"/>
    <n v="2115270241104"/>
    <x v="1932"/>
    <d v="2022-06-30T13:55:00"/>
    <d v="1899-12-30T05:09:00"/>
    <n v="58.252427184202659"/>
    <s v="UNPLANNED"/>
    <x v="0"/>
    <d v="1899-12-30T08:46:00"/>
    <x v="0"/>
  </r>
  <r>
    <n v="5592"/>
    <x v="9"/>
    <n v="2115270188206"/>
    <x v="1932"/>
    <d v="2022-06-30T13:55:00"/>
    <d v="1899-12-30T05:09:00"/>
    <n v="58.252427184202659"/>
    <s v="UNPLANNED"/>
    <x v="0"/>
    <d v="1899-12-30T08:46:00"/>
    <x v="0"/>
  </r>
  <r>
    <n v="5593"/>
    <x v="5"/>
    <n v="13115271591105"/>
    <x v="1933"/>
    <d v="2022-06-30T22:05:00"/>
    <d v="1899-12-30T02:55:00"/>
    <n v="102.85714285440591"/>
    <s v="UNPLANNED"/>
    <x v="0"/>
    <d v="1899-12-30T19:10:00"/>
    <x v="1"/>
  </r>
  <r>
    <n v="5594"/>
    <x v="5"/>
    <n v="13115271591104"/>
    <x v="1933"/>
    <d v="2022-06-30T22:05:00"/>
    <d v="1899-12-30T02:55:00"/>
    <n v="102.85714285440591"/>
    <s v="UNPLANNED"/>
    <x v="0"/>
    <d v="1899-12-30T19:10:00"/>
    <x v="1"/>
  </r>
  <r>
    <n v="5595"/>
    <x v="2"/>
    <n v="12115271565509"/>
    <x v="1934"/>
    <d v="2022-06-30T22:05:00"/>
    <d v="1899-12-30T02:05:00"/>
    <n v="144.00000000134111"/>
    <s v="UNPLANNED"/>
    <x v="0"/>
    <d v="1899-12-30T20:00:00"/>
    <x v="1"/>
  </r>
  <r>
    <n v="5596"/>
    <x v="2"/>
    <n v="12115271565507"/>
    <x v="1934"/>
    <d v="2022-06-30T22:05:00"/>
    <d v="1899-12-30T02:05:00"/>
    <n v="144.00000000134111"/>
    <s v="UNPLANNED"/>
    <x v="0"/>
    <d v="1899-12-30T20:00:00"/>
    <x v="1"/>
  </r>
  <r>
    <n v="5597"/>
    <x v="2"/>
    <n v="12115271560306"/>
    <x v="1935"/>
    <d v="2022-06-30T22:05:00"/>
    <d v="1899-12-30T05:20:00"/>
    <n v="56.249999998976818"/>
    <s v="UNPLANNED"/>
    <x v="0"/>
    <d v="1899-12-30T16:45:00"/>
    <x v="1"/>
  </r>
  <r>
    <n v="5598"/>
    <x v="2"/>
    <n v="12115271560305"/>
    <x v="1935"/>
    <d v="2022-06-30T22:05:00"/>
    <d v="1899-12-30T05:20:00"/>
    <n v="56.249999998976818"/>
    <s v="UNPLANNED"/>
    <x v="0"/>
    <d v="1899-12-30T16:45:00"/>
    <x v="1"/>
  </r>
  <r>
    <n v="5599"/>
    <x v="10"/>
    <n v="11152715150851"/>
    <x v="1935"/>
    <d v="2022-06-30T22:05:00"/>
    <d v="1899-12-30T05:20:00"/>
    <n v="56.249999998976818"/>
    <s v="UNPLANNED"/>
    <x v="1"/>
    <d v="1899-12-30T16:45:00"/>
    <x v="1"/>
  </r>
  <r>
    <n v="5600"/>
    <x v="10"/>
    <n v="11152715150850"/>
    <x v="1935"/>
    <d v="2022-06-30T22:05:00"/>
    <d v="1899-12-30T05:20:00"/>
    <n v="56.249999998976818"/>
    <s v="UNPLANNED"/>
    <x v="0"/>
    <d v="1899-12-30T16:45:00"/>
    <x v="1"/>
  </r>
  <r>
    <n v="5601"/>
    <x v="10"/>
    <n v="11115271064601"/>
    <x v="1935"/>
    <d v="2022-06-30T22:05:00"/>
    <d v="1899-12-30T05:20:00"/>
    <n v="56.249999998976818"/>
    <s v="UNPLANNED"/>
    <x v="0"/>
    <d v="1899-12-30T16:45:00"/>
    <x v="1"/>
  </r>
  <r>
    <n v="5602"/>
    <x v="10"/>
    <n v="11115271064600"/>
    <x v="1935"/>
    <d v="2022-06-30T22:05:00"/>
    <d v="1899-12-30T05:20:00"/>
    <n v="56.249999998976818"/>
    <s v="UNPLANNED"/>
    <x v="6"/>
    <d v="1899-12-30T16:45:00"/>
    <x v="1"/>
  </r>
  <r>
    <n v="5603"/>
    <x v="6"/>
    <n v="9115271937506"/>
    <x v="1935"/>
    <d v="2022-06-30T22:05:00"/>
    <d v="1899-12-30T05:20:00"/>
    <n v="56.249999998976818"/>
    <s v="UNPLANNED"/>
    <x v="0"/>
    <d v="1899-12-30T16:45:00"/>
    <x v="1"/>
  </r>
  <r>
    <n v="5604"/>
    <x v="6"/>
    <n v="9115271937505"/>
    <x v="1935"/>
    <d v="2022-06-30T22:05:00"/>
    <d v="1899-12-30T05:20:00"/>
    <n v="56.249999998976818"/>
    <s v="UNPLANNED"/>
    <x v="0"/>
    <d v="1899-12-30T16:45:00"/>
    <x v="1"/>
  </r>
  <r>
    <n v="5605"/>
    <x v="3"/>
    <n v="8115271821828"/>
    <x v="1933"/>
    <d v="2022-06-30T22:05:00"/>
    <d v="1899-12-30T02:55:00"/>
    <n v="102.85714285440591"/>
    <s v="UNPLANNED"/>
    <x v="0"/>
    <d v="1899-12-30T19:10:00"/>
    <x v="1"/>
  </r>
  <r>
    <n v="5606"/>
    <x v="3"/>
    <n v="8115271821827"/>
    <x v="1933"/>
    <d v="2022-06-30T22:05:00"/>
    <d v="1899-12-30T02:55:00"/>
    <n v="102.85714285440591"/>
    <s v="UNPLANNED"/>
    <x v="0"/>
    <d v="1899-12-30T19:10:00"/>
    <x v="1"/>
  </r>
  <r>
    <n v="5607"/>
    <x v="1"/>
    <n v="6115271745206"/>
    <x v="1936"/>
    <d v="2022-07-01T00:50:00"/>
    <d v="1899-12-30T01:15:00"/>
    <n v="240.00000002235174"/>
    <s v="UNPLANNED"/>
    <x v="0"/>
    <d v="1899-12-30T23:35:00"/>
    <x v="2"/>
  </r>
  <r>
    <n v="5608"/>
    <x v="1"/>
    <n v="6115271745200"/>
    <x v="1936"/>
    <d v="2022-07-01T00:50:00"/>
    <d v="1899-12-30T01:15:00"/>
    <n v="240.00000002235174"/>
    <s v="UNPLANNED"/>
    <x v="0"/>
    <d v="1899-12-30T23:35:00"/>
    <x v="2"/>
  </r>
  <r>
    <n v="5609"/>
    <x v="14"/>
    <n v="1115270097405"/>
    <x v="1936"/>
    <d v="2022-07-01T00:50:00"/>
    <d v="1899-12-30T01:15:00"/>
    <n v="240.00000002235174"/>
    <s v="UNPLANNED"/>
    <x v="0"/>
    <d v="1899-12-30T23:35:00"/>
    <x v="2"/>
  </r>
  <r>
    <n v="5610"/>
    <x v="14"/>
    <n v="1115270097400"/>
    <x v="1936"/>
    <d v="2022-07-01T00:50:00"/>
    <d v="1899-12-30T01:15:00"/>
    <n v="240.00000002235174"/>
    <s v="UNPLANNED"/>
    <x v="0"/>
    <d v="1899-12-30T23:35:00"/>
    <x v="2"/>
  </r>
  <r>
    <n v="5611"/>
    <x v="14"/>
    <n v="1115270097407"/>
    <x v="1936"/>
    <d v="2022-07-01T00:50:00"/>
    <d v="1899-12-30T01:15:00"/>
    <n v="240.00000002235174"/>
    <s v="UNPLANNED"/>
    <x v="0"/>
    <d v="1899-12-30T23:35: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E2284E-8248-4EE6-A0BF-90462A4E9BCD}" name="Shift Wise Complaints"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8" rowHeaderCaption="Quarter">
  <location ref="A102:B106" firstHeaderRow="1" firstDataRow="1" firstDataCol="1"/>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dataField="1" numFmtId="22" showAll="0">
      <items count="15">
        <item x="0"/>
        <item x="1"/>
        <item x="2"/>
        <item x="3"/>
        <item x="4"/>
        <item x="5"/>
        <item x="6"/>
        <item x="7"/>
        <item x="8"/>
        <item x="9"/>
        <item x="10"/>
        <item x="11"/>
        <item x="12"/>
        <item x="13"/>
        <item t="default"/>
      </items>
    </pivotField>
    <pivotField numFmtId="22" showAll="0"/>
    <pivotField numFmtId="46" showAll="0"/>
    <pivotField numFmtId="166" showAll="0"/>
    <pivotField showAll="0"/>
    <pivotField showAll="0">
      <items count="8">
        <item x="5"/>
        <item x="6"/>
        <item x="4"/>
        <item x="1"/>
        <item x="2"/>
        <item x="0"/>
        <item x="3"/>
        <item t="default"/>
      </items>
    </pivotField>
    <pivotField numFmtId="165" showAll="0"/>
    <pivotField axis="axisRow" showAll="0">
      <items count="4">
        <item x="0"/>
        <item x="1"/>
        <item x="2"/>
        <item t="default"/>
      </items>
    </pivotField>
    <pivotField showAll="0">
      <items count="7">
        <item sd="0" x="1"/>
        <item sd="0" x="2"/>
        <item sd="0" x="3"/>
        <item sd="0" x="4"/>
        <item x="0"/>
        <item x="5"/>
        <item t="default"/>
      </items>
    </pivotField>
    <pivotField showAll="0">
      <items count="5">
        <item sd="0" x="1"/>
        <item x="0"/>
        <item x="2"/>
        <item x="3"/>
        <item t="default"/>
      </items>
    </pivotField>
  </pivotFields>
  <rowFields count="1">
    <field x="10"/>
  </rowFields>
  <rowItems count="4">
    <i>
      <x/>
    </i>
    <i>
      <x v="1"/>
    </i>
    <i>
      <x v="2"/>
    </i>
    <i t="grand">
      <x/>
    </i>
  </rowItems>
  <colItems count="1">
    <i/>
  </colItems>
  <dataFields count="1">
    <dataField name="Count of SHUT TIME" fld="3" subtotal="count" baseField="0" baseItem="0"/>
  </dataFields>
  <formats count="15">
    <format dxfId="268">
      <pivotArea field="8" type="button" dataOnly="0" labelOnly="1" outline="0"/>
    </format>
    <format dxfId="267">
      <pivotArea field="8" type="button" dataOnly="0" labelOnly="1" outline="0"/>
    </format>
    <format dxfId="266">
      <pivotArea dataOnly="0" labelOnly="1" outline="0" axis="axisValues" fieldPosition="0"/>
    </format>
    <format dxfId="265">
      <pivotArea dataOnly="0" labelOnly="1" outline="0" axis="axisValues" fieldPosition="0"/>
    </format>
    <format dxfId="264">
      <pivotArea outline="0" collapsedLevelsAreSubtotals="1" fieldPosition="0"/>
    </format>
    <format dxfId="263">
      <pivotArea dataOnly="0" labelOnly="1" grandRow="1" outline="0" fieldPosition="0"/>
    </format>
    <format dxfId="262">
      <pivotArea outline="0" collapsedLevelsAreSubtotals="1" fieldPosition="0"/>
    </format>
    <format dxfId="261">
      <pivotArea dataOnly="0" labelOnly="1" grandRow="1" outline="0" fieldPosition="0"/>
    </format>
    <format dxfId="260">
      <pivotArea field="8" type="button" dataOnly="0" labelOnly="1" outline="0"/>
    </format>
    <format dxfId="259">
      <pivotArea dataOnly="0" labelOnly="1" outline="0" axis="axisValues" fieldPosition="0"/>
    </format>
    <format dxfId="258">
      <pivotArea dataOnly="0" labelOnly="1" outline="0" axis="axisValues" fieldPosition="0"/>
    </format>
    <format dxfId="257">
      <pivotArea dataOnly="0" labelOnly="1" outline="0" axis="axisValues" fieldPosition="0"/>
    </format>
    <format dxfId="256">
      <pivotArea dataOnly="0" grandRow="1" fieldPosition="0"/>
    </format>
    <format dxfId="255">
      <pivotArea dataOnly="0" grandRow="1" fieldPosition="0"/>
    </format>
    <format dxfId="254">
      <pivotArea field="11" type="button" dataOnly="0" labelOnly="1" outline="0"/>
    </format>
  </formats>
  <chartFormats count="12">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10" count="1" selected="0">
            <x v="0"/>
          </reference>
        </references>
      </pivotArea>
    </chartFormat>
    <chartFormat chart="12" format="2">
      <pivotArea type="data" outline="0" fieldPosition="0">
        <references count="2">
          <reference field="4294967294" count="1" selected="0">
            <x v="0"/>
          </reference>
          <reference field="10" count="1" selected="0">
            <x v="1"/>
          </reference>
        </references>
      </pivotArea>
    </chartFormat>
    <chartFormat chart="12" format="3">
      <pivotArea type="data" outline="0" fieldPosition="0">
        <references count="2">
          <reference field="4294967294" count="1" selected="0">
            <x v="0"/>
          </reference>
          <reference field="10" count="1" selected="0">
            <x v="2"/>
          </reference>
        </references>
      </pivotArea>
    </chartFormat>
    <chartFormat chart="13" format="4" series="1">
      <pivotArea type="data" outline="0" fieldPosition="0">
        <references count="1">
          <reference field="4294967294" count="1" selected="0">
            <x v="0"/>
          </reference>
        </references>
      </pivotArea>
    </chartFormat>
    <chartFormat chart="13" format="5">
      <pivotArea type="data" outline="0" fieldPosition="0">
        <references count="2">
          <reference field="4294967294" count="1" selected="0">
            <x v="0"/>
          </reference>
          <reference field="10" count="1" selected="0">
            <x v="0"/>
          </reference>
        </references>
      </pivotArea>
    </chartFormat>
    <chartFormat chart="13" format="6">
      <pivotArea type="data" outline="0" fieldPosition="0">
        <references count="2">
          <reference field="4294967294" count="1" selected="0">
            <x v="0"/>
          </reference>
          <reference field="10" count="1" selected="0">
            <x v="1"/>
          </reference>
        </references>
      </pivotArea>
    </chartFormat>
    <chartFormat chart="13" format="7">
      <pivotArea type="data" outline="0" fieldPosition="0">
        <references count="2">
          <reference field="4294967294" count="1" selected="0">
            <x v="0"/>
          </reference>
          <reference field="10" count="1" selected="0">
            <x v="2"/>
          </reference>
        </references>
      </pivotArea>
    </chartFormat>
    <chartFormat chart="17"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0" count="1" selected="0">
            <x v="0"/>
          </reference>
        </references>
      </pivotArea>
    </chartFormat>
    <chartFormat chart="17" format="10">
      <pivotArea type="data" outline="0" fieldPosition="0">
        <references count="2">
          <reference field="4294967294" count="1" selected="0">
            <x v="0"/>
          </reference>
          <reference field="10" count="1" selected="0">
            <x v="1"/>
          </reference>
        </references>
      </pivotArea>
    </chartFormat>
    <chartFormat chart="17" format="1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E57DD1-C4A4-44FD-8B44-469238AEF2AC}" name="Reason Wise Complaints"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4" rowHeaderCaption="Reason">
  <location ref="A4:B12" firstHeaderRow="1" firstDataRow="1" firstDataCol="1"/>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dataField="1" numFmtId="22" showAll="0">
      <items count="15">
        <item x="0"/>
        <item x="1"/>
        <item x="2"/>
        <item x="3"/>
        <item x="4"/>
        <item x="5"/>
        <item x="6"/>
        <item x="7"/>
        <item x="8"/>
        <item x="9"/>
        <item x="10"/>
        <item x="11"/>
        <item x="12"/>
        <item x="13"/>
        <item t="default"/>
      </items>
    </pivotField>
    <pivotField numFmtId="22" showAll="0"/>
    <pivotField numFmtId="46" showAll="0"/>
    <pivotField numFmtId="166" showAll="0"/>
    <pivotField showAll="0"/>
    <pivotField name="REASONS" axis="axisRow" showAll="0" sortType="ascending">
      <items count="8">
        <item x="5"/>
        <item x="6"/>
        <item x="4"/>
        <item x="1"/>
        <item x="2"/>
        <item x="0"/>
        <item x="3"/>
        <item t="default"/>
      </items>
      <autoSortScope>
        <pivotArea dataOnly="0" outline="0" fieldPosition="0">
          <references count="1">
            <reference field="4294967294" count="1" selected="0">
              <x v="0"/>
            </reference>
          </references>
        </pivotArea>
      </autoSortScope>
    </pivotField>
    <pivotField numFmtId="165" showAll="0"/>
    <pivotField showAll="0">
      <items count="4">
        <item x="0"/>
        <item x="1"/>
        <item x="2"/>
        <item t="default"/>
      </items>
    </pivotField>
    <pivotField showAll="0">
      <items count="7">
        <item sd="0" x="1"/>
        <item sd="0" x="2"/>
        <item sd="0" x="3"/>
        <item sd="0" x="4"/>
        <item x="0"/>
        <item x="5"/>
        <item t="default"/>
      </items>
    </pivotField>
    <pivotField showAll="0">
      <items count="5">
        <item sd="0" x="1"/>
        <item x="0"/>
        <item x="2"/>
        <item x="3"/>
        <item t="default"/>
      </items>
    </pivotField>
  </pivotFields>
  <rowFields count="1">
    <field x="8"/>
  </rowFields>
  <rowItems count="8">
    <i>
      <x/>
    </i>
    <i>
      <x v="2"/>
    </i>
    <i>
      <x v="6"/>
    </i>
    <i>
      <x v="1"/>
    </i>
    <i>
      <x v="4"/>
    </i>
    <i>
      <x v="3"/>
    </i>
    <i>
      <x v="5"/>
    </i>
    <i t="grand">
      <x/>
    </i>
  </rowItems>
  <colItems count="1">
    <i/>
  </colItems>
  <dataFields count="1">
    <dataField name="Complaints" fld="3" subtotal="count" baseField="5" baseItem="0"/>
  </dataFields>
  <formats count="15">
    <format dxfId="283">
      <pivotArea field="8" type="button" dataOnly="0" labelOnly="1" outline="0" axis="axisRow" fieldPosition="0"/>
    </format>
    <format dxfId="282">
      <pivotArea field="8" type="button" dataOnly="0" labelOnly="1" outline="0" axis="axisRow" fieldPosition="0"/>
    </format>
    <format dxfId="281">
      <pivotArea dataOnly="0" labelOnly="1" outline="0" axis="axisValues" fieldPosition="0"/>
    </format>
    <format dxfId="280">
      <pivotArea dataOnly="0" labelOnly="1" outline="0" axis="axisValues" fieldPosition="0"/>
    </format>
    <format dxfId="279">
      <pivotArea outline="0" collapsedLevelsAreSubtotals="1" fieldPosition="0"/>
    </format>
    <format dxfId="278">
      <pivotArea dataOnly="0" labelOnly="1" grandRow="1" outline="0" fieldPosition="0"/>
    </format>
    <format dxfId="277">
      <pivotArea outline="0" collapsedLevelsAreSubtotals="1" fieldPosition="0"/>
    </format>
    <format dxfId="276">
      <pivotArea dataOnly="0" labelOnly="1" grandRow="1" outline="0" fieldPosition="0"/>
    </format>
    <format dxfId="275">
      <pivotArea field="8" type="button" dataOnly="0" labelOnly="1" outline="0" axis="axisRow" fieldPosition="0"/>
    </format>
    <format dxfId="274">
      <pivotArea dataOnly="0" labelOnly="1" outline="0" axis="axisValues" fieldPosition="0"/>
    </format>
    <format dxfId="273">
      <pivotArea dataOnly="0" labelOnly="1" outline="0" axis="axisValues" fieldPosition="0"/>
    </format>
    <format dxfId="272">
      <pivotArea dataOnly="0" labelOnly="1" outline="0" axis="axisValues" fieldPosition="0"/>
    </format>
    <format dxfId="271">
      <pivotArea dataOnly="0" grandRow="1" fieldPosition="0"/>
    </format>
    <format dxfId="270">
      <pivotArea dataOnly="0" grandRow="1" fieldPosition="0"/>
    </format>
    <format dxfId="269">
      <pivotArea dataOnly="0" labelOnly="1" outline="0" axis="axisValues" fieldPosition="0"/>
    </format>
  </formats>
  <chartFormats count="13">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8" count="1" selected="0">
            <x v="5"/>
          </reference>
        </references>
      </pivotArea>
    </chartFormat>
    <chartFormat chart="13" format="4">
      <pivotArea type="data" outline="0" fieldPosition="0">
        <references count="2">
          <reference field="4294967294" count="1" selected="0">
            <x v="0"/>
          </reference>
          <reference field="8" count="1" selected="0">
            <x v="3"/>
          </reference>
        </references>
      </pivotArea>
    </chartFormat>
    <chartFormat chart="13" format="5">
      <pivotArea type="data" outline="0" fieldPosition="0">
        <references count="2">
          <reference field="4294967294" count="1" selected="0">
            <x v="0"/>
          </reference>
          <reference field="8" count="1" selected="0">
            <x v="4"/>
          </reference>
        </references>
      </pivotArea>
    </chartFormat>
    <chartFormat chart="13" format="6">
      <pivotArea type="data" outline="0" fieldPosition="0">
        <references count="2">
          <reference field="4294967294" count="1" selected="0">
            <x v="0"/>
          </reference>
          <reference field="8" count="1" selected="0">
            <x v="1"/>
          </reference>
        </references>
      </pivotArea>
    </chartFormat>
    <chartFormat chart="13" format="7">
      <pivotArea type="data" outline="0" fieldPosition="0">
        <references count="2">
          <reference field="4294967294" count="1" selected="0">
            <x v="0"/>
          </reference>
          <reference field="8" count="1" selected="0">
            <x v="6"/>
          </reference>
        </references>
      </pivotArea>
    </chartFormat>
    <chartFormat chart="13" format="8">
      <pivotArea type="data" outline="0" fieldPosition="0">
        <references count="2">
          <reference field="4294967294" count="1" selected="0">
            <x v="0"/>
          </reference>
          <reference field="8" count="1" selected="0">
            <x v="2"/>
          </reference>
        </references>
      </pivotArea>
    </chartFormat>
    <chartFormat chart="13" format="9">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86EC79-37FF-4A8A-921E-74CDEBF163A5}" name="Month Wise Complaints"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5" rowHeaderCaption="Month">
  <location ref="A78:B91" firstHeaderRow="1" firstDataRow="1" firstDataCol="1"/>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axis="axisRow" dataField="1" numFmtId="22" showAll="0">
      <items count="15">
        <item x="0"/>
        <item x="1"/>
        <item x="2"/>
        <item x="3"/>
        <item x="4"/>
        <item x="5"/>
        <item x="6"/>
        <item x="7"/>
        <item x="8"/>
        <item x="9"/>
        <item x="10"/>
        <item x="11"/>
        <item x="12"/>
        <item x="13"/>
        <item t="default"/>
      </items>
    </pivotField>
    <pivotField numFmtId="22" showAll="0"/>
    <pivotField numFmtId="46" showAll="0"/>
    <pivotField numFmtId="166" showAll="0"/>
    <pivotField showAll="0"/>
    <pivotField showAll="0">
      <items count="8">
        <item x="5"/>
        <item x="6"/>
        <item x="4"/>
        <item x="1"/>
        <item x="2"/>
        <item x="0"/>
        <item x="3"/>
        <item t="default"/>
      </items>
    </pivotField>
    <pivotField numFmtId="165" showAll="0"/>
    <pivotField showAll="0">
      <items count="4">
        <item x="0"/>
        <item x="1"/>
        <item x="2"/>
        <item t="default"/>
      </items>
    </pivotField>
    <pivotField showAll="0">
      <items count="7">
        <item sd="0" x="1"/>
        <item sd="0" x="2"/>
        <item sd="0" x="3"/>
        <item sd="0" x="4"/>
        <item x="0"/>
        <item x="5"/>
        <item t="default"/>
      </items>
    </pivotField>
    <pivotField showAll="0">
      <items count="5">
        <item sd="0" x="1"/>
        <item x="0"/>
        <item x="2"/>
        <item x="3"/>
        <item t="default"/>
      </items>
    </pivotField>
  </pivotFields>
  <rowFields count="1">
    <field x="3"/>
  </rowFields>
  <rowItems count="13">
    <i>
      <x v="1"/>
    </i>
    <i>
      <x v="2"/>
    </i>
    <i>
      <x v="3"/>
    </i>
    <i>
      <x v="4"/>
    </i>
    <i>
      <x v="5"/>
    </i>
    <i>
      <x v="6"/>
    </i>
    <i>
      <x v="7"/>
    </i>
    <i>
      <x v="8"/>
    </i>
    <i>
      <x v="9"/>
    </i>
    <i>
      <x v="10"/>
    </i>
    <i>
      <x v="11"/>
    </i>
    <i>
      <x v="12"/>
    </i>
    <i t="grand">
      <x/>
    </i>
  </rowItems>
  <colItems count="1">
    <i/>
  </colItems>
  <dataFields count="1">
    <dataField name="Complaints" fld="3" subtotal="count" baseField="5" baseItem="0"/>
  </dataFields>
  <formats count="16">
    <format dxfId="299">
      <pivotArea field="8" type="button" dataOnly="0" labelOnly="1" outline="0"/>
    </format>
    <format dxfId="298">
      <pivotArea field="8" type="button" dataOnly="0" labelOnly="1" outline="0"/>
    </format>
    <format dxfId="297">
      <pivotArea dataOnly="0" labelOnly="1" outline="0" axis="axisValues" fieldPosition="0"/>
    </format>
    <format dxfId="296">
      <pivotArea dataOnly="0" labelOnly="1" outline="0" axis="axisValues" fieldPosition="0"/>
    </format>
    <format dxfId="295">
      <pivotArea outline="0" collapsedLevelsAreSubtotals="1" fieldPosition="0"/>
    </format>
    <format dxfId="294">
      <pivotArea dataOnly="0" labelOnly="1" grandRow="1" outline="0" fieldPosition="0"/>
    </format>
    <format dxfId="293">
      <pivotArea outline="0" collapsedLevelsAreSubtotals="1" fieldPosition="0"/>
    </format>
    <format dxfId="292">
      <pivotArea dataOnly="0" labelOnly="1" grandRow="1" outline="0" fieldPosition="0"/>
    </format>
    <format dxfId="291">
      <pivotArea field="8" type="button" dataOnly="0" labelOnly="1" outline="0"/>
    </format>
    <format dxfId="290">
      <pivotArea dataOnly="0" labelOnly="1" outline="0" axis="axisValues" fieldPosition="0"/>
    </format>
    <format dxfId="289">
      <pivotArea dataOnly="0" labelOnly="1" outline="0" axis="axisValues" fieldPosition="0"/>
    </format>
    <format dxfId="288">
      <pivotArea dataOnly="0" labelOnly="1" outline="0" axis="axisValues" fieldPosition="0"/>
    </format>
    <format dxfId="287">
      <pivotArea dataOnly="0" grandRow="1" fieldPosition="0"/>
    </format>
    <format dxfId="286">
      <pivotArea dataOnly="0" grandRow="1" fieldPosition="0"/>
    </format>
    <format dxfId="285">
      <pivotArea field="3" type="button" dataOnly="0" labelOnly="1" outline="0" axis="axisRow" fieldPosition="0"/>
    </format>
    <format dxfId="284">
      <pivotArea dataOnly="0" labelOnly="1" fieldPosition="0">
        <references count="1">
          <reference field="3" count="12">
            <x v="1"/>
            <x v="2"/>
            <x v="3"/>
            <x v="4"/>
            <x v="5"/>
            <x v="6"/>
            <x v="7"/>
            <x v="8"/>
            <x v="9"/>
            <x v="10"/>
            <x v="11"/>
            <x v="12"/>
          </reference>
        </references>
      </pivotArea>
    </format>
  </formats>
  <chartFormats count="17">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3" count="1" selected="0">
            <x v="1"/>
          </reference>
        </references>
      </pivotArea>
    </chartFormat>
    <chartFormat chart="14" format="4">
      <pivotArea type="data" outline="0" fieldPosition="0">
        <references count="2">
          <reference field="4294967294" count="1" selected="0">
            <x v="0"/>
          </reference>
          <reference field="3" count="1" selected="0">
            <x v="2"/>
          </reference>
        </references>
      </pivotArea>
    </chartFormat>
    <chartFormat chart="14" format="5">
      <pivotArea type="data" outline="0" fieldPosition="0">
        <references count="2">
          <reference field="4294967294" count="1" selected="0">
            <x v="0"/>
          </reference>
          <reference field="3" count="1" selected="0">
            <x v="3"/>
          </reference>
        </references>
      </pivotArea>
    </chartFormat>
    <chartFormat chart="14" format="6">
      <pivotArea type="data" outline="0" fieldPosition="0">
        <references count="2">
          <reference field="4294967294" count="1" selected="0">
            <x v="0"/>
          </reference>
          <reference field="3" count="1" selected="0">
            <x v="4"/>
          </reference>
        </references>
      </pivotArea>
    </chartFormat>
    <chartFormat chart="14" format="7">
      <pivotArea type="data" outline="0" fieldPosition="0">
        <references count="2">
          <reference field="4294967294" count="1" selected="0">
            <x v="0"/>
          </reference>
          <reference field="3" count="1" selected="0">
            <x v="5"/>
          </reference>
        </references>
      </pivotArea>
    </chartFormat>
    <chartFormat chart="14" format="8">
      <pivotArea type="data" outline="0" fieldPosition="0">
        <references count="2">
          <reference field="4294967294" count="1" selected="0">
            <x v="0"/>
          </reference>
          <reference field="3" count="1" selected="0">
            <x v="7"/>
          </reference>
        </references>
      </pivotArea>
    </chartFormat>
    <chartFormat chart="14" format="9">
      <pivotArea type="data" outline="0" fieldPosition="0">
        <references count="2">
          <reference field="4294967294" count="1" selected="0">
            <x v="0"/>
          </reference>
          <reference field="3" count="1" selected="0">
            <x v="8"/>
          </reference>
        </references>
      </pivotArea>
    </chartFormat>
    <chartFormat chart="14" format="10">
      <pivotArea type="data" outline="0" fieldPosition="0">
        <references count="2">
          <reference field="4294967294" count="1" selected="0">
            <x v="0"/>
          </reference>
          <reference field="3" count="1" selected="0">
            <x v="9"/>
          </reference>
        </references>
      </pivotArea>
    </chartFormat>
    <chartFormat chart="14" format="11">
      <pivotArea type="data" outline="0" fieldPosition="0">
        <references count="2">
          <reference field="4294967294" count="1" selected="0">
            <x v="0"/>
          </reference>
          <reference field="3" count="1" selected="0">
            <x v="10"/>
          </reference>
        </references>
      </pivotArea>
    </chartFormat>
    <chartFormat chart="14" format="12">
      <pivotArea type="data" outline="0" fieldPosition="0">
        <references count="2">
          <reference field="4294967294" count="1" selected="0">
            <x v="0"/>
          </reference>
          <reference field="3" count="1" selected="0">
            <x v="11"/>
          </reference>
        </references>
      </pivotArea>
    </chartFormat>
    <chartFormat chart="14" format="13">
      <pivotArea type="data" outline="0" fieldPosition="0">
        <references count="2">
          <reference field="4294967294" count="1" selected="0">
            <x v="0"/>
          </reference>
          <reference field="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953AB0-0E15-4DCA-BD92-6A79A9A3030B}" name="PivotTable1"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22" rowHeaderCaption="Quarter">
  <location ref="A114:E123" firstHeaderRow="1" firstDataRow="2" firstDataCol="1"/>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numFmtId="22" showAll="0">
      <items count="15">
        <item x="0"/>
        <item x="1"/>
        <item x="2"/>
        <item x="3"/>
        <item x="4"/>
        <item x="5"/>
        <item x="6"/>
        <item x="7"/>
        <item x="8"/>
        <item x="9"/>
        <item x="10"/>
        <item x="11"/>
        <item x="12"/>
        <item x="13"/>
        <item t="default"/>
      </items>
    </pivotField>
    <pivotField numFmtId="22" showAll="0"/>
    <pivotField numFmtId="46" showAll="0"/>
    <pivotField dataField="1" numFmtId="166" showAll="0"/>
    <pivotField showAll="0"/>
    <pivotField axis="axisRow" showAll="0">
      <items count="8">
        <item x="5"/>
        <item x="6"/>
        <item x="4"/>
        <item x="1"/>
        <item x="2"/>
        <item x="0"/>
        <item x="3"/>
        <item t="default"/>
      </items>
    </pivotField>
    <pivotField numFmtId="165" showAll="0"/>
    <pivotField axis="axisCol" showAll="0">
      <items count="4">
        <item x="0"/>
        <item x="1"/>
        <item x="2"/>
        <item t="default"/>
      </items>
    </pivotField>
    <pivotField showAll="0">
      <items count="7">
        <item sd="0" x="1"/>
        <item sd="0" x="2"/>
        <item sd="0" x="3"/>
        <item sd="0" x="4"/>
        <item x="0"/>
        <item x="5"/>
        <item t="default"/>
      </items>
    </pivotField>
    <pivotField showAll="0">
      <items count="5">
        <item sd="0" x="1"/>
        <item x="0"/>
        <item x="2"/>
        <item x="3"/>
        <item t="default"/>
      </items>
    </pivotField>
  </pivotFields>
  <rowFields count="1">
    <field x="8"/>
  </rowFields>
  <rowItems count="8">
    <i>
      <x/>
    </i>
    <i>
      <x v="1"/>
    </i>
    <i>
      <x v="2"/>
    </i>
    <i>
      <x v="3"/>
    </i>
    <i>
      <x v="4"/>
    </i>
    <i>
      <x v="5"/>
    </i>
    <i>
      <x v="6"/>
    </i>
    <i t="grand">
      <x/>
    </i>
  </rowItems>
  <colFields count="1">
    <field x="10"/>
  </colFields>
  <colItems count="4">
    <i>
      <x/>
    </i>
    <i>
      <x v="1"/>
    </i>
    <i>
      <x v="2"/>
    </i>
    <i t="grand">
      <x/>
    </i>
  </colItems>
  <dataFields count="1">
    <dataField name="Average of EFFICIENCY %" fld="6" subtotal="average" baseField="0" baseItem="0" numFmtId="166"/>
  </dataFields>
  <formats count="16">
    <format dxfId="315">
      <pivotArea field="8" type="button" dataOnly="0" labelOnly="1" outline="0" axis="axisRow" fieldPosition="0"/>
    </format>
    <format dxfId="314">
      <pivotArea field="8" type="button" dataOnly="0" labelOnly="1" outline="0" axis="axisRow" fieldPosition="0"/>
    </format>
    <format dxfId="313">
      <pivotArea dataOnly="0" labelOnly="1" outline="0" axis="axisValues" fieldPosition="0"/>
    </format>
    <format dxfId="312">
      <pivotArea dataOnly="0" labelOnly="1" outline="0" axis="axisValues" fieldPosition="0"/>
    </format>
    <format dxfId="311">
      <pivotArea outline="0" collapsedLevelsAreSubtotals="1" fieldPosition="0"/>
    </format>
    <format dxfId="310">
      <pivotArea dataOnly="0" labelOnly="1" grandRow="1" outline="0" fieldPosition="0"/>
    </format>
    <format dxfId="309">
      <pivotArea outline="0" collapsedLevelsAreSubtotals="1" fieldPosition="0"/>
    </format>
    <format dxfId="308">
      <pivotArea dataOnly="0" labelOnly="1" grandRow="1" outline="0" fieldPosition="0"/>
    </format>
    <format dxfId="307">
      <pivotArea field="8" type="button" dataOnly="0" labelOnly="1" outline="0" axis="axisRow" fieldPosition="0"/>
    </format>
    <format dxfId="306">
      <pivotArea dataOnly="0" labelOnly="1" outline="0" axis="axisValues" fieldPosition="0"/>
    </format>
    <format dxfId="305">
      <pivotArea dataOnly="0" labelOnly="1" outline="0" axis="axisValues" fieldPosition="0"/>
    </format>
    <format dxfId="304">
      <pivotArea dataOnly="0" labelOnly="1" outline="0" axis="axisValues" fieldPosition="0"/>
    </format>
    <format dxfId="303">
      <pivotArea dataOnly="0" grandRow="1" fieldPosition="0"/>
    </format>
    <format dxfId="302">
      <pivotArea dataOnly="0" grandRow="1" fieldPosition="0"/>
    </format>
    <format dxfId="301">
      <pivotArea field="11" type="button" dataOnly="0" labelOnly="1" outline="0"/>
    </format>
    <format dxfId="300">
      <pivotArea outline="0" collapsedLevelsAreSubtotals="1" fieldPosition="0"/>
    </format>
  </formats>
  <chartFormats count="9">
    <chartFormat chart="19" format="0" series="1">
      <pivotArea type="data" outline="0" fieldPosition="0">
        <references count="2">
          <reference field="4294967294" count="1" selected="0">
            <x v="0"/>
          </reference>
          <reference field="10" count="1" selected="0">
            <x v="0"/>
          </reference>
        </references>
      </pivotArea>
    </chartFormat>
    <chartFormat chart="19" format="1" series="1">
      <pivotArea type="data" outline="0" fieldPosition="0">
        <references count="2">
          <reference field="4294967294" count="1" selected="0">
            <x v="0"/>
          </reference>
          <reference field="10" count="1" selected="0">
            <x v="1"/>
          </reference>
        </references>
      </pivotArea>
    </chartFormat>
    <chartFormat chart="19" format="2" series="1">
      <pivotArea type="data" outline="0" fieldPosition="0">
        <references count="2">
          <reference field="4294967294" count="1" selected="0">
            <x v="0"/>
          </reference>
          <reference field="10" count="1" selected="0">
            <x v="2"/>
          </reference>
        </references>
      </pivotArea>
    </chartFormat>
    <chartFormat chart="19" format="3" series="1">
      <pivotArea type="data" outline="0" fieldPosition="0">
        <references count="1">
          <reference field="4294967294" count="1" selected="0">
            <x v="0"/>
          </reference>
        </references>
      </pivotArea>
    </chartFormat>
    <chartFormat chart="21" format="7" series="1">
      <pivotArea type="data" outline="0" fieldPosition="0">
        <references count="2">
          <reference field="4294967294" count="1" selected="0">
            <x v="0"/>
          </reference>
          <reference field="10" count="1" selected="0">
            <x v="0"/>
          </reference>
        </references>
      </pivotArea>
    </chartFormat>
    <chartFormat chart="21" format="8" series="1">
      <pivotArea type="data" outline="0" fieldPosition="0">
        <references count="2">
          <reference field="4294967294" count="1" selected="0">
            <x v="0"/>
          </reference>
          <reference field="10" count="1" selected="0">
            <x v="1"/>
          </reference>
        </references>
      </pivotArea>
    </chartFormat>
    <chartFormat chart="21" format="9" series="1">
      <pivotArea type="data" outline="0" fieldPosition="0">
        <references count="2">
          <reference field="4294967294" count="1" selected="0">
            <x v="0"/>
          </reference>
          <reference field="10" count="1" selected="0">
            <x v="2"/>
          </reference>
        </references>
      </pivotArea>
    </chartFormat>
    <chartFormat chart="21" format="10" series="1">
      <pivotArea type="data" outline="0" fieldPosition="0">
        <references count="1">
          <reference field="4294967294" count="1" selected="0">
            <x v="0"/>
          </reference>
        </references>
      </pivotArea>
    </chartFormat>
    <chartFormat chart="21" format="11">
      <pivotArea type="data" outline="0" fieldPosition="0">
        <references count="3">
          <reference field="4294967294" count="1" selected="0">
            <x v="0"/>
          </reference>
          <reference field="8" count="1" selected="0">
            <x v="2"/>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EFBF65-0B06-4896-BF62-039C7B4B9189}" name="PivotTable2"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8" rowHeaderCaption="Quarter">
  <location ref="A128:A129" firstHeaderRow="1" firstDataRow="1" firstDataCol="0"/>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numFmtId="22" showAll="0">
      <items count="15">
        <item x="0"/>
        <item x="1"/>
        <item x="2"/>
        <item x="3"/>
        <item x="4"/>
        <item x="5"/>
        <item x="6"/>
        <item x="7"/>
        <item x="8"/>
        <item x="9"/>
        <item x="10"/>
        <item x="11"/>
        <item x="12"/>
        <item x="13"/>
        <item t="default"/>
      </items>
    </pivotField>
    <pivotField numFmtId="22" showAll="0"/>
    <pivotField dataField="1" numFmtId="46" showAll="0"/>
    <pivotField numFmtId="166" showAll="0"/>
    <pivotField showAll="0"/>
    <pivotField showAll="0">
      <items count="8">
        <item x="5"/>
        <item x="6"/>
        <item x="4"/>
        <item x="1"/>
        <item x="2"/>
        <item x="0"/>
        <item x="3"/>
        <item t="default"/>
      </items>
    </pivotField>
    <pivotField numFmtId="165" showAll="0"/>
    <pivotField showAll="0">
      <items count="4">
        <item x="0"/>
        <item x="1"/>
        <item x="2"/>
        <item t="default"/>
      </items>
    </pivotField>
    <pivotField showAll="0">
      <items count="7">
        <item sd="0" x="1"/>
        <item sd="0" x="2"/>
        <item sd="0" x="3"/>
        <item sd="0" x="4"/>
        <item x="0"/>
        <item x="5"/>
        <item t="default"/>
      </items>
    </pivotField>
    <pivotField showAll="0">
      <items count="5">
        <item sd="0" x="1"/>
        <item x="0"/>
        <item x="2"/>
        <item x="3"/>
        <item t="default"/>
      </items>
    </pivotField>
  </pivotFields>
  <rowItems count="1">
    <i/>
  </rowItems>
  <colItems count="1">
    <i/>
  </colItems>
  <dataFields count="1">
    <dataField name="Average of TIME TEKKEN" fld="5" subtotal="average" baseField="0" baseItem="9" numFmtId="46"/>
  </dataFields>
  <formats count="16">
    <format dxfId="331">
      <pivotArea field="8" type="button" dataOnly="0" labelOnly="1" outline="0"/>
    </format>
    <format dxfId="330">
      <pivotArea field="8" type="button" dataOnly="0" labelOnly="1" outline="0"/>
    </format>
    <format dxfId="329">
      <pivotArea dataOnly="0" labelOnly="1" outline="0" axis="axisValues" fieldPosition="0"/>
    </format>
    <format dxfId="328">
      <pivotArea dataOnly="0" labelOnly="1" outline="0" axis="axisValues" fieldPosition="0"/>
    </format>
    <format dxfId="327">
      <pivotArea outline="0" collapsedLevelsAreSubtotals="1" fieldPosition="0"/>
    </format>
    <format dxfId="326">
      <pivotArea dataOnly="0" labelOnly="1" grandRow="1" outline="0" fieldPosition="0"/>
    </format>
    <format dxfId="325">
      <pivotArea outline="0" collapsedLevelsAreSubtotals="1" fieldPosition="0"/>
    </format>
    <format dxfId="324">
      <pivotArea dataOnly="0" labelOnly="1" grandRow="1" outline="0" fieldPosition="0"/>
    </format>
    <format dxfId="323">
      <pivotArea field="8" type="button" dataOnly="0" labelOnly="1" outline="0"/>
    </format>
    <format dxfId="322">
      <pivotArea dataOnly="0" labelOnly="1" outline="0" axis="axisValues" fieldPosition="0"/>
    </format>
    <format dxfId="321">
      <pivotArea dataOnly="0" labelOnly="1" outline="0" axis="axisValues" fieldPosition="0"/>
    </format>
    <format dxfId="320">
      <pivotArea dataOnly="0" labelOnly="1" outline="0" axis="axisValues" fieldPosition="0"/>
    </format>
    <format dxfId="319">
      <pivotArea dataOnly="0" grandRow="1" fieldPosition="0"/>
    </format>
    <format dxfId="318">
      <pivotArea dataOnly="0" grandRow="1" fieldPosition="0"/>
    </format>
    <format dxfId="317">
      <pivotArea field="11" type="button" dataOnly="0" labelOnly="1" outline="0"/>
    </format>
    <format dxfId="3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77323E-8147-4FB6-8F00-289C21B2996C}" name="Batch Wise Comlaints"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4" rowHeaderCaption="Batch No.">
  <location ref="A18:B38" firstHeaderRow="1" firstDataRow="1" firstDataCol="1"/>
  <pivotFields count="13">
    <pivotField showAll="0"/>
    <pivotField axis="axisRow" showAll="0">
      <items count="20">
        <item x="14"/>
        <item x="9"/>
        <item x="13"/>
        <item x="8"/>
        <item x="0"/>
        <item x="1"/>
        <item x="7"/>
        <item x="3"/>
        <item x="6"/>
        <item x="11"/>
        <item x="10"/>
        <item x="2"/>
        <item x="5"/>
        <item x="12"/>
        <item x="4"/>
        <item x="15"/>
        <item x="16"/>
        <item x="18"/>
        <item x="17"/>
        <item t="default"/>
      </items>
    </pivotField>
    <pivotField numFmtId="1" showAll="0"/>
    <pivotField dataField="1" numFmtId="22" showAll="0">
      <items count="15">
        <item x="0"/>
        <item x="1"/>
        <item x="2"/>
        <item x="3"/>
        <item x="4"/>
        <item x="5"/>
        <item x="6"/>
        <item x="7"/>
        <item x="8"/>
        <item x="9"/>
        <item x="10"/>
        <item x="11"/>
        <item x="12"/>
        <item x="13"/>
        <item t="default"/>
      </items>
    </pivotField>
    <pivotField numFmtId="22" showAll="0"/>
    <pivotField numFmtId="46" showAll="0"/>
    <pivotField numFmtId="166" showAll="0"/>
    <pivotField showAll="0"/>
    <pivotField showAll="0">
      <items count="8">
        <item x="5"/>
        <item x="6"/>
        <item x="4"/>
        <item x="1"/>
        <item x="2"/>
        <item x="0"/>
        <item x="3"/>
        <item t="default"/>
      </items>
    </pivotField>
    <pivotField numFmtId="165" showAll="0"/>
    <pivotField showAll="0">
      <items count="4">
        <item x="0"/>
        <item x="1"/>
        <item x="2"/>
        <item t="default"/>
      </items>
    </pivotField>
    <pivotField showAll="0">
      <items count="7">
        <item sd="0" x="1"/>
        <item sd="0" x="2"/>
        <item sd="0" x="3"/>
        <item sd="0" x="4"/>
        <item x="0"/>
        <item x="5"/>
        <item t="default"/>
      </items>
    </pivotField>
    <pivotField showAll="0">
      <items count="5">
        <item sd="0" x="1"/>
        <item x="0"/>
        <item x="2"/>
        <item x="3"/>
        <item t="default"/>
      </items>
    </pivotField>
  </pivotFields>
  <rowFields count="1">
    <field x="1"/>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mplaints" fld="3" subtotal="count" baseField="5" baseItem="0"/>
  </dataFields>
  <formats count="18">
    <format dxfId="349">
      <pivotArea field="8" type="button" dataOnly="0" labelOnly="1" outline="0"/>
    </format>
    <format dxfId="348">
      <pivotArea field="8" type="button" dataOnly="0" labelOnly="1" outline="0"/>
    </format>
    <format dxfId="347">
      <pivotArea dataOnly="0" labelOnly="1" outline="0" axis="axisValues" fieldPosition="0"/>
    </format>
    <format dxfId="346">
      <pivotArea dataOnly="0" labelOnly="1" outline="0" axis="axisValues" fieldPosition="0"/>
    </format>
    <format dxfId="345">
      <pivotArea outline="0" collapsedLevelsAreSubtotals="1" fieldPosition="0"/>
    </format>
    <format dxfId="344">
      <pivotArea dataOnly="0" labelOnly="1" grandRow="1" outline="0" fieldPosition="0"/>
    </format>
    <format dxfId="343">
      <pivotArea outline="0" collapsedLevelsAreSubtotals="1" fieldPosition="0"/>
    </format>
    <format dxfId="342">
      <pivotArea dataOnly="0" labelOnly="1" grandRow="1" outline="0" fieldPosition="0"/>
    </format>
    <format dxfId="341">
      <pivotArea field="8" type="button" dataOnly="0" labelOnly="1" outline="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dataOnly="0" grandRow="1" fieldPosition="0"/>
    </format>
    <format dxfId="336">
      <pivotArea dataOnly="0" grandRow="1" fieldPosition="0"/>
    </format>
    <format dxfId="335">
      <pivotArea field="1" type="button" dataOnly="0" labelOnly="1" outline="0" axis="axisRow" fieldPosition="0"/>
    </format>
    <format dxfId="334">
      <pivotArea dataOnly="0" labelOnly="1" fieldPosition="0">
        <references count="1">
          <reference field="1" count="0"/>
        </references>
      </pivotArea>
    </format>
    <format dxfId="333">
      <pivotArea collapsedLevelsAreSubtotals="1" fieldPosition="0">
        <references count="1">
          <reference field="1" count="0"/>
        </references>
      </pivotArea>
    </format>
    <format dxfId="332">
      <pivotArea dataOnly="0" labelOnly="1" outline="0" axis="axisValues" fieldPosition="0"/>
    </format>
  </formats>
  <chartFormats count="23">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1" count="1" selected="0">
            <x v="0"/>
          </reference>
        </references>
      </pivotArea>
    </chartFormat>
    <chartFormat chart="13" format="4">
      <pivotArea type="data" outline="0" fieldPosition="0">
        <references count="2">
          <reference field="4294967294" count="1" selected="0">
            <x v="0"/>
          </reference>
          <reference field="1" count="1" selected="0">
            <x v="1"/>
          </reference>
        </references>
      </pivotArea>
    </chartFormat>
    <chartFormat chart="13" format="5">
      <pivotArea type="data" outline="0" fieldPosition="0">
        <references count="2">
          <reference field="4294967294" count="1" selected="0">
            <x v="0"/>
          </reference>
          <reference field="1" count="1" selected="0">
            <x v="2"/>
          </reference>
        </references>
      </pivotArea>
    </chartFormat>
    <chartFormat chart="13" format="6">
      <pivotArea type="data" outline="0" fieldPosition="0">
        <references count="2">
          <reference field="4294967294" count="1" selected="0">
            <x v="0"/>
          </reference>
          <reference field="1" count="1" selected="0">
            <x v="3"/>
          </reference>
        </references>
      </pivotArea>
    </chartFormat>
    <chartFormat chart="13" format="7">
      <pivotArea type="data" outline="0" fieldPosition="0">
        <references count="2">
          <reference field="4294967294" count="1" selected="0">
            <x v="0"/>
          </reference>
          <reference field="1" count="1" selected="0">
            <x v="4"/>
          </reference>
        </references>
      </pivotArea>
    </chartFormat>
    <chartFormat chart="13" format="8">
      <pivotArea type="data" outline="0" fieldPosition="0">
        <references count="2">
          <reference field="4294967294" count="1" selected="0">
            <x v="0"/>
          </reference>
          <reference field="1" count="1" selected="0">
            <x v="5"/>
          </reference>
        </references>
      </pivotArea>
    </chartFormat>
    <chartFormat chart="13" format="9">
      <pivotArea type="data" outline="0" fieldPosition="0">
        <references count="2">
          <reference field="4294967294" count="1" selected="0">
            <x v="0"/>
          </reference>
          <reference field="1" count="1" selected="0">
            <x v="6"/>
          </reference>
        </references>
      </pivotArea>
    </chartFormat>
    <chartFormat chart="13" format="10">
      <pivotArea type="data" outline="0" fieldPosition="0">
        <references count="2">
          <reference field="4294967294" count="1" selected="0">
            <x v="0"/>
          </reference>
          <reference field="1" count="1" selected="0">
            <x v="7"/>
          </reference>
        </references>
      </pivotArea>
    </chartFormat>
    <chartFormat chart="13" format="11">
      <pivotArea type="data" outline="0" fieldPosition="0">
        <references count="2">
          <reference field="4294967294" count="1" selected="0">
            <x v="0"/>
          </reference>
          <reference field="1" count="1" selected="0">
            <x v="8"/>
          </reference>
        </references>
      </pivotArea>
    </chartFormat>
    <chartFormat chart="13" format="12">
      <pivotArea type="data" outline="0" fieldPosition="0">
        <references count="2">
          <reference field="4294967294" count="1" selected="0">
            <x v="0"/>
          </reference>
          <reference field="1" count="1" selected="0">
            <x v="9"/>
          </reference>
        </references>
      </pivotArea>
    </chartFormat>
    <chartFormat chart="13" format="13">
      <pivotArea type="data" outline="0" fieldPosition="0">
        <references count="2">
          <reference field="4294967294" count="1" selected="0">
            <x v="0"/>
          </reference>
          <reference field="1" count="1" selected="0">
            <x v="10"/>
          </reference>
        </references>
      </pivotArea>
    </chartFormat>
    <chartFormat chart="13" format="14">
      <pivotArea type="data" outline="0" fieldPosition="0">
        <references count="2">
          <reference field="4294967294" count="1" selected="0">
            <x v="0"/>
          </reference>
          <reference field="1" count="1" selected="0">
            <x v="11"/>
          </reference>
        </references>
      </pivotArea>
    </chartFormat>
    <chartFormat chart="13" format="15">
      <pivotArea type="data" outline="0" fieldPosition="0">
        <references count="2">
          <reference field="4294967294" count="1" selected="0">
            <x v="0"/>
          </reference>
          <reference field="1" count="1" selected="0">
            <x v="12"/>
          </reference>
        </references>
      </pivotArea>
    </chartFormat>
    <chartFormat chart="13" format="16">
      <pivotArea type="data" outline="0" fieldPosition="0">
        <references count="2">
          <reference field="4294967294" count="1" selected="0">
            <x v="0"/>
          </reference>
          <reference field="1" count="1" selected="0">
            <x v="13"/>
          </reference>
        </references>
      </pivotArea>
    </chartFormat>
    <chartFormat chart="13" format="17">
      <pivotArea type="data" outline="0" fieldPosition="0">
        <references count="2">
          <reference field="4294967294" count="1" selected="0">
            <x v="0"/>
          </reference>
          <reference field="1" count="1" selected="0">
            <x v="14"/>
          </reference>
        </references>
      </pivotArea>
    </chartFormat>
    <chartFormat chart="13" format="18">
      <pivotArea type="data" outline="0" fieldPosition="0">
        <references count="2">
          <reference field="4294967294" count="1" selected="0">
            <x v="0"/>
          </reference>
          <reference field="1" count="1" selected="0">
            <x v="15"/>
          </reference>
        </references>
      </pivotArea>
    </chartFormat>
    <chartFormat chart="13" format="19">
      <pivotArea type="data" outline="0" fieldPosition="0">
        <references count="2">
          <reference field="4294967294" count="1" selected="0">
            <x v="0"/>
          </reference>
          <reference field="1" count="1" selected="0">
            <x v="16"/>
          </reference>
        </references>
      </pivotArea>
    </chartFormat>
    <chartFormat chart="13" format="20">
      <pivotArea type="data" outline="0" fieldPosition="0">
        <references count="2">
          <reference field="4294967294" count="1" selected="0">
            <x v="0"/>
          </reference>
          <reference field="1" count="1" selected="0">
            <x v="17"/>
          </reference>
        </references>
      </pivotArea>
    </chartFormat>
    <chartFormat chart="13" format="21">
      <pivotArea type="data" outline="0" fieldPosition="0">
        <references count="2">
          <reference field="4294967294" count="1" selected="0">
            <x v="0"/>
          </reference>
          <reference field="1"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156812-A3C4-447D-9A4C-53EDDCBBE832}" name="Year Wise Complaints"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25" rowHeaderCaption="Year">
  <location ref="A42:B45" firstHeaderRow="1" firstDataRow="1" firstDataCol="1"/>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name="TIMELINE" dataField="1" numFmtId="22" showAll="0">
      <items count="15">
        <item x="0"/>
        <item x="1"/>
        <item x="2"/>
        <item x="3"/>
        <item x="4"/>
        <item x="5"/>
        <item x="6"/>
        <item x="7"/>
        <item x="8"/>
        <item x="9"/>
        <item x="10"/>
        <item x="11"/>
        <item x="12"/>
        <item x="13"/>
        <item t="default"/>
      </items>
    </pivotField>
    <pivotField numFmtId="22" showAll="0"/>
    <pivotField numFmtId="46" showAll="0"/>
    <pivotField numFmtId="166" showAll="0"/>
    <pivotField showAll="0"/>
    <pivotField showAll="0">
      <items count="8">
        <item x="5"/>
        <item x="6"/>
        <item x="4"/>
        <item x="1"/>
        <item x="2"/>
        <item x="0"/>
        <item x="3"/>
        <item t="default"/>
      </items>
    </pivotField>
    <pivotField numFmtId="165" showAll="0"/>
    <pivotField showAll="0">
      <items count="4">
        <item x="0"/>
        <item x="1"/>
        <item x="2"/>
        <item t="default"/>
      </items>
    </pivotField>
    <pivotField showAll="0">
      <items count="7">
        <item sd="0" x="1"/>
        <item sd="0" x="2"/>
        <item sd="0" x="3"/>
        <item sd="0" x="4"/>
        <item x="0"/>
        <item x="5"/>
        <item t="default"/>
      </items>
    </pivotField>
    <pivotField axis="axisRow" showAll="0">
      <items count="5">
        <item sd="0" x="1"/>
        <item x="0"/>
        <item x="2"/>
        <item x="3"/>
        <item t="default" sd="0"/>
      </items>
    </pivotField>
  </pivotFields>
  <rowFields count="1">
    <field x="12"/>
  </rowFields>
  <rowItems count="3">
    <i>
      <x/>
    </i>
    <i>
      <x v="2"/>
    </i>
    <i t="grand">
      <x/>
    </i>
  </rowItems>
  <colItems count="1">
    <i/>
  </colItems>
  <dataFields count="1">
    <dataField name="Complaints" fld="3" subtotal="count" baseField="5" baseItem="0"/>
  </dataFields>
  <formats count="15">
    <format dxfId="364">
      <pivotArea field="8" type="button" dataOnly="0" labelOnly="1" outline="0"/>
    </format>
    <format dxfId="363">
      <pivotArea field="8" type="button" dataOnly="0" labelOnly="1" outline="0"/>
    </format>
    <format dxfId="362">
      <pivotArea dataOnly="0" labelOnly="1" outline="0" axis="axisValues" fieldPosition="0"/>
    </format>
    <format dxfId="361">
      <pivotArea dataOnly="0" labelOnly="1" outline="0" axis="axisValues" fieldPosition="0"/>
    </format>
    <format dxfId="360">
      <pivotArea outline="0" collapsedLevelsAreSubtotals="1" fieldPosition="0"/>
    </format>
    <format dxfId="359">
      <pivotArea dataOnly="0" labelOnly="1" grandRow="1" outline="0" fieldPosition="0"/>
    </format>
    <format dxfId="358">
      <pivotArea outline="0" collapsedLevelsAreSubtotals="1" fieldPosition="0"/>
    </format>
    <format dxfId="357">
      <pivotArea dataOnly="0" labelOnly="1" grandRow="1" outline="0" fieldPosition="0"/>
    </format>
    <format dxfId="356">
      <pivotArea field="8" type="button" dataOnly="0" labelOnly="1" outline="0"/>
    </format>
    <format dxfId="355">
      <pivotArea dataOnly="0" labelOnly="1" outline="0" axis="axisValues" fieldPosition="0"/>
    </format>
    <format dxfId="354">
      <pivotArea dataOnly="0" labelOnly="1" outline="0" axis="axisValues" fieldPosition="0"/>
    </format>
    <format dxfId="353">
      <pivotArea dataOnly="0" labelOnly="1" outline="0" axis="axisValues" fieldPosition="0"/>
    </format>
    <format dxfId="352">
      <pivotArea dataOnly="0" grandRow="1" fieldPosition="0"/>
    </format>
    <format dxfId="351">
      <pivotArea dataOnly="0" grandRow="1" fieldPosition="0"/>
    </format>
    <format dxfId="350">
      <pivotArea field="12" type="button" dataOnly="0" labelOnly="1" outline="0" axis="axisRow" fieldPosition="0"/>
    </format>
  </formats>
  <chartFormats count="1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2" format="6">
      <pivotArea type="data" outline="0" fieldPosition="0">
        <references count="2">
          <reference field="4294967294" count="1" selected="0">
            <x v="0"/>
          </reference>
          <reference field="12" count="1" selected="0">
            <x v="0"/>
          </reference>
        </references>
      </pivotArea>
    </chartFormat>
    <chartFormat chart="16" format="3"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12" count="1" selected="0">
            <x v="0"/>
          </reference>
        </references>
      </pivotArea>
    </chartFormat>
    <chartFormat chart="20" format="0"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 chart="24" format="6">
      <pivotArea type="data" outline="0" fieldPosition="0">
        <references count="2">
          <reference field="4294967294" count="1" selected="0">
            <x v="0"/>
          </reference>
          <reference field="12" count="1" selected="0">
            <x v="0"/>
          </reference>
        </references>
      </pivotArea>
    </chartFormat>
    <chartFormat chart="20" format="2">
      <pivotArea type="data" outline="0" fieldPosition="0">
        <references count="2">
          <reference field="4294967294" count="1" selected="0">
            <x v="0"/>
          </reference>
          <reference field="12" count="1" selected="0">
            <x v="0"/>
          </reference>
        </references>
      </pivotArea>
    </chartFormat>
    <chartFormat chart="24" format="7">
      <pivotArea type="data" outline="0" fieldPosition="0">
        <references count="2">
          <reference field="4294967294" count="1" selected="0">
            <x v="0"/>
          </reference>
          <reference field="12" count="1" selected="0">
            <x v="2"/>
          </reference>
        </references>
      </pivotArea>
    </chartFormat>
    <chartFormat chart="20" format="4">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CAB79A1-6F6C-44A2-80FB-7EAF0418B84A}" name="Quarter Wise Complaints"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9" rowHeaderCaption="Quarter">
  <location ref="A59:B64" firstHeaderRow="1" firstDataRow="1" firstDataCol="1"/>
  <pivotFields count="13">
    <pivotField showAll="0"/>
    <pivotField showAll="0">
      <items count="20">
        <item x="14"/>
        <item x="9"/>
        <item x="13"/>
        <item x="8"/>
        <item x="0"/>
        <item x="1"/>
        <item x="7"/>
        <item x="3"/>
        <item x="6"/>
        <item x="11"/>
        <item x="10"/>
        <item x="2"/>
        <item x="5"/>
        <item x="12"/>
        <item x="4"/>
        <item x="15"/>
        <item x="16"/>
        <item x="18"/>
        <item x="17"/>
        <item t="default"/>
      </items>
    </pivotField>
    <pivotField numFmtId="1" showAll="0"/>
    <pivotField dataField="1" numFmtId="22" showAll="0">
      <items count="15">
        <item x="0"/>
        <item x="1"/>
        <item x="2"/>
        <item x="3"/>
        <item x="4"/>
        <item x="5"/>
        <item x="6"/>
        <item x="7"/>
        <item x="8"/>
        <item x="9"/>
        <item x="10"/>
        <item x="11"/>
        <item x="12"/>
        <item x="13"/>
        <item t="default"/>
      </items>
    </pivotField>
    <pivotField numFmtId="22" showAll="0"/>
    <pivotField numFmtId="46" showAll="0"/>
    <pivotField numFmtId="166" showAll="0"/>
    <pivotField showAll="0"/>
    <pivotField showAll="0">
      <items count="8">
        <item x="5"/>
        <item x="6"/>
        <item x="4"/>
        <item x="1"/>
        <item x="2"/>
        <item x="0"/>
        <item x="3"/>
        <item t="default"/>
      </items>
    </pivotField>
    <pivotField numFmtId="165" showAll="0"/>
    <pivotField showAll="0">
      <items count="4">
        <item x="0"/>
        <item x="1"/>
        <item x="2"/>
        <item t="default"/>
      </items>
    </pivotField>
    <pivotField axis="axisRow" showAll="0">
      <items count="7">
        <item sd="0" x="1"/>
        <item sd="0" x="2"/>
        <item sd="0" x="3"/>
        <item sd="0" x="4"/>
        <item x="0"/>
        <item x="5"/>
        <item t="default"/>
      </items>
    </pivotField>
    <pivotField showAll="0">
      <items count="5">
        <item sd="0" x="1"/>
        <item x="0"/>
        <item x="2"/>
        <item x="3"/>
        <item t="default"/>
      </items>
    </pivotField>
  </pivotFields>
  <rowFields count="1">
    <field x="11"/>
  </rowFields>
  <rowItems count="5">
    <i>
      <x/>
    </i>
    <i>
      <x v="1"/>
    </i>
    <i>
      <x v="2"/>
    </i>
    <i>
      <x v="3"/>
    </i>
    <i t="grand">
      <x/>
    </i>
  </rowItems>
  <colItems count="1">
    <i/>
  </colItems>
  <dataFields count="1">
    <dataField name="Complaints" fld="3" subtotal="count" baseField="5" baseItem="0"/>
  </dataFields>
  <formats count="16">
    <format dxfId="380">
      <pivotArea field="8" type="button" dataOnly="0" labelOnly="1" outline="0"/>
    </format>
    <format dxfId="379">
      <pivotArea field="8" type="button" dataOnly="0" labelOnly="1" outline="0"/>
    </format>
    <format dxfId="378">
      <pivotArea dataOnly="0" labelOnly="1" outline="0" axis="axisValues" fieldPosition="0"/>
    </format>
    <format dxfId="377">
      <pivotArea dataOnly="0" labelOnly="1" outline="0" axis="axisValues" fieldPosition="0"/>
    </format>
    <format dxfId="376">
      <pivotArea outline="0" collapsedLevelsAreSubtotals="1" fieldPosition="0"/>
    </format>
    <format dxfId="375">
      <pivotArea dataOnly="0" labelOnly="1" grandRow="1" outline="0" fieldPosition="0"/>
    </format>
    <format dxfId="374">
      <pivotArea outline="0" collapsedLevelsAreSubtotals="1" fieldPosition="0"/>
    </format>
    <format dxfId="373">
      <pivotArea dataOnly="0" labelOnly="1" grandRow="1" outline="0" fieldPosition="0"/>
    </format>
    <format dxfId="372">
      <pivotArea field="8" type="button" dataOnly="0" labelOnly="1" outline="0"/>
    </format>
    <format dxfId="371">
      <pivotArea dataOnly="0" labelOnly="1" outline="0" axis="axisValues" fieldPosition="0"/>
    </format>
    <format dxfId="370">
      <pivotArea dataOnly="0" labelOnly="1" outline="0" axis="axisValues" fieldPosition="0"/>
    </format>
    <format dxfId="369">
      <pivotArea dataOnly="0" labelOnly="1" outline="0" axis="axisValues" fieldPosition="0"/>
    </format>
    <format dxfId="368">
      <pivotArea dataOnly="0" grandRow="1" fieldPosition="0"/>
    </format>
    <format dxfId="367">
      <pivotArea dataOnly="0" grandRow="1" fieldPosition="0"/>
    </format>
    <format dxfId="366">
      <pivotArea field="11" type="button" dataOnly="0" labelOnly="1" outline="0" axis="axisRow" fieldPosition="0"/>
    </format>
    <format dxfId="365">
      <pivotArea dataOnly="0" labelOnly="1" fieldPosition="0">
        <references count="1">
          <reference field="11" count="4">
            <x v="0"/>
            <x v="1"/>
            <x v="2"/>
            <x v="3"/>
          </reference>
        </references>
      </pivotArea>
    </format>
  </formats>
  <chartFormats count="2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1" count="1" selected="0">
            <x v="0"/>
          </reference>
        </references>
      </pivotArea>
    </chartFormat>
    <chartFormat chart="10" format="8">
      <pivotArea type="data" outline="0" fieldPosition="0">
        <references count="2">
          <reference field="4294967294" count="1" selected="0">
            <x v="0"/>
          </reference>
          <reference field="11" count="1" selected="0">
            <x v="1"/>
          </reference>
        </references>
      </pivotArea>
    </chartFormat>
    <chartFormat chart="10" format="9">
      <pivotArea type="data" outline="0" fieldPosition="0">
        <references count="2">
          <reference field="4294967294" count="1" selected="0">
            <x v="0"/>
          </reference>
          <reference field="11" count="1" selected="0">
            <x v="2"/>
          </reference>
        </references>
      </pivotArea>
    </chartFormat>
    <chartFormat chart="10" format="10">
      <pivotArea type="data" outline="0" fieldPosition="0">
        <references count="2">
          <reference field="4294967294" count="1" selected="0">
            <x v="0"/>
          </reference>
          <reference field="11" count="1" selected="0">
            <x v="3"/>
          </reference>
        </references>
      </pivotArea>
    </chartFormat>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1" count="1" selected="0">
            <x v="0"/>
          </reference>
        </references>
      </pivotArea>
    </chartFormat>
    <chartFormat chart="11" format="2">
      <pivotArea type="data" outline="0" fieldPosition="0">
        <references count="2">
          <reference field="4294967294" count="1" selected="0">
            <x v="0"/>
          </reference>
          <reference field="11" count="1" selected="0">
            <x v="1"/>
          </reference>
        </references>
      </pivotArea>
    </chartFormat>
    <chartFormat chart="11" format="3">
      <pivotArea type="data" outline="0" fieldPosition="0">
        <references count="2">
          <reference field="4294967294" count="1" selected="0">
            <x v="0"/>
          </reference>
          <reference field="11" count="1" selected="0">
            <x v="2"/>
          </reference>
        </references>
      </pivotArea>
    </chartFormat>
    <chartFormat chart="11" format="4">
      <pivotArea type="data" outline="0" fieldPosition="0">
        <references count="2">
          <reference field="4294967294" count="1" selected="0">
            <x v="0"/>
          </reference>
          <reference field="11" count="1" selected="0">
            <x v="3"/>
          </reference>
        </references>
      </pivotArea>
    </chartFormat>
    <chartFormat chart="14" format="10" series="1">
      <pivotArea type="data" outline="0" fieldPosition="0">
        <references count="1">
          <reference field="4294967294" count="1" selected="0">
            <x v="0"/>
          </reference>
        </references>
      </pivotArea>
    </chartFormat>
    <chartFormat chart="14" format="11">
      <pivotArea type="data" outline="0" fieldPosition="0">
        <references count="2">
          <reference field="4294967294" count="1" selected="0">
            <x v="0"/>
          </reference>
          <reference field="11" count="1" selected="0">
            <x v="0"/>
          </reference>
        </references>
      </pivotArea>
    </chartFormat>
    <chartFormat chart="14" format="12">
      <pivotArea type="data" outline="0" fieldPosition="0">
        <references count="2">
          <reference field="4294967294" count="1" selected="0">
            <x v="0"/>
          </reference>
          <reference field="11" count="1" selected="0">
            <x v="1"/>
          </reference>
        </references>
      </pivotArea>
    </chartFormat>
    <chartFormat chart="14" format="13">
      <pivotArea type="data" outline="0" fieldPosition="0">
        <references count="2">
          <reference field="4294967294" count="1" selected="0">
            <x v="0"/>
          </reference>
          <reference field="11" count="1" selected="0">
            <x v="2"/>
          </reference>
        </references>
      </pivotArea>
    </chartFormat>
    <chartFormat chart="14" format="14">
      <pivotArea type="data" outline="0" fieldPosition="0">
        <references count="2">
          <reference field="4294967294" count="1" selected="0">
            <x v="0"/>
          </reference>
          <reference field="11" count="1" selected="0">
            <x v="3"/>
          </reference>
        </references>
      </pivotArea>
    </chartFormat>
    <chartFormat chart="18" format="10" series="1">
      <pivotArea type="data" outline="0" fieldPosition="0">
        <references count="1">
          <reference field="4294967294" count="1" selected="0">
            <x v="0"/>
          </reference>
        </references>
      </pivotArea>
    </chartFormat>
    <chartFormat chart="18" format="11">
      <pivotArea type="data" outline="0" fieldPosition="0">
        <references count="2">
          <reference field="4294967294" count="1" selected="0">
            <x v="0"/>
          </reference>
          <reference field="11" count="1" selected="0">
            <x v="0"/>
          </reference>
        </references>
      </pivotArea>
    </chartFormat>
    <chartFormat chart="18" format="12">
      <pivotArea type="data" outline="0" fieldPosition="0">
        <references count="2">
          <reference field="4294967294" count="1" selected="0">
            <x v="0"/>
          </reference>
          <reference field="11" count="1" selected="0">
            <x v="1"/>
          </reference>
        </references>
      </pivotArea>
    </chartFormat>
    <chartFormat chart="18" format="13">
      <pivotArea type="data" outline="0" fieldPosition="0">
        <references count="2">
          <reference field="4294967294" count="1" selected="0">
            <x v="0"/>
          </reference>
          <reference field="11" count="1" selected="0">
            <x v="2"/>
          </reference>
        </references>
      </pivotArea>
    </chartFormat>
    <chartFormat chart="18" format="14">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tch_NO.1" xr10:uid="{6BC06116-91CF-45E9-8CD6-A404C1143B19}" sourceName="Batch NO.">
  <pivotTables>
    <pivotTable tabId="8" name="Reason Wise Complaints"/>
    <pivotTable tabId="8" name="Batch Wise Comlaints"/>
    <pivotTable tabId="8" name="Month Wise Complaints"/>
    <pivotTable tabId="8" name="Quarter Wise Complaints"/>
    <pivotTable tabId="8" name="Year Wise Complaints"/>
    <pivotTable tabId="8" name="Shift Wise Complaints"/>
    <pivotTable tabId="8" name="PivotTable1"/>
    <pivotTable tabId="8" name="PivotTable2"/>
  </pivotTables>
  <data>
    <tabular pivotCacheId="1988424936">
      <items count="19">
        <i x="14" s="1"/>
        <i x="9" s="1"/>
        <i x="13" s="1"/>
        <i x="8" s="1"/>
        <i x="0" s="1"/>
        <i x="1" s="1"/>
        <i x="7" s="1"/>
        <i x="3" s="1"/>
        <i x="6" s="1"/>
        <i x="11" s="1"/>
        <i x="10" s="1"/>
        <i x="2" s="1"/>
        <i x="5" s="1"/>
        <i x="12" s="1"/>
        <i x="4" s="1"/>
        <i x="15" s="1"/>
        <i x="16" s="1"/>
        <i x="18" s="1"/>
        <i x="1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s" xr10:uid="{9105CA32-4215-40D8-BFD6-9220E28D441F}" sourceName="Shifts">
  <pivotTables>
    <pivotTable tabId="8" name="Reason Wise Complaints"/>
    <pivotTable tabId="8" name="Batch Wise Comlaints"/>
    <pivotTable tabId="8" name="Month Wise Complaints"/>
    <pivotTable tabId="8" name="Quarter Wise Complaints"/>
    <pivotTable tabId="8" name="Year Wise Complaints"/>
    <pivotTable tabId="8" name="Shift Wise Complaints"/>
    <pivotTable tabId="8" name="PivotTable1"/>
    <pivotTable tabId="8" name="PivotTable2"/>
  </pivotTables>
  <data>
    <tabular pivotCacheId="1988424936">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ASON" xr10:uid="{2DBFDD78-F2C7-486E-95A3-5983760C9F03}" sourceName="REASON">
  <pivotTables>
    <pivotTable tabId="8" name="Reason Wise Complaints"/>
    <pivotTable tabId="8" name="Batch Wise Comlaints"/>
    <pivotTable tabId="8" name="Month Wise Complaints"/>
    <pivotTable tabId="8" name="Quarter Wise Complaints"/>
    <pivotTable tabId="8" name="Shift Wise Complaints"/>
    <pivotTable tabId="8" name="Year Wise Complaints"/>
    <pivotTable tabId="8" name="PivotTable1"/>
    <pivotTable tabId="8" name="PivotTable2"/>
  </pivotTables>
  <data>
    <tabular pivotCacheId="1988424936">
      <items count="7">
        <i x="5" s="1"/>
        <i x="6" s="1"/>
        <i x="4" s="1"/>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tch NO. 2" xr10:uid="{8763E901-05C9-4F97-9293-D5223D73DAF4}" cache="Slicer_Batch_NO.1" caption="Batch NO." columnCount="3" style="SlicerStyleDark5" rowHeight="241300"/>
  <slicer name="Shifts 1" xr10:uid="{F64B0308-B816-44A7-A134-662A607BF17E}" cache="Slicer_Shifts" caption="Shifts" columnCount="3" style="SlicerStyleDark5" rowHeight="241300"/>
  <slicer name="REASONS" xr10:uid="{D2676208-C380-4067-A526-815F8DBD2C71}" cache="Slicer_REASON" caption="REASONS" startItem="3"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7C5995-6892-43A4-B997-2B84300C3F61}" name="Table6" displayName="Table6" ref="A1:K5612" totalsRowShown="0">
  <autoFilter ref="A1:K5612" xr:uid="{187C5995-6892-43A4-B997-2B84300C3F61}"/>
  <sortState xmlns:xlrd2="http://schemas.microsoft.com/office/spreadsheetml/2017/richdata2" ref="B2:I5612">
    <sortCondition ref="E1:E5612"/>
  </sortState>
  <tableColumns count="11">
    <tableColumn id="11" xr3:uid="{8C4749B6-9B24-49CD-B572-0F7FE790996E}" name="A" dataDxfId="391"/>
    <tableColumn id="1" xr3:uid="{A2D75185-DCEA-4891-87AE-21BB7828A32B}" name="Batch NO." dataDxfId="390"/>
    <tableColumn id="2" xr3:uid="{9405136D-06D2-44B5-B0B5-352A75470FE2}" name="REF NO." dataDxfId="389"/>
    <tableColumn id="3" xr3:uid="{194337FE-3201-4622-9A3A-9378671EA63F}" name="SHUT TIME" dataDxfId="388"/>
    <tableColumn id="4" xr3:uid="{32951CCA-C931-4859-9603-3D9B66AF7C05}" name="RESTORE TIME" dataDxfId="387"/>
    <tableColumn id="10" xr3:uid="{98E2A21F-A7EF-4531-A200-1A95BBFF7144}" name="TIME TEKKEN" dataDxfId="386">
      <calculatedColumnFormula>E2-D2</calculatedColumnFormula>
    </tableColumn>
    <tableColumn id="9" xr3:uid="{01E4D5EB-DE9C-4D3A-9F5E-9475DDBB82EF}" name="EFFICIENCY %" dataDxfId="385">
      <calculatedColumnFormula>$M$9/F2*100</calculatedColumnFormula>
    </tableColumn>
    <tableColumn id="5" xr3:uid="{15A91080-012C-4E49-B6DE-EE6F3F747DB5}" name="TRIPPING TYPE" dataDxfId="384"/>
    <tableColumn id="6" xr3:uid="{1F720BBD-0650-4988-961E-4D847ABBB618}" name="REASON" dataDxfId="383"/>
    <tableColumn id="7" xr3:uid="{B206CA2B-21F7-4189-834D-C11DBE0A0FE0}" name="Time" dataDxfId="382"/>
    <tableColumn id="8" xr3:uid="{5940328E-93B4-4BC8-BD2F-930FC42564CA}" name="Shifts" dataDxfId="381">
      <calculatedColumnFormula>IF(AND(J2&gt;=$M$3,J2&lt;$M$4),"1st Shift",IF(AND(J2&gt;=$M$4,J2&lt;$M$5),"2nd Shift","3rd Shift"))</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UT_TIME" xr10:uid="{23BFFC84-5F5C-48DD-B238-64F16BEA8FAF}" sourceName="SHUT TIME">
  <pivotTables>
    <pivotTable tabId="8" name="Year Wise Complaints"/>
    <pivotTable tabId="8" name="Batch Wise Comlaints"/>
    <pivotTable tabId="8" name="Month Wise Complaints"/>
    <pivotTable tabId="8" name="Quarter Wise Complaints"/>
    <pivotTable tabId="8" name="Reason Wise Complaints"/>
    <pivotTable tabId="8" name="Shift Wise Complaints"/>
    <pivotTable tabId="8" name="PivotTable1"/>
    <pivotTable tabId="8" name="PivotTable2"/>
  </pivotTables>
  <state minimalRefreshVersion="6" lastRefreshVersion="6" pivotCacheId="1988424936" filterType="unknown">
    <bounds startDate="2021-01-01T09:15:00" endDate="2023-01-01T23:35: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IMELINE" xr10:uid="{D26C2EF9-4BCE-4125-BCB1-D53FBA8B9A71}" cache="NativeTimeline_SHUT_TIME" caption="TIMELINE" showHorizontalScrollbar="0" level="0" selectionLevel="0" scrollPosition="2021-01-01T00:00:00" style="TimeSlicerStyleDark5"/>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B0C2C-16E4-4A32-ACE1-144C1A4170A1}">
  <sheetPr codeName="Sheet2"/>
  <dimension ref="A1:N5612"/>
  <sheetViews>
    <sheetView topLeftCell="C1" workbookViewId="0">
      <selection activeCell="Q14" sqref="Q14"/>
    </sheetView>
  </sheetViews>
  <sheetFormatPr defaultRowHeight="15" x14ac:dyDescent="0.25"/>
  <cols>
    <col min="1" max="1" width="10.7109375" hidden="1" customWidth="1"/>
    <col min="2" max="2" width="21.28515625" hidden="1" customWidth="1"/>
    <col min="3" max="3" width="18.140625" style="1" customWidth="1"/>
    <col min="4" max="4" width="19.7109375" style="3" customWidth="1"/>
    <col min="5" max="5" width="19.140625" style="2" customWidth="1"/>
    <col min="6" max="6" width="21.5703125" style="2" hidden="1" customWidth="1"/>
    <col min="7" max="7" width="1" style="1" hidden="1" customWidth="1"/>
    <col min="8" max="8" width="19.140625" style="20" customWidth="1"/>
    <col min="9" max="9" width="50" customWidth="1"/>
    <col min="10" max="10" width="0.140625" customWidth="1"/>
    <col min="11" max="11" width="13.42578125" hidden="1" customWidth="1"/>
    <col min="12" max="12" width="9.28515625" customWidth="1"/>
    <col min="13" max="13" width="0.28515625" hidden="1" customWidth="1"/>
    <col min="14" max="14" width="14.5703125" hidden="1" customWidth="1"/>
  </cols>
  <sheetData>
    <row r="1" spans="1:14" x14ac:dyDescent="0.25">
      <c r="A1" s="1" t="s">
        <v>53</v>
      </c>
      <c r="B1" s="1" t="s">
        <v>9</v>
      </c>
      <c r="C1" s="3" t="s">
        <v>12</v>
      </c>
      <c r="D1" s="2" t="s">
        <v>11</v>
      </c>
      <c r="E1" s="2" t="s">
        <v>13</v>
      </c>
      <c r="F1" s="2" t="s">
        <v>45</v>
      </c>
      <c r="G1" s="22" t="s">
        <v>46</v>
      </c>
      <c r="H1" s="1" t="s">
        <v>14</v>
      </c>
      <c r="I1" s="1" t="s">
        <v>0</v>
      </c>
      <c r="J1" s="1" t="s">
        <v>38</v>
      </c>
      <c r="K1" s="20" t="s">
        <v>43</v>
      </c>
    </row>
    <row r="2" spans="1:14" x14ac:dyDescent="0.25">
      <c r="A2" s="1">
        <v>1</v>
      </c>
      <c r="B2" s="1">
        <v>5</v>
      </c>
      <c r="C2" s="3">
        <v>5115270962800</v>
      </c>
      <c r="D2" s="2">
        <v>44378.385416666664</v>
      </c>
      <c r="E2" s="2">
        <v>44378.46875</v>
      </c>
      <c r="F2" s="23">
        <f t="shared" ref="F2:F65" si="0">E2-D2</f>
        <v>8.3333333335758653E-2</v>
      </c>
      <c r="G2" s="24">
        <f>$M$9/F2*100</f>
        <v>149.99999999563443</v>
      </c>
      <c r="H2" s="1" t="s">
        <v>1</v>
      </c>
      <c r="I2" s="4" t="s">
        <v>2</v>
      </c>
      <c r="J2" s="14">
        <v>0.38541666666666669</v>
      </c>
      <c r="K2" s="20" t="str">
        <f t="shared" ref="K2:K65" si="1">IF(AND(J2&gt;=$M$3,J2&lt;$M$4),"1st Shift",IF(AND(J2&gt;=$M$4,J2&lt;$M$5),"2nd Shift","3rd Shift"))</f>
        <v>1st Shift</v>
      </c>
      <c r="M2" s="15" t="s">
        <v>42</v>
      </c>
      <c r="N2" s="16" t="s">
        <v>43</v>
      </c>
    </row>
    <row r="3" spans="1:14" x14ac:dyDescent="0.25">
      <c r="A3" s="1">
        <v>2</v>
      </c>
      <c r="B3" s="1">
        <v>6</v>
      </c>
      <c r="C3" s="3">
        <v>6115271742000</v>
      </c>
      <c r="D3" s="2">
        <v>44378.385416666664</v>
      </c>
      <c r="E3" s="2">
        <v>44378.472222222219</v>
      </c>
      <c r="F3" s="23">
        <f t="shared" si="0"/>
        <v>8.6805555554747116E-2</v>
      </c>
      <c r="G3" s="24">
        <f t="shared" ref="G3:G66" si="2">$M$9/F3*100</f>
        <v>144.00000000134111</v>
      </c>
      <c r="H3" s="1" t="s">
        <v>1</v>
      </c>
      <c r="I3" s="4" t="s">
        <v>2</v>
      </c>
      <c r="J3" s="14">
        <v>0.38541666666666669</v>
      </c>
      <c r="K3" s="20" t="str">
        <f t="shared" si="1"/>
        <v>1st Shift</v>
      </c>
      <c r="M3" s="17">
        <v>0.25069444444444444</v>
      </c>
      <c r="N3" s="18" t="s">
        <v>39</v>
      </c>
    </row>
    <row r="4" spans="1:14" x14ac:dyDescent="0.25">
      <c r="A4" s="1">
        <v>3</v>
      </c>
      <c r="B4" s="1">
        <v>12</v>
      </c>
      <c r="C4" s="3">
        <v>12115271580900</v>
      </c>
      <c r="D4" s="2">
        <v>44378.506944444445</v>
      </c>
      <c r="E4" s="2">
        <v>44378.576388888891</v>
      </c>
      <c r="F4" s="23">
        <f t="shared" si="0"/>
        <v>6.9444444445252884E-2</v>
      </c>
      <c r="G4" s="24">
        <f t="shared" si="2"/>
        <v>179.99999999790452</v>
      </c>
      <c r="H4" s="1" t="s">
        <v>1</v>
      </c>
      <c r="I4" s="4" t="s">
        <v>2</v>
      </c>
      <c r="J4" s="14">
        <v>0.50694444444444442</v>
      </c>
      <c r="K4" s="20" t="str">
        <f t="shared" si="1"/>
        <v>1st Shift</v>
      </c>
      <c r="M4" s="17">
        <v>0.58402777777777781</v>
      </c>
      <c r="N4" s="18" t="s">
        <v>40</v>
      </c>
    </row>
    <row r="5" spans="1:14" x14ac:dyDescent="0.25">
      <c r="A5" s="1">
        <v>4</v>
      </c>
      <c r="B5" s="1">
        <v>8</v>
      </c>
      <c r="C5" s="3">
        <v>8115271833811</v>
      </c>
      <c r="D5" s="2">
        <v>44378.506944444445</v>
      </c>
      <c r="E5" s="2">
        <v>44378.576388888891</v>
      </c>
      <c r="F5" s="23">
        <f t="shared" si="0"/>
        <v>6.9444444445252884E-2</v>
      </c>
      <c r="G5" s="24">
        <f t="shared" si="2"/>
        <v>179.99999999790452</v>
      </c>
      <c r="H5" s="1" t="s">
        <v>1</v>
      </c>
      <c r="I5" s="4" t="s">
        <v>2</v>
      </c>
      <c r="J5" s="14">
        <v>0.50694444444444442</v>
      </c>
      <c r="K5" s="20" t="str">
        <f t="shared" si="1"/>
        <v>1st Shift</v>
      </c>
      <c r="M5" s="17">
        <v>0.91736111111111107</v>
      </c>
      <c r="N5" s="18" t="s">
        <v>41</v>
      </c>
    </row>
    <row r="6" spans="1:14" x14ac:dyDescent="0.25">
      <c r="A6" s="1">
        <v>5</v>
      </c>
      <c r="B6" s="1">
        <v>8</v>
      </c>
      <c r="C6" s="3">
        <v>8115271833810</v>
      </c>
      <c r="D6" s="2">
        <v>44378.506944444445</v>
      </c>
      <c r="E6" s="2">
        <v>44378.576388888891</v>
      </c>
      <c r="F6" s="23">
        <f t="shared" si="0"/>
        <v>6.9444444445252884E-2</v>
      </c>
      <c r="G6" s="24">
        <f t="shared" si="2"/>
        <v>179.99999999790452</v>
      </c>
      <c r="H6" s="1" t="s">
        <v>1</v>
      </c>
      <c r="I6" s="4" t="s">
        <v>3</v>
      </c>
      <c r="J6" s="14">
        <v>0.50694444444444442</v>
      </c>
      <c r="K6" s="20" t="str">
        <f t="shared" si="1"/>
        <v>1st Shift</v>
      </c>
    </row>
    <row r="7" spans="1:14" x14ac:dyDescent="0.25">
      <c r="A7" s="1">
        <v>6</v>
      </c>
      <c r="B7" s="1">
        <v>15</v>
      </c>
      <c r="C7" s="3">
        <v>15115271747300</v>
      </c>
      <c r="D7" s="2">
        <v>44378.631944444445</v>
      </c>
      <c r="E7" s="2">
        <v>44378.746527777781</v>
      </c>
      <c r="F7" s="23">
        <f t="shared" si="0"/>
        <v>0.11458333333575865</v>
      </c>
      <c r="G7" s="24">
        <f t="shared" si="2"/>
        <v>109.09090908860001</v>
      </c>
      <c r="H7" s="1" t="s">
        <v>1</v>
      </c>
      <c r="I7" s="4" t="s">
        <v>2</v>
      </c>
      <c r="J7" s="14">
        <v>0.63194444444444442</v>
      </c>
      <c r="K7" s="20" t="str">
        <f t="shared" si="1"/>
        <v>2nd Shift</v>
      </c>
    </row>
    <row r="8" spans="1:14" x14ac:dyDescent="0.25">
      <c r="A8" s="1">
        <v>7</v>
      </c>
      <c r="B8" s="1">
        <v>13</v>
      </c>
      <c r="C8" s="3">
        <v>13115271617807</v>
      </c>
      <c r="D8" s="2">
        <v>44378.631944444445</v>
      </c>
      <c r="E8" s="2">
        <v>44378.746527777781</v>
      </c>
      <c r="F8" s="23">
        <f t="shared" si="0"/>
        <v>0.11458333333575865</v>
      </c>
      <c r="G8" s="24">
        <f t="shared" si="2"/>
        <v>109.09090908860001</v>
      </c>
      <c r="H8" s="1" t="s">
        <v>1</v>
      </c>
      <c r="I8" s="4" t="s">
        <v>2</v>
      </c>
      <c r="J8" s="14">
        <v>0.63194444444444442</v>
      </c>
      <c r="K8" s="20" t="str">
        <f t="shared" si="1"/>
        <v>2nd Shift</v>
      </c>
      <c r="M8" s="25" t="s">
        <v>47</v>
      </c>
    </row>
    <row r="9" spans="1:14" x14ac:dyDescent="0.25">
      <c r="A9" s="1">
        <v>8</v>
      </c>
      <c r="B9" s="1">
        <v>13</v>
      </c>
      <c r="C9" s="3">
        <v>13115271617807</v>
      </c>
      <c r="D9" s="2">
        <v>44378.631944444445</v>
      </c>
      <c r="E9" s="2">
        <v>44378.746527777781</v>
      </c>
      <c r="F9" s="23">
        <f t="shared" si="0"/>
        <v>0.11458333333575865</v>
      </c>
      <c r="G9" s="24">
        <f t="shared" si="2"/>
        <v>109.09090908860001</v>
      </c>
      <c r="H9" s="1" t="s">
        <v>1</v>
      </c>
      <c r="I9" s="4" t="s">
        <v>3</v>
      </c>
      <c r="J9" s="14">
        <v>0.63194444444444442</v>
      </c>
      <c r="K9" s="20" t="str">
        <f t="shared" si="1"/>
        <v>2nd Shift</v>
      </c>
      <c r="M9" s="26">
        <v>0.125</v>
      </c>
    </row>
    <row r="10" spans="1:14" x14ac:dyDescent="0.25">
      <c r="A10" s="1">
        <v>9</v>
      </c>
      <c r="B10" s="1">
        <v>13</v>
      </c>
      <c r="C10" s="3">
        <v>13115271617804</v>
      </c>
      <c r="D10" s="2">
        <v>44378.631944444445</v>
      </c>
      <c r="E10" s="2">
        <v>44378.746527777781</v>
      </c>
      <c r="F10" s="23">
        <f t="shared" si="0"/>
        <v>0.11458333333575865</v>
      </c>
      <c r="G10" s="24">
        <f t="shared" si="2"/>
        <v>109.09090908860001</v>
      </c>
      <c r="H10" s="1" t="s">
        <v>1</v>
      </c>
      <c r="I10" s="4" t="s">
        <v>2</v>
      </c>
      <c r="J10" s="14">
        <v>0.63194444444444442</v>
      </c>
      <c r="K10" s="20" t="str">
        <f t="shared" si="1"/>
        <v>2nd Shift</v>
      </c>
    </row>
    <row r="11" spans="1:14" x14ac:dyDescent="0.25">
      <c r="A11" s="1">
        <v>10</v>
      </c>
      <c r="B11" s="1">
        <v>13</v>
      </c>
      <c r="C11" s="3">
        <v>13115271617804</v>
      </c>
      <c r="D11" s="2">
        <v>44378.631944444445</v>
      </c>
      <c r="E11" s="2">
        <v>44378.746527777781</v>
      </c>
      <c r="F11" s="23">
        <f t="shared" si="0"/>
        <v>0.11458333333575865</v>
      </c>
      <c r="G11" s="24">
        <f t="shared" si="2"/>
        <v>109.09090908860001</v>
      </c>
      <c r="H11" s="1" t="s">
        <v>1</v>
      </c>
      <c r="I11" s="4" t="s">
        <v>4</v>
      </c>
      <c r="J11" s="14">
        <v>0.63194444444444442</v>
      </c>
      <c r="K11" s="20" t="str">
        <f t="shared" si="1"/>
        <v>2nd Shift</v>
      </c>
    </row>
    <row r="12" spans="1:14" x14ac:dyDescent="0.25">
      <c r="A12" s="1">
        <v>11</v>
      </c>
      <c r="B12" s="1">
        <v>13</v>
      </c>
      <c r="C12" s="3">
        <v>13115271617700</v>
      </c>
      <c r="D12" s="2">
        <v>44378.631944444445</v>
      </c>
      <c r="E12" s="2">
        <v>44378.746527777781</v>
      </c>
      <c r="F12" s="23">
        <f t="shared" si="0"/>
        <v>0.11458333333575865</v>
      </c>
      <c r="G12" s="24">
        <f t="shared" si="2"/>
        <v>109.09090908860001</v>
      </c>
      <c r="H12" s="1" t="s">
        <v>1</v>
      </c>
      <c r="I12" s="4" t="s">
        <v>2</v>
      </c>
      <c r="J12" s="14">
        <v>0.63194444444444442</v>
      </c>
      <c r="K12" s="20" t="str">
        <f t="shared" si="1"/>
        <v>2nd Shift</v>
      </c>
    </row>
    <row r="13" spans="1:14" x14ac:dyDescent="0.25">
      <c r="A13" s="1">
        <v>12</v>
      </c>
      <c r="B13" s="1">
        <v>9</v>
      </c>
      <c r="C13" s="3">
        <v>9115271952901</v>
      </c>
      <c r="D13" s="2">
        <v>44378.631944444445</v>
      </c>
      <c r="E13" s="2">
        <v>44378.746527777781</v>
      </c>
      <c r="F13" s="23">
        <f t="shared" si="0"/>
        <v>0.11458333333575865</v>
      </c>
      <c r="G13" s="24">
        <f t="shared" si="2"/>
        <v>109.09090908860001</v>
      </c>
      <c r="H13" s="1" t="s">
        <v>1</v>
      </c>
      <c r="I13" s="4" t="s">
        <v>4</v>
      </c>
      <c r="J13" s="14">
        <v>0.63194444444444442</v>
      </c>
      <c r="K13" s="20" t="str">
        <f t="shared" si="1"/>
        <v>2nd Shift</v>
      </c>
    </row>
    <row r="14" spans="1:14" x14ac:dyDescent="0.25">
      <c r="A14" s="1">
        <v>13</v>
      </c>
      <c r="B14" s="1">
        <v>9</v>
      </c>
      <c r="C14" s="3">
        <v>9115271931600</v>
      </c>
      <c r="D14" s="2">
        <v>44378.631944444445</v>
      </c>
      <c r="E14" s="2">
        <v>44378.746527777781</v>
      </c>
      <c r="F14" s="23">
        <f t="shared" si="0"/>
        <v>0.11458333333575865</v>
      </c>
      <c r="G14" s="24">
        <f t="shared" si="2"/>
        <v>109.09090908860001</v>
      </c>
      <c r="H14" s="1" t="s">
        <v>1</v>
      </c>
      <c r="I14" s="4" t="s">
        <v>2</v>
      </c>
      <c r="J14" s="14">
        <v>0.63194444444444442</v>
      </c>
      <c r="K14" s="20" t="str">
        <f t="shared" si="1"/>
        <v>2nd Shift</v>
      </c>
    </row>
    <row r="15" spans="1:14" x14ac:dyDescent="0.25">
      <c r="A15" s="1">
        <v>14</v>
      </c>
      <c r="B15" s="1">
        <v>7</v>
      </c>
      <c r="C15" s="3">
        <v>7115271761101</v>
      </c>
      <c r="D15" s="2">
        <v>44378.631944444445</v>
      </c>
      <c r="E15" s="2">
        <v>44378.746527777781</v>
      </c>
      <c r="F15" s="23">
        <f t="shared" si="0"/>
        <v>0.11458333333575865</v>
      </c>
      <c r="G15" s="24">
        <f t="shared" si="2"/>
        <v>109.09090908860001</v>
      </c>
      <c r="H15" s="1" t="s">
        <v>1</v>
      </c>
      <c r="I15" s="4" t="s">
        <v>2</v>
      </c>
      <c r="J15" s="14">
        <v>0.63194444444444442</v>
      </c>
      <c r="K15" s="20" t="str">
        <f t="shared" si="1"/>
        <v>2nd Shift</v>
      </c>
    </row>
    <row r="16" spans="1:14" x14ac:dyDescent="0.25">
      <c r="A16" s="1">
        <v>15</v>
      </c>
      <c r="B16" s="1">
        <v>4</v>
      </c>
      <c r="C16" s="3">
        <v>4115270860200</v>
      </c>
      <c r="D16" s="2">
        <v>44378.631944444445</v>
      </c>
      <c r="E16" s="2">
        <v>44378.746527777781</v>
      </c>
      <c r="F16" s="23">
        <f t="shared" si="0"/>
        <v>0.11458333333575865</v>
      </c>
      <c r="G16" s="24">
        <f t="shared" si="2"/>
        <v>109.09090908860001</v>
      </c>
      <c r="H16" s="1" t="s">
        <v>1</v>
      </c>
      <c r="I16" s="4" t="s">
        <v>2</v>
      </c>
      <c r="J16" s="14">
        <v>0.63194444444444442</v>
      </c>
      <c r="K16" s="20" t="str">
        <f t="shared" si="1"/>
        <v>2nd Shift</v>
      </c>
    </row>
    <row r="17" spans="1:11" x14ac:dyDescent="0.25">
      <c r="A17" s="1">
        <v>16</v>
      </c>
      <c r="B17" s="1">
        <v>4</v>
      </c>
      <c r="C17" s="3">
        <v>4115270860200</v>
      </c>
      <c r="D17" s="2">
        <v>44378.631944444445</v>
      </c>
      <c r="E17" s="2">
        <v>44378.746527777781</v>
      </c>
      <c r="F17" s="23">
        <f t="shared" si="0"/>
        <v>0.11458333333575865</v>
      </c>
      <c r="G17" s="24">
        <f t="shared" si="2"/>
        <v>109.09090908860001</v>
      </c>
      <c r="H17" s="1" t="s">
        <v>1</v>
      </c>
      <c r="I17" s="4" t="s">
        <v>2</v>
      </c>
      <c r="J17" s="14">
        <v>0.63194444444444442</v>
      </c>
      <c r="K17" s="20" t="str">
        <f t="shared" si="1"/>
        <v>2nd Shift</v>
      </c>
    </row>
    <row r="18" spans="1:11" x14ac:dyDescent="0.25">
      <c r="A18" s="1">
        <v>17</v>
      </c>
      <c r="B18" s="1">
        <v>2</v>
      </c>
      <c r="C18" s="3">
        <v>2115270274400</v>
      </c>
      <c r="D18" s="2">
        <v>44378.631944444445</v>
      </c>
      <c r="E18" s="2">
        <v>44378.746527777781</v>
      </c>
      <c r="F18" s="23">
        <f t="shared" si="0"/>
        <v>0.11458333333575865</v>
      </c>
      <c r="G18" s="24">
        <f t="shared" si="2"/>
        <v>109.09090908860001</v>
      </c>
      <c r="H18" s="1" t="s">
        <v>1</v>
      </c>
      <c r="I18" s="4" t="s">
        <v>2</v>
      </c>
      <c r="J18" s="14">
        <v>0.63194444444444442</v>
      </c>
      <c r="K18" s="20" t="str">
        <f t="shared" si="1"/>
        <v>2nd Shift</v>
      </c>
    </row>
    <row r="19" spans="1:11" x14ac:dyDescent="0.25">
      <c r="A19" s="1">
        <v>18</v>
      </c>
      <c r="B19" s="1">
        <v>13</v>
      </c>
      <c r="C19" s="3">
        <v>13115271660100</v>
      </c>
      <c r="D19" s="2">
        <v>44378.927083333336</v>
      </c>
      <c r="E19" s="2">
        <v>44378.993055555555</v>
      </c>
      <c r="F19" s="23">
        <f t="shared" si="0"/>
        <v>6.5972222218988463E-2</v>
      </c>
      <c r="G19" s="24">
        <f t="shared" si="2"/>
        <v>189.47368421981375</v>
      </c>
      <c r="H19" s="1" t="s">
        <v>1</v>
      </c>
      <c r="I19" s="4" t="s">
        <v>3</v>
      </c>
      <c r="J19" s="14">
        <v>0.92708333333333337</v>
      </c>
      <c r="K19" s="20" t="str">
        <f t="shared" si="1"/>
        <v>3rd Shift</v>
      </c>
    </row>
    <row r="20" spans="1:11" x14ac:dyDescent="0.25">
      <c r="A20" s="1">
        <v>19</v>
      </c>
      <c r="B20" s="1">
        <v>11</v>
      </c>
      <c r="C20" s="3">
        <v>11115271054000</v>
      </c>
      <c r="D20" s="2">
        <v>44378.777777777781</v>
      </c>
      <c r="E20" s="2">
        <v>44378.993055555555</v>
      </c>
      <c r="F20" s="23">
        <f t="shared" si="0"/>
        <v>0.21527777777373558</v>
      </c>
      <c r="G20" s="24">
        <f t="shared" si="2"/>
        <v>58.064516130122513</v>
      </c>
      <c r="H20" s="1" t="s">
        <v>1</v>
      </c>
      <c r="I20" s="4" t="s">
        <v>2</v>
      </c>
      <c r="J20" s="14">
        <v>0.77777777777777779</v>
      </c>
      <c r="K20" s="20" t="str">
        <f t="shared" si="1"/>
        <v>2nd Shift</v>
      </c>
    </row>
    <row r="21" spans="1:11" x14ac:dyDescent="0.25">
      <c r="A21" s="1">
        <v>20</v>
      </c>
      <c r="B21" s="1">
        <v>6</v>
      </c>
      <c r="C21" s="3">
        <v>6115271722206</v>
      </c>
      <c r="D21" s="2">
        <v>44378.777777777781</v>
      </c>
      <c r="E21" s="2">
        <v>44378.993055555555</v>
      </c>
      <c r="F21" s="23">
        <f t="shared" si="0"/>
        <v>0.21527777777373558</v>
      </c>
      <c r="G21" s="24">
        <f t="shared" si="2"/>
        <v>58.064516130122513</v>
      </c>
      <c r="H21" s="1" t="s">
        <v>1</v>
      </c>
      <c r="I21" s="4" t="s">
        <v>2</v>
      </c>
      <c r="J21" s="14">
        <v>0.77777777777777779</v>
      </c>
      <c r="K21" s="20" t="str">
        <f t="shared" si="1"/>
        <v>2nd Shift</v>
      </c>
    </row>
    <row r="22" spans="1:11" x14ac:dyDescent="0.25">
      <c r="A22" s="1">
        <v>21</v>
      </c>
      <c r="B22" s="1">
        <v>6</v>
      </c>
      <c r="C22" s="3">
        <v>6115271722200</v>
      </c>
      <c r="D22" s="2">
        <v>44378.777777777781</v>
      </c>
      <c r="E22" s="2">
        <v>44378.993055555555</v>
      </c>
      <c r="F22" s="23">
        <f t="shared" si="0"/>
        <v>0.21527777777373558</v>
      </c>
      <c r="G22" s="24">
        <f t="shared" si="2"/>
        <v>58.064516130122513</v>
      </c>
      <c r="H22" s="1" t="s">
        <v>1</v>
      </c>
      <c r="I22" s="4" t="s">
        <v>2</v>
      </c>
      <c r="J22" s="14">
        <v>0.77777777777777779</v>
      </c>
      <c r="K22" s="20" t="str">
        <f t="shared" si="1"/>
        <v>2nd Shift</v>
      </c>
    </row>
    <row r="23" spans="1:11" x14ac:dyDescent="0.25">
      <c r="A23" s="1">
        <v>22</v>
      </c>
      <c r="B23" s="1">
        <v>6</v>
      </c>
      <c r="C23" s="3">
        <v>6115271737718</v>
      </c>
      <c r="D23" s="2">
        <v>44379.010416666664</v>
      </c>
      <c r="E23" s="2">
        <v>44379.097222222219</v>
      </c>
      <c r="F23" s="23">
        <f t="shared" si="0"/>
        <v>8.6805555554747116E-2</v>
      </c>
      <c r="G23" s="24">
        <f t="shared" si="2"/>
        <v>144.00000000134111</v>
      </c>
      <c r="H23" s="1" t="s">
        <v>1</v>
      </c>
      <c r="I23" s="4" t="s">
        <v>4</v>
      </c>
      <c r="J23" s="14">
        <v>1.0416666666666666E-2</v>
      </c>
      <c r="K23" s="20" t="str">
        <f t="shared" si="1"/>
        <v>3rd Shift</v>
      </c>
    </row>
    <row r="24" spans="1:11" x14ac:dyDescent="0.25">
      <c r="A24" s="1">
        <v>23</v>
      </c>
      <c r="B24" s="1">
        <v>6</v>
      </c>
      <c r="C24" s="3">
        <v>6115271737717</v>
      </c>
      <c r="D24" s="2">
        <v>44379.010416666664</v>
      </c>
      <c r="E24" s="2">
        <v>44379.097222222219</v>
      </c>
      <c r="F24" s="23">
        <f t="shared" si="0"/>
        <v>8.6805555554747116E-2</v>
      </c>
      <c r="G24" s="24">
        <f t="shared" si="2"/>
        <v>144.00000000134111</v>
      </c>
      <c r="H24" s="1" t="s">
        <v>1</v>
      </c>
      <c r="I24" s="4" t="s">
        <v>2</v>
      </c>
      <c r="J24" s="14">
        <v>1.0416666666666666E-2</v>
      </c>
      <c r="K24" s="20" t="str">
        <f t="shared" si="1"/>
        <v>3rd Shift</v>
      </c>
    </row>
    <row r="25" spans="1:11" x14ac:dyDescent="0.25">
      <c r="A25" s="1">
        <v>24</v>
      </c>
      <c r="B25" s="1">
        <v>10</v>
      </c>
      <c r="C25" s="3">
        <v>10115271447110</v>
      </c>
      <c r="D25" s="2">
        <v>44379.381944444445</v>
      </c>
      <c r="E25" s="2">
        <v>44379.458333333336</v>
      </c>
      <c r="F25" s="23">
        <f t="shared" si="0"/>
        <v>7.6388888890505768E-2</v>
      </c>
      <c r="G25" s="24">
        <f t="shared" si="2"/>
        <v>163.63636363290004</v>
      </c>
      <c r="H25" s="1" t="s">
        <v>1</v>
      </c>
      <c r="I25" s="4" t="s">
        <v>2</v>
      </c>
      <c r="J25" s="14">
        <v>0.38194444444444442</v>
      </c>
      <c r="K25" s="20" t="str">
        <f t="shared" si="1"/>
        <v>1st Shift</v>
      </c>
    </row>
    <row r="26" spans="1:11" x14ac:dyDescent="0.25">
      <c r="A26" s="1">
        <v>25</v>
      </c>
      <c r="B26" s="1">
        <v>10</v>
      </c>
      <c r="C26" s="3">
        <v>10115271447100</v>
      </c>
      <c r="D26" s="2">
        <v>44379.381944444445</v>
      </c>
      <c r="E26" s="2">
        <v>44379.458333333336</v>
      </c>
      <c r="F26" s="23">
        <f t="shared" si="0"/>
        <v>7.6388888890505768E-2</v>
      </c>
      <c r="G26" s="24">
        <f t="shared" si="2"/>
        <v>163.63636363290004</v>
      </c>
      <c r="H26" s="1" t="s">
        <v>1</v>
      </c>
      <c r="I26" s="4" t="s">
        <v>2</v>
      </c>
      <c r="J26" s="14">
        <v>0.38194444444444442</v>
      </c>
      <c r="K26" s="20" t="str">
        <f t="shared" si="1"/>
        <v>1st Shift</v>
      </c>
    </row>
    <row r="27" spans="1:11" x14ac:dyDescent="0.25">
      <c r="A27" s="1">
        <v>26</v>
      </c>
      <c r="B27" s="1">
        <v>14</v>
      </c>
      <c r="C27" s="3">
        <v>14115271690612</v>
      </c>
      <c r="D27" s="2">
        <v>44379.479166666664</v>
      </c>
      <c r="E27" s="2">
        <v>44379.576388888891</v>
      </c>
      <c r="F27" s="23">
        <f t="shared" si="0"/>
        <v>9.7222222226264421E-2</v>
      </c>
      <c r="G27" s="24">
        <f t="shared" si="2"/>
        <v>128.57142856608297</v>
      </c>
      <c r="H27" s="1" t="s">
        <v>1</v>
      </c>
      <c r="I27" s="4" t="s">
        <v>2</v>
      </c>
      <c r="J27" s="14">
        <v>0.47916666666666669</v>
      </c>
      <c r="K27" s="20" t="str">
        <f t="shared" si="1"/>
        <v>1st Shift</v>
      </c>
    </row>
    <row r="28" spans="1:11" x14ac:dyDescent="0.25">
      <c r="A28" s="1">
        <v>27</v>
      </c>
      <c r="B28" s="1">
        <v>14</v>
      </c>
      <c r="C28" s="3">
        <v>14115271690612</v>
      </c>
      <c r="D28" s="2">
        <v>44379.479166666664</v>
      </c>
      <c r="E28" s="2">
        <v>44379.576388888891</v>
      </c>
      <c r="F28" s="23">
        <f t="shared" si="0"/>
        <v>9.7222222226264421E-2</v>
      </c>
      <c r="G28" s="24">
        <f t="shared" si="2"/>
        <v>128.57142856608297</v>
      </c>
      <c r="H28" s="1" t="s">
        <v>1</v>
      </c>
      <c r="I28" s="4" t="s">
        <v>2</v>
      </c>
      <c r="J28" s="14">
        <v>0.47916666666666669</v>
      </c>
      <c r="K28" s="20" t="str">
        <f t="shared" si="1"/>
        <v>1st Shift</v>
      </c>
    </row>
    <row r="29" spans="1:11" x14ac:dyDescent="0.25">
      <c r="A29" s="1">
        <v>28</v>
      </c>
      <c r="B29" s="1">
        <v>11</v>
      </c>
      <c r="C29" s="3">
        <v>11115271508506</v>
      </c>
      <c r="D29" s="2">
        <v>44379.479166666664</v>
      </c>
      <c r="E29" s="2">
        <v>44379.576388888891</v>
      </c>
      <c r="F29" s="23">
        <f t="shared" si="0"/>
        <v>9.7222222226264421E-2</v>
      </c>
      <c r="G29" s="24">
        <f t="shared" si="2"/>
        <v>128.57142856608297</v>
      </c>
      <c r="H29" s="1" t="s">
        <v>1</v>
      </c>
      <c r="I29" s="4" t="s">
        <v>2</v>
      </c>
      <c r="J29" s="14">
        <v>0.47916666666666669</v>
      </c>
      <c r="K29" s="20" t="str">
        <f t="shared" si="1"/>
        <v>1st Shift</v>
      </c>
    </row>
    <row r="30" spans="1:11" x14ac:dyDescent="0.25">
      <c r="A30" s="1">
        <v>29</v>
      </c>
      <c r="B30" s="1">
        <v>10</v>
      </c>
      <c r="C30" s="3">
        <v>10115271421101</v>
      </c>
      <c r="D30" s="2">
        <v>44379.479166666664</v>
      </c>
      <c r="E30" s="2">
        <v>44379.576388888891</v>
      </c>
      <c r="F30" s="23">
        <f t="shared" si="0"/>
        <v>9.7222222226264421E-2</v>
      </c>
      <c r="G30" s="24">
        <f t="shared" si="2"/>
        <v>128.57142856608297</v>
      </c>
      <c r="H30" s="1" t="s">
        <v>1</v>
      </c>
      <c r="I30" s="4" t="s">
        <v>2</v>
      </c>
      <c r="J30" s="14">
        <v>0.47916666666666669</v>
      </c>
      <c r="K30" s="20" t="str">
        <f t="shared" si="1"/>
        <v>1st Shift</v>
      </c>
    </row>
    <row r="31" spans="1:11" x14ac:dyDescent="0.25">
      <c r="A31" s="1">
        <v>30</v>
      </c>
      <c r="B31" s="1">
        <v>10</v>
      </c>
      <c r="C31" s="3">
        <v>10115271421100</v>
      </c>
      <c r="D31" s="2">
        <v>44379.479166666664</v>
      </c>
      <c r="E31" s="2">
        <v>44379.576388888891</v>
      </c>
      <c r="F31" s="23">
        <f t="shared" si="0"/>
        <v>9.7222222226264421E-2</v>
      </c>
      <c r="G31" s="24">
        <f t="shared" si="2"/>
        <v>128.57142856608297</v>
      </c>
      <c r="H31" s="1" t="s">
        <v>1</v>
      </c>
      <c r="I31" s="4" t="s">
        <v>2</v>
      </c>
      <c r="J31" s="14">
        <v>0.47916666666666669</v>
      </c>
      <c r="K31" s="20" t="str">
        <f t="shared" si="1"/>
        <v>1st Shift</v>
      </c>
    </row>
    <row r="32" spans="1:11" x14ac:dyDescent="0.25">
      <c r="A32" s="1">
        <v>31</v>
      </c>
      <c r="B32" s="1">
        <v>9</v>
      </c>
      <c r="C32" s="3">
        <v>9115270622000</v>
      </c>
      <c r="D32" s="2">
        <v>44379.479166666664</v>
      </c>
      <c r="E32" s="2">
        <v>44379.576388888891</v>
      </c>
      <c r="F32" s="23">
        <f t="shared" si="0"/>
        <v>9.7222222226264421E-2</v>
      </c>
      <c r="G32" s="24">
        <f t="shared" si="2"/>
        <v>128.57142856608297</v>
      </c>
      <c r="H32" s="1" t="s">
        <v>1</v>
      </c>
      <c r="I32" s="4" t="s">
        <v>2</v>
      </c>
      <c r="J32" s="14">
        <v>0.47916666666666669</v>
      </c>
      <c r="K32" s="20" t="str">
        <f t="shared" si="1"/>
        <v>1st Shift</v>
      </c>
    </row>
    <row r="33" spans="1:11" x14ac:dyDescent="0.25">
      <c r="A33" s="1">
        <v>32</v>
      </c>
      <c r="B33" s="1">
        <v>3</v>
      </c>
      <c r="C33" s="3">
        <v>3115270308000</v>
      </c>
      <c r="D33" s="2">
        <v>44379.479166666664</v>
      </c>
      <c r="E33" s="2">
        <v>44379.576388888891</v>
      </c>
      <c r="F33" s="23">
        <f t="shared" si="0"/>
        <v>9.7222222226264421E-2</v>
      </c>
      <c r="G33" s="24">
        <f t="shared" si="2"/>
        <v>128.57142856608297</v>
      </c>
      <c r="H33" s="1" t="s">
        <v>1</v>
      </c>
      <c r="I33" s="4" t="s">
        <v>2</v>
      </c>
      <c r="J33" s="14">
        <v>0.47916666666666669</v>
      </c>
      <c r="K33" s="20" t="str">
        <f t="shared" si="1"/>
        <v>1st Shift</v>
      </c>
    </row>
    <row r="34" spans="1:11" x14ac:dyDescent="0.25">
      <c r="A34" s="1">
        <v>33</v>
      </c>
      <c r="B34" s="1">
        <v>1</v>
      </c>
      <c r="C34" s="3">
        <v>1115270372915</v>
      </c>
      <c r="D34" s="2">
        <v>44379.479166666664</v>
      </c>
      <c r="E34" s="2">
        <v>44379.576388888891</v>
      </c>
      <c r="F34" s="23">
        <f t="shared" si="0"/>
        <v>9.7222222226264421E-2</v>
      </c>
      <c r="G34" s="24">
        <f t="shared" si="2"/>
        <v>128.57142856608297</v>
      </c>
      <c r="H34" s="1" t="s">
        <v>1</v>
      </c>
      <c r="I34" s="4" t="s">
        <v>2</v>
      </c>
      <c r="J34" s="14">
        <v>0.47916666666666669</v>
      </c>
      <c r="K34" s="20" t="str">
        <f t="shared" si="1"/>
        <v>1st Shift</v>
      </c>
    </row>
    <row r="35" spans="1:11" x14ac:dyDescent="0.25">
      <c r="A35" s="1">
        <v>34</v>
      </c>
      <c r="B35" s="1">
        <v>8</v>
      </c>
      <c r="C35" s="3">
        <v>8115271833602</v>
      </c>
      <c r="D35" s="2">
        <v>44379.611111111109</v>
      </c>
      <c r="E35" s="2">
        <v>44379.701388888891</v>
      </c>
      <c r="F35" s="23">
        <f t="shared" si="0"/>
        <v>9.0277777781011537E-2</v>
      </c>
      <c r="G35" s="24">
        <f t="shared" si="2"/>
        <v>138.46153845657875</v>
      </c>
      <c r="H35" s="1" t="s">
        <v>1</v>
      </c>
      <c r="I35" s="4" t="s">
        <v>2</v>
      </c>
      <c r="J35" s="14">
        <v>0.61111111111111116</v>
      </c>
      <c r="K35" s="20" t="str">
        <f t="shared" si="1"/>
        <v>2nd Shift</v>
      </c>
    </row>
    <row r="36" spans="1:11" x14ac:dyDescent="0.25">
      <c r="A36" s="1">
        <v>35</v>
      </c>
      <c r="B36" s="1">
        <v>8</v>
      </c>
      <c r="C36" s="3">
        <v>8115271833600</v>
      </c>
      <c r="D36" s="2">
        <v>44379.611111111109</v>
      </c>
      <c r="E36" s="2">
        <v>44379.701388888891</v>
      </c>
      <c r="F36" s="23">
        <f t="shared" si="0"/>
        <v>9.0277777781011537E-2</v>
      </c>
      <c r="G36" s="24">
        <f t="shared" si="2"/>
        <v>138.46153845657875</v>
      </c>
      <c r="H36" s="1" t="s">
        <v>1</v>
      </c>
      <c r="I36" s="4" t="s">
        <v>3</v>
      </c>
      <c r="J36" s="14">
        <v>0.61111111111111116</v>
      </c>
      <c r="K36" s="20" t="str">
        <f t="shared" si="1"/>
        <v>2nd Shift</v>
      </c>
    </row>
    <row r="37" spans="1:11" x14ac:dyDescent="0.25">
      <c r="A37" s="1">
        <v>36</v>
      </c>
      <c r="B37" s="1">
        <v>6</v>
      </c>
      <c r="C37" s="3">
        <v>6115271746744</v>
      </c>
      <c r="D37" s="2">
        <v>44379.611111111109</v>
      </c>
      <c r="E37" s="2">
        <v>44379.701388888891</v>
      </c>
      <c r="F37" s="23">
        <f t="shared" si="0"/>
        <v>9.0277777781011537E-2</v>
      </c>
      <c r="G37" s="24">
        <f t="shared" si="2"/>
        <v>138.46153845657875</v>
      </c>
      <c r="H37" s="1" t="s">
        <v>1</v>
      </c>
      <c r="I37" s="4" t="s">
        <v>3</v>
      </c>
      <c r="J37" s="14">
        <v>0.61111111111111116</v>
      </c>
      <c r="K37" s="20" t="str">
        <f t="shared" si="1"/>
        <v>2nd Shift</v>
      </c>
    </row>
    <row r="38" spans="1:11" x14ac:dyDescent="0.25">
      <c r="A38" s="1">
        <v>37</v>
      </c>
      <c r="B38" s="1">
        <v>5</v>
      </c>
      <c r="C38" s="3">
        <v>5115271261100</v>
      </c>
      <c r="D38" s="2">
        <v>44379.611111111109</v>
      </c>
      <c r="E38" s="2">
        <v>44379.701388888891</v>
      </c>
      <c r="F38" s="23">
        <f t="shared" si="0"/>
        <v>9.0277777781011537E-2</v>
      </c>
      <c r="G38" s="24">
        <f t="shared" si="2"/>
        <v>138.46153845657875</v>
      </c>
      <c r="H38" s="1" t="s">
        <v>1</v>
      </c>
      <c r="I38" s="4" t="s">
        <v>3</v>
      </c>
      <c r="J38" s="14">
        <v>0.61111111111111116</v>
      </c>
      <c r="K38" s="20" t="str">
        <f t="shared" si="1"/>
        <v>2nd Shift</v>
      </c>
    </row>
    <row r="39" spans="1:11" x14ac:dyDescent="0.25">
      <c r="A39" s="1">
        <v>38</v>
      </c>
      <c r="B39" s="1">
        <v>10</v>
      </c>
      <c r="C39" s="3">
        <v>10115271424100</v>
      </c>
      <c r="D39" s="2">
        <v>44379.711805555555</v>
      </c>
      <c r="E39" s="2">
        <v>44379.909722222219</v>
      </c>
      <c r="F39" s="23">
        <f t="shared" si="0"/>
        <v>0.19791666666424135</v>
      </c>
      <c r="G39" s="24">
        <f t="shared" si="2"/>
        <v>63.157894737616061</v>
      </c>
      <c r="H39" s="1" t="s">
        <v>1</v>
      </c>
      <c r="I39" s="4" t="s">
        <v>2</v>
      </c>
      <c r="J39" s="14">
        <v>0.71180555555555558</v>
      </c>
      <c r="K39" s="20" t="str">
        <f t="shared" si="1"/>
        <v>2nd Shift</v>
      </c>
    </row>
    <row r="40" spans="1:11" x14ac:dyDescent="0.25">
      <c r="A40" s="1">
        <v>39</v>
      </c>
      <c r="B40" s="1">
        <v>6</v>
      </c>
      <c r="C40" s="3">
        <v>6115271753105</v>
      </c>
      <c r="D40" s="2">
        <v>44379.711805555555</v>
      </c>
      <c r="E40" s="2">
        <v>44379.909722222219</v>
      </c>
      <c r="F40" s="23">
        <f t="shared" si="0"/>
        <v>0.19791666666424135</v>
      </c>
      <c r="G40" s="24">
        <f t="shared" si="2"/>
        <v>63.157894737616061</v>
      </c>
      <c r="H40" s="1" t="s">
        <v>1</v>
      </c>
      <c r="I40" s="4" t="s">
        <v>3</v>
      </c>
      <c r="J40" s="14">
        <v>0.71180555555555558</v>
      </c>
      <c r="K40" s="20" t="str">
        <f t="shared" si="1"/>
        <v>2nd Shift</v>
      </c>
    </row>
    <row r="41" spans="1:11" x14ac:dyDescent="0.25">
      <c r="A41" s="1">
        <v>40</v>
      </c>
      <c r="B41" s="1">
        <v>3</v>
      </c>
      <c r="C41" s="3">
        <v>3115270307001</v>
      </c>
      <c r="D41" s="2">
        <v>44379.711805555555</v>
      </c>
      <c r="E41" s="2">
        <v>44379.909722222219</v>
      </c>
      <c r="F41" s="23">
        <f t="shared" si="0"/>
        <v>0.19791666666424135</v>
      </c>
      <c r="G41" s="24">
        <f t="shared" si="2"/>
        <v>63.157894737616061</v>
      </c>
      <c r="H41" s="1" t="s">
        <v>1</v>
      </c>
      <c r="I41" s="4" t="s">
        <v>2</v>
      </c>
      <c r="J41" s="14">
        <v>0.71180555555555558</v>
      </c>
      <c r="K41" s="20" t="str">
        <f t="shared" si="1"/>
        <v>2nd Shift</v>
      </c>
    </row>
    <row r="42" spans="1:11" x14ac:dyDescent="0.25">
      <c r="A42" s="1">
        <v>41</v>
      </c>
      <c r="B42" s="1">
        <v>3</v>
      </c>
      <c r="C42" s="3">
        <v>3115270307000</v>
      </c>
      <c r="D42" s="2">
        <v>44379.711805555555</v>
      </c>
      <c r="E42" s="2">
        <v>44379.909722222219</v>
      </c>
      <c r="F42" s="23">
        <f>E42-D42</f>
        <v>0.19791666666424135</v>
      </c>
      <c r="G42" s="24">
        <f t="shared" si="2"/>
        <v>63.157894737616061</v>
      </c>
      <c r="H42" s="1" t="s">
        <v>1</v>
      </c>
      <c r="I42" s="4" t="s">
        <v>2</v>
      </c>
      <c r="J42" s="14">
        <v>0.71180555555555558</v>
      </c>
      <c r="K42" s="20" t="str">
        <f t="shared" si="1"/>
        <v>2nd Shift</v>
      </c>
    </row>
    <row r="43" spans="1:11" x14ac:dyDescent="0.25">
      <c r="A43" s="1">
        <v>42</v>
      </c>
      <c r="B43" s="1">
        <v>2</v>
      </c>
      <c r="C43" s="3">
        <v>2115270155401</v>
      </c>
      <c r="D43" s="2">
        <v>44379.711805555555</v>
      </c>
      <c r="E43" s="2">
        <v>44379.909722222219</v>
      </c>
      <c r="F43" s="23">
        <f t="shared" si="0"/>
        <v>0.19791666666424135</v>
      </c>
      <c r="G43" s="24">
        <f t="shared" si="2"/>
        <v>63.157894737616061</v>
      </c>
      <c r="H43" s="1" t="s">
        <v>1</v>
      </c>
      <c r="I43" s="4" t="s">
        <v>2</v>
      </c>
      <c r="J43" s="14">
        <v>0.71180555555555558</v>
      </c>
      <c r="K43" s="20" t="str">
        <f t="shared" si="1"/>
        <v>2nd Shift</v>
      </c>
    </row>
    <row r="44" spans="1:11" x14ac:dyDescent="0.25">
      <c r="A44" s="1">
        <v>43</v>
      </c>
      <c r="B44" s="1">
        <v>10</v>
      </c>
      <c r="C44" s="3">
        <v>10115271959300</v>
      </c>
      <c r="D44" s="2">
        <v>44380.527777777781</v>
      </c>
      <c r="E44" s="2">
        <v>44380.579861111109</v>
      </c>
      <c r="F44" s="23">
        <f t="shared" si="0"/>
        <v>5.2083333328482695E-2</v>
      </c>
      <c r="G44" s="24">
        <f t="shared" si="2"/>
        <v>240.00000002235174</v>
      </c>
      <c r="H44" s="1" t="s">
        <v>1</v>
      </c>
      <c r="I44" s="4" t="s">
        <v>4</v>
      </c>
      <c r="J44" s="14">
        <v>0.52777777777777779</v>
      </c>
      <c r="K44" s="20" t="str">
        <f t="shared" si="1"/>
        <v>1st Shift</v>
      </c>
    </row>
    <row r="45" spans="1:11" x14ac:dyDescent="0.25">
      <c r="A45" s="1">
        <v>44</v>
      </c>
      <c r="B45" s="1">
        <v>10</v>
      </c>
      <c r="C45" s="3">
        <v>10115271469100</v>
      </c>
      <c r="D45" s="2">
        <v>44380.527777777781</v>
      </c>
      <c r="E45" s="2">
        <v>44380.579861111109</v>
      </c>
      <c r="F45" s="23">
        <f t="shared" si="0"/>
        <v>5.2083333328482695E-2</v>
      </c>
      <c r="G45" s="24">
        <f t="shared" si="2"/>
        <v>240.00000002235174</v>
      </c>
      <c r="H45" s="1" t="s">
        <v>1</v>
      </c>
      <c r="I45" s="4" t="s">
        <v>4</v>
      </c>
      <c r="J45" s="14">
        <v>0.52777777777777779</v>
      </c>
      <c r="K45" s="20" t="str">
        <f t="shared" si="1"/>
        <v>1st Shift</v>
      </c>
    </row>
    <row r="46" spans="1:11" x14ac:dyDescent="0.25">
      <c r="A46" s="1">
        <v>45</v>
      </c>
      <c r="B46" s="1">
        <v>9</v>
      </c>
      <c r="C46" s="3">
        <v>9115271943600</v>
      </c>
      <c r="D46" s="2">
        <v>44380.527777777781</v>
      </c>
      <c r="E46" s="2">
        <v>44380.579861111109</v>
      </c>
      <c r="F46" s="23">
        <f t="shared" si="0"/>
        <v>5.2083333328482695E-2</v>
      </c>
      <c r="G46" s="24">
        <f t="shared" si="2"/>
        <v>240.00000002235174</v>
      </c>
      <c r="H46" s="1" t="s">
        <v>1</v>
      </c>
      <c r="I46" s="4" t="s">
        <v>2</v>
      </c>
      <c r="J46" s="14">
        <v>0.52777777777777779</v>
      </c>
      <c r="K46" s="20" t="str">
        <f t="shared" si="1"/>
        <v>1st Shift</v>
      </c>
    </row>
    <row r="47" spans="1:11" x14ac:dyDescent="0.25">
      <c r="A47" s="1">
        <v>46</v>
      </c>
      <c r="B47" s="1">
        <v>9</v>
      </c>
      <c r="C47" s="3">
        <v>9115271943600</v>
      </c>
      <c r="D47" s="2">
        <v>44380.527777777781</v>
      </c>
      <c r="E47" s="2">
        <v>44380.579861111109</v>
      </c>
      <c r="F47" s="23">
        <f t="shared" si="0"/>
        <v>5.2083333328482695E-2</v>
      </c>
      <c r="G47" s="24">
        <f t="shared" si="2"/>
        <v>240.00000002235174</v>
      </c>
      <c r="H47" s="1" t="s">
        <v>1</v>
      </c>
      <c r="I47" s="4" t="s">
        <v>2</v>
      </c>
      <c r="J47" s="14">
        <v>0.52777777777777779</v>
      </c>
      <c r="K47" s="20" t="str">
        <f t="shared" si="1"/>
        <v>1st Shift</v>
      </c>
    </row>
    <row r="48" spans="1:11" x14ac:dyDescent="0.25">
      <c r="A48" s="1">
        <v>47</v>
      </c>
      <c r="B48" s="1">
        <v>8</v>
      </c>
      <c r="C48" s="3">
        <v>8115271819304</v>
      </c>
      <c r="D48" s="2">
        <v>44380.527777777781</v>
      </c>
      <c r="E48" s="2">
        <v>44380.579861111109</v>
      </c>
      <c r="F48" s="23">
        <f t="shared" si="0"/>
        <v>5.2083333328482695E-2</v>
      </c>
      <c r="G48" s="24">
        <f t="shared" si="2"/>
        <v>240.00000002235174</v>
      </c>
      <c r="H48" s="1" t="s">
        <v>1</v>
      </c>
      <c r="I48" s="4" t="s">
        <v>2</v>
      </c>
      <c r="J48" s="14">
        <v>0.52777777777777779</v>
      </c>
      <c r="K48" s="20" t="str">
        <f t="shared" si="1"/>
        <v>1st Shift</v>
      </c>
    </row>
    <row r="49" spans="1:11" x14ac:dyDescent="0.25">
      <c r="A49" s="1">
        <v>48</v>
      </c>
      <c r="B49" s="1">
        <v>5</v>
      </c>
      <c r="C49" s="3">
        <v>5115271685515</v>
      </c>
      <c r="D49" s="2">
        <v>44380.527777777781</v>
      </c>
      <c r="E49" s="2">
        <v>44380.579861111109</v>
      </c>
      <c r="F49" s="23">
        <f t="shared" si="0"/>
        <v>5.2083333328482695E-2</v>
      </c>
      <c r="G49" s="24">
        <f t="shared" si="2"/>
        <v>240.00000002235174</v>
      </c>
      <c r="H49" s="1" t="s">
        <v>1</v>
      </c>
      <c r="I49" s="4" t="s">
        <v>3</v>
      </c>
      <c r="J49" s="14">
        <v>0.52777777777777779</v>
      </c>
      <c r="K49" s="20" t="str">
        <f t="shared" si="1"/>
        <v>1st Shift</v>
      </c>
    </row>
    <row r="50" spans="1:11" x14ac:dyDescent="0.25">
      <c r="A50" s="1">
        <v>49</v>
      </c>
      <c r="B50" s="1">
        <v>3</v>
      </c>
      <c r="C50" s="3">
        <v>3115270418706</v>
      </c>
      <c r="D50" s="2">
        <v>44380.527777777781</v>
      </c>
      <c r="E50" s="2">
        <v>44380.579861111109</v>
      </c>
      <c r="F50" s="23">
        <f t="shared" si="0"/>
        <v>5.2083333328482695E-2</v>
      </c>
      <c r="G50" s="24">
        <f t="shared" si="2"/>
        <v>240.00000002235174</v>
      </c>
      <c r="H50" s="1" t="s">
        <v>1</v>
      </c>
      <c r="I50" s="4" t="s">
        <v>3</v>
      </c>
      <c r="J50" s="14">
        <v>0.52777777777777779</v>
      </c>
      <c r="K50" s="20" t="str">
        <f t="shared" si="1"/>
        <v>1st Shift</v>
      </c>
    </row>
    <row r="51" spans="1:11" x14ac:dyDescent="0.25">
      <c r="A51" s="1">
        <v>50</v>
      </c>
      <c r="B51" s="1">
        <v>3</v>
      </c>
      <c r="C51" s="3">
        <v>3115270418700</v>
      </c>
      <c r="D51" s="2">
        <v>44380.527777777781</v>
      </c>
      <c r="E51" s="2">
        <v>44380.579861111109</v>
      </c>
      <c r="F51" s="23">
        <f t="shared" si="0"/>
        <v>5.2083333328482695E-2</v>
      </c>
      <c r="G51" s="24">
        <f t="shared" si="2"/>
        <v>240.00000002235174</v>
      </c>
      <c r="H51" s="1" t="s">
        <v>1</v>
      </c>
      <c r="I51" s="4" t="s">
        <v>2</v>
      </c>
      <c r="J51" s="14">
        <v>0.52777777777777779</v>
      </c>
      <c r="K51" s="20" t="str">
        <f t="shared" si="1"/>
        <v>1st Shift</v>
      </c>
    </row>
    <row r="52" spans="1:11" x14ac:dyDescent="0.25">
      <c r="A52" s="1">
        <v>51</v>
      </c>
      <c r="B52" s="1">
        <v>9</v>
      </c>
      <c r="C52" s="3">
        <v>9115271910014</v>
      </c>
      <c r="D52" s="2">
        <v>44379.965277777781</v>
      </c>
      <c r="E52" s="2">
        <v>44380.097222222219</v>
      </c>
      <c r="F52" s="23">
        <f t="shared" si="0"/>
        <v>0.13194444443797693</v>
      </c>
      <c r="G52" s="24">
        <f t="shared" si="2"/>
        <v>94.736842109906874</v>
      </c>
      <c r="H52" s="1" t="s">
        <v>1</v>
      </c>
      <c r="I52" s="4" t="s">
        <v>3</v>
      </c>
      <c r="J52" s="14">
        <v>0.96527777777777779</v>
      </c>
      <c r="K52" s="20" t="str">
        <f t="shared" si="1"/>
        <v>3rd Shift</v>
      </c>
    </row>
    <row r="53" spans="1:11" x14ac:dyDescent="0.25">
      <c r="A53" s="1">
        <v>52</v>
      </c>
      <c r="B53" s="1">
        <v>4</v>
      </c>
      <c r="C53" s="3">
        <v>4115270846700</v>
      </c>
      <c r="D53" s="2">
        <v>44379.965277777781</v>
      </c>
      <c r="E53" s="2">
        <v>44380.097222222219</v>
      </c>
      <c r="F53" s="23">
        <f t="shared" si="0"/>
        <v>0.13194444443797693</v>
      </c>
      <c r="G53" s="24">
        <f t="shared" si="2"/>
        <v>94.736842109906874</v>
      </c>
      <c r="H53" s="1" t="s">
        <v>1</v>
      </c>
      <c r="I53" s="4" t="s">
        <v>2</v>
      </c>
      <c r="J53" s="14">
        <v>0.96527777777777779</v>
      </c>
      <c r="K53" s="20" t="str">
        <f t="shared" si="1"/>
        <v>3rd Shift</v>
      </c>
    </row>
    <row r="54" spans="1:11" x14ac:dyDescent="0.25">
      <c r="A54" s="1">
        <v>53</v>
      </c>
      <c r="B54" s="1">
        <v>10</v>
      </c>
      <c r="C54" s="3">
        <v>10115271412203</v>
      </c>
      <c r="D54" s="2">
        <v>44380.385416666664</v>
      </c>
      <c r="E54" s="2">
        <v>44380.5</v>
      </c>
      <c r="F54" s="23">
        <f t="shared" si="0"/>
        <v>0.11458333333575865</v>
      </c>
      <c r="G54" s="24">
        <f t="shared" si="2"/>
        <v>109.09090908860001</v>
      </c>
      <c r="H54" s="1" t="s">
        <v>1</v>
      </c>
      <c r="I54" s="4" t="s">
        <v>2</v>
      </c>
      <c r="J54" s="14">
        <v>0.38541666666666669</v>
      </c>
      <c r="K54" s="20" t="str">
        <f t="shared" si="1"/>
        <v>1st Shift</v>
      </c>
    </row>
    <row r="55" spans="1:11" x14ac:dyDescent="0.25">
      <c r="A55" s="1">
        <v>54</v>
      </c>
      <c r="B55" s="1">
        <v>14</v>
      </c>
      <c r="C55" s="3">
        <v>14115271673711</v>
      </c>
      <c r="D55" s="2">
        <v>44380.402777777781</v>
      </c>
      <c r="E55" s="2">
        <v>44380.515277777777</v>
      </c>
      <c r="F55" s="23">
        <f t="shared" si="0"/>
        <v>0.11249999999563443</v>
      </c>
      <c r="G55" s="24">
        <f t="shared" si="2"/>
        <v>111.1111111154228</v>
      </c>
      <c r="H55" s="1" t="s">
        <v>1</v>
      </c>
      <c r="I55" s="4" t="s">
        <v>3</v>
      </c>
      <c r="J55" s="14">
        <v>0.40277777777777779</v>
      </c>
      <c r="K55" s="20" t="str">
        <f t="shared" si="1"/>
        <v>1st Shift</v>
      </c>
    </row>
    <row r="56" spans="1:11" x14ac:dyDescent="0.25">
      <c r="A56" s="1">
        <v>55</v>
      </c>
      <c r="B56" s="1">
        <v>14</v>
      </c>
      <c r="C56" s="3">
        <v>14115271673701</v>
      </c>
      <c r="D56" s="2">
        <v>44380.402777777781</v>
      </c>
      <c r="E56" s="2">
        <v>44380.515277777777</v>
      </c>
      <c r="F56" s="23">
        <f t="shared" si="0"/>
        <v>0.11249999999563443</v>
      </c>
      <c r="G56" s="24">
        <f t="shared" si="2"/>
        <v>111.1111111154228</v>
      </c>
      <c r="H56" s="1" t="s">
        <v>1</v>
      </c>
      <c r="I56" s="4" t="s">
        <v>2</v>
      </c>
      <c r="J56" s="14">
        <v>0.40277777777777779</v>
      </c>
      <c r="K56" s="20" t="str">
        <f t="shared" si="1"/>
        <v>1st Shift</v>
      </c>
    </row>
    <row r="57" spans="1:11" x14ac:dyDescent="0.25">
      <c r="A57" s="1">
        <v>56</v>
      </c>
      <c r="B57" s="1">
        <v>13</v>
      </c>
      <c r="C57" s="3">
        <v>13115271660525</v>
      </c>
      <c r="D57" s="2">
        <v>44380.402777777781</v>
      </c>
      <c r="E57" s="2">
        <v>44380.515277777777</v>
      </c>
      <c r="F57" s="23">
        <f t="shared" si="0"/>
        <v>0.11249999999563443</v>
      </c>
      <c r="G57" s="24">
        <f t="shared" si="2"/>
        <v>111.1111111154228</v>
      </c>
      <c r="H57" s="1" t="s">
        <v>1</v>
      </c>
      <c r="I57" s="4" t="s">
        <v>2</v>
      </c>
      <c r="J57" s="14">
        <v>0.40277777777777779</v>
      </c>
      <c r="K57" s="20" t="str">
        <f t="shared" si="1"/>
        <v>1st Shift</v>
      </c>
    </row>
    <row r="58" spans="1:11" x14ac:dyDescent="0.25">
      <c r="A58" s="1">
        <v>57</v>
      </c>
      <c r="B58" s="1">
        <v>13</v>
      </c>
      <c r="C58" s="3">
        <v>13115271660505</v>
      </c>
      <c r="D58" s="2">
        <v>44380.402777777781</v>
      </c>
      <c r="E58" s="2">
        <v>44380.515277777777</v>
      </c>
      <c r="F58" s="23">
        <f t="shared" si="0"/>
        <v>0.11249999999563443</v>
      </c>
      <c r="G58" s="24">
        <f t="shared" si="2"/>
        <v>111.1111111154228</v>
      </c>
      <c r="H58" s="1" t="s">
        <v>1</v>
      </c>
      <c r="I58" s="4" t="s">
        <v>3</v>
      </c>
      <c r="J58" s="14">
        <v>0.40277777777777779</v>
      </c>
      <c r="K58" s="20" t="str">
        <f t="shared" si="1"/>
        <v>1st Shift</v>
      </c>
    </row>
    <row r="59" spans="1:11" x14ac:dyDescent="0.25">
      <c r="A59" s="1">
        <v>58</v>
      </c>
      <c r="B59" s="1">
        <v>1</v>
      </c>
      <c r="C59" s="3">
        <v>1115270070200</v>
      </c>
      <c r="D59" s="2">
        <v>44380.402777777781</v>
      </c>
      <c r="E59" s="2">
        <v>44380.515277777777</v>
      </c>
      <c r="F59" s="23">
        <f t="shared" si="0"/>
        <v>0.11249999999563443</v>
      </c>
      <c r="G59" s="24">
        <f t="shared" si="2"/>
        <v>111.1111111154228</v>
      </c>
      <c r="H59" s="1" t="s">
        <v>1</v>
      </c>
      <c r="I59" s="4" t="s">
        <v>3</v>
      </c>
      <c r="J59" s="14">
        <v>0.40277777777777779</v>
      </c>
      <c r="K59" s="20" t="str">
        <f t="shared" si="1"/>
        <v>1st Shift</v>
      </c>
    </row>
    <row r="60" spans="1:11" x14ac:dyDescent="0.25">
      <c r="A60" s="1">
        <v>59</v>
      </c>
      <c r="B60" s="1">
        <v>15</v>
      </c>
      <c r="C60" s="3">
        <v>15115271793104</v>
      </c>
      <c r="D60" s="2">
        <v>44380.621527777781</v>
      </c>
      <c r="E60" s="2">
        <v>44380.743055555555</v>
      </c>
      <c r="F60" s="23">
        <f t="shared" si="0"/>
        <v>0.12152777777373558</v>
      </c>
      <c r="G60" s="24">
        <f t="shared" si="2"/>
        <v>102.85714286056404</v>
      </c>
      <c r="H60" s="1" t="s">
        <v>1</v>
      </c>
      <c r="I60" s="4" t="s">
        <v>3</v>
      </c>
      <c r="J60" s="14">
        <v>0.62152777777777779</v>
      </c>
      <c r="K60" s="20" t="str">
        <f t="shared" si="1"/>
        <v>2nd Shift</v>
      </c>
    </row>
    <row r="61" spans="1:11" x14ac:dyDescent="0.25">
      <c r="A61" s="1">
        <v>60</v>
      </c>
      <c r="B61" s="1">
        <v>15</v>
      </c>
      <c r="C61" s="3">
        <v>15115271793103</v>
      </c>
      <c r="D61" s="2">
        <v>44380.621527777781</v>
      </c>
      <c r="E61" s="2">
        <v>44380.743055555555</v>
      </c>
      <c r="F61" s="23">
        <f t="shared" si="0"/>
        <v>0.12152777777373558</v>
      </c>
      <c r="G61" s="24">
        <f t="shared" si="2"/>
        <v>102.85714286056404</v>
      </c>
      <c r="H61" s="1" t="s">
        <v>1</v>
      </c>
      <c r="I61" s="4" t="s">
        <v>2</v>
      </c>
      <c r="J61" s="14">
        <v>0.62152777777777779</v>
      </c>
      <c r="K61" s="20" t="str">
        <f t="shared" si="1"/>
        <v>2nd Shift</v>
      </c>
    </row>
    <row r="62" spans="1:11" x14ac:dyDescent="0.25">
      <c r="A62" s="1">
        <v>61</v>
      </c>
      <c r="B62" s="1">
        <v>13</v>
      </c>
      <c r="C62" s="3">
        <v>13115271660101</v>
      </c>
      <c r="D62" s="2">
        <v>44380.621527777781</v>
      </c>
      <c r="E62" s="2">
        <v>44380.743055555555</v>
      </c>
      <c r="F62" s="23">
        <f t="shared" si="0"/>
        <v>0.12152777777373558</v>
      </c>
      <c r="G62" s="24">
        <f t="shared" si="2"/>
        <v>102.85714286056404</v>
      </c>
      <c r="H62" s="1" t="s">
        <v>1</v>
      </c>
      <c r="I62" s="4" t="s">
        <v>2</v>
      </c>
      <c r="J62" s="14">
        <v>0.62152777777777779</v>
      </c>
      <c r="K62" s="20" t="str">
        <f t="shared" si="1"/>
        <v>2nd Shift</v>
      </c>
    </row>
    <row r="63" spans="1:11" x14ac:dyDescent="0.25">
      <c r="A63" s="1">
        <v>62</v>
      </c>
      <c r="B63" s="1">
        <v>13</v>
      </c>
      <c r="C63" s="3">
        <v>13115271660100</v>
      </c>
      <c r="D63" s="2">
        <v>44380.621527777781</v>
      </c>
      <c r="E63" s="2">
        <v>44380.743055555555</v>
      </c>
      <c r="F63" s="23">
        <f t="shared" si="0"/>
        <v>0.12152777777373558</v>
      </c>
      <c r="G63" s="24">
        <f t="shared" si="2"/>
        <v>102.85714286056404</v>
      </c>
      <c r="H63" s="1" t="s">
        <v>1</v>
      </c>
      <c r="I63" s="4" t="s">
        <v>2</v>
      </c>
      <c r="J63" s="14">
        <v>0.62152777777777779</v>
      </c>
      <c r="K63" s="20" t="str">
        <f t="shared" si="1"/>
        <v>2nd Shift</v>
      </c>
    </row>
    <row r="64" spans="1:11" x14ac:dyDescent="0.25">
      <c r="A64" s="1">
        <v>63</v>
      </c>
      <c r="B64" s="1">
        <v>13</v>
      </c>
      <c r="C64" s="3">
        <v>13115271607600</v>
      </c>
      <c r="D64" s="2">
        <v>44380.621527777781</v>
      </c>
      <c r="E64" s="2">
        <v>44380.743055555555</v>
      </c>
      <c r="F64" s="23">
        <f t="shared" si="0"/>
        <v>0.12152777777373558</v>
      </c>
      <c r="G64" s="24">
        <f t="shared" si="2"/>
        <v>102.85714286056404</v>
      </c>
      <c r="H64" s="1" t="s">
        <v>1</v>
      </c>
      <c r="I64" s="4" t="s">
        <v>2</v>
      </c>
      <c r="J64" s="14">
        <v>0.62152777777777779</v>
      </c>
      <c r="K64" s="20" t="str">
        <f t="shared" si="1"/>
        <v>2nd Shift</v>
      </c>
    </row>
    <row r="65" spans="1:11" x14ac:dyDescent="0.25">
      <c r="A65" s="1">
        <v>64</v>
      </c>
      <c r="B65" s="1">
        <v>11</v>
      </c>
      <c r="C65" s="3">
        <v>11115271508501</v>
      </c>
      <c r="D65" s="2">
        <v>44380.621527777781</v>
      </c>
      <c r="E65" s="2">
        <v>44380.743055555555</v>
      </c>
      <c r="F65" s="23">
        <f t="shared" si="0"/>
        <v>0.12152777777373558</v>
      </c>
      <c r="G65" s="24">
        <f t="shared" si="2"/>
        <v>102.85714286056404</v>
      </c>
      <c r="H65" s="1" t="s">
        <v>1</v>
      </c>
      <c r="I65" s="4" t="s">
        <v>2</v>
      </c>
      <c r="J65" s="14">
        <v>0.62152777777777779</v>
      </c>
      <c r="K65" s="20" t="str">
        <f t="shared" si="1"/>
        <v>2nd Shift</v>
      </c>
    </row>
    <row r="66" spans="1:11" x14ac:dyDescent="0.25">
      <c r="A66" s="1">
        <v>65</v>
      </c>
      <c r="B66" s="1">
        <v>5</v>
      </c>
      <c r="C66" s="3">
        <v>5115271660302</v>
      </c>
      <c r="D66" s="2">
        <v>44380.763888888891</v>
      </c>
      <c r="E66" s="2">
        <v>44380.902777777781</v>
      </c>
      <c r="F66" s="23">
        <f t="shared" ref="F66:F129" si="3">E66-D66</f>
        <v>0.13888888889050577</v>
      </c>
      <c r="G66" s="24">
        <f t="shared" si="2"/>
        <v>89.999999998952262</v>
      </c>
      <c r="H66" s="1" t="s">
        <v>1</v>
      </c>
      <c r="I66" s="4" t="s">
        <v>3</v>
      </c>
      <c r="J66" s="14">
        <v>0.76388888888888884</v>
      </c>
      <c r="K66" s="20" t="str">
        <f t="shared" ref="K66:K129" si="4">IF(AND(J66&gt;=$M$3,J66&lt;$M$4),"1st Shift",IF(AND(J66&gt;=$M$4,J66&lt;$M$5),"2nd Shift","3rd Shift"))</f>
        <v>2nd Shift</v>
      </c>
    </row>
    <row r="67" spans="1:11" x14ac:dyDescent="0.25">
      <c r="A67" s="1">
        <v>66</v>
      </c>
      <c r="B67" s="1">
        <v>3</v>
      </c>
      <c r="C67" s="3">
        <v>3115270349305</v>
      </c>
      <c r="D67" s="2">
        <v>44380.763888888891</v>
      </c>
      <c r="E67" s="2">
        <v>44380.902777777781</v>
      </c>
      <c r="F67" s="23">
        <f t="shared" si="3"/>
        <v>0.13888888889050577</v>
      </c>
      <c r="G67" s="24">
        <f t="shared" ref="G67:G130" si="5">$M$9/F67*100</f>
        <v>89.999999998952262</v>
      </c>
      <c r="H67" s="1" t="s">
        <v>1</v>
      </c>
      <c r="I67" s="4" t="s">
        <v>2</v>
      </c>
      <c r="J67" s="14">
        <v>0.76388888888888884</v>
      </c>
      <c r="K67" s="20" t="str">
        <f t="shared" si="4"/>
        <v>2nd Shift</v>
      </c>
    </row>
    <row r="68" spans="1:11" x14ac:dyDescent="0.25">
      <c r="A68" s="1">
        <v>67</v>
      </c>
      <c r="B68" s="1">
        <v>3</v>
      </c>
      <c r="C68" s="3">
        <v>3115270349300</v>
      </c>
      <c r="D68" s="2">
        <v>44380.763888888891</v>
      </c>
      <c r="E68" s="2">
        <v>44380.902777777781</v>
      </c>
      <c r="F68" s="23">
        <f t="shared" si="3"/>
        <v>0.13888888889050577</v>
      </c>
      <c r="G68" s="24">
        <f t="shared" si="5"/>
        <v>89.999999998952262</v>
      </c>
      <c r="H68" s="1" t="s">
        <v>1</v>
      </c>
      <c r="I68" s="4" t="s">
        <v>2</v>
      </c>
      <c r="J68" s="14">
        <v>0.76388888888888884</v>
      </c>
      <c r="K68" s="20" t="str">
        <f t="shared" si="4"/>
        <v>2nd Shift</v>
      </c>
    </row>
    <row r="69" spans="1:11" x14ac:dyDescent="0.25">
      <c r="A69" s="1">
        <v>68</v>
      </c>
      <c r="B69" s="1">
        <v>1</v>
      </c>
      <c r="C69" s="3">
        <v>1115270018010</v>
      </c>
      <c r="D69" s="2">
        <v>44380.763888888891</v>
      </c>
      <c r="E69" s="2">
        <v>44380.902777777781</v>
      </c>
      <c r="F69" s="23">
        <f t="shared" si="3"/>
        <v>0.13888888889050577</v>
      </c>
      <c r="G69" s="24">
        <f t="shared" si="5"/>
        <v>89.999999998952262</v>
      </c>
      <c r="H69" s="1" t="s">
        <v>1</v>
      </c>
      <c r="I69" s="4" t="s">
        <v>2</v>
      </c>
      <c r="J69" s="14">
        <v>0.76388888888888884</v>
      </c>
      <c r="K69" s="20" t="str">
        <f t="shared" si="4"/>
        <v>2nd Shift</v>
      </c>
    </row>
    <row r="70" spans="1:11" x14ac:dyDescent="0.25">
      <c r="A70" s="1">
        <v>69</v>
      </c>
      <c r="B70" s="1">
        <v>1</v>
      </c>
      <c r="C70" s="3">
        <v>1115270018000</v>
      </c>
      <c r="D70" s="2">
        <v>44380.763888888891</v>
      </c>
      <c r="E70" s="2">
        <v>44380.902777777781</v>
      </c>
      <c r="F70" s="23">
        <f t="shared" si="3"/>
        <v>0.13888888889050577</v>
      </c>
      <c r="G70" s="24">
        <f t="shared" si="5"/>
        <v>89.999999998952262</v>
      </c>
      <c r="H70" s="1" t="s">
        <v>1</v>
      </c>
      <c r="I70" s="4" t="s">
        <v>2</v>
      </c>
      <c r="J70" s="14">
        <v>0.76388888888888884</v>
      </c>
      <c r="K70" s="20" t="str">
        <f t="shared" si="4"/>
        <v>2nd Shift</v>
      </c>
    </row>
    <row r="71" spans="1:11" x14ac:dyDescent="0.25">
      <c r="A71" s="1">
        <v>70</v>
      </c>
      <c r="B71" s="1">
        <v>4</v>
      </c>
      <c r="C71" s="3">
        <v>4115270827000</v>
      </c>
      <c r="D71" s="2">
        <v>44380.927083333336</v>
      </c>
      <c r="E71" s="2">
        <v>44380.989583333336</v>
      </c>
      <c r="F71" s="23">
        <f t="shared" si="3"/>
        <v>6.25E-2</v>
      </c>
      <c r="G71" s="24">
        <f t="shared" si="5"/>
        <v>200</v>
      </c>
      <c r="H71" s="1" t="s">
        <v>1</v>
      </c>
      <c r="I71" s="4" t="s">
        <v>2</v>
      </c>
      <c r="J71" s="14">
        <v>0.92708333333333337</v>
      </c>
      <c r="K71" s="20" t="str">
        <f t="shared" si="4"/>
        <v>3rd Shift</v>
      </c>
    </row>
    <row r="72" spans="1:11" x14ac:dyDescent="0.25">
      <c r="A72" s="1">
        <v>71</v>
      </c>
      <c r="B72" s="1">
        <v>11</v>
      </c>
      <c r="C72" s="3">
        <v>11115271540702</v>
      </c>
      <c r="D72" s="2">
        <v>44381.017361111109</v>
      </c>
      <c r="E72" s="2">
        <v>44381.111111111109</v>
      </c>
      <c r="F72" s="23">
        <f t="shared" si="3"/>
        <v>9.375E-2</v>
      </c>
      <c r="G72" s="24">
        <f t="shared" si="5"/>
        <v>133.33333333333331</v>
      </c>
      <c r="H72" s="1" t="s">
        <v>1</v>
      </c>
      <c r="I72" s="4" t="s">
        <v>2</v>
      </c>
      <c r="J72" s="14">
        <v>1.7361111111111112E-2</v>
      </c>
      <c r="K72" s="20" t="str">
        <f t="shared" si="4"/>
        <v>3rd Shift</v>
      </c>
    </row>
    <row r="73" spans="1:11" x14ac:dyDescent="0.25">
      <c r="A73" s="1">
        <v>72</v>
      </c>
      <c r="B73" s="1">
        <v>13</v>
      </c>
      <c r="C73" s="3">
        <v>13115271667409</v>
      </c>
      <c r="D73" s="2">
        <v>44381.385416666664</v>
      </c>
      <c r="E73" s="2">
        <v>44381.5</v>
      </c>
      <c r="F73" s="23">
        <f t="shared" si="3"/>
        <v>0.11458333333575865</v>
      </c>
      <c r="G73" s="24">
        <f t="shared" si="5"/>
        <v>109.09090908860001</v>
      </c>
      <c r="H73" s="1" t="s">
        <v>1</v>
      </c>
      <c r="I73" s="4" t="s">
        <v>2</v>
      </c>
      <c r="J73" s="14">
        <v>0.38541666666666669</v>
      </c>
      <c r="K73" s="20" t="str">
        <f t="shared" si="4"/>
        <v>1st Shift</v>
      </c>
    </row>
    <row r="74" spans="1:11" x14ac:dyDescent="0.25">
      <c r="A74" s="1">
        <v>73</v>
      </c>
      <c r="B74" s="1">
        <v>13</v>
      </c>
      <c r="C74" s="3">
        <v>13115271667402</v>
      </c>
      <c r="D74" s="2">
        <v>44381.385416666664</v>
      </c>
      <c r="E74" s="2">
        <v>44381.5</v>
      </c>
      <c r="F74" s="23">
        <f t="shared" si="3"/>
        <v>0.11458333333575865</v>
      </c>
      <c r="G74" s="24">
        <f t="shared" si="5"/>
        <v>109.09090908860001</v>
      </c>
      <c r="H74" s="1" t="s">
        <v>1</v>
      </c>
      <c r="I74" s="4" t="s">
        <v>3</v>
      </c>
      <c r="J74" s="14">
        <v>0.38541666666666669</v>
      </c>
      <c r="K74" s="20" t="str">
        <f t="shared" si="4"/>
        <v>1st Shift</v>
      </c>
    </row>
    <row r="75" spans="1:11" x14ac:dyDescent="0.25">
      <c r="A75" s="1">
        <v>74</v>
      </c>
      <c r="B75" s="1">
        <v>11</v>
      </c>
      <c r="C75" s="3">
        <v>11115271540700</v>
      </c>
      <c r="D75" s="2">
        <v>44381.385416666664</v>
      </c>
      <c r="E75" s="2">
        <v>44381.5</v>
      </c>
      <c r="F75" s="23">
        <f t="shared" si="3"/>
        <v>0.11458333333575865</v>
      </c>
      <c r="G75" s="24">
        <f t="shared" si="5"/>
        <v>109.09090908860001</v>
      </c>
      <c r="H75" s="1" t="s">
        <v>1</v>
      </c>
      <c r="I75" s="4" t="s">
        <v>2</v>
      </c>
      <c r="J75" s="14">
        <v>0.38541666666666669</v>
      </c>
      <c r="K75" s="20" t="str">
        <f t="shared" si="4"/>
        <v>1st Shift</v>
      </c>
    </row>
    <row r="76" spans="1:11" x14ac:dyDescent="0.25">
      <c r="A76" s="1">
        <v>75</v>
      </c>
      <c r="B76" s="1">
        <v>6</v>
      </c>
      <c r="C76" s="3">
        <v>6115271729903</v>
      </c>
      <c r="D76" s="2">
        <v>44381.385416666664</v>
      </c>
      <c r="E76" s="2">
        <v>44381.5</v>
      </c>
      <c r="F76" s="23">
        <f t="shared" si="3"/>
        <v>0.11458333333575865</v>
      </c>
      <c r="G76" s="24">
        <f t="shared" si="5"/>
        <v>109.09090908860001</v>
      </c>
      <c r="H76" s="1" t="s">
        <v>1</v>
      </c>
      <c r="I76" s="4" t="s">
        <v>2</v>
      </c>
      <c r="J76" s="14">
        <v>0.38541666666666669</v>
      </c>
      <c r="K76" s="20" t="str">
        <f t="shared" si="4"/>
        <v>1st Shift</v>
      </c>
    </row>
    <row r="77" spans="1:11" x14ac:dyDescent="0.25">
      <c r="A77" s="1">
        <v>76</v>
      </c>
      <c r="B77" s="1">
        <v>4</v>
      </c>
      <c r="C77" s="3">
        <v>4115270830100</v>
      </c>
      <c r="D77" s="2">
        <v>44381.385416666664</v>
      </c>
      <c r="E77" s="2">
        <v>44381.5</v>
      </c>
      <c r="F77" s="23">
        <f t="shared" si="3"/>
        <v>0.11458333333575865</v>
      </c>
      <c r="G77" s="24">
        <f t="shared" si="5"/>
        <v>109.09090908860001</v>
      </c>
      <c r="H77" s="1" t="s">
        <v>1</v>
      </c>
      <c r="I77" s="4" t="s">
        <v>2</v>
      </c>
      <c r="J77" s="14">
        <v>0.38541666666666669</v>
      </c>
      <c r="K77" s="20" t="str">
        <f t="shared" si="4"/>
        <v>1st Shift</v>
      </c>
    </row>
    <row r="78" spans="1:11" x14ac:dyDescent="0.25">
      <c r="A78" s="1">
        <v>77</v>
      </c>
      <c r="B78" s="1">
        <v>3</v>
      </c>
      <c r="C78" s="3">
        <v>3115270408800</v>
      </c>
      <c r="D78" s="2">
        <v>44381.385416666664</v>
      </c>
      <c r="E78" s="2">
        <v>44381.5</v>
      </c>
      <c r="F78" s="23">
        <f t="shared" si="3"/>
        <v>0.11458333333575865</v>
      </c>
      <c r="G78" s="24">
        <f t="shared" si="5"/>
        <v>109.09090908860001</v>
      </c>
      <c r="H78" s="1" t="s">
        <v>1</v>
      </c>
      <c r="I78" s="4" t="s">
        <v>2</v>
      </c>
      <c r="J78" s="14">
        <v>0.38541666666666669</v>
      </c>
      <c r="K78" s="20" t="str">
        <f t="shared" si="4"/>
        <v>1st Shift</v>
      </c>
    </row>
    <row r="79" spans="1:11" x14ac:dyDescent="0.25">
      <c r="A79" s="1">
        <v>78</v>
      </c>
      <c r="B79" s="1">
        <v>3</v>
      </c>
      <c r="C79" s="3">
        <v>3115270320700</v>
      </c>
      <c r="D79" s="2">
        <v>44381.385416666664</v>
      </c>
      <c r="E79" s="2">
        <v>44381.5</v>
      </c>
      <c r="F79" s="23">
        <f t="shared" si="3"/>
        <v>0.11458333333575865</v>
      </c>
      <c r="G79" s="24">
        <f t="shared" si="5"/>
        <v>109.09090908860001</v>
      </c>
      <c r="H79" s="1" t="s">
        <v>1</v>
      </c>
      <c r="I79" s="4" t="s">
        <v>2</v>
      </c>
      <c r="J79" s="14">
        <v>0.38541666666666669</v>
      </c>
      <c r="K79" s="20" t="str">
        <f t="shared" si="4"/>
        <v>1st Shift</v>
      </c>
    </row>
    <row r="80" spans="1:11" x14ac:dyDescent="0.25">
      <c r="A80" s="1">
        <v>79</v>
      </c>
      <c r="B80" s="1">
        <v>3</v>
      </c>
      <c r="C80" s="3">
        <v>3115270280903</v>
      </c>
      <c r="D80" s="2">
        <v>44381.385416666664</v>
      </c>
      <c r="E80" s="2">
        <v>44381.5</v>
      </c>
      <c r="F80" s="23">
        <f t="shared" si="3"/>
        <v>0.11458333333575865</v>
      </c>
      <c r="G80" s="24">
        <f t="shared" si="5"/>
        <v>109.09090908860001</v>
      </c>
      <c r="H80" s="1" t="s">
        <v>1</v>
      </c>
      <c r="I80" s="4" t="s">
        <v>3</v>
      </c>
      <c r="J80" s="14">
        <v>0.38541666666666669</v>
      </c>
      <c r="K80" s="20" t="str">
        <f t="shared" si="4"/>
        <v>1st Shift</v>
      </c>
    </row>
    <row r="81" spans="1:11" x14ac:dyDescent="0.25">
      <c r="A81" s="1">
        <v>80</v>
      </c>
      <c r="B81" s="1">
        <v>15</v>
      </c>
      <c r="C81" s="3">
        <v>15115271761310</v>
      </c>
      <c r="D81" s="2">
        <v>44381.517361111109</v>
      </c>
      <c r="E81" s="2">
        <v>44381.576388888891</v>
      </c>
      <c r="F81" s="23">
        <f t="shared" si="3"/>
        <v>5.9027777781011537E-2</v>
      </c>
      <c r="G81" s="24">
        <f t="shared" si="5"/>
        <v>211.7647058707517</v>
      </c>
      <c r="H81" s="1" t="s">
        <v>1</v>
      </c>
      <c r="I81" s="4" t="s">
        <v>4</v>
      </c>
      <c r="J81" s="14">
        <v>0.51736111111111116</v>
      </c>
      <c r="K81" s="20" t="str">
        <f t="shared" si="4"/>
        <v>1st Shift</v>
      </c>
    </row>
    <row r="82" spans="1:11" x14ac:dyDescent="0.25">
      <c r="A82" s="1">
        <v>81</v>
      </c>
      <c r="B82" s="1">
        <v>15</v>
      </c>
      <c r="C82" s="3">
        <v>15115271761300</v>
      </c>
      <c r="D82" s="2">
        <v>44381.517361111109</v>
      </c>
      <c r="E82" s="2">
        <v>44381.576388888891</v>
      </c>
      <c r="F82" s="23">
        <f t="shared" si="3"/>
        <v>5.9027777781011537E-2</v>
      </c>
      <c r="G82" s="24">
        <f t="shared" si="5"/>
        <v>211.7647058707517</v>
      </c>
      <c r="H82" s="1" t="s">
        <v>1</v>
      </c>
      <c r="I82" s="4" t="s">
        <v>3</v>
      </c>
      <c r="J82" s="14">
        <v>0.51736111111111116</v>
      </c>
      <c r="K82" s="20" t="str">
        <f t="shared" si="4"/>
        <v>1st Shift</v>
      </c>
    </row>
    <row r="83" spans="1:11" x14ac:dyDescent="0.25">
      <c r="A83" s="1">
        <v>82</v>
      </c>
      <c r="B83" s="1">
        <v>14</v>
      </c>
      <c r="C83" s="3">
        <v>14115271678800</v>
      </c>
      <c r="D83" s="2">
        <v>44381.517361111109</v>
      </c>
      <c r="E83" s="2">
        <v>44381.576388888891</v>
      </c>
      <c r="F83" s="23">
        <f t="shared" si="3"/>
        <v>5.9027777781011537E-2</v>
      </c>
      <c r="G83" s="24">
        <f t="shared" si="5"/>
        <v>211.7647058707517</v>
      </c>
      <c r="H83" s="1" t="s">
        <v>1</v>
      </c>
      <c r="I83" s="4" t="s">
        <v>4</v>
      </c>
      <c r="J83" s="14">
        <v>0.51736111111111116</v>
      </c>
      <c r="K83" s="20" t="str">
        <f t="shared" si="4"/>
        <v>1st Shift</v>
      </c>
    </row>
    <row r="84" spans="1:11" x14ac:dyDescent="0.25">
      <c r="A84" s="1">
        <v>83</v>
      </c>
      <c r="B84" s="1">
        <v>13</v>
      </c>
      <c r="C84" s="3">
        <v>13115271634400</v>
      </c>
      <c r="D84" s="2">
        <v>44381.517361111109</v>
      </c>
      <c r="E84" s="2">
        <v>44381.576388888891</v>
      </c>
      <c r="F84" s="23">
        <f t="shared" si="3"/>
        <v>5.9027777781011537E-2</v>
      </c>
      <c r="G84" s="24">
        <f t="shared" si="5"/>
        <v>211.7647058707517</v>
      </c>
      <c r="H84" s="1" t="s">
        <v>1</v>
      </c>
      <c r="I84" s="4" t="s">
        <v>4</v>
      </c>
      <c r="J84" s="14">
        <v>0.51736111111111116</v>
      </c>
      <c r="K84" s="20" t="str">
        <f t="shared" si="4"/>
        <v>1st Shift</v>
      </c>
    </row>
    <row r="85" spans="1:11" x14ac:dyDescent="0.25">
      <c r="A85" s="1">
        <v>84</v>
      </c>
      <c r="B85" s="1">
        <v>7</v>
      </c>
      <c r="C85" s="3">
        <v>7115271760304</v>
      </c>
      <c r="D85" s="2">
        <v>44381.604166666664</v>
      </c>
      <c r="E85" s="2">
        <v>44381.666666666664</v>
      </c>
      <c r="F85" s="23">
        <f t="shared" si="3"/>
        <v>6.25E-2</v>
      </c>
      <c r="G85" s="24">
        <f t="shared" si="5"/>
        <v>200</v>
      </c>
      <c r="H85" s="1" t="s">
        <v>1</v>
      </c>
      <c r="I85" s="4" t="s">
        <v>3</v>
      </c>
      <c r="J85" s="14">
        <v>0.60416666666666663</v>
      </c>
      <c r="K85" s="20" t="str">
        <f t="shared" si="4"/>
        <v>2nd Shift</v>
      </c>
    </row>
    <row r="86" spans="1:11" x14ac:dyDescent="0.25">
      <c r="A86" s="1">
        <v>85</v>
      </c>
      <c r="B86" s="1">
        <v>6</v>
      </c>
      <c r="C86" s="3">
        <v>6115271729705</v>
      </c>
      <c r="D86" s="2">
        <v>44381.604166666664</v>
      </c>
      <c r="E86" s="2">
        <v>44381.666666666664</v>
      </c>
      <c r="F86" s="23">
        <f t="shared" si="3"/>
        <v>6.25E-2</v>
      </c>
      <c r="G86" s="24">
        <f t="shared" si="5"/>
        <v>200</v>
      </c>
      <c r="H86" s="1" t="s">
        <v>1</v>
      </c>
      <c r="I86" s="4" t="s">
        <v>3</v>
      </c>
      <c r="J86" s="14">
        <v>0.60416666666666663</v>
      </c>
      <c r="K86" s="20" t="str">
        <f t="shared" si="4"/>
        <v>2nd Shift</v>
      </c>
    </row>
    <row r="87" spans="1:11" x14ac:dyDescent="0.25">
      <c r="A87" s="1">
        <v>86</v>
      </c>
      <c r="B87" s="1">
        <v>6</v>
      </c>
      <c r="C87" s="3">
        <v>6115271729701</v>
      </c>
      <c r="D87" s="2">
        <v>44381.604166666664</v>
      </c>
      <c r="E87" s="2">
        <v>44381.666666666664</v>
      </c>
      <c r="F87" s="23">
        <f t="shared" si="3"/>
        <v>6.25E-2</v>
      </c>
      <c r="G87" s="24">
        <f t="shared" si="5"/>
        <v>200</v>
      </c>
      <c r="H87" s="1" t="s">
        <v>1</v>
      </c>
      <c r="I87" s="4" t="s">
        <v>2</v>
      </c>
      <c r="J87" s="14">
        <v>0.60416666666666663</v>
      </c>
      <c r="K87" s="20" t="str">
        <f t="shared" si="4"/>
        <v>2nd Shift</v>
      </c>
    </row>
    <row r="88" spans="1:11" x14ac:dyDescent="0.25">
      <c r="A88" s="1">
        <v>87</v>
      </c>
      <c r="B88" s="1">
        <v>14</v>
      </c>
      <c r="C88" s="3">
        <v>14115271673305</v>
      </c>
      <c r="D88" s="2">
        <v>44381.725694444445</v>
      </c>
      <c r="E88" s="2">
        <v>44381.854166666664</v>
      </c>
      <c r="F88" s="23">
        <f t="shared" si="3"/>
        <v>0.12847222221898846</v>
      </c>
      <c r="G88" s="24">
        <f t="shared" si="5"/>
        <v>97.297297299746361</v>
      </c>
      <c r="H88" s="1" t="s">
        <v>1</v>
      </c>
      <c r="I88" s="4" t="s">
        <v>4</v>
      </c>
      <c r="J88" s="14">
        <v>0.72569444444444442</v>
      </c>
      <c r="K88" s="20" t="str">
        <f t="shared" si="4"/>
        <v>2nd Shift</v>
      </c>
    </row>
    <row r="89" spans="1:11" x14ac:dyDescent="0.25">
      <c r="A89" s="1">
        <v>88</v>
      </c>
      <c r="B89" s="1">
        <v>14</v>
      </c>
      <c r="C89" s="3">
        <v>14115271673300</v>
      </c>
      <c r="D89" s="2">
        <v>44381.725694444445</v>
      </c>
      <c r="E89" s="2">
        <v>44381.854166666664</v>
      </c>
      <c r="F89" s="23">
        <f t="shared" si="3"/>
        <v>0.12847222221898846</v>
      </c>
      <c r="G89" s="24">
        <f t="shared" si="5"/>
        <v>97.297297299746361</v>
      </c>
      <c r="H89" s="1" t="s">
        <v>1</v>
      </c>
      <c r="I89" s="4" t="s">
        <v>3</v>
      </c>
      <c r="J89" s="14">
        <v>0.72569444444444442</v>
      </c>
      <c r="K89" s="20" t="str">
        <f t="shared" si="4"/>
        <v>2nd Shift</v>
      </c>
    </row>
    <row r="90" spans="1:11" x14ac:dyDescent="0.25">
      <c r="A90" s="1">
        <v>89</v>
      </c>
      <c r="B90" s="1">
        <v>11</v>
      </c>
      <c r="C90" s="3">
        <v>11115271052706</v>
      </c>
      <c r="D90" s="2">
        <v>44381.725694444445</v>
      </c>
      <c r="E90" s="2">
        <v>44381.854166666664</v>
      </c>
      <c r="F90" s="23">
        <f t="shared" si="3"/>
        <v>0.12847222221898846</v>
      </c>
      <c r="G90" s="24">
        <f t="shared" si="5"/>
        <v>97.297297299746361</v>
      </c>
      <c r="H90" s="1" t="s">
        <v>1</v>
      </c>
      <c r="I90" s="4" t="s">
        <v>2</v>
      </c>
      <c r="J90" s="14">
        <v>0.72569444444444442</v>
      </c>
      <c r="K90" s="20" t="str">
        <f t="shared" si="4"/>
        <v>2nd Shift</v>
      </c>
    </row>
    <row r="91" spans="1:11" x14ac:dyDescent="0.25">
      <c r="A91" s="1">
        <v>90</v>
      </c>
      <c r="B91" s="1">
        <v>11</v>
      </c>
      <c r="C91" s="3">
        <v>11115271052700</v>
      </c>
      <c r="D91" s="2">
        <v>44381.725694444445</v>
      </c>
      <c r="E91" s="2">
        <v>44381.854166666664</v>
      </c>
      <c r="F91" s="23">
        <f t="shared" si="3"/>
        <v>0.12847222221898846</v>
      </c>
      <c r="G91" s="24">
        <f t="shared" si="5"/>
        <v>97.297297299746361</v>
      </c>
      <c r="H91" s="1" t="s">
        <v>1</v>
      </c>
      <c r="I91" s="4" t="s">
        <v>2</v>
      </c>
      <c r="J91" s="14">
        <v>0.72569444444444442</v>
      </c>
      <c r="K91" s="20" t="str">
        <f t="shared" si="4"/>
        <v>2nd Shift</v>
      </c>
    </row>
    <row r="92" spans="1:11" x14ac:dyDescent="0.25">
      <c r="A92" s="1">
        <v>91</v>
      </c>
      <c r="B92" s="1">
        <v>5</v>
      </c>
      <c r="C92" s="3">
        <v>5115271275400</v>
      </c>
      <c r="D92" s="2">
        <v>44381.923611111109</v>
      </c>
      <c r="E92" s="2">
        <v>44381.996527777781</v>
      </c>
      <c r="F92" s="23">
        <f>E92-D92</f>
        <v>7.2916666671517305E-2</v>
      </c>
      <c r="G92" s="24">
        <f t="shared" si="5"/>
        <v>171.42857141716746</v>
      </c>
      <c r="H92" s="1" t="s">
        <v>1</v>
      </c>
      <c r="I92" s="4" t="s">
        <v>2</v>
      </c>
      <c r="J92" s="14">
        <v>0.92361111111111116</v>
      </c>
      <c r="K92" s="20" t="str">
        <f t="shared" si="4"/>
        <v>3rd Shift</v>
      </c>
    </row>
    <row r="93" spans="1:11" x14ac:dyDescent="0.25">
      <c r="A93" s="1">
        <v>92</v>
      </c>
      <c r="B93" s="1">
        <v>11</v>
      </c>
      <c r="C93" s="3">
        <v>11115271508506</v>
      </c>
      <c r="D93" s="2">
        <v>44382.347222222219</v>
      </c>
      <c r="E93" s="2">
        <v>44382.576388888891</v>
      </c>
      <c r="F93" s="23">
        <f>E93-D93</f>
        <v>0.22916666667151731</v>
      </c>
      <c r="G93" s="24">
        <f t="shared" si="5"/>
        <v>54.545454544300007</v>
      </c>
      <c r="H93" s="1" t="s">
        <v>1</v>
      </c>
      <c r="I93" s="4" t="s">
        <v>2</v>
      </c>
      <c r="J93" s="14">
        <v>0.34722222222222221</v>
      </c>
      <c r="K93" s="20" t="str">
        <f t="shared" si="4"/>
        <v>1st Shift</v>
      </c>
    </row>
    <row r="94" spans="1:11" x14ac:dyDescent="0.25">
      <c r="A94" s="1">
        <v>93</v>
      </c>
      <c r="B94" s="1">
        <v>11</v>
      </c>
      <c r="C94" s="3">
        <v>11115271483507</v>
      </c>
      <c r="D94" s="2">
        <v>44382.347222222219</v>
      </c>
      <c r="E94" s="2">
        <v>44382.576388888891</v>
      </c>
      <c r="F94" s="23">
        <f t="shared" si="3"/>
        <v>0.22916666667151731</v>
      </c>
      <c r="G94" s="24">
        <f t="shared" si="5"/>
        <v>54.545454544300007</v>
      </c>
      <c r="H94" s="1" t="s">
        <v>1</v>
      </c>
      <c r="I94" s="4" t="s">
        <v>5</v>
      </c>
      <c r="J94" s="14">
        <v>0.34722222222222221</v>
      </c>
      <c r="K94" s="20" t="str">
        <f t="shared" si="4"/>
        <v>1st Shift</v>
      </c>
    </row>
    <row r="95" spans="1:11" x14ac:dyDescent="0.25">
      <c r="A95" s="1">
        <v>94</v>
      </c>
      <c r="B95" s="1">
        <v>11</v>
      </c>
      <c r="C95" s="3">
        <v>11115271483503</v>
      </c>
      <c r="D95" s="2">
        <v>44382.347222222219</v>
      </c>
      <c r="E95" s="2">
        <v>44382.576388888891</v>
      </c>
      <c r="F95" s="23">
        <f t="shared" si="3"/>
        <v>0.22916666667151731</v>
      </c>
      <c r="G95" s="24">
        <f t="shared" si="5"/>
        <v>54.545454544300007</v>
      </c>
      <c r="H95" s="1" t="s">
        <v>1</v>
      </c>
      <c r="I95" s="4" t="s">
        <v>2</v>
      </c>
      <c r="J95" s="14">
        <v>0.34722222222222221</v>
      </c>
      <c r="K95" s="20" t="str">
        <f t="shared" si="4"/>
        <v>1st Shift</v>
      </c>
    </row>
    <row r="96" spans="1:11" x14ac:dyDescent="0.25">
      <c r="A96" s="1">
        <v>95</v>
      </c>
      <c r="B96" s="1">
        <v>11</v>
      </c>
      <c r="C96" s="3">
        <v>11115271051904</v>
      </c>
      <c r="D96" s="2">
        <v>44382.347222222219</v>
      </c>
      <c r="E96" s="2">
        <v>44382.576388888891</v>
      </c>
      <c r="F96" s="23">
        <f t="shared" si="3"/>
        <v>0.22916666667151731</v>
      </c>
      <c r="G96" s="24">
        <f t="shared" si="5"/>
        <v>54.545454544300007</v>
      </c>
      <c r="H96" s="1" t="s">
        <v>1</v>
      </c>
      <c r="I96" s="4" t="s">
        <v>2</v>
      </c>
      <c r="J96" s="14">
        <v>0.34722222222222221</v>
      </c>
      <c r="K96" s="20" t="str">
        <f t="shared" si="4"/>
        <v>1st Shift</v>
      </c>
    </row>
    <row r="97" spans="1:11" x14ac:dyDescent="0.25">
      <c r="A97" s="1">
        <v>96</v>
      </c>
      <c r="B97" s="1">
        <v>11</v>
      </c>
      <c r="C97" s="3">
        <v>11115271051900</v>
      </c>
      <c r="D97" s="2">
        <v>44382.347222222219</v>
      </c>
      <c r="E97" s="2">
        <v>44382.576388888891</v>
      </c>
      <c r="F97" s="23">
        <f t="shared" si="3"/>
        <v>0.22916666667151731</v>
      </c>
      <c r="G97" s="24">
        <f t="shared" si="5"/>
        <v>54.545454544300007</v>
      </c>
      <c r="H97" s="1" t="s">
        <v>1</v>
      </c>
      <c r="I97" s="4" t="s">
        <v>3</v>
      </c>
      <c r="J97" s="14">
        <v>0.34722222222222221</v>
      </c>
      <c r="K97" s="20" t="str">
        <f t="shared" si="4"/>
        <v>1st Shift</v>
      </c>
    </row>
    <row r="98" spans="1:11" x14ac:dyDescent="0.25">
      <c r="A98" s="1">
        <v>97</v>
      </c>
      <c r="B98" s="1">
        <v>10</v>
      </c>
      <c r="C98" s="3">
        <v>10115271958203</v>
      </c>
      <c r="D98" s="2">
        <v>44382.347222222219</v>
      </c>
      <c r="E98" s="2">
        <v>44382.576388888891</v>
      </c>
      <c r="F98" s="23">
        <f t="shared" si="3"/>
        <v>0.22916666667151731</v>
      </c>
      <c r="G98" s="24">
        <f t="shared" si="5"/>
        <v>54.545454544300007</v>
      </c>
      <c r="H98" s="1" t="s">
        <v>1</v>
      </c>
      <c r="I98" s="4" t="s">
        <v>2</v>
      </c>
      <c r="J98" s="14">
        <v>0.34722222222222221</v>
      </c>
      <c r="K98" s="20" t="str">
        <f t="shared" si="4"/>
        <v>1st Shift</v>
      </c>
    </row>
    <row r="99" spans="1:11" x14ac:dyDescent="0.25">
      <c r="A99" s="1">
        <v>98</v>
      </c>
      <c r="B99" s="1">
        <v>10</v>
      </c>
      <c r="C99" s="3">
        <v>10115271412210</v>
      </c>
      <c r="D99" s="2">
        <v>44382.347222222219</v>
      </c>
      <c r="E99" s="2">
        <v>44382.458333333336</v>
      </c>
      <c r="F99" s="23">
        <f t="shared" si="3"/>
        <v>0.11111111111677019</v>
      </c>
      <c r="G99" s="24">
        <f t="shared" si="5"/>
        <v>112.49999999427018</v>
      </c>
      <c r="H99" s="1" t="s">
        <v>1</v>
      </c>
      <c r="I99" s="4" t="s">
        <v>2</v>
      </c>
      <c r="J99" s="14">
        <v>0.34722222222222221</v>
      </c>
      <c r="K99" s="20" t="str">
        <f t="shared" si="4"/>
        <v>1st Shift</v>
      </c>
    </row>
    <row r="100" spans="1:11" x14ac:dyDescent="0.25">
      <c r="A100" s="1">
        <v>99</v>
      </c>
      <c r="B100" s="1">
        <v>10</v>
      </c>
      <c r="C100" s="3">
        <v>10115271412200</v>
      </c>
      <c r="D100" s="2">
        <v>44382.347222222219</v>
      </c>
      <c r="E100" s="2">
        <v>44382.458333333336</v>
      </c>
      <c r="F100" s="23">
        <f t="shared" si="3"/>
        <v>0.11111111111677019</v>
      </c>
      <c r="G100" s="24">
        <f t="shared" si="5"/>
        <v>112.49999999427018</v>
      </c>
      <c r="H100" s="1" t="s">
        <v>1</v>
      </c>
      <c r="I100" s="4" t="s">
        <v>2</v>
      </c>
      <c r="J100" s="14">
        <v>0.34722222222222221</v>
      </c>
      <c r="K100" s="20" t="str">
        <f t="shared" si="4"/>
        <v>1st Shift</v>
      </c>
    </row>
    <row r="101" spans="1:11" x14ac:dyDescent="0.25">
      <c r="A101" s="1">
        <v>100</v>
      </c>
      <c r="B101" s="1">
        <v>7</v>
      </c>
      <c r="C101" s="3">
        <v>7115271783716</v>
      </c>
      <c r="D101" s="2">
        <v>44382.347222222219</v>
      </c>
      <c r="E101" s="2">
        <v>44382.458333333336</v>
      </c>
      <c r="F101" s="23">
        <f t="shared" si="3"/>
        <v>0.11111111111677019</v>
      </c>
      <c r="G101" s="24">
        <f t="shared" si="5"/>
        <v>112.49999999427018</v>
      </c>
      <c r="H101" s="1" t="s">
        <v>1</v>
      </c>
      <c r="I101" s="4" t="s">
        <v>2</v>
      </c>
      <c r="J101" s="14">
        <v>0.34722222222222221</v>
      </c>
      <c r="K101" s="20" t="str">
        <f t="shared" si="4"/>
        <v>1st Shift</v>
      </c>
    </row>
    <row r="102" spans="1:11" x14ac:dyDescent="0.25">
      <c r="A102" s="1">
        <v>101</v>
      </c>
      <c r="B102" s="1">
        <v>4</v>
      </c>
      <c r="C102" s="3">
        <v>4115270887610</v>
      </c>
      <c r="D102" s="2">
        <v>44382.347222222219</v>
      </c>
      <c r="E102" s="2">
        <v>44382.458333333336</v>
      </c>
      <c r="F102" s="23">
        <f t="shared" si="3"/>
        <v>0.11111111111677019</v>
      </c>
      <c r="G102" s="24">
        <f t="shared" si="5"/>
        <v>112.49999999427018</v>
      </c>
      <c r="H102" s="1" t="s">
        <v>1</v>
      </c>
      <c r="I102" s="4" t="s">
        <v>2</v>
      </c>
      <c r="J102" s="14">
        <v>0.34722222222222221</v>
      </c>
      <c r="K102" s="20" t="str">
        <f t="shared" si="4"/>
        <v>1st Shift</v>
      </c>
    </row>
    <row r="103" spans="1:11" x14ac:dyDescent="0.25">
      <c r="A103" s="1">
        <v>102</v>
      </c>
      <c r="B103" s="1">
        <v>4</v>
      </c>
      <c r="C103" s="3">
        <v>4115270887600</v>
      </c>
      <c r="D103" s="2">
        <v>44382.347222222219</v>
      </c>
      <c r="E103" s="2">
        <v>44382.416666666664</v>
      </c>
      <c r="F103" s="23">
        <f t="shared" si="3"/>
        <v>6.9444444445252884E-2</v>
      </c>
      <c r="G103" s="24">
        <f t="shared" si="5"/>
        <v>179.99999999790452</v>
      </c>
      <c r="H103" s="1" t="s">
        <v>1</v>
      </c>
      <c r="I103" s="4" t="s">
        <v>3</v>
      </c>
      <c r="J103" s="14">
        <v>0.34722222222222221</v>
      </c>
      <c r="K103" s="20" t="str">
        <f t="shared" si="4"/>
        <v>1st Shift</v>
      </c>
    </row>
    <row r="104" spans="1:11" x14ac:dyDescent="0.25">
      <c r="A104" s="1">
        <v>103</v>
      </c>
      <c r="B104" s="1">
        <v>3</v>
      </c>
      <c r="C104" s="3">
        <v>3115270447600</v>
      </c>
      <c r="D104" s="2">
        <v>44382.347222222219</v>
      </c>
      <c r="E104" s="2">
        <v>44382.416666666664</v>
      </c>
      <c r="F104" s="23">
        <f t="shared" si="3"/>
        <v>6.9444444445252884E-2</v>
      </c>
      <c r="G104" s="24">
        <f t="shared" si="5"/>
        <v>179.99999999790452</v>
      </c>
      <c r="H104" s="1" t="s">
        <v>1</v>
      </c>
      <c r="I104" s="4" t="s">
        <v>5</v>
      </c>
      <c r="J104" s="14">
        <v>0.34722222222222221</v>
      </c>
      <c r="K104" s="20" t="str">
        <f t="shared" si="4"/>
        <v>1st Shift</v>
      </c>
    </row>
    <row r="105" spans="1:11" x14ac:dyDescent="0.25">
      <c r="A105" s="1">
        <v>104</v>
      </c>
      <c r="B105" s="1">
        <v>3</v>
      </c>
      <c r="C105" s="3">
        <v>3115270409300</v>
      </c>
      <c r="D105" s="2">
        <v>44382.347222222219</v>
      </c>
      <c r="E105" s="2">
        <v>44382.458333333336</v>
      </c>
      <c r="F105" s="23">
        <f t="shared" si="3"/>
        <v>0.11111111111677019</v>
      </c>
      <c r="G105" s="24">
        <f t="shared" si="5"/>
        <v>112.49999999427018</v>
      </c>
      <c r="H105" s="1" t="s">
        <v>1</v>
      </c>
      <c r="I105" s="4" t="s">
        <v>4</v>
      </c>
      <c r="J105" s="14">
        <v>0.34722222222222221</v>
      </c>
      <c r="K105" s="20" t="str">
        <f t="shared" si="4"/>
        <v>1st Shift</v>
      </c>
    </row>
    <row r="106" spans="1:11" x14ac:dyDescent="0.25">
      <c r="A106" s="1">
        <v>105</v>
      </c>
      <c r="B106" s="1">
        <v>3</v>
      </c>
      <c r="C106" s="3">
        <v>3115270379300</v>
      </c>
      <c r="D106" s="2">
        <v>44382.347222222219</v>
      </c>
      <c r="E106" s="2">
        <v>44382.458333333336</v>
      </c>
      <c r="F106" s="23">
        <f t="shared" si="3"/>
        <v>0.11111111111677019</v>
      </c>
      <c r="G106" s="24">
        <f t="shared" si="5"/>
        <v>112.49999999427018</v>
      </c>
      <c r="H106" s="1" t="s">
        <v>1</v>
      </c>
      <c r="I106" s="4" t="s">
        <v>2</v>
      </c>
      <c r="J106" s="14">
        <v>0.34722222222222221</v>
      </c>
      <c r="K106" s="20" t="str">
        <f t="shared" si="4"/>
        <v>1st Shift</v>
      </c>
    </row>
    <row r="107" spans="1:11" x14ac:dyDescent="0.25">
      <c r="A107" s="1">
        <v>106</v>
      </c>
      <c r="B107" s="1">
        <v>3</v>
      </c>
      <c r="C107" s="3">
        <v>3115270379300</v>
      </c>
      <c r="D107" s="2">
        <v>44382.347222222219</v>
      </c>
      <c r="E107" s="2">
        <v>44382.458333333336</v>
      </c>
      <c r="F107" s="23">
        <f t="shared" si="3"/>
        <v>0.11111111111677019</v>
      </c>
      <c r="G107" s="24">
        <f t="shared" si="5"/>
        <v>112.49999999427018</v>
      </c>
      <c r="H107" s="1" t="s">
        <v>1</v>
      </c>
      <c r="I107" s="4" t="s">
        <v>2</v>
      </c>
      <c r="J107" s="14">
        <v>0.34722222222222221</v>
      </c>
      <c r="K107" s="20" t="str">
        <f t="shared" si="4"/>
        <v>1st Shift</v>
      </c>
    </row>
    <row r="108" spans="1:11" x14ac:dyDescent="0.25">
      <c r="A108" s="1">
        <v>107</v>
      </c>
      <c r="B108" s="1">
        <v>2</v>
      </c>
      <c r="C108" s="3">
        <v>2115270169700</v>
      </c>
      <c r="D108" s="2">
        <v>44382.347222222219</v>
      </c>
      <c r="E108" s="2">
        <v>44382.458333333336</v>
      </c>
      <c r="F108" s="23">
        <f t="shared" si="3"/>
        <v>0.11111111111677019</v>
      </c>
      <c r="G108" s="24">
        <f t="shared" si="5"/>
        <v>112.49999999427018</v>
      </c>
      <c r="H108" s="1" t="s">
        <v>1</v>
      </c>
      <c r="I108" s="4" t="s">
        <v>2</v>
      </c>
      <c r="J108" s="14">
        <v>0.34722222222222221</v>
      </c>
      <c r="K108" s="20" t="str">
        <f t="shared" si="4"/>
        <v>1st Shift</v>
      </c>
    </row>
    <row r="109" spans="1:11" x14ac:dyDescent="0.25">
      <c r="A109" s="1">
        <v>108</v>
      </c>
      <c r="B109" s="1">
        <v>1</v>
      </c>
      <c r="C109" s="3">
        <v>1115270058100</v>
      </c>
      <c r="D109" s="2">
        <v>44382.347222222219</v>
      </c>
      <c r="E109" s="2">
        <v>44382.458333333336</v>
      </c>
      <c r="F109" s="23">
        <f t="shared" si="3"/>
        <v>0.11111111111677019</v>
      </c>
      <c r="G109" s="24">
        <f t="shared" si="5"/>
        <v>112.49999999427018</v>
      </c>
      <c r="H109" s="1" t="s">
        <v>1</v>
      </c>
      <c r="I109" s="4" t="s">
        <v>2</v>
      </c>
      <c r="J109" s="14">
        <v>0.34722222222222221</v>
      </c>
      <c r="K109" s="20" t="str">
        <f t="shared" si="4"/>
        <v>1st Shift</v>
      </c>
    </row>
    <row r="110" spans="1:11" x14ac:dyDescent="0.25">
      <c r="A110" s="1">
        <v>109</v>
      </c>
      <c r="B110" s="1">
        <v>11</v>
      </c>
      <c r="C110" s="3">
        <v>11115271052500</v>
      </c>
      <c r="D110" s="2">
        <v>44382.017361111109</v>
      </c>
      <c r="E110" s="2">
        <v>44382.145833333336</v>
      </c>
      <c r="F110" s="23">
        <f t="shared" si="3"/>
        <v>0.12847222222626442</v>
      </c>
      <c r="G110" s="24">
        <f t="shared" si="5"/>
        <v>97.297297294235975</v>
      </c>
      <c r="H110" s="1" t="s">
        <v>1</v>
      </c>
      <c r="I110" s="4" t="s">
        <v>2</v>
      </c>
      <c r="J110" s="14">
        <v>1.7361111111111112E-2</v>
      </c>
      <c r="K110" s="20" t="str">
        <f t="shared" si="4"/>
        <v>3rd Shift</v>
      </c>
    </row>
    <row r="111" spans="1:11" x14ac:dyDescent="0.25">
      <c r="A111" s="1">
        <v>110</v>
      </c>
      <c r="B111" s="1">
        <v>3</v>
      </c>
      <c r="C111" s="3">
        <v>3115270379800</v>
      </c>
      <c r="D111" s="2">
        <v>44382.017361111109</v>
      </c>
      <c r="E111" s="2">
        <v>44382.145833333336</v>
      </c>
      <c r="F111" s="23">
        <f t="shared" si="3"/>
        <v>0.12847222222626442</v>
      </c>
      <c r="G111" s="24">
        <f t="shared" si="5"/>
        <v>97.297297294235975</v>
      </c>
      <c r="H111" s="1" t="s">
        <v>1</v>
      </c>
      <c r="I111" s="4" t="s">
        <v>2</v>
      </c>
      <c r="J111" s="14">
        <v>1.7361111111111112E-2</v>
      </c>
      <c r="K111" s="20" t="str">
        <f t="shared" si="4"/>
        <v>3rd Shift</v>
      </c>
    </row>
    <row r="112" spans="1:11" x14ac:dyDescent="0.25">
      <c r="A112" s="1">
        <v>111</v>
      </c>
      <c r="B112" s="1">
        <v>13</v>
      </c>
      <c r="C112" s="3">
        <v>13115271608510</v>
      </c>
      <c r="D112" s="2">
        <v>44382.659722222219</v>
      </c>
      <c r="E112" s="2">
        <v>44382.6875</v>
      </c>
      <c r="F112" s="23">
        <f t="shared" si="3"/>
        <v>2.7777777781011537E-2</v>
      </c>
      <c r="G112" s="24">
        <f t="shared" si="5"/>
        <v>449.99999994761311</v>
      </c>
      <c r="H112" s="1" t="s">
        <v>1</v>
      </c>
      <c r="I112" s="4" t="s">
        <v>4</v>
      </c>
      <c r="J112" s="14">
        <v>0.65972222222222221</v>
      </c>
      <c r="K112" s="20" t="str">
        <f t="shared" si="4"/>
        <v>2nd Shift</v>
      </c>
    </row>
    <row r="113" spans="1:11" x14ac:dyDescent="0.25">
      <c r="A113" s="1">
        <v>112</v>
      </c>
      <c r="B113" s="1">
        <v>13</v>
      </c>
      <c r="C113" s="3">
        <v>13115271608500</v>
      </c>
      <c r="D113" s="2">
        <v>44382.659722222219</v>
      </c>
      <c r="E113" s="2">
        <v>44382.6875</v>
      </c>
      <c r="F113" s="23">
        <f t="shared" si="3"/>
        <v>2.7777777781011537E-2</v>
      </c>
      <c r="G113" s="24">
        <f t="shared" si="5"/>
        <v>449.99999994761311</v>
      </c>
      <c r="H113" s="1" t="s">
        <v>1</v>
      </c>
      <c r="I113" s="4" t="s">
        <v>4</v>
      </c>
      <c r="J113" s="14">
        <v>0.65972222222222221</v>
      </c>
      <c r="K113" s="20" t="str">
        <f t="shared" si="4"/>
        <v>2nd Shift</v>
      </c>
    </row>
    <row r="114" spans="1:11" x14ac:dyDescent="0.25">
      <c r="A114" s="1">
        <v>113</v>
      </c>
      <c r="B114" s="1">
        <v>3</v>
      </c>
      <c r="C114" s="3">
        <v>3115270413400</v>
      </c>
      <c r="D114" s="2">
        <v>44382.763888888891</v>
      </c>
      <c r="E114" s="2">
        <v>44382.833333333336</v>
      </c>
      <c r="F114" s="23">
        <f t="shared" si="3"/>
        <v>6.9444444445252884E-2</v>
      </c>
      <c r="G114" s="24">
        <f t="shared" si="5"/>
        <v>179.99999999790452</v>
      </c>
      <c r="H114" s="1" t="s">
        <v>1</v>
      </c>
      <c r="I114" s="4" t="s">
        <v>2</v>
      </c>
      <c r="J114" s="14">
        <v>0.76388888888888884</v>
      </c>
      <c r="K114" s="20" t="str">
        <f t="shared" si="4"/>
        <v>2nd Shift</v>
      </c>
    </row>
    <row r="115" spans="1:11" x14ac:dyDescent="0.25">
      <c r="A115" s="1">
        <v>114</v>
      </c>
      <c r="B115" s="1">
        <v>8</v>
      </c>
      <c r="C115" s="3">
        <v>8115271858308</v>
      </c>
      <c r="D115" s="2">
        <v>44382.934027777781</v>
      </c>
      <c r="E115" s="2">
        <v>44382.979166666664</v>
      </c>
      <c r="F115" s="23">
        <f t="shared" si="3"/>
        <v>4.5138888883229811E-2</v>
      </c>
      <c r="G115" s="24">
        <f t="shared" si="5"/>
        <v>276.92307695779488</v>
      </c>
      <c r="H115" s="1" t="s">
        <v>1</v>
      </c>
      <c r="I115" s="4" t="s">
        <v>2</v>
      </c>
      <c r="J115" s="14">
        <v>0.93402777777777779</v>
      </c>
      <c r="K115" s="20" t="str">
        <f t="shared" si="4"/>
        <v>3rd Shift</v>
      </c>
    </row>
    <row r="116" spans="1:11" x14ac:dyDescent="0.25">
      <c r="A116" s="1">
        <v>115</v>
      </c>
      <c r="B116" s="1">
        <v>10</v>
      </c>
      <c r="C116" s="3">
        <v>10115271473105</v>
      </c>
      <c r="D116" s="2">
        <v>44383.010416666664</v>
      </c>
      <c r="E116" s="2">
        <v>44383.083333333336</v>
      </c>
      <c r="F116" s="23">
        <f t="shared" si="3"/>
        <v>7.2916666671517305E-2</v>
      </c>
      <c r="G116" s="24">
        <f t="shared" si="5"/>
        <v>171.42857141716746</v>
      </c>
      <c r="H116" s="1" t="s">
        <v>1</v>
      </c>
      <c r="I116" s="4" t="s">
        <v>2</v>
      </c>
      <c r="J116" s="14">
        <v>1.0416666666666666E-2</v>
      </c>
      <c r="K116" s="20" t="str">
        <f t="shared" si="4"/>
        <v>3rd Shift</v>
      </c>
    </row>
    <row r="117" spans="1:11" x14ac:dyDescent="0.25">
      <c r="A117" s="1">
        <v>116</v>
      </c>
      <c r="B117" s="1">
        <v>15</v>
      </c>
      <c r="C117" s="3">
        <v>15115271751500</v>
      </c>
      <c r="D117" s="2">
        <v>44383.013888888891</v>
      </c>
      <c r="E117" s="2">
        <v>44383.097222222219</v>
      </c>
      <c r="F117" s="23">
        <f t="shared" si="3"/>
        <v>8.3333333328482695E-2</v>
      </c>
      <c r="G117" s="24">
        <f t="shared" si="5"/>
        <v>150.00000000873115</v>
      </c>
      <c r="H117" s="1" t="s">
        <v>1</v>
      </c>
      <c r="I117" s="4" t="s">
        <v>2</v>
      </c>
      <c r="J117" s="14">
        <v>1.3888888888888888E-2</v>
      </c>
      <c r="K117" s="20" t="str">
        <f t="shared" si="4"/>
        <v>3rd Shift</v>
      </c>
    </row>
    <row r="118" spans="1:11" x14ac:dyDescent="0.25">
      <c r="A118" s="1">
        <v>117</v>
      </c>
      <c r="B118" s="1">
        <v>15</v>
      </c>
      <c r="C118" s="3">
        <v>15115271766001</v>
      </c>
      <c r="D118" s="2">
        <v>44383.395833333336</v>
      </c>
      <c r="E118" s="2">
        <v>44383.46875</v>
      </c>
      <c r="F118" s="23">
        <f t="shared" si="3"/>
        <v>7.2916666664241347E-2</v>
      </c>
      <c r="G118" s="24">
        <f t="shared" si="5"/>
        <v>171.42857143427341</v>
      </c>
      <c r="H118" s="1" t="s">
        <v>1</v>
      </c>
      <c r="I118" s="4" t="s">
        <v>2</v>
      </c>
      <c r="J118" s="14">
        <v>0.39583333333333331</v>
      </c>
      <c r="K118" s="20" t="str">
        <f t="shared" si="4"/>
        <v>1st Shift</v>
      </c>
    </row>
    <row r="119" spans="1:11" x14ac:dyDescent="0.25">
      <c r="A119" s="1">
        <v>118</v>
      </c>
      <c r="B119" s="1">
        <v>14</v>
      </c>
      <c r="C119" s="3">
        <v>14115271707800</v>
      </c>
      <c r="D119" s="2">
        <v>44383.395833333336</v>
      </c>
      <c r="E119" s="2">
        <v>44383.46875</v>
      </c>
      <c r="F119" s="23">
        <f t="shared" si="3"/>
        <v>7.2916666664241347E-2</v>
      </c>
      <c r="G119" s="24">
        <f t="shared" si="5"/>
        <v>171.42857143427341</v>
      </c>
      <c r="H119" s="1" t="s">
        <v>1</v>
      </c>
      <c r="I119" s="4" t="s">
        <v>3</v>
      </c>
      <c r="J119" s="14">
        <v>0.39583333333333331</v>
      </c>
      <c r="K119" s="20" t="str">
        <f t="shared" si="4"/>
        <v>1st Shift</v>
      </c>
    </row>
    <row r="120" spans="1:11" x14ac:dyDescent="0.25">
      <c r="A120" s="1">
        <v>119</v>
      </c>
      <c r="B120" s="1">
        <v>10</v>
      </c>
      <c r="C120" s="3">
        <v>10115271422400</v>
      </c>
      <c r="D120" s="2">
        <v>44383.5</v>
      </c>
      <c r="E120" s="2">
        <v>44383.576388888891</v>
      </c>
      <c r="F120" s="23">
        <f t="shared" si="3"/>
        <v>7.6388888890505768E-2</v>
      </c>
      <c r="G120" s="24">
        <f t="shared" si="5"/>
        <v>163.63636363290004</v>
      </c>
      <c r="H120" s="1" t="s">
        <v>1</v>
      </c>
      <c r="I120" s="4" t="s">
        <v>2</v>
      </c>
      <c r="J120" s="14">
        <v>0.5</v>
      </c>
      <c r="K120" s="20" t="str">
        <f t="shared" si="4"/>
        <v>1st Shift</v>
      </c>
    </row>
    <row r="121" spans="1:11" x14ac:dyDescent="0.25">
      <c r="A121" s="1">
        <v>120</v>
      </c>
      <c r="B121" s="1">
        <v>8</v>
      </c>
      <c r="C121" s="3">
        <v>8115271812409</v>
      </c>
      <c r="D121" s="2">
        <v>44383.5</v>
      </c>
      <c r="E121" s="2">
        <v>44383.576388888891</v>
      </c>
      <c r="F121" s="23">
        <f t="shared" si="3"/>
        <v>7.6388888890505768E-2</v>
      </c>
      <c r="G121" s="24">
        <f t="shared" si="5"/>
        <v>163.63636363290004</v>
      </c>
      <c r="H121" s="1" t="s">
        <v>1</v>
      </c>
      <c r="I121" s="4" t="s">
        <v>2</v>
      </c>
      <c r="J121" s="14">
        <v>0.5</v>
      </c>
      <c r="K121" s="20" t="str">
        <f t="shared" si="4"/>
        <v>1st Shift</v>
      </c>
    </row>
    <row r="122" spans="1:11" x14ac:dyDescent="0.25">
      <c r="A122" s="1">
        <v>121</v>
      </c>
      <c r="B122" s="1">
        <v>6</v>
      </c>
      <c r="C122" s="3">
        <v>6115271725425</v>
      </c>
      <c r="D122" s="2">
        <v>44383.600694444445</v>
      </c>
      <c r="E122" s="2">
        <v>44383.763888888891</v>
      </c>
      <c r="F122" s="23">
        <f t="shared" si="3"/>
        <v>0.16319444444525288</v>
      </c>
      <c r="G122" s="24">
        <f t="shared" si="5"/>
        <v>76.595744680471626</v>
      </c>
      <c r="H122" s="1" t="s">
        <v>1</v>
      </c>
      <c r="I122" s="4" t="s">
        <v>3</v>
      </c>
      <c r="J122" s="14">
        <v>0.60069444444444442</v>
      </c>
      <c r="K122" s="20" t="str">
        <f t="shared" si="4"/>
        <v>2nd Shift</v>
      </c>
    </row>
    <row r="123" spans="1:11" x14ac:dyDescent="0.25">
      <c r="A123" s="1">
        <v>122</v>
      </c>
      <c r="B123" s="1">
        <v>6</v>
      </c>
      <c r="C123" s="3">
        <v>6115271725424</v>
      </c>
      <c r="D123" s="2">
        <v>44383.600694444445</v>
      </c>
      <c r="E123" s="2">
        <v>44383.763888888891</v>
      </c>
      <c r="F123" s="23">
        <f t="shared" si="3"/>
        <v>0.16319444444525288</v>
      </c>
      <c r="G123" s="24">
        <f t="shared" si="5"/>
        <v>76.595744680471626</v>
      </c>
      <c r="H123" s="1" t="s">
        <v>1</v>
      </c>
      <c r="I123" s="4" t="s">
        <v>6</v>
      </c>
      <c r="J123" s="14">
        <v>0.60069444444444442</v>
      </c>
      <c r="K123" s="20" t="str">
        <f t="shared" si="4"/>
        <v>2nd Shift</v>
      </c>
    </row>
    <row r="124" spans="1:11" x14ac:dyDescent="0.25">
      <c r="A124" s="1">
        <v>123</v>
      </c>
      <c r="B124" s="1">
        <v>5</v>
      </c>
      <c r="C124" s="3">
        <v>5115271239413</v>
      </c>
      <c r="D124" s="2">
        <v>44383.600694444445</v>
      </c>
      <c r="E124" s="2">
        <v>44383.763888888891</v>
      </c>
      <c r="F124" s="23">
        <f t="shared" si="3"/>
        <v>0.16319444444525288</v>
      </c>
      <c r="G124" s="24">
        <f t="shared" si="5"/>
        <v>76.595744680471626</v>
      </c>
      <c r="H124" s="1" t="s">
        <v>1</v>
      </c>
      <c r="I124" s="4" t="s">
        <v>2</v>
      </c>
      <c r="J124" s="14">
        <v>0.60069444444444442</v>
      </c>
      <c r="K124" s="20" t="str">
        <f t="shared" si="4"/>
        <v>2nd Shift</v>
      </c>
    </row>
    <row r="125" spans="1:11" x14ac:dyDescent="0.25">
      <c r="A125" s="1">
        <v>124</v>
      </c>
      <c r="B125" s="1">
        <v>5</v>
      </c>
      <c r="C125" s="3">
        <v>5115271239412</v>
      </c>
      <c r="D125" s="2">
        <v>44383.600694444445</v>
      </c>
      <c r="E125" s="2">
        <v>44383.763888888891</v>
      </c>
      <c r="F125" s="23">
        <f t="shared" si="3"/>
        <v>0.16319444444525288</v>
      </c>
      <c r="G125" s="24">
        <f t="shared" si="5"/>
        <v>76.595744680471626</v>
      </c>
      <c r="H125" s="1" t="s">
        <v>1</v>
      </c>
      <c r="I125" s="4" t="s">
        <v>2</v>
      </c>
      <c r="J125" s="14">
        <v>0.60069444444444442</v>
      </c>
      <c r="K125" s="20" t="str">
        <f t="shared" si="4"/>
        <v>2nd Shift</v>
      </c>
    </row>
    <row r="126" spans="1:11" x14ac:dyDescent="0.25">
      <c r="A126" s="1">
        <v>125</v>
      </c>
      <c r="B126" s="1">
        <v>3</v>
      </c>
      <c r="C126" s="3">
        <v>3115270347400</v>
      </c>
      <c r="D126" s="2">
        <v>44383.600694444445</v>
      </c>
      <c r="E126" s="2">
        <v>44383.763888888891</v>
      </c>
      <c r="F126" s="23">
        <f t="shared" si="3"/>
        <v>0.16319444444525288</v>
      </c>
      <c r="G126" s="24">
        <f t="shared" si="5"/>
        <v>76.595744680471626</v>
      </c>
      <c r="H126" s="1" t="s">
        <v>1</v>
      </c>
      <c r="I126" s="4" t="s">
        <v>4</v>
      </c>
      <c r="J126" s="14">
        <v>0.60069444444444442</v>
      </c>
      <c r="K126" s="20" t="str">
        <f t="shared" si="4"/>
        <v>2nd Shift</v>
      </c>
    </row>
    <row r="127" spans="1:11" x14ac:dyDescent="0.25">
      <c r="A127" s="1">
        <v>126</v>
      </c>
      <c r="B127" s="1">
        <v>3</v>
      </c>
      <c r="C127" s="3">
        <v>3115270347400</v>
      </c>
      <c r="D127" s="2">
        <v>44383.600694444445</v>
      </c>
      <c r="E127" s="2">
        <v>44383.763888888891</v>
      </c>
      <c r="F127" s="23">
        <f t="shared" si="3"/>
        <v>0.16319444444525288</v>
      </c>
      <c r="G127" s="24">
        <f t="shared" si="5"/>
        <v>76.595744680471626</v>
      </c>
      <c r="H127" s="1" t="s">
        <v>1</v>
      </c>
      <c r="I127" s="4" t="s">
        <v>3</v>
      </c>
      <c r="J127" s="14">
        <v>0.60069444444444442</v>
      </c>
      <c r="K127" s="20" t="str">
        <f t="shared" si="4"/>
        <v>2nd Shift</v>
      </c>
    </row>
    <row r="128" spans="1:11" x14ac:dyDescent="0.25">
      <c r="A128" s="1">
        <v>127</v>
      </c>
      <c r="B128" s="1">
        <v>2</v>
      </c>
      <c r="C128" s="3">
        <v>2115270156500</v>
      </c>
      <c r="D128" s="2">
        <v>44383.600694444445</v>
      </c>
      <c r="E128" s="2">
        <v>44383.763888888891</v>
      </c>
      <c r="F128" s="23">
        <f t="shared" si="3"/>
        <v>0.16319444444525288</v>
      </c>
      <c r="G128" s="24">
        <f t="shared" si="5"/>
        <v>76.595744680471626</v>
      </c>
      <c r="H128" s="1" t="s">
        <v>1</v>
      </c>
      <c r="I128" s="4" t="s">
        <v>2</v>
      </c>
      <c r="J128" s="14">
        <v>0.60069444444444442</v>
      </c>
      <c r="K128" s="20" t="str">
        <f t="shared" si="4"/>
        <v>2nd Shift</v>
      </c>
    </row>
    <row r="129" spans="1:11" x14ac:dyDescent="0.25">
      <c r="A129" s="1">
        <v>128</v>
      </c>
      <c r="B129" s="1">
        <v>10</v>
      </c>
      <c r="C129" s="3">
        <v>10115271440501</v>
      </c>
      <c r="D129" s="2">
        <v>44383.951388888891</v>
      </c>
      <c r="E129" s="2">
        <v>44383.992361111108</v>
      </c>
      <c r="F129" s="23">
        <f t="shared" si="3"/>
        <v>4.0972222217533272E-2</v>
      </c>
      <c r="G129" s="24">
        <f t="shared" si="5"/>
        <v>305.0847457976264</v>
      </c>
      <c r="H129" s="1" t="s">
        <v>1</v>
      </c>
      <c r="I129" s="4" t="s">
        <v>2</v>
      </c>
      <c r="J129" s="14">
        <v>0.95138888888888884</v>
      </c>
      <c r="K129" s="20" t="str">
        <f t="shared" si="4"/>
        <v>3rd Shift</v>
      </c>
    </row>
    <row r="130" spans="1:11" x14ac:dyDescent="0.25">
      <c r="A130" s="1">
        <v>129</v>
      </c>
      <c r="B130" s="1">
        <v>10</v>
      </c>
      <c r="C130" s="3">
        <v>10115271440500</v>
      </c>
      <c r="D130" s="2">
        <v>44383.951388888891</v>
      </c>
      <c r="E130" s="2">
        <v>44383.992361111108</v>
      </c>
      <c r="F130" s="23">
        <f t="shared" ref="F130:F193" si="6">E130-D130</f>
        <v>4.0972222217533272E-2</v>
      </c>
      <c r="G130" s="24">
        <f t="shared" si="5"/>
        <v>305.0847457976264</v>
      </c>
      <c r="H130" s="1" t="s">
        <v>1</v>
      </c>
      <c r="I130" s="4" t="s">
        <v>2</v>
      </c>
      <c r="J130" s="14">
        <v>0.95138888888888884</v>
      </c>
      <c r="K130" s="20" t="str">
        <f t="shared" ref="K130:K193" si="7">IF(AND(J130&gt;=$M$3,J130&lt;$M$4),"1st Shift",IF(AND(J130&gt;=$M$4,J130&lt;$M$5),"2nd Shift","3rd Shift"))</f>
        <v>3rd Shift</v>
      </c>
    </row>
    <row r="131" spans="1:11" x14ac:dyDescent="0.25">
      <c r="A131" s="1">
        <v>130</v>
      </c>
      <c r="B131" s="1">
        <v>7</v>
      </c>
      <c r="C131" s="3">
        <v>7115271760804</v>
      </c>
      <c r="D131" s="2">
        <v>44383.798611111109</v>
      </c>
      <c r="E131" s="2">
        <v>44383.993055555555</v>
      </c>
      <c r="F131" s="23">
        <f t="shared" si="6"/>
        <v>0.19444444444525288</v>
      </c>
      <c r="G131" s="24">
        <f t="shared" ref="G131:G194" si="8">$M$9/F131*100</f>
        <v>64.285714285447</v>
      </c>
      <c r="H131" s="1" t="s">
        <v>1</v>
      </c>
      <c r="I131" s="4" t="s">
        <v>2</v>
      </c>
      <c r="J131" s="14">
        <v>0.79861111111111116</v>
      </c>
      <c r="K131" s="20" t="str">
        <f t="shared" si="7"/>
        <v>2nd Shift</v>
      </c>
    </row>
    <row r="132" spans="1:11" x14ac:dyDescent="0.25">
      <c r="A132" s="1">
        <v>131</v>
      </c>
      <c r="B132" s="1">
        <v>7</v>
      </c>
      <c r="C132" s="3">
        <v>7115271760800</v>
      </c>
      <c r="D132" s="2">
        <v>44383.798611111109</v>
      </c>
      <c r="E132" s="2">
        <v>44383.993055555555</v>
      </c>
      <c r="F132" s="23">
        <f t="shared" si="6"/>
        <v>0.19444444444525288</v>
      </c>
      <c r="G132" s="24">
        <f t="shared" si="8"/>
        <v>64.285714285447</v>
      </c>
      <c r="H132" s="1" t="s">
        <v>1</v>
      </c>
      <c r="I132" s="4" t="s">
        <v>3</v>
      </c>
      <c r="J132" s="14">
        <v>0.79861111111111116</v>
      </c>
      <c r="K132" s="20" t="str">
        <f t="shared" si="7"/>
        <v>2nd Shift</v>
      </c>
    </row>
    <row r="133" spans="1:11" x14ac:dyDescent="0.25">
      <c r="A133" s="1">
        <v>132</v>
      </c>
      <c r="B133" s="1">
        <v>5</v>
      </c>
      <c r="C133" s="3">
        <v>5115271662310</v>
      </c>
      <c r="D133" s="2">
        <v>44383.798611111109</v>
      </c>
      <c r="E133" s="2">
        <v>44383.993055555555</v>
      </c>
      <c r="F133" s="23">
        <f t="shared" si="6"/>
        <v>0.19444444444525288</v>
      </c>
      <c r="G133" s="24">
        <f t="shared" si="8"/>
        <v>64.285714285447</v>
      </c>
      <c r="H133" s="1" t="s">
        <v>1</v>
      </c>
      <c r="I133" s="4" t="s">
        <v>2</v>
      </c>
      <c r="J133" s="14">
        <v>0.79861111111111116</v>
      </c>
      <c r="K133" s="20" t="str">
        <f t="shared" si="7"/>
        <v>2nd Shift</v>
      </c>
    </row>
    <row r="134" spans="1:11" x14ac:dyDescent="0.25">
      <c r="A134" s="1">
        <v>133</v>
      </c>
      <c r="B134" s="1">
        <v>5</v>
      </c>
      <c r="C134" s="3">
        <v>5115271662300</v>
      </c>
      <c r="D134" s="2">
        <v>44383.798611111109</v>
      </c>
      <c r="E134" s="2">
        <v>44383.993055555555</v>
      </c>
      <c r="F134" s="23">
        <f t="shared" si="6"/>
        <v>0.19444444444525288</v>
      </c>
      <c r="G134" s="24">
        <f t="shared" si="8"/>
        <v>64.285714285447</v>
      </c>
      <c r="H134" s="1" t="s">
        <v>1</v>
      </c>
      <c r="I134" s="4" t="s">
        <v>2</v>
      </c>
      <c r="J134" s="14">
        <v>0.79861111111111116</v>
      </c>
      <c r="K134" s="20" t="str">
        <f t="shared" si="7"/>
        <v>2nd Shift</v>
      </c>
    </row>
    <row r="135" spans="1:11" x14ac:dyDescent="0.25">
      <c r="A135" s="1">
        <v>134</v>
      </c>
      <c r="B135" s="1">
        <v>12</v>
      </c>
      <c r="C135" s="3">
        <v>12115271560196</v>
      </c>
      <c r="D135" s="2">
        <v>44384.013888888891</v>
      </c>
      <c r="E135" s="2">
        <v>44384.097222222219</v>
      </c>
      <c r="F135" s="23">
        <f t="shared" si="6"/>
        <v>8.3333333328482695E-2</v>
      </c>
      <c r="G135" s="24">
        <f t="shared" si="8"/>
        <v>150.00000000873115</v>
      </c>
      <c r="H135" s="1" t="s">
        <v>1</v>
      </c>
      <c r="I135" s="4" t="s">
        <v>2</v>
      </c>
      <c r="J135" s="14">
        <v>1.3888888888888888E-2</v>
      </c>
      <c r="K135" s="20" t="str">
        <f t="shared" si="7"/>
        <v>3rd Shift</v>
      </c>
    </row>
    <row r="136" spans="1:11" x14ac:dyDescent="0.25">
      <c r="A136" s="1">
        <v>135</v>
      </c>
      <c r="B136" s="1">
        <v>11</v>
      </c>
      <c r="C136" s="3">
        <v>11115271481900</v>
      </c>
      <c r="D136" s="2">
        <v>44384.354166666664</v>
      </c>
      <c r="E136" s="2">
        <v>44384.513888888891</v>
      </c>
      <c r="F136" s="23">
        <f t="shared" si="6"/>
        <v>0.15972222222626442</v>
      </c>
      <c r="G136" s="24">
        <f t="shared" si="8"/>
        <v>78.260869563236795</v>
      </c>
      <c r="H136" s="1" t="s">
        <v>1</v>
      </c>
      <c r="I136" s="4" t="s">
        <v>3</v>
      </c>
      <c r="J136" s="14">
        <v>0.35416666666666669</v>
      </c>
      <c r="K136" s="20" t="str">
        <f t="shared" si="7"/>
        <v>1st Shift</v>
      </c>
    </row>
    <row r="137" spans="1:11" x14ac:dyDescent="0.25">
      <c r="A137" s="1">
        <v>136</v>
      </c>
      <c r="B137" s="1">
        <v>6</v>
      </c>
      <c r="C137" s="3">
        <v>6115271750300</v>
      </c>
      <c r="D137" s="2">
        <v>44384.354166666664</v>
      </c>
      <c r="E137" s="2">
        <v>44384.513888888891</v>
      </c>
      <c r="F137" s="23">
        <f t="shared" si="6"/>
        <v>0.15972222222626442</v>
      </c>
      <c r="G137" s="24">
        <f t="shared" si="8"/>
        <v>78.260869563236795</v>
      </c>
      <c r="H137" s="1" t="s">
        <v>1</v>
      </c>
      <c r="I137" s="4" t="s">
        <v>2</v>
      </c>
      <c r="J137" s="14">
        <v>0.35416666666666669</v>
      </c>
      <c r="K137" s="20" t="str">
        <f t="shared" si="7"/>
        <v>1st Shift</v>
      </c>
    </row>
    <row r="138" spans="1:11" x14ac:dyDescent="0.25">
      <c r="A138" s="1">
        <v>137</v>
      </c>
      <c r="B138" s="1">
        <v>10</v>
      </c>
      <c r="C138" s="3">
        <v>10115270963413</v>
      </c>
      <c r="D138" s="2">
        <v>44384.520833333336</v>
      </c>
      <c r="E138" s="2">
        <v>44384.579861111109</v>
      </c>
      <c r="F138" s="23">
        <f t="shared" si="6"/>
        <v>5.9027777773735579E-2</v>
      </c>
      <c r="G138" s="24">
        <f t="shared" si="8"/>
        <v>211.76470589685451</v>
      </c>
      <c r="H138" s="1" t="s">
        <v>1</v>
      </c>
      <c r="I138" s="4" t="s">
        <v>2</v>
      </c>
      <c r="J138" s="14">
        <v>0.52083333333333337</v>
      </c>
      <c r="K138" s="20" t="str">
        <f t="shared" si="7"/>
        <v>1st Shift</v>
      </c>
    </row>
    <row r="139" spans="1:11" x14ac:dyDescent="0.25">
      <c r="A139" s="1">
        <v>138</v>
      </c>
      <c r="B139" s="1">
        <v>10</v>
      </c>
      <c r="C139" s="3">
        <v>10115270963403</v>
      </c>
      <c r="D139" s="2">
        <v>44384.520833333336</v>
      </c>
      <c r="E139" s="2">
        <v>44384.579861111109</v>
      </c>
      <c r="F139" s="23">
        <f t="shared" si="6"/>
        <v>5.9027777773735579E-2</v>
      </c>
      <c r="G139" s="24">
        <f t="shared" si="8"/>
        <v>211.76470589685451</v>
      </c>
      <c r="H139" s="1" t="s">
        <v>1</v>
      </c>
      <c r="I139" s="4" t="s">
        <v>3</v>
      </c>
      <c r="J139" s="14">
        <v>0.52083333333333337</v>
      </c>
      <c r="K139" s="20" t="str">
        <f t="shared" si="7"/>
        <v>1st Shift</v>
      </c>
    </row>
    <row r="140" spans="1:11" x14ac:dyDescent="0.25">
      <c r="A140" s="1">
        <v>139</v>
      </c>
      <c r="B140" s="1">
        <v>9</v>
      </c>
      <c r="C140" s="3">
        <v>9115270623305</v>
      </c>
      <c r="D140" s="2">
        <v>44384.520833333336</v>
      </c>
      <c r="E140" s="2">
        <v>44384.579861111109</v>
      </c>
      <c r="F140" s="23">
        <f t="shared" si="6"/>
        <v>5.9027777773735579E-2</v>
      </c>
      <c r="G140" s="24">
        <f t="shared" si="8"/>
        <v>211.76470589685451</v>
      </c>
      <c r="H140" s="1" t="s">
        <v>1</v>
      </c>
      <c r="I140" s="4" t="s">
        <v>2</v>
      </c>
      <c r="J140" s="14">
        <v>0.52083333333333337</v>
      </c>
      <c r="K140" s="20" t="str">
        <f t="shared" si="7"/>
        <v>1st Shift</v>
      </c>
    </row>
    <row r="141" spans="1:11" x14ac:dyDescent="0.25">
      <c r="A141" s="1">
        <v>140</v>
      </c>
      <c r="B141" s="1">
        <v>9</v>
      </c>
      <c r="C141" s="3">
        <v>9115270623300</v>
      </c>
      <c r="D141" s="2">
        <v>44384.520833333336</v>
      </c>
      <c r="E141" s="2">
        <v>44384.579861111109</v>
      </c>
      <c r="F141" s="23">
        <f t="shared" si="6"/>
        <v>5.9027777773735579E-2</v>
      </c>
      <c r="G141" s="24">
        <f t="shared" si="8"/>
        <v>211.76470589685451</v>
      </c>
      <c r="H141" s="1" t="s">
        <v>1</v>
      </c>
      <c r="I141" s="4" t="s">
        <v>5</v>
      </c>
      <c r="J141" s="14">
        <v>0.52083333333333337</v>
      </c>
      <c r="K141" s="20" t="str">
        <f t="shared" si="7"/>
        <v>1st Shift</v>
      </c>
    </row>
    <row r="142" spans="1:11" x14ac:dyDescent="0.25">
      <c r="A142" s="1">
        <v>141</v>
      </c>
      <c r="B142" s="1">
        <v>6</v>
      </c>
      <c r="C142" s="3">
        <v>6115271739111</v>
      </c>
      <c r="D142" s="2">
        <v>44384.621527777781</v>
      </c>
      <c r="E142" s="2">
        <v>44384.791666666664</v>
      </c>
      <c r="F142" s="23">
        <f t="shared" si="6"/>
        <v>0.17013888888322981</v>
      </c>
      <c r="G142" s="24">
        <f t="shared" si="8"/>
        <v>73.469387757545746</v>
      </c>
      <c r="H142" s="1" t="s">
        <v>1</v>
      </c>
      <c r="I142" s="4" t="s">
        <v>2</v>
      </c>
      <c r="J142" s="14">
        <v>0.62152777777777779</v>
      </c>
      <c r="K142" s="20" t="str">
        <f t="shared" si="7"/>
        <v>2nd Shift</v>
      </c>
    </row>
    <row r="143" spans="1:11" x14ac:dyDescent="0.25">
      <c r="A143" s="1">
        <v>142</v>
      </c>
      <c r="B143" s="1">
        <v>6</v>
      </c>
      <c r="C143" s="3">
        <v>6115271739110</v>
      </c>
      <c r="D143" s="2">
        <v>44384.621527777781</v>
      </c>
      <c r="E143" s="2">
        <v>44384.791666666664</v>
      </c>
      <c r="F143" s="23">
        <f t="shared" si="6"/>
        <v>0.17013888888322981</v>
      </c>
      <c r="G143" s="24">
        <f t="shared" si="8"/>
        <v>73.469387757545746</v>
      </c>
      <c r="H143" s="1" t="s">
        <v>1</v>
      </c>
      <c r="I143" s="4" t="s">
        <v>2</v>
      </c>
      <c r="J143" s="14">
        <v>0.62152777777777779</v>
      </c>
      <c r="K143" s="20" t="str">
        <f t="shared" si="7"/>
        <v>2nd Shift</v>
      </c>
    </row>
    <row r="144" spans="1:11" x14ac:dyDescent="0.25">
      <c r="A144" s="1">
        <v>143</v>
      </c>
      <c r="B144" s="1">
        <v>5</v>
      </c>
      <c r="C144" s="3">
        <v>5115271678309</v>
      </c>
      <c r="D144" s="2">
        <v>44384.621527777781</v>
      </c>
      <c r="E144" s="2">
        <v>44384.791666666664</v>
      </c>
      <c r="F144" s="23">
        <f t="shared" si="6"/>
        <v>0.17013888888322981</v>
      </c>
      <c r="G144" s="24">
        <f t="shared" si="8"/>
        <v>73.469387757545746</v>
      </c>
      <c r="H144" s="1" t="s">
        <v>1</v>
      </c>
      <c r="I144" s="4" t="s">
        <v>3</v>
      </c>
      <c r="J144" s="14">
        <v>0.62152777777777779</v>
      </c>
      <c r="K144" s="20" t="str">
        <f t="shared" si="7"/>
        <v>2nd Shift</v>
      </c>
    </row>
    <row r="145" spans="1:11" x14ac:dyDescent="0.25">
      <c r="A145" s="1">
        <v>144</v>
      </c>
      <c r="B145" s="1">
        <v>5</v>
      </c>
      <c r="C145" s="3">
        <v>5115271678303</v>
      </c>
      <c r="D145" s="2">
        <v>44384.621527777781</v>
      </c>
      <c r="E145" s="2">
        <v>44384.791666666664</v>
      </c>
      <c r="F145" s="23">
        <f t="shared" si="6"/>
        <v>0.17013888888322981</v>
      </c>
      <c r="G145" s="24">
        <f t="shared" si="8"/>
        <v>73.469387757545746</v>
      </c>
      <c r="H145" s="1" t="s">
        <v>1</v>
      </c>
      <c r="I145" s="4" t="s">
        <v>2</v>
      </c>
      <c r="J145" s="14">
        <v>0.62152777777777779</v>
      </c>
      <c r="K145" s="20" t="str">
        <f t="shared" si="7"/>
        <v>2nd Shift</v>
      </c>
    </row>
    <row r="146" spans="1:11" x14ac:dyDescent="0.25">
      <c r="A146" s="1">
        <v>145</v>
      </c>
      <c r="B146" s="1">
        <v>5</v>
      </c>
      <c r="C146" s="3">
        <v>5115271262001</v>
      </c>
      <c r="D146" s="2">
        <v>44384.621527777781</v>
      </c>
      <c r="E146" s="2">
        <v>44384.791666666664</v>
      </c>
      <c r="F146" s="23">
        <f t="shared" si="6"/>
        <v>0.17013888888322981</v>
      </c>
      <c r="G146" s="24">
        <f t="shared" si="8"/>
        <v>73.469387757545746</v>
      </c>
      <c r="H146" s="1" t="s">
        <v>1</v>
      </c>
      <c r="I146" s="4" t="s">
        <v>2</v>
      </c>
      <c r="J146" s="14">
        <v>0.62152777777777779</v>
      </c>
      <c r="K146" s="20" t="str">
        <f t="shared" si="7"/>
        <v>2nd Shift</v>
      </c>
    </row>
    <row r="147" spans="1:11" x14ac:dyDescent="0.25">
      <c r="A147" s="1">
        <v>146</v>
      </c>
      <c r="B147" s="1">
        <v>5</v>
      </c>
      <c r="C147" s="3">
        <v>5115271262000</v>
      </c>
      <c r="D147" s="2">
        <v>44384.621527777781</v>
      </c>
      <c r="E147" s="2">
        <v>44384.791666666664</v>
      </c>
      <c r="F147" s="23">
        <f t="shared" si="6"/>
        <v>0.17013888888322981</v>
      </c>
      <c r="G147" s="24">
        <f t="shared" si="8"/>
        <v>73.469387757545746</v>
      </c>
      <c r="H147" s="1" t="s">
        <v>1</v>
      </c>
      <c r="I147" s="4" t="s">
        <v>3</v>
      </c>
      <c r="J147" s="14">
        <v>0.62152777777777779</v>
      </c>
      <c r="K147" s="20" t="str">
        <f t="shared" si="7"/>
        <v>2nd Shift</v>
      </c>
    </row>
    <row r="148" spans="1:11" x14ac:dyDescent="0.25">
      <c r="A148" s="1">
        <v>147</v>
      </c>
      <c r="B148" s="1">
        <v>2</v>
      </c>
      <c r="C148" s="3">
        <v>2115270282907</v>
      </c>
      <c r="D148" s="2">
        <v>44384.621527777781</v>
      </c>
      <c r="E148" s="2">
        <v>44384.791666666664</v>
      </c>
      <c r="F148" s="23">
        <f t="shared" si="6"/>
        <v>0.17013888888322981</v>
      </c>
      <c r="G148" s="24">
        <f t="shared" si="8"/>
        <v>73.469387757545746</v>
      </c>
      <c r="H148" s="1" t="s">
        <v>1</v>
      </c>
      <c r="I148" s="4" t="s">
        <v>2</v>
      </c>
      <c r="J148" s="14">
        <v>0.62152777777777779</v>
      </c>
      <c r="K148" s="20" t="str">
        <f t="shared" si="7"/>
        <v>2nd Shift</v>
      </c>
    </row>
    <row r="149" spans="1:11" x14ac:dyDescent="0.25">
      <c r="A149" s="1">
        <v>148</v>
      </c>
      <c r="B149" s="1">
        <v>2</v>
      </c>
      <c r="C149" s="3">
        <v>2115270282900</v>
      </c>
      <c r="D149" s="2">
        <v>44384.621527777781</v>
      </c>
      <c r="E149" s="2">
        <v>44384.791666666664</v>
      </c>
      <c r="F149" s="23">
        <f t="shared" si="6"/>
        <v>0.17013888888322981</v>
      </c>
      <c r="G149" s="24">
        <f t="shared" si="8"/>
        <v>73.469387757545746</v>
      </c>
      <c r="H149" s="1" t="s">
        <v>1</v>
      </c>
      <c r="I149" s="4" t="s">
        <v>2</v>
      </c>
      <c r="J149" s="14">
        <v>0.62152777777777779</v>
      </c>
      <c r="K149" s="20" t="str">
        <f t="shared" si="7"/>
        <v>2nd Shift</v>
      </c>
    </row>
    <row r="150" spans="1:11" x14ac:dyDescent="0.25">
      <c r="A150" s="1">
        <v>149</v>
      </c>
      <c r="B150" s="1">
        <v>8</v>
      </c>
      <c r="C150" s="3">
        <v>8115271839800</v>
      </c>
      <c r="D150" s="2">
        <v>44384.826388888891</v>
      </c>
      <c r="E150" s="2">
        <v>44384.989583333336</v>
      </c>
      <c r="F150" s="23">
        <f t="shared" si="6"/>
        <v>0.16319444444525288</v>
      </c>
      <c r="G150" s="24">
        <f t="shared" si="8"/>
        <v>76.595744680471626</v>
      </c>
      <c r="H150" s="1" t="s">
        <v>1</v>
      </c>
      <c r="I150" s="4" t="s">
        <v>3</v>
      </c>
      <c r="J150" s="14">
        <v>0.82638888888888884</v>
      </c>
      <c r="K150" s="20" t="str">
        <f t="shared" si="7"/>
        <v>2nd Shift</v>
      </c>
    </row>
    <row r="151" spans="1:11" x14ac:dyDescent="0.25">
      <c r="A151" s="1">
        <v>150</v>
      </c>
      <c r="B151" s="1">
        <v>7</v>
      </c>
      <c r="C151" s="3">
        <v>7115271771104</v>
      </c>
      <c r="D151" s="2">
        <v>44384.826388888891</v>
      </c>
      <c r="E151" s="2">
        <v>44384.989583333336</v>
      </c>
      <c r="F151" s="23">
        <f t="shared" si="6"/>
        <v>0.16319444444525288</v>
      </c>
      <c r="G151" s="24">
        <f t="shared" si="8"/>
        <v>76.595744680471626</v>
      </c>
      <c r="H151" s="1" t="s">
        <v>1</v>
      </c>
      <c r="I151" s="4" t="s">
        <v>2</v>
      </c>
      <c r="J151" s="14">
        <v>0.82638888888888884</v>
      </c>
      <c r="K151" s="20" t="str">
        <f t="shared" si="7"/>
        <v>2nd Shift</v>
      </c>
    </row>
    <row r="152" spans="1:11" x14ac:dyDescent="0.25">
      <c r="A152" s="1">
        <v>151</v>
      </c>
      <c r="B152" s="1">
        <v>7</v>
      </c>
      <c r="C152" s="3">
        <v>7115271771102</v>
      </c>
      <c r="D152" s="2">
        <v>44384.826388888891</v>
      </c>
      <c r="E152" s="2">
        <v>44384.989583333336</v>
      </c>
      <c r="F152" s="23">
        <f t="shared" si="6"/>
        <v>0.16319444444525288</v>
      </c>
      <c r="G152" s="24">
        <f t="shared" si="8"/>
        <v>76.595744680471626</v>
      </c>
      <c r="H152" s="1" t="s">
        <v>1</v>
      </c>
      <c r="I152" s="4" t="s">
        <v>4</v>
      </c>
      <c r="J152" s="14">
        <v>0.82638888888888884</v>
      </c>
      <c r="K152" s="20" t="str">
        <f t="shared" si="7"/>
        <v>2nd Shift</v>
      </c>
    </row>
    <row r="153" spans="1:11" x14ac:dyDescent="0.25">
      <c r="A153" s="1">
        <v>152</v>
      </c>
      <c r="B153" s="1">
        <v>7</v>
      </c>
      <c r="C153" s="3">
        <v>7115271779414</v>
      </c>
      <c r="D153" s="2">
        <v>44384.923611111109</v>
      </c>
      <c r="E153" s="2">
        <v>44385.052083333336</v>
      </c>
      <c r="F153" s="23">
        <f t="shared" si="6"/>
        <v>0.12847222222626442</v>
      </c>
      <c r="G153" s="24">
        <f t="shared" si="8"/>
        <v>97.297297294235975</v>
      </c>
      <c r="H153" s="1" t="s">
        <v>1</v>
      </c>
      <c r="I153" s="4" t="s">
        <v>2</v>
      </c>
      <c r="J153" s="14">
        <v>0.92361111111111116</v>
      </c>
      <c r="K153" s="20" t="str">
        <f t="shared" si="7"/>
        <v>3rd Shift</v>
      </c>
    </row>
    <row r="154" spans="1:11" x14ac:dyDescent="0.25">
      <c r="A154" s="1">
        <v>153</v>
      </c>
      <c r="B154" s="1">
        <v>3</v>
      </c>
      <c r="C154" s="3">
        <v>3115270360900</v>
      </c>
      <c r="D154" s="2">
        <v>44384.923611111109</v>
      </c>
      <c r="E154" s="2">
        <v>44385.052083333336</v>
      </c>
      <c r="F154" s="23">
        <f t="shared" si="6"/>
        <v>0.12847222222626442</v>
      </c>
      <c r="G154" s="24">
        <f t="shared" si="8"/>
        <v>97.297297294235975</v>
      </c>
      <c r="H154" s="1" t="s">
        <v>1</v>
      </c>
      <c r="I154" s="4" t="s">
        <v>5</v>
      </c>
      <c r="J154" s="14">
        <v>0.92361111111111116</v>
      </c>
      <c r="K154" s="20" t="str">
        <f t="shared" si="7"/>
        <v>3rd Shift</v>
      </c>
    </row>
    <row r="155" spans="1:11" x14ac:dyDescent="0.25">
      <c r="A155" s="1">
        <v>154</v>
      </c>
      <c r="B155" s="1">
        <v>11</v>
      </c>
      <c r="C155" s="3">
        <v>11115271501107</v>
      </c>
      <c r="D155" s="2">
        <v>44385.291666666664</v>
      </c>
      <c r="E155" s="2">
        <v>44385.427083333336</v>
      </c>
      <c r="F155" s="23">
        <f t="shared" si="6"/>
        <v>0.13541666667151731</v>
      </c>
      <c r="G155" s="24">
        <f t="shared" si="8"/>
        <v>92.307692304385839</v>
      </c>
      <c r="H155" s="1" t="s">
        <v>1</v>
      </c>
      <c r="I155" s="4" t="s">
        <v>3</v>
      </c>
      <c r="J155" s="14">
        <v>0.29166666666666669</v>
      </c>
      <c r="K155" s="20" t="str">
        <f t="shared" si="7"/>
        <v>1st Shift</v>
      </c>
    </row>
    <row r="156" spans="1:11" x14ac:dyDescent="0.25">
      <c r="A156" s="1">
        <v>155</v>
      </c>
      <c r="B156" s="1">
        <v>9</v>
      </c>
      <c r="C156" s="3">
        <v>9115270624800</v>
      </c>
      <c r="D156" s="2">
        <v>44385.291666666664</v>
      </c>
      <c r="E156" s="2">
        <v>44385.427083333336</v>
      </c>
      <c r="F156" s="23">
        <f t="shared" si="6"/>
        <v>0.13541666667151731</v>
      </c>
      <c r="G156" s="24">
        <f t="shared" si="8"/>
        <v>92.307692304385839</v>
      </c>
      <c r="H156" s="1" t="s">
        <v>1</v>
      </c>
      <c r="I156" s="4" t="s">
        <v>2</v>
      </c>
      <c r="J156" s="14">
        <v>0.29166666666666669</v>
      </c>
      <c r="K156" s="20" t="str">
        <f t="shared" si="7"/>
        <v>1st Shift</v>
      </c>
    </row>
    <row r="157" spans="1:11" x14ac:dyDescent="0.25">
      <c r="A157" s="1">
        <v>156</v>
      </c>
      <c r="B157" s="1">
        <v>14</v>
      </c>
      <c r="C157" s="3">
        <v>14115271725003</v>
      </c>
      <c r="D157" s="2">
        <v>44385.458333333336</v>
      </c>
      <c r="E157" s="2">
        <v>44385.576388888891</v>
      </c>
      <c r="F157" s="23">
        <f t="shared" si="6"/>
        <v>0.11805555555474712</v>
      </c>
      <c r="G157" s="24">
        <f t="shared" si="8"/>
        <v>105.88235294190156</v>
      </c>
      <c r="H157" s="1" t="s">
        <v>1</v>
      </c>
      <c r="I157" s="4" t="s">
        <v>2</v>
      </c>
      <c r="J157" s="14">
        <v>0.45833333333333331</v>
      </c>
      <c r="K157" s="20" t="str">
        <f t="shared" si="7"/>
        <v>1st Shift</v>
      </c>
    </row>
    <row r="158" spans="1:11" x14ac:dyDescent="0.25">
      <c r="A158" s="1">
        <v>157</v>
      </c>
      <c r="B158" s="1">
        <v>14</v>
      </c>
      <c r="C158" s="3">
        <v>14115271725002</v>
      </c>
      <c r="D158" s="2">
        <v>44385.458333333336</v>
      </c>
      <c r="E158" s="2">
        <v>44385.576388888891</v>
      </c>
      <c r="F158" s="23">
        <f t="shared" si="6"/>
        <v>0.11805555555474712</v>
      </c>
      <c r="G158" s="24">
        <f t="shared" si="8"/>
        <v>105.88235294190156</v>
      </c>
      <c r="H158" s="1" t="s">
        <v>1</v>
      </c>
      <c r="I158" s="4" t="s">
        <v>2</v>
      </c>
      <c r="J158" s="14">
        <v>0.45833333333333331</v>
      </c>
      <c r="K158" s="20" t="str">
        <f t="shared" si="7"/>
        <v>1st Shift</v>
      </c>
    </row>
    <row r="159" spans="1:11" x14ac:dyDescent="0.25">
      <c r="A159" s="1">
        <v>158</v>
      </c>
      <c r="B159" s="1">
        <v>14</v>
      </c>
      <c r="C159" s="3">
        <v>14115271724002</v>
      </c>
      <c r="D159" s="2">
        <v>44385.458333333336</v>
      </c>
      <c r="E159" s="2">
        <v>44385.576388888891</v>
      </c>
      <c r="F159" s="23">
        <f t="shared" si="6"/>
        <v>0.11805555555474712</v>
      </c>
      <c r="G159" s="24">
        <f t="shared" si="8"/>
        <v>105.88235294190156</v>
      </c>
      <c r="H159" s="1" t="s">
        <v>1</v>
      </c>
      <c r="I159" s="4" t="s">
        <v>2</v>
      </c>
      <c r="J159" s="14">
        <v>0.45833333333333331</v>
      </c>
      <c r="K159" s="20" t="str">
        <f t="shared" si="7"/>
        <v>1st Shift</v>
      </c>
    </row>
    <row r="160" spans="1:11" x14ac:dyDescent="0.25">
      <c r="A160" s="1">
        <v>159</v>
      </c>
      <c r="B160" s="1">
        <v>5</v>
      </c>
      <c r="C160" s="3">
        <v>5115271678309</v>
      </c>
      <c r="D160" s="2">
        <v>44385.458333333336</v>
      </c>
      <c r="E160" s="2">
        <v>44385.576388888891</v>
      </c>
      <c r="F160" s="23">
        <f t="shared" si="6"/>
        <v>0.11805555555474712</v>
      </c>
      <c r="G160" s="24">
        <f t="shared" si="8"/>
        <v>105.88235294190156</v>
      </c>
      <c r="H160" s="1" t="s">
        <v>1</v>
      </c>
      <c r="I160" s="4" t="s">
        <v>2</v>
      </c>
      <c r="J160" s="14">
        <v>0.45833333333333331</v>
      </c>
      <c r="K160" s="20" t="str">
        <f t="shared" si="7"/>
        <v>1st Shift</v>
      </c>
    </row>
    <row r="161" spans="1:11" x14ac:dyDescent="0.25">
      <c r="A161" s="1">
        <v>160</v>
      </c>
      <c r="B161" s="1">
        <v>15</v>
      </c>
      <c r="C161" s="3">
        <v>15115271783456</v>
      </c>
      <c r="D161" s="2">
        <v>44385.604166666664</v>
      </c>
      <c r="E161" s="2">
        <v>44385.666666666664</v>
      </c>
      <c r="F161" s="23">
        <f t="shared" si="6"/>
        <v>6.25E-2</v>
      </c>
      <c r="G161" s="24">
        <f t="shared" si="8"/>
        <v>200</v>
      </c>
      <c r="H161" s="1" t="s">
        <v>1</v>
      </c>
      <c r="I161" s="4" t="s">
        <v>2</v>
      </c>
      <c r="J161" s="14">
        <v>0.60416666666666663</v>
      </c>
      <c r="K161" s="20" t="str">
        <f t="shared" si="7"/>
        <v>2nd Shift</v>
      </c>
    </row>
    <row r="162" spans="1:11" x14ac:dyDescent="0.25">
      <c r="A162" s="1">
        <v>161</v>
      </c>
      <c r="B162" s="1">
        <v>15</v>
      </c>
      <c r="C162" s="3">
        <v>15115271783451</v>
      </c>
      <c r="D162" s="2">
        <v>44385.604166666664</v>
      </c>
      <c r="E162" s="2">
        <v>44385.666666666664</v>
      </c>
      <c r="F162" s="23">
        <f t="shared" si="6"/>
        <v>6.25E-2</v>
      </c>
      <c r="G162" s="24">
        <f t="shared" si="8"/>
        <v>200</v>
      </c>
      <c r="H162" s="1" t="s">
        <v>1</v>
      </c>
      <c r="I162" s="4" t="s">
        <v>3</v>
      </c>
      <c r="J162" s="14">
        <v>0.60416666666666663</v>
      </c>
      <c r="K162" s="20" t="str">
        <f t="shared" si="7"/>
        <v>2nd Shift</v>
      </c>
    </row>
    <row r="163" spans="1:11" x14ac:dyDescent="0.25">
      <c r="A163" s="1">
        <v>162</v>
      </c>
      <c r="B163" s="1">
        <v>15</v>
      </c>
      <c r="C163" s="3">
        <v>15115271791216</v>
      </c>
      <c r="D163" s="2">
        <v>44385.697916666664</v>
      </c>
      <c r="E163" s="2">
        <v>44385.909722222219</v>
      </c>
      <c r="F163" s="23">
        <f t="shared" si="6"/>
        <v>0.21180555555474712</v>
      </c>
      <c r="G163" s="24">
        <f t="shared" si="8"/>
        <v>59.016393442848212</v>
      </c>
      <c r="H163" s="1" t="s">
        <v>1</v>
      </c>
      <c r="I163" s="4" t="s">
        <v>2</v>
      </c>
      <c r="J163" s="14">
        <v>0.69791666666666663</v>
      </c>
      <c r="K163" s="20" t="str">
        <f t="shared" si="7"/>
        <v>2nd Shift</v>
      </c>
    </row>
    <row r="164" spans="1:11" x14ac:dyDescent="0.25">
      <c r="A164" s="1">
        <v>163</v>
      </c>
      <c r="B164" s="1">
        <v>15</v>
      </c>
      <c r="C164" s="3">
        <v>15115271791215</v>
      </c>
      <c r="D164" s="2">
        <v>44385.697916666664</v>
      </c>
      <c r="E164" s="2">
        <v>44385.909722222219</v>
      </c>
      <c r="F164" s="23">
        <f t="shared" si="6"/>
        <v>0.21180555555474712</v>
      </c>
      <c r="G164" s="24">
        <f t="shared" si="8"/>
        <v>59.016393442848212</v>
      </c>
      <c r="H164" s="1" t="s">
        <v>1</v>
      </c>
      <c r="I164" s="4" t="s">
        <v>2</v>
      </c>
      <c r="J164" s="14">
        <v>0.69791666666666663</v>
      </c>
      <c r="K164" s="20" t="str">
        <f t="shared" si="7"/>
        <v>2nd Shift</v>
      </c>
    </row>
    <row r="165" spans="1:11" x14ac:dyDescent="0.25">
      <c r="A165" s="1">
        <v>164</v>
      </c>
      <c r="B165" s="1">
        <v>5</v>
      </c>
      <c r="C165" s="3">
        <v>5115271678300</v>
      </c>
      <c r="D165" s="2">
        <v>44385.940972222219</v>
      </c>
      <c r="E165" s="2">
        <v>44385.993055555555</v>
      </c>
      <c r="F165" s="23">
        <f t="shared" si="6"/>
        <v>5.2083333335758653E-2</v>
      </c>
      <c r="G165" s="24">
        <f t="shared" si="8"/>
        <v>239.99999998882413</v>
      </c>
      <c r="H165" s="1" t="s">
        <v>1</v>
      </c>
      <c r="I165" s="4" t="s">
        <v>2</v>
      </c>
      <c r="J165" s="14">
        <v>0.94097222222222221</v>
      </c>
      <c r="K165" s="20" t="str">
        <f t="shared" si="7"/>
        <v>3rd Shift</v>
      </c>
    </row>
    <row r="166" spans="1:11" x14ac:dyDescent="0.25">
      <c r="A166" s="1">
        <v>165</v>
      </c>
      <c r="B166" s="1">
        <v>3</v>
      </c>
      <c r="C166" s="3">
        <v>3115270448602</v>
      </c>
      <c r="D166" s="2">
        <v>44385.697916666664</v>
      </c>
      <c r="E166" s="2">
        <v>44385.909722222219</v>
      </c>
      <c r="F166" s="23">
        <f t="shared" si="6"/>
        <v>0.21180555555474712</v>
      </c>
      <c r="G166" s="24">
        <f t="shared" si="8"/>
        <v>59.016393442848212</v>
      </c>
      <c r="H166" s="1" t="s">
        <v>1</v>
      </c>
      <c r="I166" s="4" t="s">
        <v>3</v>
      </c>
      <c r="J166" s="14">
        <v>0.69791666666666663</v>
      </c>
      <c r="K166" s="20" t="str">
        <f t="shared" si="7"/>
        <v>2nd Shift</v>
      </c>
    </row>
    <row r="167" spans="1:11" x14ac:dyDescent="0.25">
      <c r="A167" s="1">
        <v>166</v>
      </c>
      <c r="B167" s="1">
        <v>3</v>
      </c>
      <c r="C167" s="3">
        <v>3115270448600</v>
      </c>
      <c r="D167" s="2">
        <v>44385.697916666664</v>
      </c>
      <c r="E167" s="2">
        <v>44385.909722222219</v>
      </c>
      <c r="F167" s="23">
        <f t="shared" si="6"/>
        <v>0.21180555555474712</v>
      </c>
      <c r="G167" s="24">
        <f t="shared" si="8"/>
        <v>59.016393442848212</v>
      </c>
      <c r="H167" s="1" t="s">
        <v>1</v>
      </c>
      <c r="I167" s="4" t="s">
        <v>2</v>
      </c>
      <c r="J167" s="14">
        <v>0.69791666666666663</v>
      </c>
      <c r="K167" s="20" t="str">
        <f t="shared" si="7"/>
        <v>2nd Shift</v>
      </c>
    </row>
    <row r="168" spans="1:11" x14ac:dyDescent="0.25">
      <c r="A168" s="1">
        <v>167</v>
      </c>
      <c r="B168" s="1">
        <v>2</v>
      </c>
      <c r="C168" s="3">
        <v>2115270214705</v>
      </c>
      <c r="D168" s="2">
        <v>44385.697916666664</v>
      </c>
      <c r="E168" s="2">
        <v>44385.909722222219</v>
      </c>
      <c r="F168" s="23">
        <f t="shared" si="6"/>
        <v>0.21180555555474712</v>
      </c>
      <c r="G168" s="24">
        <f t="shared" si="8"/>
        <v>59.016393442848212</v>
      </c>
      <c r="H168" s="1" t="s">
        <v>1</v>
      </c>
      <c r="I168" s="4" t="s">
        <v>3</v>
      </c>
      <c r="J168" s="14">
        <v>0.69791666666666663</v>
      </c>
      <c r="K168" s="20" t="str">
        <f t="shared" si="7"/>
        <v>2nd Shift</v>
      </c>
    </row>
    <row r="169" spans="1:11" x14ac:dyDescent="0.25">
      <c r="A169" s="1">
        <v>168</v>
      </c>
      <c r="B169" s="1">
        <v>2</v>
      </c>
      <c r="C169" s="3">
        <v>2115270214700</v>
      </c>
      <c r="D169" s="2">
        <v>44385.697916666664</v>
      </c>
      <c r="E169" s="2">
        <v>44385.909722222219</v>
      </c>
      <c r="F169" s="23">
        <f t="shared" si="6"/>
        <v>0.21180555555474712</v>
      </c>
      <c r="G169" s="24">
        <f t="shared" si="8"/>
        <v>59.016393442848212</v>
      </c>
      <c r="H169" s="1" t="s">
        <v>1</v>
      </c>
      <c r="I169" s="4" t="s">
        <v>2</v>
      </c>
      <c r="J169" s="14">
        <v>0.69791666666666663</v>
      </c>
      <c r="K169" s="20" t="str">
        <f t="shared" si="7"/>
        <v>2nd Shift</v>
      </c>
    </row>
    <row r="170" spans="1:11" x14ac:dyDescent="0.25">
      <c r="A170" s="1">
        <v>169</v>
      </c>
      <c r="B170" s="1">
        <v>2</v>
      </c>
      <c r="C170" s="3">
        <v>2115270156501</v>
      </c>
      <c r="D170" s="2">
        <v>44385.697916666664</v>
      </c>
      <c r="E170" s="2">
        <v>44385.909722222219</v>
      </c>
      <c r="F170" s="23">
        <f t="shared" si="6"/>
        <v>0.21180555555474712</v>
      </c>
      <c r="G170" s="24">
        <f t="shared" si="8"/>
        <v>59.016393442848212</v>
      </c>
      <c r="H170" s="1" t="s">
        <v>1</v>
      </c>
      <c r="I170" s="4" t="s">
        <v>2</v>
      </c>
      <c r="J170" s="14">
        <v>0.69791666666666663</v>
      </c>
      <c r="K170" s="20" t="str">
        <f t="shared" si="7"/>
        <v>2nd Shift</v>
      </c>
    </row>
    <row r="171" spans="1:11" x14ac:dyDescent="0.25">
      <c r="A171" s="1">
        <v>170</v>
      </c>
      <c r="B171" s="1">
        <v>2</v>
      </c>
      <c r="C171" s="3">
        <v>2115270156500</v>
      </c>
      <c r="D171" s="2">
        <v>44385.697916666664</v>
      </c>
      <c r="E171" s="2">
        <v>44385.909722222219</v>
      </c>
      <c r="F171" s="23">
        <f t="shared" si="6"/>
        <v>0.21180555555474712</v>
      </c>
      <c r="G171" s="24">
        <f t="shared" si="8"/>
        <v>59.016393442848212</v>
      </c>
      <c r="H171" s="1" t="s">
        <v>1</v>
      </c>
      <c r="I171" s="4" t="s">
        <v>2</v>
      </c>
      <c r="J171" s="14">
        <v>0.69791666666666663</v>
      </c>
      <c r="K171" s="20" t="str">
        <f t="shared" si="7"/>
        <v>2nd Shift</v>
      </c>
    </row>
    <row r="172" spans="1:11" x14ac:dyDescent="0.25">
      <c r="A172" s="1">
        <v>171</v>
      </c>
      <c r="B172" s="1">
        <v>15</v>
      </c>
      <c r="C172" s="3">
        <v>15115271766405</v>
      </c>
      <c r="D172" s="2">
        <v>44385.927083333336</v>
      </c>
      <c r="E172" s="2">
        <v>44385.986111111109</v>
      </c>
      <c r="F172" s="23">
        <f t="shared" si="6"/>
        <v>5.9027777773735579E-2</v>
      </c>
      <c r="G172" s="24">
        <f t="shared" si="8"/>
        <v>211.76470589685451</v>
      </c>
      <c r="H172" s="1" t="s">
        <v>1</v>
      </c>
      <c r="I172" s="4" t="s">
        <v>2</v>
      </c>
      <c r="J172" s="14">
        <v>0.92708333333333337</v>
      </c>
      <c r="K172" s="20" t="str">
        <f t="shared" si="7"/>
        <v>3rd Shift</v>
      </c>
    </row>
    <row r="173" spans="1:11" x14ac:dyDescent="0.25">
      <c r="A173" s="1">
        <v>172</v>
      </c>
      <c r="B173" s="1">
        <v>15</v>
      </c>
      <c r="C173" s="3">
        <v>15115271766401</v>
      </c>
      <c r="D173" s="2">
        <v>44385.927083333336</v>
      </c>
      <c r="E173" s="2">
        <v>44385.986111111109</v>
      </c>
      <c r="F173" s="23">
        <f t="shared" si="6"/>
        <v>5.9027777773735579E-2</v>
      </c>
      <c r="G173" s="24">
        <f t="shared" si="8"/>
        <v>211.76470589685451</v>
      </c>
      <c r="H173" s="1" t="s">
        <v>1</v>
      </c>
      <c r="I173" s="4" t="s">
        <v>2</v>
      </c>
      <c r="J173" s="14">
        <v>0.92708333333333337</v>
      </c>
      <c r="K173" s="20" t="str">
        <f t="shared" si="7"/>
        <v>3rd Shift</v>
      </c>
    </row>
    <row r="174" spans="1:11" x14ac:dyDescent="0.25">
      <c r="A174" s="1">
        <v>173</v>
      </c>
      <c r="B174" s="1">
        <v>14</v>
      </c>
      <c r="C174" s="3">
        <v>14115271725005</v>
      </c>
      <c r="D174" s="2">
        <v>44386.333333333336</v>
      </c>
      <c r="E174" s="2">
        <v>44386.510416666664</v>
      </c>
      <c r="F174" s="23">
        <f t="shared" si="6"/>
        <v>0.17708333332848269</v>
      </c>
      <c r="G174" s="24">
        <f t="shared" si="8"/>
        <v>70.588235296051195</v>
      </c>
      <c r="H174" s="1" t="s">
        <v>1</v>
      </c>
      <c r="I174" s="4" t="s">
        <v>4</v>
      </c>
      <c r="J174" s="14">
        <v>0.33333333333333331</v>
      </c>
      <c r="K174" s="20" t="str">
        <f t="shared" si="7"/>
        <v>1st Shift</v>
      </c>
    </row>
    <row r="175" spans="1:11" x14ac:dyDescent="0.25">
      <c r="A175" s="1">
        <v>174</v>
      </c>
      <c r="B175" s="1">
        <v>14</v>
      </c>
      <c r="C175" s="3">
        <v>14115271725002</v>
      </c>
      <c r="D175" s="2">
        <v>44386.333333333336</v>
      </c>
      <c r="E175" s="2">
        <v>44386.510416666664</v>
      </c>
      <c r="F175" s="23">
        <f t="shared" si="6"/>
        <v>0.17708333332848269</v>
      </c>
      <c r="G175" s="24">
        <f t="shared" si="8"/>
        <v>70.588235296051195</v>
      </c>
      <c r="H175" s="1" t="s">
        <v>1</v>
      </c>
      <c r="I175" s="4" t="s">
        <v>4</v>
      </c>
      <c r="J175" s="14">
        <v>0.33333333333333331</v>
      </c>
      <c r="K175" s="20" t="str">
        <f t="shared" si="7"/>
        <v>1st Shift</v>
      </c>
    </row>
    <row r="176" spans="1:11" x14ac:dyDescent="0.25">
      <c r="A176" s="1">
        <v>175</v>
      </c>
      <c r="B176" s="1">
        <v>6</v>
      </c>
      <c r="C176" s="3">
        <v>6115271725425</v>
      </c>
      <c r="D176" s="2">
        <v>44386.333333333336</v>
      </c>
      <c r="E176" s="2">
        <v>44386.510416666664</v>
      </c>
      <c r="F176" s="23">
        <f t="shared" si="6"/>
        <v>0.17708333332848269</v>
      </c>
      <c r="G176" s="24">
        <f t="shared" si="8"/>
        <v>70.588235296051195</v>
      </c>
      <c r="H176" s="1" t="s">
        <v>1</v>
      </c>
      <c r="I176" s="4" t="s">
        <v>2</v>
      </c>
      <c r="J176" s="14">
        <v>0.33333333333333331</v>
      </c>
      <c r="K176" s="20" t="str">
        <f t="shared" si="7"/>
        <v>1st Shift</v>
      </c>
    </row>
    <row r="177" spans="1:11" x14ac:dyDescent="0.25">
      <c r="A177" s="1">
        <v>176</v>
      </c>
      <c r="B177" s="1">
        <v>6</v>
      </c>
      <c r="C177" s="3">
        <v>6115271725424</v>
      </c>
      <c r="D177" s="2">
        <v>44386.333333333336</v>
      </c>
      <c r="E177" s="2">
        <v>44386.510416666664</v>
      </c>
      <c r="F177" s="23">
        <f t="shared" si="6"/>
        <v>0.17708333332848269</v>
      </c>
      <c r="G177" s="24">
        <f t="shared" si="8"/>
        <v>70.588235296051195</v>
      </c>
      <c r="H177" s="1" t="s">
        <v>1</v>
      </c>
      <c r="I177" s="4" t="s">
        <v>2</v>
      </c>
      <c r="J177" s="14">
        <v>0.33333333333333331</v>
      </c>
      <c r="K177" s="20" t="str">
        <f t="shared" si="7"/>
        <v>1st Shift</v>
      </c>
    </row>
    <row r="178" spans="1:11" x14ac:dyDescent="0.25">
      <c r="A178" s="1">
        <v>177</v>
      </c>
      <c r="B178" s="1">
        <v>6</v>
      </c>
      <c r="C178" s="3">
        <v>6115271725413</v>
      </c>
      <c r="D178" s="2">
        <v>44386.333333333336</v>
      </c>
      <c r="E178" s="2">
        <v>44386.510416666664</v>
      </c>
      <c r="F178" s="23">
        <f t="shared" si="6"/>
        <v>0.17708333332848269</v>
      </c>
      <c r="G178" s="24">
        <f t="shared" si="8"/>
        <v>70.588235296051195</v>
      </c>
      <c r="H178" s="1" t="s">
        <v>1</v>
      </c>
      <c r="I178" s="4" t="s">
        <v>3</v>
      </c>
      <c r="J178" s="14">
        <v>0.33333333333333331</v>
      </c>
      <c r="K178" s="20" t="str">
        <f t="shared" si="7"/>
        <v>1st Shift</v>
      </c>
    </row>
    <row r="179" spans="1:11" x14ac:dyDescent="0.25">
      <c r="A179" s="1">
        <v>178</v>
      </c>
      <c r="B179" s="1">
        <v>6</v>
      </c>
      <c r="C179" s="3">
        <v>6115271725412</v>
      </c>
      <c r="D179" s="2">
        <v>44386.333333333336</v>
      </c>
      <c r="E179" s="2">
        <v>44386.510416666664</v>
      </c>
      <c r="F179" s="23">
        <f t="shared" si="6"/>
        <v>0.17708333332848269</v>
      </c>
      <c r="G179" s="24">
        <f t="shared" si="8"/>
        <v>70.588235296051195</v>
      </c>
      <c r="H179" s="1" t="s">
        <v>1</v>
      </c>
      <c r="I179" s="4" t="s">
        <v>2</v>
      </c>
      <c r="J179" s="14">
        <v>0.33333333333333331</v>
      </c>
      <c r="K179" s="20" t="str">
        <f t="shared" si="7"/>
        <v>1st Shift</v>
      </c>
    </row>
    <row r="180" spans="1:11" x14ac:dyDescent="0.25">
      <c r="A180" s="1">
        <v>179</v>
      </c>
      <c r="B180" s="1">
        <v>4</v>
      </c>
      <c r="C180" s="3">
        <v>4115270827300</v>
      </c>
      <c r="D180" s="2">
        <v>44386.333333333336</v>
      </c>
      <c r="E180" s="2">
        <v>44386.510416666664</v>
      </c>
      <c r="F180" s="23">
        <f t="shared" si="6"/>
        <v>0.17708333332848269</v>
      </c>
      <c r="G180" s="24">
        <f t="shared" si="8"/>
        <v>70.588235296051195</v>
      </c>
      <c r="H180" s="1" t="s">
        <v>1</v>
      </c>
      <c r="I180" s="4" t="s">
        <v>2</v>
      </c>
      <c r="J180" s="14">
        <v>0.33333333333333331</v>
      </c>
      <c r="K180" s="20" t="str">
        <f t="shared" si="7"/>
        <v>1st Shift</v>
      </c>
    </row>
    <row r="181" spans="1:11" x14ac:dyDescent="0.25">
      <c r="A181" s="1">
        <v>180</v>
      </c>
      <c r="B181" s="1">
        <v>2</v>
      </c>
      <c r="C181" s="3">
        <v>2115270218303</v>
      </c>
      <c r="D181" s="2">
        <v>44386.53125</v>
      </c>
      <c r="E181" s="2">
        <v>44386.576388888891</v>
      </c>
      <c r="F181" s="23">
        <f t="shared" si="6"/>
        <v>4.5138888890505768E-2</v>
      </c>
      <c r="G181" s="24">
        <f t="shared" si="8"/>
        <v>276.9230769131575</v>
      </c>
      <c r="H181" s="1" t="s">
        <v>1</v>
      </c>
      <c r="I181" s="4" t="s">
        <v>2</v>
      </c>
      <c r="J181" s="14">
        <v>0.53125</v>
      </c>
      <c r="K181" s="20" t="str">
        <f t="shared" si="7"/>
        <v>1st Shift</v>
      </c>
    </row>
    <row r="182" spans="1:11" x14ac:dyDescent="0.25">
      <c r="A182" s="1">
        <v>181</v>
      </c>
      <c r="B182" s="1">
        <v>2</v>
      </c>
      <c r="C182" s="3">
        <v>2115270218300</v>
      </c>
      <c r="D182" s="2">
        <v>44386.53125</v>
      </c>
      <c r="E182" s="2">
        <v>44386.576388888891</v>
      </c>
      <c r="F182" s="23">
        <f t="shared" si="6"/>
        <v>4.5138888890505768E-2</v>
      </c>
      <c r="G182" s="24">
        <f t="shared" si="8"/>
        <v>276.9230769131575</v>
      </c>
      <c r="H182" s="1" t="s">
        <v>1</v>
      </c>
      <c r="I182" s="4" t="s">
        <v>5</v>
      </c>
      <c r="J182" s="14">
        <v>0.53125</v>
      </c>
      <c r="K182" s="20" t="str">
        <f t="shared" si="7"/>
        <v>1st Shift</v>
      </c>
    </row>
    <row r="183" spans="1:11" x14ac:dyDescent="0.25">
      <c r="A183" s="1">
        <v>182</v>
      </c>
      <c r="B183" s="1">
        <v>13</v>
      </c>
      <c r="C183" s="3">
        <v>13115271640700</v>
      </c>
      <c r="D183" s="2">
        <v>44386.621527777781</v>
      </c>
      <c r="E183" s="2">
        <v>44386.8125</v>
      </c>
      <c r="F183" s="23">
        <f t="shared" si="6"/>
        <v>0.19097222221898846</v>
      </c>
      <c r="G183" s="24">
        <f t="shared" si="8"/>
        <v>65.4545454556538</v>
      </c>
      <c r="H183" s="1" t="s">
        <v>1</v>
      </c>
      <c r="I183" s="4" t="s">
        <v>3</v>
      </c>
      <c r="J183" s="14">
        <v>0.62152777777777779</v>
      </c>
      <c r="K183" s="20" t="str">
        <f t="shared" si="7"/>
        <v>2nd Shift</v>
      </c>
    </row>
    <row r="184" spans="1:11" x14ac:dyDescent="0.25">
      <c r="A184" s="1">
        <v>183</v>
      </c>
      <c r="B184" s="1">
        <v>13</v>
      </c>
      <c r="C184" s="3">
        <v>13115271640501</v>
      </c>
      <c r="D184" s="2">
        <v>44386.618055555555</v>
      </c>
      <c r="E184" s="2">
        <v>44386.8125</v>
      </c>
      <c r="F184" s="23">
        <f t="shared" si="6"/>
        <v>0.19444444444525288</v>
      </c>
      <c r="G184" s="24">
        <f t="shared" si="8"/>
        <v>64.285714285447</v>
      </c>
      <c r="H184" s="1" t="s">
        <v>1</v>
      </c>
      <c r="I184" s="4" t="s">
        <v>2</v>
      </c>
      <c r="J184" s="14">
        <v>0.61805555555555558</v>
      </c>
      <c r="K184" s="20" t="str">
        <f t="shared" si="7"/>
        <v>2nd Shift</v>
      </c>
    </row>
    <row r="185" spans="1:11" x14ac:dyDescent="0.25">
      <c r="A185" s="1">
        <v>184</v>
      </c>
      <c r="B185" s="1">
        <v>13</v>
      </c>
      <c r="C185" s="3">
        <v>13115271640500</v>
      </c>
      <c r="D185" s="2">
        <v>44386.618055555555</v>
      </c>
      <c r="E185" s="2">
        <v>44386.8125</v>
      </c>
      <c r="F185" s="23">
        <f t="shared" si="6"/>
        <v>0.19444444444525288</v>
      </c>
      <c r="G185" s="24">
        <f t="shared" si="8"/>
        <v>64.285714285447</v>
      </c>
      <c r="H185" s="1" t="s">
        <v>1</v>
      </c>
      <c r="I185" s="4" t="s">
        <v>3</v>
      </c>
      <c r="J185" s="14">
        <v>0.61805555555555558</v>
      </c>
      <c r="K185" s="20" t="str">
        <f t="shared" si="7"/>
        <v>2nd Shift</v>
      </c>
    </row>
    <row r="186" spans="1:11" x14ac:dyDescent="0.25">
      <c r="A186" s="1">
        <v>185</v>
      </c>
      <c r="B186" s="1">
        <v>5</v>
      </c>
      <c r="C186" s="3">
        <v>5115271678309</v>
      </c>
      <c r="D186" s="2">
        <v>44386.621527777781</v>
      </c>
      <c r="E186" s="2">
        <v>44386.8125</v>
      </c>
      <c r="F186" s="23">
        <f t="shared" si="6"/>
        <v>0.19097222221898846</v>
      </c>
      <c r="G186" s="24">
        <f t="shared" si="8"/>
        <v>65.4545454556538</v>
      </c>
      <c r="H186" s="1" t="s">
        <v>1</v>
      </c>
      <c r="I186" s="4" t="s">
        <v>2</v>
      </c>
      <c r="J186" s="14">
        <v>0.62152777777777779</v>
      </c>
      <c r="K186" s="20" t="str">
        <f t="shared" si="7"/>
        <v>2nd Shift</v>
      </c>
    </row>
    <row r="187" spans="1:11" x14ac:dyDescent="0.25">
      <c r="A187" s="1">
        <v>186</v>
      </c>
      <c r="B187" s="1">
        <v>5</v>
      </c>
      <c r="C187" s="3">
        <v>5115271678307</v>
      </c>
      <c r="D187" s="2">
        <v>44386.621527777781</v>
      </c>
      <c r="E187" s="2">
        <v>44386.8125</v>
      </c>
      <c r="F187" s="23">
        <f t="shared" si="6"/>
        <v>0.19097222221898846</v>
      </c>
      <c r="G187" s="24">
        <f t="shared" si="8"/>
        <v>65.4545454556538</v>
      </c>
      <c r="H187" s="1" t="s">
        <v>1</v>
      </c>
      <c r="I187" s="4" t="s">
        <v>2</v>
      </c>
      <c r="J187" s="14">
        <v>0.62152777777777779</v>
      </c>
      <c r="K187" s="20" t="str">
        <f t="shared" si="7"/>
        <v>2nd Shift</v>
      </c>
    </row>
    <row r="188" spans="1:11" x14ac:dyDescent="0.25">
      <c r="A188" s="1">
        <v>187</v>
      </c>
      <c r="B188" s="1">
        <v>1</v>
      </c>
      <c r="C188" s="3">
        <v>1115270097403</v>
      </c>
      <c r="D188" s="2">
        <v>44386.621527777781</v>
      </c>
      <c r="E188" s="2">
        <v>44386.8125</v>
      </c>
      <c r="F188" s="23">
        <f t="shared" si="6"/>
        <v>0.19097222221898846</v>
      </c>
      <c r="G188" s="24">
        <f t="shared" si="8"/>
        <v>65.4545454556538</v>
      </c>
      <c r="H188" s="1" t="s">
        <v>1</v>
      </c>
      <c r="I188" s="4" t="s">
        <v>2</v>
      </c>
      <c r="J188" s="14">
        <v>0.62152777777777779</v>
      </c>
      <c r="K188" s="20" t="str">
        <f t="shared" si="7"/>
        <v>2nd Shift</v>
      </c>
    </row>
    <row r="189" spans="1:11" x14ac:dyDescent="0.25">
      <c r="A189" s="1">
        <v>188</v>
      </c>
      <c r="B189" s="1">
        <v>1</v>
      </c>
      <c r="C189" s="3">
        <v>1115270097400</v>
      </c>
      <c r="D189" s="2">
        <v>44386.621527777781</v>
      </c>
      <c r="E189" s="2">
        <v>44386.8125</v>
      </c>
      <c r="F189" s="23">
        <f t="shared" si="6"/>
        <v>0.19097222221898846</v>
      </c>
      <c r="G189" s="24">
        <f t="shared" si="8"/>
        <v>65.4545454556538</v>
      </c>
      <c r="H189" s="1" t="s">
        <v>1</v>
      </c>
      <c r="I189" s="4" t="s">
        <v>2</v>
      </c>
      <c r="J189" s="14">
        <v>0.62152777777777779</v>
      </c>
      <c r="K189" s="20" t="str">
        <f t="shared" si="7"/>
        <v>2nd Shift</v>
      </c>
    </row>
    <row r="190" spans="1:11" x14ac:dyDescent="0.25">
      <c r="A190" s="1">
        <v>189</v>
      </c>
      <c r="B190" s="1">
        <v>13</v>
      </c>
      <c r="C190" s="3">
        <v>13115271640203</v>
      </c>
      <c r="D190" s="2">
        <v>44386.836805555555</v>
      </c>
      <c r="E190" s="2">
        <v>44386.909722222219</v>
      </c>
      <c r="F190" s="23">
        <f t="shared" si="6"/>
        <v>7.2916666664241347E-2</v>
      </c>
      <c r="G190" s="24">
        <f t="shared" si="8"/>
        <v>171.42857143427341</v>
      </c>
      <c r="H190" s="1" t="s">
        <v>1</v>
      </c>
      <c r="I190" s="4" t="s">
        <v>2</v>
      </c>
      <c r="J190" s="14">
        <v>0.83680555555555558</v>
      </c>
      <c r="K190" s="20" t="str">
        <f t="shared" si="7"/>
        <v>2nd Shift</v>
      </c>
    </row>
    <row r="191" spans="1:11" x14ac:dyDescent="0.25">
      <c r="A191" s="1">
        <v>190</v>
      </c>
      <c r="B191" s="1">
        <v>3</v>
      </c>
      <c r="C191" s="3">
        <v>3115270447300</v>
      </c>
      <c r="D191" s="2">
        <v>44386.9375</v>
      </c>
      <c r="E191" s="2">
        <v>44386.993055555555</v>
      </c>
      <c r="F191" s="23">
        <f t="shared" si="6"/>
        <v>5.5555555554747116E-2</v>
      </c>
      <c r="G191" s="24">
        <f t="shared" si="8"/>
        <v>225.00000000327418</v>
      </c>
      <c r="H191" s="1" t="s">
        <v>1</v>
      </c>
      <c r="I191" s="4" t="s">
        <v>3</v>
      </c>
      <c r="J191" s="14">
        <v>0.9375</v>
      </c>
      <c r="K191" s="20" t="str">
        <f t="shared" si="7"/>
        <v>3rd Shift</v>
      </c>
    </row>
    <row r="192" spans="1:11" x14ac:dyDescent="0.25">
      <c r="A192" s="1">
        <v>191</v>
      </c>
      <c r="B192" s="1">
        <v>4</v>
      </c>
      <c r="C192" s="3">
        <v>4115270877504</v>
      </c>
      <c r="D192" s="2">
        <v>44387.012499999997</v>
      </c>
      <c r="E192" s="2">
        <v>44387.104166666664</v>
      </c>
      <c r="F192" s="23">
        <f t="shared" si="6"/>
        <v>9.1666666667151731E-2</v>
      </c>
      <c r="G192" s="24">
        <f t="shared" si="8"/>
        <v>136.36363636291478</v>
      </c>
      <c r="H192" s="1" t="s">
        <v>1</v>
      </c>
      <c r="I192" s="4" t="s">
        <v>2</v>
      </c>
      <c r="J192" s="14">
        <v>1.2500000000000001E-2</v>
      </c>
      <c r="K192" s="20" t="str">
        <f t="shared" si="7"/>
        <v>3rd Shift</v>
      </c>
    </row>
    <row r="193" spans="1:11" x14ac:dyDescent="0.25">
      <c r="A193" s="1">
        <v>192</v>
      </c>
      <c r="B193" s="1">
        <v>2</v>
      </c>
      <c r="C193" s="3">
        <v>2115270169700</v>
      </c>
      <c r="D193" s="2">
        <v>44387.012499999997</v>
      </c>
      <c r="E193" s="2">
        <v>44387.104166666664</v>
      </c>
      <c r="F193" s="23">
        <f t="shared" si="6"/>
        <v>9.1666666667151731E-2</v>
      </c>
      <c r="G193" s="24">
        <f t="shared" si="8"/>
        <v>136.36363636291478</v>
      </c>
      <c r="H193" s="1" t="s">
        <v>1</v>
      </c>
      <c r="I193" s="4" t="s">
        <v>4</v>
      </c>
      <c r="J193" s="14">
        <v>1.2500000000000001E-2</v>
      </c>
      <c r="K193" s="20" t="str">
        <f t="shared" si="7"/>
        <v>3rd Shift</v>
      </c>
    </row>
    <row r="194" spans="1:11" x14ac:dyDescent="0.25">
      <c r="A194" s="1">
        <v>193</v>
      </c>
      <c r="B194" s="1">
        <v>7</v>
      </c>
      <c r="C194" s="3">
        <v>7115271766038</v>
      </c>
      <c r="D194" s="2">
        <v>44387.302083333336</v>
      </c>
      <c r="E194" s="2">
        <v>44387.493055555555</v>
      </c>
      <c r="F194" s="23">
        <f t="shared" ref="F194:F257" si="9">E194-D194</f>
        <v>0.19097222221898846</v>
      </c>
      <c r="G194" s="24">
        <f t="shared" si="8"/>
        <v>65.4545454556538</v>
      </c>
      <c r="H194" s="1" t="s">
        <v>1</v>
      </c>
      <c r="I194" s="4" t="s">
        <v>2</v>
      </c>
      <c r="J194" s="14">
        <v>0.30208333333333331</v>
      </c>
      <c r="K194" s="20" t="str">
        <f t="shared" ref="K194:K257" si="10">IF(AND(J194&gt;=$M$3,J194&lt;$M$4),"1st Shift",IF(AND(J194&gt;=$M$4,J194&lt;$M$5),"2nd Shift","3rd Shift"))</f>
        <v>1st Shift</v>
      </c>
    </row>
    <row r="195" spans="1:11" x14ac:dyDescent="0.25">
      <c r="A195" s="1">
        <v>194</v>
      </c>
      <c r="B195" s="1">
        <v>6</v>
      </c>
      <c r="C195" s="3">
        <v>6115271727900</v>
      </c>
      <c r="D195" s="2">
        <v>44387.302083333336</v>
      </c>
      <c r="E195" s="2">
        <v>44387.493055555555</v>
      </c>
      <c r="F195" s="23">
        <f t="shared" si="9"/>
        <v>0.19097222221898846</v>
      </c>
      <c r="G195" s="24">
        <f t="shared" ref="G195:G258" si="11">$M$9/F195*100</f>
        <v>65.4545454556538</v>
      </c>
      <c r="H195" s="1" t="s">
        <v>1</v>
      </c>
      <c r="I195" s="4" t="s">
        <v>2</v>
      </c>
      <c r="J195" s="14">
        <v>0.30208333333333331</v>
      </c>
      <c r="K195" s="20" t="str">
        <f t="shared" si="10"/>
        <v>1st Shift</v>
      </c>
    </row>
    <row r="196" spans="1:11" x14ac:dyDescent="0.25">
      <c r="A196" s="1">
        <v>195</v>
      </c>
      <c r="B196" s="1">
        <v>5</v>
      </c>
      <c r="C196" s="3">
        <v>5115271676300</v>
      </c>
      <c r="D196" s="2">
        <v>44387.302083333336</v>
      </c>
      <c r="E196" s="2">
        <v>44387.493055555555</v>
      </c>
      <c r="F196" s="23">
        <f t="shared" si="9"/>
        <v>0.19097222221898846</v>
      </c>
      <c r="G196" s="24">
        <f t="shared" si="11"/>
        <v>65.4545454556538</v>
      </c>
      <c r="H196" s="1" t="s">
        <v>1</v>
      </c>
      <c r="I196" s="4" t="s">
        <v>2</v>
      </c>
      <c r="J196" s="14">
        <v>0.30208333333333331</v>
      </c>
      <c r="K196" s="20" t="str">
        <f t="shared" si="10"/>
        <v>1st Shift</v>
      </c>
    </row>
    <row r="197" spans="1:11" x14ac:dyDescent="0.25">
      <c r="A197" s="1">
        <v>196</v>
      </c>
      <c r="B197" s="1">
        <v>3</v>
      </c>
      <c r="C197" s="3">
        <v>3115270306902</v>
      </c>
      <c r="D197" s="2">
        <v>44387.302083333336</v>
      </c>
      <c r="E197" s="2">
        <v>44387.493055555555</v>
      </c>
      <c r="F197" s="23">
        <f t="shared" si="9"/>
        <v>0.19097222221898846</v>
      </c>
      <c r="G197" s="24">
        <f t="shared" si="11"/>
        <v>65.4545454556538</v>
      </c>
      <c r="H197" s="1" t="s">
        <v>1</v>
      </c>
      <c r="I197" s="4" t="s">
        <v>2</v>
      </c>
      <c r="J197" s="14">
        <v>0.30208333333333331</v>
      </c>
      <c r="K197" s="20" t="str">
        <f t="shared" si="10"/>
        <v>1st Shift</v>
      </c>
    </row>
    <row r="198" spans="1:11" x14ac:dyDescent="0.25">
      <c r="A198" s="1">
        <v>197</v>
      </c>
      <c r="B198" s="1">
        <v>8</v>
      </c>
      <c r="C198" s="3">
        <v>8115271839200</v>
      </c>
      <c r="D198" s="2">
        <v>44387.520833333336</v>
      </c>
      <c r="E198" s="2">
        <v>44387.576388888891</v>
      </c>
      <c r="F198" s="23">
        <f t="shared" si="9"/>
        <v>5.5555555554747116E-2</v>
      </c>
      <c r="G198" s="24">
        <f t="shared" si="11"/>
        <v>225.00000000327418</v>
      </c>
      <c r="H198" s="1" t="s">
        <v>1</v>
      </c>
      <c r="I198" s="4" t="s">
        <v>2</v>
      </c>
      <c r="J198" s="14">
        <v>0.52083333333333337</v>
      </c>
      <c r="K198" s="20" t="str">
        <f t="shared" si="10"/>
        <v>1st Shift</v>
      </c>
    </row>
    <row r="199" spans="1:11" x14ac:dyDescent="0.25">
      <c r="A199" s="1">
        <v>198</v>
      </c>
      <c r="B199" s="1">
        <v>6</v>
      </c>
      <c r="C199" s="3">
        <v>6115271699100</v>
      </c>
      <c r="D199" s="2">
        <v>44387.520833333336</v>
      </c>
      <c r="E199" s="2">
        <v>44387.576388888891</v>
      </c>
      <c r="F199" s="23">
        <f t="shared" si="9"/>
        <v>5.5555555554747116E-2</v>
      </c>
      <c r="G199" s="24">
        <f t="shared" si="11"/>
        <v>225.00000000327418</v>
      </c>
      <c r="H199" s="1" t="s">
        <v>1</v>
      </c>
      <c r="I199" s="4" t="s">
        <v>3</v>
      </c>
      <c r="J199" s="14">
        <v>0.52083333333333337</v>
      </c>
      <c r="K199" s="20" t="str">
        <f t="shared" si="10"/>
        <v>1st Shift</v>
      </c>
    </row>
    <row r="200" spans="1:11" x14ac:dyDescent="0.25">
      <c r="A200" s="1">
        <v>199</v>
      </c>
      <c r="B200" s="1">
        <v>14</v>
      </c>
      <c r="C200" s="3">
        <v>14115271673113</v>
      </c>
      <c r="D200" s="2">
        <v>44387.611111111109</v>
      </c>
      <c r="E200" s="2">
        <v>44387.680555555555</v>
      </c>
      <c r="F200" s="23">
        <f t="shared" si="9"/>
        <v>6.9444444445252884E-2</v>
      </c>
      <c r="G200" s="24">
        <f t="shared" si="11"/>
        <v>179.99999999790452</v>
      </c>
      <c r="H200" s="1" t="s">
        <v>1</v>
      </c>
      <c r="I200" s="4" t="s">
        <v>2</v>
      </c>
      <c r="J200" s="14">
        <v>0.61111111111111116</v>
      </c>
      <c r="K200" s="20" t="str">
        <f t="shared" si="10"/>
        <v>2nd Shift</v>
      </c>
    </row>
    <row r="201" spans="1:11" x14ac:dyDescent="0.25">
      <c r="A201" s="1">
        <v>200</v>
      </c>
      <c r="B201" s="1">
        <v>13</v>
      </c>
      <c r="C201" s="3">
        <v>13115271622705</v>
      </c>
      <c r="D201" s="2">
        <v>44387.611111111109</v>
      </c>
      <c r="E201" s="2">
        <v>44387.680555555555</v>
      </c>
      <c r="F201" s="23">
        <f t="shared" si="9"/>
        <v>6.9444444445252884E-2</v>
      </c>
      <c r="G201" s="24">
        <f t="shared" si="11"/>
        <v>179.99999999790452</v>
      </c>
      <c r="H201" s="1" t="s">
        <v>1</v>
      </c>
      <c r="I201" s="4" t="s">
        <v>2</v>
      </c>
      <c r="J201" s="14">
        <v>0.61111111111111116</v>
      </c>
      <c r="K201" s="20" t="str">
        <f t="shared" si="10"/>
        <v>2nd Shift</v>
      </c>
    </row>
    <row r="202" spans="1:11" x14ac:dyDescent="0.25">
      <c r="A202" s="1">
        <v>201</v>
      </c>
      <c r="B202" s="1">
        <v>12</v>
      </c>
      <c r="C202" s="3">
        <v>12115271571135</v>
      </c>
      <c r="D202" s="2">
        <v>44387.611111111109</v>
      </c>
      <c r="E202" s="2">
        <v>44387.680555555555</v>
      </c>
      <c r="F202" s="23">
        <f t="shared" si="9"/>
        <v>6.9444444445252884E-2</v>
      </c>
      <c r="G202" s="24">
        <f t="shared" si="11"/>
        <v>179.99999999790452</v>
      </c>
      <c r="H202" s="1" t="s">
        <v>1</v>
      </c>
      <c r="I202" s="4" t="s">
        <v>2</v>
      </c>
      <c r="J202" s="14">
        <v>0.61111111111111116</v>
      </c>
      <c r="K202" s="20" t="str">
        <f t="shared" si="10"/>
        <v>2nd Shift</v>
      </c>
    </row>
    <row r="203" spans="1:11" x14ac:dyDescent="0.25">
      <c r="A203" s="1">
        <v>202</v>
      </c>
      <c r="B203" s="1">
        <v>12</v>
      </c>
      <c r="C203" s="3">
        <v>12115271560196</v>
      </c>
      <c r="D203" s="2">
        <v>44387.611111111109</v>
      </c>
      <c r="E203" s="2">
        <v>44387.680555555555</v>
      </c>
      <c r="F203" s="23">
        <f t="shared" si="9"/>
        <v>6.9444444445252884E-2</v>
      </c>
      <c r="G203" s="24">
        <f t="shared" si="11"/>
        <v>179.99999999790452</v>
      </c>
      <c r="H203" s="1" t="s">
        <v>1</v>
      </c>
      <c r="I203" s="4" t="s">
        <v>3</v>
      </c>
      <c r="J203" s="14">
        <v>0.61111111111111116</v>
      </c>
      <c r="K203" s="20" t="str">
        <f t="shared" si="10"/>
        <v>2nd Shift</v>
      </c>
    </row>
    <row r="204" spans="1:11" x14ac:dyDescent="0.25">
      <c r="A204" s="1">
        <v>203</v>
      </c>
      <c r="B204" s="1">
        <v>6</v>
      </c>
      <c r="C204" s="3">
        <v>6115271690612</v>
      </c>
      <c r="D204" s="2">
        <v>44387.611111111109</v>
      </c>
      <c r="E204" s="2">
        <v>44387.680555555555</v>
      </c>
      <c r="F204" s="23">
        <f t="shared" si="9"/>
        <v>6.9444444445252884E-2</v>
      </c>
      <c r="G204" s="24">
        <f t="shared" si="11"/>
        <v>179.99999999790452</v>
      </c>
      <c r="H204" s="1" t="s">
        <v>1</v>
      </c>
      <c r="I204" s="4" t="s">
        <v>2</v>
      </c>
      <c r="J204" s="14">
        <v>0.61111111111111116</v>
      </c>
      <c r="K204" s="20" t="str">
        <f t="shared" si="10"/>
        <v>2nd Shift</v>
      </c>
    </row>
    <row r="205" spans="1:11" x14ac:dyDescent="0.25">
      <c r="A205" s="1">
        <v>204</v>
      </c>
      <c r="B205" s="1">
        <v>5</v>
      </c>
      <c r="C205" s="3">
        <v>5115271258800</v>
      </c>
      <c r="D205" s="2">
        <v>44387.611111111109</v>
      </c>
      <c r="E205" s="2">
        <v>44387.763888888891</v>
      </c>
      <c r="F205" s="23">
        <f t="shared" si="9"/>
        <v>0.15277777778101154</v>
      </c>
      <c r="G205" s="24">
        <f t="shared" si="11"/>
        <v>81.818181816450021</v>
      </c>
      <c r="H205" s="1" t="s">
        <v>1</v>
      </c>
      <c r="I205" s="4" t="s">
        <v>2</v>
      </c>
      <c r="J205" s="14">
        <v>0.61111111111111116</v>
      </c>
      <c r="K205" s="20" t="str">
        <f t="shared" si="10"/>
        <v>2nd Shift</v>
      </c>
    </row>
    <row r="206" spans="1:11" x14ac:dyDescent="0.25">
      <c r="A206" s="1">
        <v>205</v>
      </c>
      <c r="B206" s="1">
        <v>10</v>
      </c>
      <c r="C206" s="3">
        <v>10115271962701</v>
      </c>
      <c r="D206" s="2">
        <v>44387.708333333336</v>
      </c>
      <c r="E206" s="2">
        <v>44387.784722222219</v>
      </c>
      <c r="F206" s="23">
        <f t="shared" si="9"/>
        <v>7.6388888883229811E-2</v>
      </c>
      <c r="G206" s="24">
        <f t="shared" si="11"/>
        <v>163.63636364848622</v>
      </c>
      <c r="H206" s="1" t="s">
        <v>1</v>
      </c>
      <c r="I206" s="4" t="s">
        <v>5</v>
      </c>
      <c r="J206" s="14">
        <v>0.70833333333333337</v>
      </c>
      <c r="K206" s="20" t="str">
        <f t="shared" si="10"/>
        <v>2nd Shift</v>
      </c>
    </row>
    <row r="207" spans="1:11" x14ac:dyDescent="0.25">
      <c r="A207" s="1">
        <v>206</v>
      </c>
      <c r="B207" s="1">
        <v>6</v>
      </c>
      <c r="C207" s="3">
        <v>6115271737702</v>
      </c>
      <c r="D207" s="2">
        <v>44387.708333333336</v>
      </c>
      <c r="E207" s="2">
        <v>44387.784722222219</v>
      </c>
      <c r="F207" s="23">
        <f t="shared" si="9"/>
        <v>7.6388888883229811E-2</v>
      </c>
      <c r="G207" s="24">
        <f t="shared" si="11"/>
        <v>163.63636364848622</v>
      </c>
      <c r="H207" s="1" t="s">
        <v>1</v>
      </c>
      <c r="I207" s="4" t="s">
        <v>3</v>
      </c>
      <c r="J207" s="14">
        <v>0.70833333333333337</v>
      </c>
      <c r="K207" s="20" t="str">
        <f t="shared" si="10"/>
        <v>2nd Shift</v>
      </c>
    </row>
    <row r="208" spans="1:11" x14ac:dyDescent="0.25">
      <c r="A208" s="1">
        <v>207</v>
      </c>
      <c r="B208" s="1">
        <v>6</v>
      </c>
      <c r="C208" s="3">
        <v>6115271690610</v>
      </c>
      <c r="D208" s="2">
        <v>44387.802083333336</v>
      </c>
      <c r="E208" s="2">
        <v>44387.895833333336</v>
      </c>
      <c r="F208" s="23">
        <f t="shared" si="9"/>
        <v>9.375E-2</v>
      </c>
      <c r="G208" s="24">
        <f t="shared" si="11"/>
        <v>133.33333333333331</v>
      </c>
      <c r="H208" s="1" t="s">
        <v>1</v>
      </c>
      <c r="I208" s="4" t="s">
        <v>2</v>
      </c>
      <c r="J208" s="14">
        <v>0.80208333333333337</v>
      </c>
      <c r="K208" s="20" t="str">
        <f t="shared" si="10"/>
        <v>2nd Shift</v>
      </c>
    </row>
    <row r="209" spans="1:11" x14ac:dyDescent="0.25">
      <c r="A209" s="1">
        <v>208</v>
      </c>
      <c r="B209" s="1">
        <v>4</v>
      </c>
      <c r="C209" s="3">
        <v>4115270874800</v>
      </c>
      <c r="D209" s="2">
        <v>44387.802083333336</v>
      </c>
      <c r="E209" s="2">
        <v>44387.895833333336</v>
      </c>
      <c r="F209" s="23">
        <f t="shared" si="9"/>
        <v>9.375E-2</v>
      </c>
      <c r="G209" s="24">
        <f t="shared" si="11"/>
        <v>133.33333333333331</v>
      </c>
      <c r="H209" s="1" t="s">
        <v>1</v>
      </c>
      <c r="I209" s="4" t="s">
        <v>4</v>
      </c>
      <c r="J209" s="14">
        <v>0.80208333333333337</v>
      </c>
      <c r="K209" s="20" t="str">
        <f t="shared" si="10"/>
        <v>2nd Shift</v>
      </c>
    </row>
    <row r="210" spans="1:11" x14ac:dyDescent="0.25">
      <c r="A210" s="1">
        <v>209</v>
      </c>
      <c r="B210" s="1">
        <v>2</v>
      </c>
      <c r="C210" s="3">
        <v>2115270302701</v>
      </c>
      <c r="D210" s="2">
        <v>44387.802083333336</v>
      </c>
      <c r="E210" s="2">
        <v>44387.895833333336</v>
      </c>
      <c r="F210" s="23">
        <f t="shared" si="9"/>
        <v>9.375E-2</v>
      </c>
      <c r="G210" s="24">
        <f t="shared" si="11"/>
        <v>133.33333333333331</v>
      </c>
      <c r="H210" s="1" t="s">
        <v>1</v>
      </c>
      <c r="I210" s="4" t="s">
        <v>2</v>
      </c>
      <c r="J210" s="14">
        <v>0.80208333333333337</v>
      </c>
      <c r="K210" s="20" t="str">
        <f t="shared" si="10"/>
        <v>2nd Shift</v>
      </c>
    </row>
    <row r="211" spans="1:11" x14ac:dyDescent="0.25">
      <c r="A211" s="1">
        <v>210</v>
      </c>
      <c r="B211" s="1">
        <v>9</v>
      </c>
      <c r="C211" s="3">
        <v>9115271944500</v>
      </c>
      <c r="D211" s="2">
        <v>44387.947916666664</v>
      </c>
      <c r="E211" s="2">
        <v>44387.979166666664</v>
      </c>
      <c r="F211" s="23">
        <f t="shared" si="9"/>
        <v>3.125E-2</v>
      </c>
      <c r="G211" s="24">
        <f t="shared" si="11"/>
        <v>400</v>
      </c>
      <c r="H211" s="1" t="s">
        <v>1</v>
      </c>
      <c r="I211" s="4" t="s">
        <v>2</v>
      </c>
      <c r="J211" s="14">
        <v>0.94791666666666663</v>
      </c>
      <c r="K211" s="20" t="str">
        <f t="shared" si="10"/>
        <v>3rd Shift</v>
      </c>
    </row>
    <row r="212" spans="1:11" x14ac:dyDescent="0.25">
      <c r="A212" s="1">
        <v>211</v>
      </c>
      <c r="B212" s="1">
        <v>11</v>
      </c>
      <c r="C212" s="3">
        <v>11115271555700</v>
      </c>
      <c r="D212" s="2">
        <v>44388.041666666664</v>
      </c>
      <c r="E212" s="2">
        <v>44388.15625</v>
      </c>
      <c r="F212" s="23">
        <f t="shared" si="9"/>
        <v>0.11458333333575865</v>
      </c>
      <c r="G212" s="24">
        <f t="shared" si="11"/>
        <v>109.09090908860001</v>
      </c>
      <c r="H212" s="1" t="s">
        <v>1</v>
      </c>
      <c r="I212" s="4" t="s">
        <v>2</v>
      </c>
      <c r="J212" s="14">
        <v>4.1666666666666664E-2</v>
      </c>
      <c r="K212" s="20" t="str">
        <f t="shared" si="10"/>
        <v>3rd Shift</v>
      </c>
    </row>
    <row r="213" spans="1:11" x14ac:dyDescent="0.25">
      <c r="A213" s="1">
        <v>212</v>
      </c>
      <c r="B213" s="1">
        <v>6</v>
      </c>
      <c r="C213" s="3">
        <v>6115271698600</v>
      </c>
      <c r="D213" s="2">
        <v>44388.041666666664</v>
      </c>
      <c r="E213" s="2">
        <v>44388.15625</v>
      </c>
      <c r="F213" s="23">
        <f t="shared" si="9"/>
        <v>0.11458333333575865</v>
      </c>
      <c r="G213" s="24">
        <f t="shared" si="11"/>
        <v>109.09090908860001</v>
      </c>
      <c r="H213" s="1" t="s">
        <v>1</v>
      </c>
      <c r="I213" s="4" t="s">
        <v>5</v>
      </c>
      <c r="J213" s="14">
        <v>4.1666666666666664E-2</v>
      </c>
      <c r="K213" s="20" t="str">
        <f t="shared" si="10"/>
        <v>3rd Shift</v>
      </c>
    </row>
    <row r="214" spans="1:11" x14ac:dyDescent="0.25">
      <c r="A214" s="1">
        <v>213</v>
      </c>
      <c r="B214" s="1">
        <v>13</v>
      </c>
      <c r="C214" s="3">
        <v>13115271644409</v>
      </c>
      <c r="D214" s="2">
        <v>44388.385416666664</v>
      </c>
      <c r="E214" s="2">
        <v>44388.493055555555</v>
      </c>
      <c r="F214" s="23">
        <f t="shared" si="9"/>
        <v>0.10763888889050577</v>
      </c>
      <c r="G214" s="24">
        <f t="shared" si="11"/>
        <v>116.1290322563201</v>
      </c>
      <c r="H214" s="1" t="s">
        <v>1</v>
      </c>
      <c r="I214" s="4" t="s">
        <v>2</v>
      </c>
      <c r="J214" s="14">
        <v>0.38541666666666669</v>
      </c>
      <c r="K214" s="20" t="str">
        <f t="shared" si="10"/>
        <v>1st Shift</v>
      </c>
    </row>
    <row r="215" spans="1:11" x14ac:dyDescent="0.25">
      <c r="A215" s="1">
        <v>214</v>
      </c>
      <c r="B215" s="1">
        <v>11</v>
      </c>
      <c r="C215" s="3">
        <v>11115271559501</v>
      </c>
      <c r="D215" s="2">
        <v>44388.385416666664</v>
      </c>
      <c r="E215" s="2">
        <v>44388.493055555555</v>
      </c>
      <c r="F215" s="23">
        <f t="shared" si="9"/>
        <v>0.10763888889050577</v>
      </c>
      <c r="G215" s="24">
        <f t="shared" si="11"/>
        <v>116.1290322563201</v>
      </c>
      <c r="H215" s="1" t="s">
        <v>1</v>
      </c>
      <c r="I215" s="4" t="s">
        <v>2</v>
      </c>
      <c r="J215" s="14">
        <v>0.38541666666666669</v>
      </c>
      <c r="K215" s="20" t="str">
        <f t="shared" si="10"/>
        <v>1st Shift</v>
      </c>
    </row>
    <row r="216" spans="1:11" x14ac:dyDescent="0.25">
      <c r="A216" s="1">
        <v>215</v>
      </c>
      <c r="B216" s="1">
        <v>5</v>
      </c>
      <c r="C216" s="3">
        <v>5115271678309</v>
      </c>
      <c r="D216" s="2">
        <v>44388.385416666664</v>
      </c>
      <c r="E216" s="2">
        <v>44388.493055555555</v>
      </c>
      <c r="F216" s="23">
        <f t="shared" si="9"/>
        <v>0.10763888889050577</v>
      </c>
      <c r="G216" s="24">
        <f t="shared" si="11"/>
        <v>116.1290322563201</v>
      </c>
      <c r="H216" s="1" t="s">
        <v>1</v>
      </c>
      <c r="I216" s="4" t="s">
        <v>3</v>
      </c>
      <c r="J216" s="14">
        <v>0.38541666666666669</v>
      </c>
      <c r="K216" s="20" t="str">
        <f t="shared" si="10"/>
        <v>1st Shift</v>
      </c>
    </row>
    <row r="217" spans="1:11" x14ac:dyDescent="0.25">
      <c r="A217" s="1">
        <v>216</v>
      </c>
      <c r="B217" s="1">
        <v>4</v>
      </c>
      <c r="C217" s="3">
        <v>4115270875302</v>
      </c>
      <c r="D217" s="2">
        <v>44388.385416666664</v>
      </c>
      <c r="E217" s="2">
        <v>44388.493055555555</v>
      </c>
      <c r="F217" s="23">
        <f t="shared" si="9"/>
        <v>0.10763888889050577</v>
      </c>
      <c r="G217" s="24">
        <f t="shared" si="11"/>
        <v>116.1290322563201</v>
      </c>
      <c r="H217" s="1" t="s">
        <v>1</v>
      </c>
      <c r="I217" s="4" t="s">
        <v>6</v>
      </c>
      <c r="J217" s="14">
        <v>0.38541666666666669</v>
      </c>
      <c r="K217" s="20" t="str">
        <f t="shared" si="10"/>
        <v>1st Shift</v>
      </c>
    </row>
    <row r="218" spans="1:11" x14ac:dyDescent="0.25">
      <c r="A218" s="1">
        <v>217</v>
      </c>
      <c r="B218" s="1">
        <v>14</v>
      </c>
      <c r="C218" s="3">
        <v>14115271709800</v>
      </c>
      <c r="D218" s="2">
        <v>44388.517361111109</v>
      </c>
      <c r="E218" s="2">
        <v>44388.576388888891</v>
      </c>
      <c r="F218" s="23">
        <f t="shared" si="9"/>
        <v>5.9027777781011537E-2</v>
      </c>
      <c r="G218" s="24">
        <f t="shared" si="11"/>
        <v>211.7647058707517</v>
      </c>
      <c r="H218" s="1" t="s">
        <v>1</v>
      </c>
      <c r="I218" s="4" t="s">
        <v>2</v>
      </c>
      <c r="J218" s="14">
        <v>0.51736111111111116</v>
      </c>
      <c r="K218" s="20" t="str">
        <f t="shared" si="10"/>
        <v>1st Shift</v>
      </c>
    </row>
    <row r="219" spans="1:11" x14ac:dyDescent="0.25">
      <c r="A219" s="1">
        <v>218</v>
      </c>
      <c r="B219" s="1">
        <v>14</v>
      </c>
      <c r="C219" s="3">
        <v>14115271673113</v>
      </c>
      <c r="D219" s="2">
        <v>44388.517361111109</v>
      </c>
      <c r="E219" s="2">
        <v>44388.576388888891</v>
      </c>
      <c r="F219" s="23">
        <f t="shared" si="9"/>
        <v>5.9027777781011537E-2</v>
      </c>
      <c r="G219" s="24">
        <f t="shared" si="11"/>
        <v>211.7647058707517</v>
      </c>
      <c r="H219" s="1" t="s">
        <v>1</v>
      </c>
      <c r="I219" s="4" t="s">
        <v>2</v>
      </c>
      <c r="J219" s="14">
        <v>0.51736111111111116</v>
      </c>
      <c r="K219" s="20" t="str">
        <f t="shared" si="10"/>
        <v>1st Shift</v>
      </c>
    </row>
    <row r="220" spans="1:11" x14ac:dyDescent="0.25">
      <c r="A220" s="1">
        <v>219</v>
      </c>
      <c r="B220" s="1">
        <v>10</v>
      </c>
      <c r="C220" s="3">
        <v>10115270963400</v>
      </c>
      <c r="D220" s="2">
        <v>44388.517361111109</v>
      </c>
      <c r="E220" s="2">
        <v>44388.576388888891</v>
      </c>
      <c r="F220" s="23">
        <f t="shared" si="9"/>
        <v>5.9027777781011537E-2</v>
      </c>
      <c r="G220" s="24">
        <f t="shared" si="11"/>
        <v>211.7647058707517</v>
      </c>
      <c r="H220" s="1" t="s">
        <v>1</v>
      </c>
      <c r="I220" s="4" t="s">
        <v>2</v>
      </c>
      <c r="J220" s="14">
        <v>0.51736111111111116</v>
      </c>
      <c r="K220" s="20" t="str">
        <f t="shared" si="10"/>
        <v>1st Shift</v>
      </c>
    </row>
    <row r="221" spans="1:11" x14ac:dyDescent="0.25">
      <c r="A221" s="1">
        <v>220</v>
      </c>
      <c r="B221" s="1">
        <v>12</v>
      </c>
      <c r="C221" s="3">
        <v>12115271566225</v>
      </c>
      <c r="D221" s="2">
        <v>44388.600694444445</v>
      </c>
      <c r="E221" s="2">
        <v>44388.75</v>
      </c>
      <c r="F221" s="23">
        <f t="shared" si="9"/>
        <v>0.14930555555474712</v>
      </c>
      <c r="G221" s="24">
        <f t="shared" si="11"/>
        <v>83.720930233011458</v>
      </c>
      <c r="H221" s="1" t="s">
        <v>1</v>
      </c>
      <c r="I221" s="4" t="s">
        <v>2</v>
      </c>
      <c r="J221" s="14">
        <v>0.60069444444444442</v>
      </c>
      <c r="K221" s="20" t="str">
        <f t="shared" si="10"/>
        <v>2nd Shift</v>
      </c>
    </row>
    <row r="222" spans="1:11" x14ac:dyDescent="0.25">
      <c r="A222" s="1">
        <v>221</v>
      </c>
      <c r="B222" s="1">
        <v>11</v>
      </c>
      <c r="C222" s="3">
        <v>11115271481900</v>
      </c>
      <c r="D222" s="2">
        <v>44388.600694444445</v>
      </c>
      <c r="E222" s="2">
        <v>44388.75</v>
      </c>
      <c r="F222" s="23">
        <f t="shared" si="9"/>
        <v>0.14930555555474712</v>
      </c>
      <c r="G222" s="24">
        <f t="shared" si="11"/>
        <v>83.720930233011458</v>
      </c>
      <c r="H222" s="1" t="s">
        <v>1</v>
      </c>
      <c r="I222" s="4" t="s">
        <v>2</v>
      </c>
      <c r="J222" s="14">
        <v>0.60069444444444442</v>
      </c>
      <c r="K222" s="20" t="str">
        <f t="shared" si="10"/>
        <v>2nd Shift</v>
      </c>
    </row>
    <row r="223" spans="1:11" x14ac:dyDescent="0.25">
      <c r="A223" s="1">
        <v>222</v>
      </c>
      <c r="B223" s="1">
        <v>6</v>
      </c>
      <c r="C223" s="3">
        <v>6115271696300</v>
      </c>
      <c r="D223" s="2">
        <v>44388.600694444445</v>
      </c>
      <c r="E223" s="2">
        <v>44388.75</v>
      </c>
      <c r="F223" s="23">
        <f t="shared" si="9"/>
        <v>0.14930555555474712</v>
      </c>
      <c r="G223" s="24">
        <f t="shared" si="11"/>
        <v>83.720930233011458</v>
      </c>
      <c r="H223" s="1" t="s">
        <v>1</v>
      </c>
      <c r="I223" s="4" t="s">
        <v>3</v>
      </c>
      <c r="J223" s="14">
        <v>0.60069444444444442</v>
      </c>
      <c r="K223" s="20" t="str">
        <f t="shared" si="10"/>
        <v>2nd Shift</v>
      </c>
    </row>
    <row r="224" spans="1:11" x14ac:dyDescent="0.25">
      <c r="A224" s="1">
        <v>223</v>
      </c>
      <c r="B224" s="1">
        <v>3</v>
      </c>
      <c r="C224" s="3">
        <v>3115270392400</v>
      </c>
      <c r="D224" s="2">
        <v>44388.600694444445</v>
      </c>
      <c r="E224" s="2">
        <v>44388.75</v>
      </c>
      <c r="F224" s="23">
        <f t="shared" si="9"/>
        <v>0.14930555555474712</v>
      </c>
      <c r="G224" s="24">
        <f t="shared" si="11"/>
        <v>83.720930233011458</v>
      </c>
      <c r="H224" s="1" t="s">
        <v>1</v>
      </c>
      <c r="I224" s="4" t="s">
        <v>2</v>
      </c>
      <c r="J224" s="14">
        <v>0.60069444444444442</v>
      </c>
      <c r="K224" s="20" t="str">
        <f t="shared" si="10"/>
        <v>2nd Shift</v>
      </c>
    </row>
    <row r="225" spans="1:11" x14ac:dyDescent="0.25">
      <c r="A225" s="1">
        <v>224</v>
      </c>
      <c r="B225" s="1">
        <v>14</v>
      </c>
      <c r="C225" s="3">
        <v>14115271675406</v>
      </c>
      <c r="D225" s="2">
        <v>44388.774305555555</v>
      </c>
      <c r="E225" s="2">
        <v>44388.909722222219</v>
      </c>
      <c r="F225" s="23">
        <f t="shared" si="9"/>
        <v>0.13541666666424135</v>
      </c>
      <c r="G225" s="24">
        <f t="shared" si="11"/>
        <v>92.307692309345541</v>
      </c>
      <c r="H225" s="1" t="s">
        <v>1</v>
      </c>
      <c r="I225" s="4" t="s">
        <v>3</v>
      </c>
      <c r="J225" s="14">
        <v>0.77430555555555558</v>
      </c>
      <c r="K225" s="20" t="str">
        <f t="shared" si="10"/>
        <v>2nd Shift</v>
      </c>
    </row>
    <row r="226" spans="1:11" x14ac:dyDescent="0.25">
      <c r="A226" s="1">
        <v>225</v>
      </c>
      <c r="B226" s="1">
        <v>14</v>
      </c>
      <c r="C226" s="3">
        <v>14115271673101</v>
      </c>
      <c r="D226" s="2">
        <v>44388.774305555555</v>
      </c>
      <c r="E226" s="2">
        <v>44388.909722222219</v>
      </c>
      <c r="F226" s="23">
        <f t="shared" si="9"/>
        <v>0.13541666666424135</v>
      </c>
      <c r="G226" s="24">
        <f t="shared" si="11"/>
        <v>92.307692309345541</v>
      </c>
      <c r="H226" s="1" t="s">
        <v>1</v>
      </c>
      <c r="I226" s="4" t="s">
        <v>2</v>
      </c>
      <c r="J226" s="14">
        <v>0.77430555555555558</v>
      </c>
      <c r="K226" s="20" t="str">
        <f t="shared" si="10"/>
        <v>2nd Shift</v>
      </c>
    </row>
    <row r="227" spans="1:11" x14ac:dyDescent="0.25">
      <c r="A227" s="1">
        <v>226</v>
      </c>
      <c r="B227" s="1">
        <v>11</v>
      </c>
      <c r="C227" s="3">
        <v>11115271463804</v>
      </c>
      <c r="D227" s="2">
        <v>44388.774305555555</v>
      </c>
      <c r="E227" s="2">
        <v>44388.909722222219</v>
      </c>
      <c r="F227" s="23">
        <f t="shared" si="9"/>
        <v>0.13541666666424135</v>
      </c>
      <c r="G227" s="24">
        <f t="shared" si="11"/>
        <v>92.307692309345541</v>
      </c>
      <c r="H227" s="1" t="s">
        <v>1</v>
      </c>
      <c r="I227" s="4" t="s">
        <v>2</v>
      </c>
      <c r="J227" s="14">
        <v>0.77430555555555558</v>
      </c>
      <c r="K227" s="20" t="str">
        <f t="shared" si="10"/>
        <v>2nd Shift</v>
      </c>
    </row>
    <row r="228" spans="1:11" x14ac:dyDescent="0.25">
      <c r="A228" s="1">
        <v>227</v>
      </c>
      <c r="B228" s="1">
        <v>3</v>
      </c>
      <c r="C228" s="3">
        <v>3115270341200</v>
      </c>
      <c r="D228" s="2">
        <v>44388.774305555555</v>
      </c>
      <c r="E228" s="2">
        <v>44388.909722222219</v>
      </c>
      <c r="F228" s="23">
        <f t="shared" si="9"/>
        <v>0.13541666666424135</v>
      </c>
      <c r="G228" s="24">
        <f t="shared" si="11"/>
        <v>92.307692309345541</v>
      </c>
      <c r="H228" s="1" t="s">
        <v>1</v>
      </c>
      <c r="I228" s="4" t="s">
        <v>2</v>
      </c>
      <c r="J228" s="14">
        <v>0.77430555555555558</v>
      </c>
      <c r="K228" s="20" t="str">
        <f t="shared" si="10"/>
        <v>2nd Shift</v>
      </c>
    </row>
    <row r="229" spans="1:11" x14ac:dyDescent="0.25">
      <c r="A229" s="1">
        <v>228</v>
      </c>
      <c r="B229" s="1">
        <v>2</v>
      </c>
      <c r="C229" s="3">
        <v>2115270286702</v>
      </c>
      <c r="D229" s="2">
        <v>44388.927083333336</v>
      </c>
      <c r="E229" s="2">
        <v>44388.989583333336</v>
      </c>
      <c r="F229" s="23">
        <f t="shared" si="9"/>
        <v>6.25E-2</v>
      </c>
      <c r="G229" s="24">
        <f t="shared" si="11"/>
        <v>200</v>
      </c>
      <c r="H229" s="1" t="s">
        <v>1</v>
      </c>
      <c r="I229" s="4" t="s">
        <v>2</v>
      </c>
      <c r="J229" s="14">
        <v>0.92708333333333337</v>
      </c>
      <c r="K229" s="20" t="str">
        <f t="shared" si="10"/>
        <v>3rd Shift</v>
      </c>
    </row>
    <row r="230" spans="1:11" x14ac:dyDescent="0.25">
      <c r="A230" s="1">
        <v>229</v>
      </c>
      <c r="B230" s="1">
        <v>4</v>
      </c>
      <c r="C230" s="3">
        <v>4115270830211</v>
      </c>
      <c r="D230" s="2">
        <v>44389.006944444445</v>
      </c>
      <c r="E230" s="2">
        <v>44389.145833333336</v>
      </c>
      <c r="F230" s="23">
        <f t="shared" si="9"/>
        <v>0.13888888889050577</v>
      </c>
      <c r="G230" s="24">
        <f t="shared" si="11"/>
        <v>89.999999998952262</v>
      </c>
      <c r="H230" s="1" t="s">
        <v>1</v>
      </c>
      <c r="I230" s="4" t="s">
        <v>2</v>
      </c>
      <c r="J230" s="14">
        <v>6.9444444444444441E-3</v>
      </c>
      <c r="K230" s="20" t="str">
        <f t="shared" si="10"/>
        <v>3rd Shift</v>
      </c>
    </row>
    <row r="231" spans="1:11" x14ac:dyDescent="0.25">
      <c r="A231" s="1">
        <v>230</v>
      </c>
      <c r="B231" s="1">
        <v>4</v>
      </c>
      <c r="C231" s="3">
        <v>4115270829402</v>
      </c>
      <c r="D231" s="2">
        <v>44389.006944444445</v>
      </c>
      <c r="E231" s="2">
        <v>44389.145833333336</v>
      </c>
      <c r="F231" s="23">
        <f t="shared" si="9"/>
        <v>0.13888888889050577</v>
      </c>
      <c r="G231" s="24">
        <f t="shared" si="11"/>
        <v>89.999999998952262</v>
      </c>
      <c r="H231" s="1" t="s">
        <v>1</v>
      </c>
      <c r="I231" s="4" t="s">
        <v>2</v>
      </c>
      <c r="J231" s="14">
        <v>6.9444444444444441E-3</v>
      </c>
      <c r="K231" s="20" t="str">
        <f t="shared" si="10"/>
        <v>3rd Shift</v>
      </c>
    </row>
    <row r="232" spans="1:11" x14ac:dyDescent="0.25">
      <c r="A232" s="1">
        <v>231</v>
      </c>
      <c r="B232" s="1">
        <v>7</v>
      </c>
      <c r="C232" s="3">
        <v>7115271804520</v>
      </c>
      <c r="D232" s="2">
        <v>44389.302083333336</v>
      </c>
      <c r="E232" s="2">
        <v>44389.493055555555</v>
      </c>
      <c r="F232" s="23">
        <f t="shared" si="9"/>
        <v>0.19097222221898846</v>
      </c>
      <c r="G232" s="24">
        <f t="shared" si="11"/>
        <v>65.4545454556538</v>
      </c>
      <c r="H232" s="1" t="s">
        <v>1</v>
      </c>
      <c r="I232" s="4" t="s">
        <v>3</v>
      </c>
      <c r="J232" s="14">
        <v>0.30208333333333331</v>
      </c>
      <c r="K232" s="20" t="str">
        <f t="shared" si="10"/>
        <v>1st Shift</v>
      </c>
    </row>
    <row r="233" spans="1:11" x14ac:dyDescent="0.25">
      <c r="A233" s="1">
        <v>232</v>
      </c>
      <c r="B233" s="1">
        <v>5</v>
      </c>
      <c r="C233" s="3">
        <v>5115271270007</v>
      </c>
      <c r="D233" s="2">
        <v>44389.302083333336</v>
      </c>
      <c r="E233" s="2">
        <v>44389.493055555555</v>
      </c>
      <c r="F233" s="23">
        <f t="shared" si="9"/>
        <v>0.19097222221898846</v>
      </c>
      <c r="G233" s="24">
        <f t="shared" si="11"/>
        <v>65.4545454556538</v>
      </c>
      <c r="H233" s="1" t="s">
        <v>1</v>
      </c>
      <c r="I233" s="4" t="s">
        <v>3</v>
      </c>
      <c r="J233" s="14">
        <v>0.30208333333333331</v>
      </c>
      <c r="K233" s="20" t="str">
        <f t="shared" si="10"/>
        <v>1st Shift</v>
      </c>
    </row>
    <row r="234" spans="1:11" x14ac:dyDescent="0.25">
      <c r="A234" s="1">
        <v>233</v>
      </c>
      <c r="B234" s="1">
        <v>3</v>
      </c>
      <c r="C234" s="3">
        <v>3115270350702</v>
      </c>
      <c r="D234" s="2">
        <v>44389.302083333336</v>
      </c>
      <c r="E234" s="2">
        <v>44389.493055555555</v>
      </c>
      <c r="F234" s="23">
        <f t="shared" si="9"/>
        <v>0.19097222221898846</v>
      </c>
      <c r="G234" s="24">
        <f t="shared" si="11"/>
        <v>65.4545454556538</v>
      </c>
      <c r="H234" s="1" t="s">
        <v>1</v>
      </c>
      <c r="I234" s="4" t="s">
        <v>2</v>
      </c>
      <c r="J234" s="14">
        <v>0.30208333333333331</v>
      </c>
      <c r="K234" s="20" t="str">
        <f t="shared" si="10"/>
        <v>1st Shift</v>
      </c>
    </row>
    <row r="235" spans="1:11" x14ac:dyDescent="0.25">
      <c r="A235" s="1">
        <v>234</v>
      </c>
      <c r="B235" s="1">
        <v>3</v>
      </c>
      <c r="C235" s="3">
        <v>3115270343400</v>
      </c>
      <c r="D235" s="2">
        <v>44389.302083333336</v>
      </c>
      <c r="E235" s="2">
        <v>44389.493055555555</v>
      </c>
      <c r="F235" s="23">
        <f t="shared" si="9"/>
        <v>0.19097222221898846</v>
      </c>
      <c r="G235" s="24">
        <f t="shared" si="11"/>
        <v>65.4545454556538</v>
      </c>
      <c r="H235" s="1" t="s">
        <v>1</v>
      </c>
      <c r="I235" s="4" t="s">
        <v>3</v>
      </c>
      <c r="J235" s="14">
        <v>0.30208333333333331</v>
      </c>
      <c r="K235" s="20" t="str">
        <f t="shared" si="10"/>
        <v>1st Shift</v>
      </c>
    </row>
    <row r="236" spans="1:11" x14ac:dyDescent="0.25">
      <c r="A236" s="1">
        <v>235</v>
      </c>
      <c r="B236" s="1">
        <v>2</v>
      </c>
      <c r="C236" s="3">
        <v>2115270155100</v>
      </c>
      <c r="D236" s="2">
        <v>44389.302083333336</v>
      </c>
      <c r="E236" s="2">
        <v>44389.493055555555</v>
      </c>
      <c r="F236" s="23">
        <f t="shared" si="9"/>
        <v>0.19097222221898846</v>
      </c>
      <c r="G236" s="24">
        <f t="shared" si="11"/>
        <v>65.4545454556538</v>
      </c>
      <c r="H236" s="1" t="s">
        <v>1</v>
      </c>
      <c r="I236" s="4" t="s">
        <v>2</v>
      </c>
      <c r="J236" s="14">
        <v>0.30208333333333331</v>
      </c>
      <c r="K236" s="20" t="str">
        <f t="shared" si="10"/>
        <v>1st Shift</v>
      </c>
    </row>
    <row r="237" spans="1:11" x14ac:dyDescent="0.25">
      <c r="A237" s="1">
        <v>236</v>
      </c>
      <c r="B237" s="1">
        <v>14</v>
      </c>
      <c r="C237" s="3">
        <v>14115271721604</v>
      </c>
      <c r="D237" s="2">
        <v>44389.5</v>
      </c>
      <c r="E237" s="2">
        <v>44389.583333333336</v>
      </c>
      <c r="F237" s="23">
        <f t="shared" si="9"/>
        <v>8.3333333335758653E-2</v>
      </c>
      <c r="G237" s="24">
        <f t="shared" si="11"/>
        <v>149.99999999563443</v>
      </c>
      <c r="H237" s="1" t="s">
        <v>1</v>
      </c>
      <c r="I237" s="4" t="s">
        <v>3</v>
      </c>
      <c r="J237" s="14">
        <v>0.5</v>
      </c>
      <c r="K237" s="20" t="str">
        <f t="shared" si="10"/>
        <v>1st Shift</v>
      </c>
    </row>
    <row r="238" spans="1:11" x14ac:dyDescent="0.25">
      <c r="A238" s="1">
        <v>237</v>
      </c>
      <c r="B238" s="1">
        <v>14</v>
      </c>
      <c r="C238" s="3">
        <v>14115271721601</v>
      </c>
      <c r="D238" s="2">
        <v>44389.5</v>
      </c>
      <c r="E238" s="2">
        <v>44389.583333333336</v>
      </c>
      <c r="F238" s="23">
        <f t="shared" si="9"/>
        <v>8.3333333335758653E-2</v>
      </c>
      <c r="G238" s="24">
        <f t="shared" si="11"/>
        <v>149.99999999563443</v>
      </c>
      <c r="H238" s="1" t="s">
        <v>1</v>
      </c>
      <c r="I238" s="4" t="s">
        <v>2</v>
      </c>
      <c r="J238" s="14">
        <v>0.5</v>
      </c>
      <c r="K238" s="20" t="str">
        <f t="shared" si="10"/>
        <v>1st Shift</v>
      </c>
    </row>
    <row r="239" spans="1:11" x14ac:dyDescent="0.25">
      <c r="A239" s="1">
        <v>238</v>
      </c>
      <c r="B239" s="1">
        <v>13</v>
      </c>
      <c r="C239" s="3">
        <v>13115271591703</v>
      </c>
      <c r="D239" s="2">
        <v>44389.5</v>
      </c>
      <c r="E239" s="2">
        <v>44389.583333333336</v>
      </c>
      <c r="F239" s="23">
        <f t="shared" si="9"/>
        <v>8.3333333335758653E-2</v>
      </c>
      <c r="G239" s="24">
        <f t="shared" si="11"/>
        <v>149.99999999563443</v>
      </c>
      <c r="H239" s="1" t="s">
        <v>1</v>
      </c>
      <c r="I239" s="4" t="s">
        <v>2</v>
      </c>
      <c r="J239" s="14">
        <v>0.5</v>
      </c>
      <c r="K239" s="20" t="str">
        <f t="shared" si="10"/>
        <v>1st Shift</v>
      </c>
    </row>
    <row r="240" spans="1:11" x14ac:dyDescent="0.25">
      <c r="A240" s="1">
        <v>239</v>
      </c>
      <c r="B240" s="1">
        <v>13</v>
      </c>
      <c r="C240" s="3">
        <v>13115271591701</v>
      </c>
      <c r="D240" s="2">
        <v>44389.5</v>
      </c>
      <c r="E240" s="2">
        <v>44389.583333333336</v>
      </c>
      <c r="F240" s="23">
        <f t="shared" si="9"/>
        <v>8.3333333335758653E-2</v>
      </c>
      <c r="G240" s="24">
        <f t="shared" si="11"/>
        <v>149.99999999563443</v>
      </c>
      <c r="H240" s="1" t="s">
        <v>1</v>
      </c>
      <c r="I240" s="4" t="s">
        <v>2</v>
      </c>
      <c r="J240" s="14">
        <v>0.5</v>
      </c>
      <c r="K240" s="20" t="str">
        <f t="shared" si="10"/>
        <v>1st Shift</v>
      </c>
    </row>
    <row r="241" spans="1:11" x14ac:dyDescent="0.25">
      <c r="A241" s="1">
        <v>240</v>
      </c>
      <c r="B241" s="1">
        <v>11</v>
      </c>
      <c r="C241" s="3">
        <v>11115271484302</v>
      </c>
      <c r="D241" s="2">
        <v>44389.5</v>
      </c>
      <c r="E241" s="2">
        <v>44389.583333333336</v>
      </c>
      <c r="F241" s="23">
        <f t="shared" si="9"/>
        <v>8.3333333335758653E-2</v>
      </c>
      <c r="G241" s="24">
        <f t="shared" si="11"/>
        <v>149.99999999563443</v>
      </c>
      <c r="H241" s="1" t="s">
        <v>1</v>
      </c>
      <c r="I241" s="4" t="s">
        <v>2</v>
      </c>
      <c r="J241" s="14">
        <v>0.5</v>
      </c>
      <c r="K241" s="20" t="str">
        <f t="shared" si="10"/>
        <v>1st Shift</v>
      </c>
    </row>
    <row r="242" spans="1:11" x14ac:dyDescent="0.25">
      <c r="A242" s="1">
        <v>241</v>
      </c>
      <c r="B242" s="1">
        <v>11</v>
      </c>
      <c r="C242" s="3">
        <v>11115271484301</v>
      </c>
      <c r="D242" s="2">
        <v>44389.5</v>
      </c>
      <c r="E242" s="2">
        <v>44389.583333333336</v>
      </c>
      <c r="F242" s="23">
        <f t="shared" si="9"/>
        <v>8.3333333335758653E-2</v>
      </c>
      <c r="G242" s="24">
        <f t="shared" si="11"/>
        <v>149.99999999563443</v>
      </c>
      <c r="H242" s="1" t="s">
        <v>1</v>
      </c>
      <c r="I242" s="4" t="s">
        <v>3</v>
      </c>
      <c r="J242" s="14">
        <v>0.5</v>
      </c>
      <c r="K242" s="20" t="str">
        <f t="shared" si="10"/>
        <v>1st Shift</v>
      </c>
    </row>
    <row r="243" spans="1:11" x14ac:dyDescent="0.25">
      <c r="A243" s="1">
        <v>242</v>
      </c>
      <c r="B243" s="1">
        <v>15</v>
      </c>
      <c r="C243" s="3">
        <v>15115271744801</v>
      </c>
      <c r="D243" s="2">
        <v>44389.604166666664</v>
      </c>
      <c r="E243" s="2">
        <v>44389.75</v>
      </c>
      <c r="F243" s="23">
        <f t="shared" si="9"/>
        <v>0.14583333333575865</v>
      </c>
      <c r="G243" s="24">
        <f t="shared" si="11"/>
        <v>85.714285712860217</v>
      </c>
      <c r="H243" s="1" t="s">
        <v>1</v>
      </c>
      <c r="I243" s="4" t="s">
        <v>2</v>
      </c>
      <c r="J243" s="14">
        <v>0.60416666666666663</v>
      </c>
      <c r="K243" s="20" t="str">
        <f t="shared" si="10"/>
        <v>2nd Shift</v>
      </c>
    </row>
    <row r="244" spans="1:11" x14ac:dyDescent="0.25">
      <c r="A244" s="1">
        <v>243</v>
      </c>
      <c r="B244" s="1">
        <v>15</v>
      </c>
      <c r="C244" s="3">
        <v>15115271744800</v>
      </c>
      <c r="D244" s="2">
        <v>44389.604166666664</v>
      </c>
      <c r="E244" s="2">
        <v>44389.75</v>
      </c>
      <c r="F244" s="23">
        <f t="shared" si="9"/>
        <v>0.14583333333575865</v>
      </c>
      <c r="G244" s="24">
        <f t="shared" si="11"/>
        <v>85.714285712860217</v>
      </c>
      <c r="H244" s="1" t="s">
        <v>1</v>
      </c>
      <c r="I244" s="4" t="s">
        <v>2</v>
      </c>
      <c r="J244" s="14">
        <v>0.60416666666666663</v>
      </c>
      <c r="K244" s="20" t="str">
        <f t="shared" si="10"/>
        <v>2nd Shift</v>
      </c>
    </row>
    <row r="245" spans="1:11" x14ac:dyDescent="0.25">
      <c r="A245" s="1">
        <v>244</v>
      </c>
      <c r="B245" s="1">
        <v>13</v>
      </c>
      <c r="C245" s="3">
        <v>13115271651703</v>
      </c>
      <c r="D245" s="2">
        <v>44389.604166666664</v>
      </c>
      <c r="E245" s="2">
        <v>44389.75</v>
      </c>
      <c r="F245" s="23">
        <f t="shared" si="9"/>
        <v>0.14583333333575865</v>
      </c>
      <c r="G245" s="24">
        <f t="shared" si="11"/>
        <v>85.714285712860217</v>
      </c>
      <c r="H245" s="1" t="s">
        <v>1</v>
      </c>
      <c r="I245" s="4" t="s">
        <v>4</v>
      </c>
      <c r="J245" s="14">
        <v>0.60416666666666663</v>
      </c>
      <c r="K245" s="20" t="str">
        <f t="shared" si="10"/>
        <v>2nd Shift</v>
      </c>
    </row>
    <row r="246" spans="1:11" x14ac:dyDescent="0.25">
      <c r="A246" s="1">
        <v>245</v>
      </c>
      <c r="B246" s="1">
        <v>13</v>
      </c>
      <c r="C246" s="3">
        <v>13115271651702</v>
      </c>
      <c r="D246" s="2">
        <v>44389.604166666664</v>
      </c>
      <c r="E246" s="2">
        <v>44389.75</v>
      </c>
      <c r="F246" s="23">
        <f t="shared" si="9"/>
        <v>0.14583333333575865</v>
      </c>
      <c r="G246" s="24">
        <f t="shared" si="11"/>
        <v>85.714285712860217</v>
      </c>
      <c r="H246" s="1" t="s">
        <v>1</v>
      </c>
      <c r="I246" s="4" t="s">
        <v>3</v>
      </c>
      <c r="J246" s="14">
        <v>0.60416666666666663</v>
      </c>
      <c r="K246" s="20" t="str">
        <f t="shared" si="10"/>
        <v>2nd Shift</v>
      </c>
    </row>
    <row r="247" spans="1:11" x14ac:dyDescent="0.25">
      <c r="A247" s="1">
        <v>246</v>
      </c>
      <c r="B247" s="1">
        <v>12</v>
      </c>
      <c r="C247" s="3">
        <v>12115271560184</v>
      </c>
      <c r="D247" s="2">
        <v>44389.604166666664</v>
      </c>
      <c r="E247" s="2">
        <v>44389.75</v>
      </c>
      <c r="F247" s="23">
        <f t="shared" si="9"/>
        <v>0.14583333333575865</v>
      </c>
      <c r="G247" s="24">
        <f t="shared" si="11"/>
        <v>85.714285712860217</v>
      </c>
      <c r="H247" s="1" t="s">
        <v>1</v>
      </c>
      <c r="I247" s="4" t="s">
        <v>4</v>
      </c>
      <c r="J247" s="14">
        <v>0.60416666666666663</v>
      </c>
      <c r="K247" s="20" t="str">
        <f t="shared" si="10"/>
        <v>2nd Shift</v>
      </c>
    </row>
    <row r="248" spans="1:11" x14ac:dyDescent="0.25">
      <c r="A248" s="1">
        <v>247</v>
      </c>
      <c r="B248" s="1">
        <v>12</v>
      </c>
      <c r="C248" s="3">
        <v>12115271560183</v>
      </c>
      <c r="D248" s="2">
        <v>44389.604166666664</v>
      </c>
      <c r="E248" s="2">
        <v>44389.75</v>
      </c>
      <c r="F248" s="23">
        <f t="shared" si="9"/>
        <v>0.14583333333575865</v>
      </c>
      <c r="G248" s="24">
        <f t="shared" si="11"/>
        <v>85.714285712860217</v>
      </c>
      <c r="H248" s="1" t="s">
        <v>1</v>
      </c>
      <c r="I248" s="4" t="s">
        <v>2</v>
      </c>
      <c r="J248" s="14">
        <v>0.60416666666666663</v>
      </c>
      <c r="K248" s="20" t="str">
        <f t="shared" si="10"/>
        <v>2nd Shift</v>
      </c>
    </row>
    <row r="249" spans="1:11" x14ac:dyDescent="0.25">
      <c r="A249" s="1">
        <v>248</v>
      </c>
      <c r="B249" s="1">
        <v>7</v>
      </c>
      <c r="C249" s="3">
        <v>7115271804616</v>
      </c>
      <c r="D249" s="2">
        <v>44389.604166666664</v>
      </c>
      <c r="E249" s="2">
        <v>44389.75</v>
      </c>
      <c r="F249" s="23">
        <f t="shared" si="9"/>
        <v>0.14583333333575865</v>
      </c>
      <c r="G249" s="24">
        <f t="shared" si="11"/>
        <v>85.714285712860217</v>
      </c>
      <c r="H249" s="1" t="s">
        <v>1</v>
      </c>
      <c r="I249" s="4" t="s">
        <v>2</v>
      </c>
      <c r="J249" s="14">
        <v>0.60416666666666663</v>
      </c>
      <c r="K249" s="20" t="str">
        <f t="shared" si="10"/>
        <v>2nd Shift</v>
      </c>
    </row>
    <row r="250" spans="1:11" x14ac:dyDescent="0.25">
      <c r="A250" s="1">
        <v>249</v>
      </c>
      <c r="B250" s="1">
        <v>7</v>
      </c>
      <c r="C250" s="3">
        <v>7115271804613</v>
      </c>
      <c r="D250" s="2">
        <v>44389.604166666664</v>
      </c>
      <c r="E250" s="2">
        <v>44389.75</v>
      </c>
      <c r="F250" s="23">
        <f t="shared" si="9"/>
        <v>0.14583333333575865</v>
      </c>
      <c r="G250" s="24">
        <f t="shared" si="11"/>
        <v>85.714285712860217</v>
      </c>
      <c r="H250" s="1" t="s">
        <v>1</v>
      </c>
      <c r="I250" s="4" t="s">
        <v>2</v>
      </c>
      <c r="J250" s="14">
        <v>0.60416666666666663</v>
      </c>
      <c r="K250" s="20" t="str">
        <f t="shared" si="10"/>
        <v>2nd Shift</v>
      </c>
    </row>
    <row r="251" spans="1:11" x14ac:dyDescent="0.25">
      <c r="A251" s="1">
        <v>250</v>
      </c>
      <c r="B251" s="1">
        <v>6</v>
      </c>
      <c r="C251" s="3">
        <v>6115271720705</v>
      </c>
      <c r="D251" s="2">
        <v>44389.604166666664</v>
      </c>
      <c r="E251" s="2">
        <v>44389.75</v>
      </c>
      <c r="F251" s="23">
        <f t="shared" si="9"/>
        <v>0.14583333333575865</v>
      </c>
      <c r="G251" s="24">
        <f t="shared" si="11"/>
        <v>85.714285712860217</v>
      </c>
      <c r="H251" s="1" t="s">
        <v>1</v>
      </c>
      <c r="I251" s="4" t="s">
        <v>2</v>
      </c>
      <c r="J251" s="14">
        <v>0.60416666666666663</v>
      </c>
      <c r="K251" s="20" t="str">
        <f t="shared" si="10"/>
        <v>2nd Shift</v>
      </c>
    </row>
    <row r="252" spans="1:11" x14ac:dyDescent="0.25">
      <c r="A252" s="1">
        <v>251</v>
      </c>
      <c r="B252" s="1">
        <v>6</v>
      </c>
      <c r="C252" s="3">
        <v>6115271720704</v>
      </c>
      <c r="D252" s="2">
        <v>44389.604166666664</v>
      </c>
      <c r="E252" s="2">
        <v>44389.75</v>
      </c>
      <c r="F252" s="23">
        <f t="shared" si="9"/>
        <v>0.14583333333575865</v>
      </c>
      <c r="G252" s="24">
        <f t="shared" si="11"/>
        <v>85.714285712860217</v>
      </c>
      <c r="H252" s="1" t="s">
        <v>1</v>
      </c>
      <c r="I252" s="4" t="s">
        <v>2</v>
      </c>
      <c r="J252" s="14">
        <v>0.60416666666666663</v>
      </c>
      <c r="K252" s="20" t="str">
        <f t="shared" si="10"/>
        <v>2nd Shift</v>
      </c>
    </row>
    <row r="253" spans="1:11" x14ac:dyDescent="0.25">
      <c r="A253" s="1">
        <v>252</v>
      </c>
      <c r="B253" s="1">
        <v>4</v>
      </c>
      <c r="C253" s="3">
        <v>4115270825901</v>
      </c>
      <c r="D253" s="2">
        <v>44389.604166666664</v>
      </c>
      <c r="E253" s="2">
        <v>44389.75</v>
      </c>
      <c r="F253" s="23">
        <f t="shared" si="9"/>
        <v>0.14583333333575865</v>
      </c>
      <c r="G253" s="24">
        <f t="shared" si="11"/>
        <v>85.714285712860217</v>
      </c>
      <c r="H253" s="1" t="s">
        <v>1</v>
      </c>
      <c r="I253" s="4" t="s">
        <v>3</v>
      </c>
      <c r="J253" s="14">
        <v>0.60416666666666663</v>
      </c>
      <c r="K253" s="20" t="str">
        <f t="shared" si="10"/>
        <v>2nd Shift</v>
      </c>
    </row>
    <row r="254" spans="1:11" x14ac:dyDescent="0.25">
      <c r="A254" s="1">
        <v>253</v>
      </c>
      <c r="B254" s="1">
        <v>4</v>
      </c>
      <c r="C254" s="3">
        <v>4115270825900</v>
      </c>
      <c r="D254" s="2">
        <v>44389.604166666664</v>
      </c>
      <c r="E254" s="2">
        <v>44389.75</v>
      </c>
      <c r="F254" s="23">
        <f t="shared" si="9"/>
        <v>0.14583333333575865</v>
      </c>
      <c r="G254" s="24">
        <f t="shared" si="11"/>
        <v>85.714285712860217</v>
      </c>
      <c r="H254" s="1" t="s">
        <v>1</v>
      </c>
      <c r="I254" s="4" t="s">
        <v>2</v>
      </c>
      <c r="J254" s="14">
        <v>0.60416666666666663</v>
      </c>
      <c r="K254" s="20" t="str">
        <f t="shared" si="10"/>
        <v>2nd Shift</v>
      </c>
    </row>
    <row r="255" spans="1:11" x14ac:dyDescent="0.25">
      <c r="A255" s="1">
        <v>254</v>
      </c>
      <c r="B255" s="1">
        <v>6</v>
      </c>
      <c r="C255" s="3">
        <v>6115271738509</v>
      </c>
      <c r="D255" s="2">
        <v>44389.8125</v>
      </c>
      <c r="E255" s="2">
        <v>44389.909722222219</v>
      </c>
      <c r="F255" s="23">
        <f t="shared" si="9"/>
        <v>9.7222222218988463E-2</v>
      </c>
      <c r="G255" s="24">
        <f t="shared" si="11"/>
        <v>128.57142857570506</v>
      </c>
      <c r="H255" s="1" t="s">
        <v>1</v>
      </c>
      <c r="I255" s="4" t="s">
        <v>2</v>
      </c>
      <c r="J255" s="14">
        <v>0.8125</v>
      </c>
      <c r="K255" s="20" t="str">
        <f t="shared" si="10"/>
        <v>2nd Shift</v>
      </c>
    </row>
    <row r="256" spans="1:11" x14ac:dyDescent="0.25">
      <c r="A256" s="1">
        <v>255</v>
      </c>
      <c r="B256" s="1">
        <v>5</v>
      </c>
      <c r="C256" s="3">
        <v>5115271685050</v>
      </c>
      <c r="D256" s="2">
        <v>44389.8125</v>
      </c>
      <c r="E256" s="2">
        <v>44389.909722222219</v>
      </c>
      <c r="F256" s="23">
        <f t="shared" si="9"/>
        <v>9.7222222218988463E-2</v>
      </c>
      <c r="G256" s="24">
        <f t="shared" si="11"/>
        <v>128.57142857570506</v>
      </c>
      <c r="H256" s="1" t="s">
        <v>1</v>
      </c>
      <c r="I256" s="4" t="s">
        <v>2</v>
      </c>
      <c r="J256" s="14">
        <v>0.8125</v>
      </c>
      <c r="K256" s="20" t="str">
        <f t="shared" si="10"/>
        <v>2nd Shift</v>
      </c>
    </row>
    <row r="257" spans="1:11" x14ac:dyDescent="0.25">
      <c r="A257" s="1">
        <v>256</v>
      </c>
      <c r="B257" s="1">
        <v>3</v>
      </c>
      <c r="C257" s="3">
        <v>3115270824800</v>
      </c>
      <c r="D257" s="2">
        <v>44389.8125</v>
      </c>
      <c r="E257" s="2">
        <v>44389.909722222219</v>
      </c>
      <c r="F257" s="23">
        <f t="shared" si="9"/>
        <v>9.7222222218988463E-2</v>
      </c>
      <c r="G257" s="24">
        <f t="shared" si="11"/>
        <v>128.57142857570506</v>
      </c>
      <c r="H257" s="1" t="s">
        <v>1</v>
      </c>
      <c r="I257" s="4" t="s">
        <v>3</v>
      </c>
      <c r="J257" s="14">
        <v>0.8125</v>
      </c>
      <c r="K257" s="20" t="str">
        <f t="shared" si="10"/>
        <v>2nd Shift</v>
      </c>
    </row>
    <row r="258" spans="1:11" x14ac:dyDescent="0.25">
      <c r="A258" s="1">
        <v>257</v>
      </c>
      <c r="B258" s="1">
        <v>3</v>
      </c>
      <c r="C258" s="3">
        <v>3115270824800</v>
      </c>
      <c r="D258" s="2">
        <v>44389.8125</v>
      </c>
      <c r="E258" s="2">
        <v>44389.909722222219</v>
      </c>
      <c r="F258" s="23">
        <f t="shared" ref="F258:F321" si="12">E258-D258</f>
        <v>9.7222222218988463E-2</v>
      </c>
      <c r="G258" s="24">
        <f t="shared" si="11"/>
        <v>128.57142857570506</v>
      </c>
      <c r="H258" s="1" t="s">
        <v>1</v>
      </c>
      <c r="I258" s="4" t="s">
        <v>2</v>
      </c>
      <c r="J258" s="14">
        <v>0.8125</v>
      </c>
      <c r="K258" s="20" t="str">
        <f t="shared" ref="K258:K321" si="13">IF(AND(J258&gt;=$M$3,J258&lt;$M$4),"1st Shift",IF(AND(J258&gt;=$M$4,J258&lt;$M$5),"2nd Shift","3rd Shift"))</f>
        <v>2nd Shift</v>
      </c>
    </row>
    <row r="259" spans="1:11" x14ac:dyDescent="0.25">
      <c r="A259" s="1">
        <v>258</v>
      </c>
      <c r="B259" s="1">
        <v>5</v>
      </c>
      <c r="C259" s="3">
        <v>5115271685050</v>
      </c>
      <c r="D259" s="2">
        <v>44389.979166666664</v>
      </c>
      <c r="E259" s="2">
        <v>44390.083333333336</v>
      </c>
      <c r="F259" s="23">
        <f t="shared" si="12"/>
        <v>0.10416666667151731</v>
      </c>
      <c r="G259" s="24">
        <f t="shared" ref="G259:G322" si="14">$M$9/F259*100</f>
        <v>119.99999999441206</v>
      </c>
      <c r="H259" s="1" t="s">
        <v>1</v>
      </c>
      <c r="I259" s="4" t="s">
        <v>2</v>
      </c>
      <c r="J259" s="14">
        <v>0.97916666666666663</v>
      </c>
      <c r="K259" s="20" t="str">
        <f t="shared" si="13"/>
        <v>3rd Shift</v>
      </c>
    </row>
    <row r="260" spans="1:11" x14ac:dyDescent="0.25">
      <c r="A260" s="1">
        <v>259</v>
      </c>
      <c r="B260" s="1">
        <v>3</v>
      </c>
      <c r="C260" s="3">
        <v>3115270429100</v>
      </c>
      <c r="D260" s="2">
        <v>44389.979166666664</v>
      </c>
      <c r="E260" s="2">
        <v>44390.083333333336</v>
      </c>
      <c r="F260" s="23">
        <f t="shared" si="12"/>
        <v>0.10416666667151731</v>
      </c>
      <c r="G260" s="24">
        <f t="shared" si="14"/>
        <v>119.99999999441206</v>
      </c>
      <c r="H260" s="1" t="s">
        <v>1</v>
      </c>
      <c r="I260" s="4" t="s">
        <v>2</v>
      </c>
      <c r="J260" s="14">
        <v>0.97916666666666663</v>
      </c>
      <c r="K260" s="20" t="str">
        <f t="shared" si="13"/>
        <v>3rd Shift</v>
      </c>
    </row>
    <row r="261" spans="1:11" x14ac:dyDescent="0.25">
      <c r="A261" s="1">
        <v>260</v>
      </c>
      <c r="B261" s="1">
        <v>15</v>
      </c>
      <c r="C261" s="3">
        <v>15115271757000</v>
      </c>
      <c r="D261" s="2">
        <v>44390.375</v>
      </c>
      <c r="E261" s="2">
        <v>44390.479166666664</v>
      </c>
      <c r="F261" s="23">
        <f t="shared" si="12"/>
        <v>0.10416666666424135</v>
      </c>
      <c r="G261" s="24">
        <f t="shared" si="14"/>
        <v>120.00000000279397</v>
      </c>
      <c r="H261" s="1" t="s">
        <v>1</v>
      </c>
      <c r="I261" s="4" t="s">
        <v>3</v>
      </c>
      <c r="J261" s="14">
        <v>0.375</v>
      </c>
      <c r="K261" s="20" t="str">
        <f t="shared" si="13"/>
        <v>1st Shift</v>
      </c>
    </row>
    <row r="262" spans="1:11" x14ac:dyDescent="0.25">
      <c r="A262" s="1">
        <v>261</v>
      </c>
      <c r="B262" s="1">
        <v>13</v>
      </c>
      <c r="C262" s="3">
        <v>13115271592000</v>
      </c>
      <c r="D262" s="2">
        <v>44390.375</v>
      </c>
      <c r="E262" s="2">
        <v>44390.479166666664</v>
      </c>
      <c r="F262" s="23">
        <f t="shared" si="12"/>
        <v>0.10416666666424135</v>
      </c>
      <c r="G262" s="24">
        <f t="shared" si="14"/>
        <v>120.00000000279397</v>
      </c>
      <c r="H262" s="1" t="s">
        <v>1</v>
      </c>
      <c r="I262" s="4" t="s">
        <v>3</v>
      </c>
      <c r="J262" s="14">
        <v>0.375</v>
      </c>
      <c r="K262" s="20" t="str">
        <f t="shared" si="13"/>
        <v>1st Shift</v>
      </c>
    </row>
    <row r="263" spans="1:11" x14ac:dyDescent="0.25">
      <c r="A263" s="1">
        <v>262</v>
      </c>
      <c r="B263" s="1">
        <v>10</v>
      </c>
      <c r="C263" s="3">
        <v>10115270963400</v>
      </c>
      <c r="D263" s="2">
        <v>44390.375</v>
      </c>
      <c r="E263" s="2">
        <v>44390.479166666664</v>
      </c>
      <c r="F263" s="23">
        <f t="shared" si="12"/>
        <v>0.10416666666424135</v>
      </c>
      <c r="G263" s="24">
        <f t="shared" si="14"/>
        <v>120.00000000279397</v>
      </c>
      <c r="H263" s="1" t="s">
        <v>1</v>
      </c>
      <c r="I263" s="4" t="s">
        <v>2</v>
      </c>
      <c r="J263" s="14">
        <v>0.375</v>
      </c>
      <c r="K263" s="20" t="str">
        <f t="shared" si="13"/>
        <v>1st Shift</v>
      </c>
    </row>
    <row r="264" spans="1:11" x14ac:dyDescent="0.25">
      <c r="A264" s="1">
        <v>263</v>
      </c>
      <c r="B264" s="1">
        <v>6</v>
      </c>
      <c r="C264" s="3">
        <v>6115271723031</v>
      </c>
      <c r="D264" s="2">
        <v>44390.375</v>
      </c>
      <c r="E264" s="2">
        <v>44390.479166666664</v>
      </c>
      <c r="F264" s="23">
        <f t="shared" si="12"/>
        <v>0.10416666666424135</v>
      </c>
      <c r="G264" s="24">
        <f t="shared" si="14"/>
        <v>120.00000000279397</v>
      </c>
      <c r="H264" s="1" t="s">
        <v>1</v>
      </c>
      <c r="I264" s="4" t="s">
        <v>2</v>
      </c>
      <c r="J264" s="14">
        <v>0.375</v>
      </c>
      <c r="K264" s="20" t="str">
        <f t="shared" si="13"/>
        <v>1st Shift</v>
      </c>
    </row>
    <row r="265" spans="1:11" x14ac:dyDescent="0.25">
      <c r="A265" s="1">
        <v>264</v>
      </c>
      <c r="B265" s="1">
        <v>9</v>
      </c>
      <c r="C265" s="3">
        <v>9115271934700</v>
      </c>
      <c r="D265" s="2">
        <v>44390.5</v>
      </c>
      <c r="E265" s="2">
        <v>44390.569444444445</v>
      </c>
      <c r="F265" s="23">
        <f t="shared" si="12"/>
        <v>6.9444444445252884E-2</v>
      </c>
      <c r="G265" s="24">
        <f t="shared" si="14"/>
        <v>179.99999999790452</v>
      </c>
      <c r="H265" s="1" t="s">
        <v>1</v>
      </c>
      <c r="I265" s="4" t="s">
        <v>3</v>
      </c>
      <c r="J265" s="14">
        <v>0.5</v>
      </c>
      <c r="K265" s="20" t="str">
        <f t="shared" si="13"/>
        <v>1st Shift</v>
      </c>
    </row>
    <row r="266" spans="1:11" x14ac:dyDescent="0.25">
      <c r="A266" s="1">
        <v>265</v>
      </c>
      <c r="B266" s="1">
        <v>7</v>
      </c>
      <c r="C266" s="3">
        <v>7115271760305</v>
      </c>
      <c r="D266" s="2">
        <v>44390.5</v>
      </c>
      <c r="E266" s="2">
        <v>44390.569444444445</v>
      </c>
      <c r="F266" s="23">
        <f t="shared" si="12"/>
        <v>6.9444444445252884E-2</v>
      </c>
      <c r="G266" s="24">
        <f t="shared" si="14"/>
        <v>179.99999999790452</v>
      </c>
      <c r="H266" s="1" t="s">
        <v>1</v>
      </c>
      <c r="I266" s="4" t="s">
        <v>2</v>
      </c>
      <c r="J266" s="14">
        <v>0.5</v>
      </c>
      <c r="K266" s="20" t="str">
        <f t="shared" si="13"/>
        <v>1st Shift</v>
      </c>
    </row>
    <row r="267" spans="1:11" x14ac:dyDescent="0.25">
      <c r="A267" s="1">
        <v>266</v>
      </c>
      <c r="B267" s="1">
        <v>6</v>
      </c>
      <c r="C267" s="3">
        <v>6115271705400</v>
      </c>
      <c r="D267" s="2">
        <v>44390.5</v>
      </c>
      <c r="E267" s="2">
        <v>44390.569444444445</v>
      </c>
      <c r="F267" s="23">
        <f t="shared" si="12"/>
        <v>6.9444444445252884E-2</v>
      </c>
      <c r="G267" s="24">
        <f t="shared" si="14"/>
        <v>179.99999999790452</v>
      </c>
      <c r="H267" s="1" t="s">
        <v>1</v>
      </c>
      <c r="I267" s="4" t="s">
        <v>2</v>
      </c>
      <c r="J267" s="14">
        <v>0.5</v>
      </c>
      <c r="K267" s="20" t="str">
        <f t="shared" si="13"/>
        <v>1st Shift</v>
      </c>
    </row>
    <row r="268" spans="1:11" x14ac:dyDescent="0.25">
      <c r="A268" s="1">
        <v>267</v>
      </c>
      <c r="B268" s="1">
        <v>17</v>
      </c>
      <c r="C268" s="3">
        <v>17115271672701</v>
      </c>
      <c r="D268" s="2">
        <v>44390.604166666664</v>
      </c>
      <c r="E268" s="2">
        <v>44390.732638888891</v>
      </c>
      <c r="F268" s="23">
        <f t="shared" si="12"/>
        <v>0.12847222222626442</v>
      </c>
      <c r="G268" s="24">
        <f t="shared" si="14"/>
        <v>97.297297294235975</v>
      </c>
      <c r="H268" s="1" t="s">
        <v>1</v>
      </c>
      <c r="I268" s="4" t="s">
        <v>2</v>
      </c>
      <c r="J268" s="14">
        <v>0.60416666666666663</v>
      </c>
      <c r="K268" s="20" t="str">
        <f t="shared" si="13"/>
        <v>2nd Shift</v>
      </c>
    </row>
    <row r="269" spans="1:11" x14ac:dyDescent="0.25">
      <c r="A269" s="1">
        <v>268</v>
      </c>
      <c r="B269" s="1">
        <v>17</v>
      </c>
      <c r="C269" s="3">
        <v>17115271672700</v>
      </c>
      <c r="D269" s="2">
        <v>44390.604166666664</v>
      </c>
      <c r="E269" s="2">
        <v>44390.732638888891</v>
      </c>
      <c r="F269" s="23">
        <f t="shared" si="12"/>
        <v>0.12847222222626442</v>
      </c>
      <c r="G269" s="24">
        <f t="shared" si="14"/>
        <v>97.297297294235975</v>
      </c>
      <c r="H269" s="1" t="s">
        <v>1</v>
      </c>
      <c r="I269" s="4" t="s">
        <v>2</v>
      </c>
      <c r="J269" s="14">
        <v>0.60416666666666663</v>
      </c>
      <c r="K269" s="20" t="str">
        <f t="shared" si="13"/>
        <v>2nd Shift</v>
      </c>
    </row>
    <row r="270" spans="1:11" x14ac:dyDescent="0.25">
      <c r="A270" s="1">
        <v>269</v>
      </c>
      <c r="B270" s="1">
        <v>17</v>
      </c>
      <c r="C270" s="3">
        <v>17115271672700</v>
      </c>
      <c r="D270" s="2">
        <v>44390.604166666664</v>
      </c>
      <c r="E270" s="2">
        <v>44390.732638888891</v>
      </c>
      <c r="F270" s="23">
        <f t="shared" si="12"/>
        <v>0.12847222222626442</v>
      </c>
      <c r="G270" s="24">
        <f t="shared" si="14"/>
        <v>97.297297294235975</v>
      </c>
      <c r="H270" s="1" t="s">
        <v>1</v>
      </c>
      <c r="I270" s="4" t="s">
        <v>2</v>
      </c>
      <c r="J270" s="14">
        <v>0.60416666666666663</v>
      </c>
      <c r="K270" s="20" t="str">
        <f t="shared" si="13"/>
        <v>2nd Shift</v>
      </c>
    </row>
    <row r="271" spans="1:11" x14ac:dyDescent="0.25">
      <c r="A271" s="1">
        <v>270</v>
      </c>
      <c r="B271" s="1">
        <v>13</v>
      </c>
      <c r="C271" s="3">
        <v>13115271601527</v>
      </c>
      <c r="D271" s="2">
        <v>44390.604166666664</v>
      </c>
      <c r="E271" s="2">
        <v>44390.732638888891</v>
      </c>
      <c r="F271" s="23">
        <f t="shared" si="12"/>
        <v>0.12847222222626442</v>
      </c>
      <c r="G271" s="24">
        <f t="shared" si="14"/>
        <v>97.297297294235975</v>
      </c>
      <c r="H271" s="1" t="s">
        <v>1</v>
      </c>
      <c r="I271" s="4" t="s">
        <v>4</v>
      </c>
      <c r="J271" s="14">
        <v>0.60416666666666663</v>
      </c>
      <c r="K271" s="20" t="str">
        <f t="shared" si="13"/>
        <v>2nd Shift</v>
      </c>
    </row>
    <row r="272" spans="1:11" x14ac:dyDescent="0.25">
      <c r="A272" s="1">
        <v>271</v>
      </c>
      <c r="B272" s="1">
        <v>13</v>
      </c>
      <c r="C272" s="3">
        <v>13115271601526</v>
      </c>
      <c r="D272" s="2">
        <v>44390.604166666664</v>
      </c>
      <c r="E272" s="2">
        <v>44390.732638888891</v>
      </c>
      <c r="F272" s="23">
        <f t="shared" si="12"/>
        <v>0.12847222222626442</v>
      </c>
      <c r="G272" s="24">
        <f t="shared" si="14"/>
        <v>97.297297294235975</v>
      </c>
      <c r="H272" s="1" t="s">
        <v>1</v>
      </c>
      <c r="I272" s="4" t="s">
        <v>3</v>
      </c>
      <c r="J272" s="14">
        <v>0.60416666666666663</v>
      </c>
      <c r="K272" s="20" t="str">
        <f t="shared" si="13"/>
        <v>2nd Shift</v>
      </c>
    </row>
    <row r="273" spans="1:11" x14ac:dyDescent="0.25">
      <c r="A273" s="1">
        <v>272</v>
      </c>
      <c r="B273" s="1">
        <v>11</v>
      </c>
      <c r="C273" s="3">
        <v>11115271544405</v>
      </c>
      <c r="D273" s="2">
        <v>44390.604166666664</v>
      </c>
      <c r="E273" s="2">
        <v>44390.732638888891</v>
      </c>
      <c r="F273" s="23">
        <f t="shared" si="12"/>
        <v>0.12847222222626442</v>
      </c>
      <c r="G273" s="24">
        <f t="shared" si="14"/>
        <v>97.297297294235975</v>
      </c>
      <c r="H273" s="1" t="s">
        <v>1</v>
      </c>
      <c r="I273" s="4" t="s">
        <v>2</v>
      </c>
      <c r="J273" s="14">
        <v>0.60416666666666663</v>
      </c>
      <c r="K273" s="20" t="str">
        <f t="shared" si="13"/>
        <v>2nd Shift</v>
      </c>
    </row>
    <row r="274" spans="1:11" x14ac:dyDescent="0.25">
      <c r="A274" s="1">
        <v>273</v>
      </c>
      <c r="B274" s="1">
        <v>11</v>
      </c>
      <c r="C274" s="3">
        <v>11115271544404</v>
      </c>
      <c r="D274" s="2">
        <v>44390.604166666664</v>
      </c>
      <c r="E274" s="2">
        <v>44390.732638888891</v>
      </c>
      <c r="F274" s="23">
        <f t="shared" si="12"/>
        <v>0.12847222222626442</v>
      </c>
      <c r="G274" s="24">
        <f t="shared" si="14"/>
        <v>97.297297294235975</v>
      </c>
      <c r="H274" s="1" t="s">
        <v>1</v>
      </c>
      <c r="I274" s="4" t="s">
        <v>2</v>
      </c>
      <c r="J274" s="14">
        <v>0.60416666666666663</v>
      </c>
      <c r="K274" s="20" t="str">
        <f t="shared" si="13"/>
        <v>2nd Shift</v>
      </c>
    </row>
    <row r="275" spans="1:11" x14ac:dyDescent="0.25">
      <c r="A275" s="1">
        <v>274</v>
      </c>
      <c r="B275" s="1">
        <v>6</v>
      </c>
      <c r="C275" s="3">
        <v>6115271690405</v>
      </c>
      <c r="D275" s="2">
        <v>44390.604166666664</v>
      </c>
      <c r="E275" s="2">
        <v>44390.732638888891</v>
      </c>
      <c r="F275" s="23">
        <f t="shared" si="12"/>
        <v>0.12847222222626442</v>
      </c>
      <c r="G275" s="24">
        <f t="shared" si="14"/>
        <v>97.297297294235975</v>
      </c>
      <c r="H275" s="1" t="s">
        <v>1</v>
      </c>
      <c r="I275" s="4" t="s">
        <v>2</v>
      </c>
      <c r="J275" s="14">
        <v>0.60416666666666663</v>
      </c>
      <c r="K275" s="20" t="str">
        <f t="shared" si="13"/>
        <v>2nd Shift</v>
      </c>
    </row>
    <row r="276" spans="1:11" x14ac:dyDescent="0.25">
      <c r="A276" s="1">
        <v>275</v>
      </c>
      <c r="B276" s="1">
        <v>4</v>
      </c>
      <c r="C276" s="3">
        <v>4115271058201</v>
      </c>
      <c r="D276" s="2">
        <v>44390.604166666664</v>
      </c>
      <c r="E276" s="2">
        <v>44390.732638888891</v>
      </c>
      <c r="F276" s="23">
        <f t="shared" si="12"/>
        <v>0.12847222222626442</v>
      </c>
      <c r="G276" s="24">
        <f t="shared" si="14"/>
        <v>97.297297294235975</v>
      </c>
      <c r="H276" s="1" t="s">
        <v>1</v>
      </c>
      <c r="I276" s="4" t="s">
        <v>2</v>
      </c>
      <c r="J276" s="14">
        <v>0.60416666666666663</v>
      </c>
      <c r="K276" s="20" t="str">
        <f t="shared" si="13"/>
        <v>2nd Shift</v>
      </c>
    </row>
    <row r="277" spans="1:11" x14ac:dyDescent="0.25">
      <c r="A277" s="1">
        <v>276</v>
      </c>
      <c r="B277" s="1">
        <v>12</v>
      </c>
      <c r="C277" s="3">
        <v>12115271571048</v>
      </c>
      <c r="D277" s="2">
        <v>44390.75</v>
      </c>
      <c r="E277" s="2">
        <v>44390.909722222219</v>
      </c>
      <c r="F277" s="23">
        <f t="shared" si="12"/>
        <v>0.15972222221898846</v>
      </c>
      <c r="G277" s="24">
        <f t="shared" si="14"/>
        <v>78.260869566801873</v>
      </c>
      <c r="H277" s="1" t="s">
        <v>1</v>
      </c>
      <c r="I277" s="4" t="s">
        <v>5</v>
      </c>
      <c r="J277" s="14">
        <v>0.75</v>
      </c>
      <c r="K277" s="20" t="str">
        <f t="shared" si="13"/>
        <v>2nd Shift</v>
      </c>
    </row>
    <row r="278" spans="1:11" x14ac:dyDescent="0.25">
      <c r="A278" s="1">
        <v>277</v>
      </c>
      <c r="B278" s="1">
        <v>12</v>
      </c>
      <c r="C278" s="3">
        <v>12115271571047</v>
      </c>
      <c r="D278" s="2">
        <v>44390.75</v>
      </c>
      <c r="E278" s="2">
        <v>44390.909722222219</v>
      </c>
      <c r="F278" s="23">
        <f t="shared" si="12"/>
        <v>0.15972222221898846</v>
      </c>
      <c r="G278" s="24">
        <f t="shared" si="14"/>
        <v>78.260869566801873</v>
      </c>
      <c r="H278" s="1" t="s">
        <v>1</v>
      </c>
      <c r="I278" s="4" t="s">
        <v>3</v>
      </c>
      <c r="J278" s="14">
        <v>0.75</v>
      </c>
      <c r="K278" s="20" t="str">
        <f t="shared" si="13"/>
        <v>2nd Shift</v>
      </c>
    </row>
    <row r="279" spans="1:11" x14ac:dyDescent="0.25">
      <c r="A279" s="1">
        <v>278</v>
      </c>
      <c r="B279" s="1">
        <v>8</v>
      </c>
      <c r="C279" s="3">
        <v>8115271839801</v>
      </c>
      <c r="D279" s="2">
        <v>44390.75</v>
      </c>
      <c r="E279" s="2">
        <v>44390.909722222219</v>
      </c>
      <c r="F279" s="23">
        <f t="shared" si="12"/>
        <v>0.15972222221898846</v>
      </c>
      <c r="G279" s="24">
        <f t="shared" si="14"/>
        <v>78.260869566801873</v>
      </c>
      <c r="H279" s="1" t="s">
        <v>1</v>
      </c>
      <c r="I279" s="4" t="s">
        <v>2</v>
      </c>
      <c r="J279" s="14">
        <v>0.75</v>
      </c>
      <c r="K279" s="20" t="str">
        <f t="shared" si="13"/>
        <v>2nd Shift</v>
      </c>
    </row>
    <row r="280" spans="1:11" x14ac:dyDescent="0.25">
      <c r="A280" s="1">
        <v>279</v>
      </c>
      <c r="B280" s="1">
        <v>8</v>
      </c>
      <c r="C280" s="3">
        <v>8115271839800</v>
      </c>
      <c r="D280" s="2">
        <v>44390.75</v>
      </c>
      <c r="E280" s="2">
        <v>44390.909722222219</v>
      </c>
      <c r="F280" s="23">
        <f t="shared" si="12"/>
        <v>0.15972222221898846</v>
      </c>
      <c r="G280" s="24">
        <f t="shared" si="14"/>
        <v>78.260869566801873</v>
      </c>
      <c r="H280" s="1" t="s">
        <v>1</v>
      </c>
      <c r="I280" s="4" t="s">
        <v>2</v>
      </c>
      <c r="J280" s="14">
        <v>0.75</v>
      </c>
      <c r="K280" s="20" t="str">
        <f t="shared" si="13"/>
        <v>2nd Shift</v>
      </c>
    </row>
    <row r="281" spans="1:11" x14ac:dyDescent="0.25">
      <c r="A281" s="1">
        <v>280</v>
      </c>
      <c r="B281" s="1">
        <v>6</v>
      </c>
      <c r="C281" s="3">
        <v>6115271723201</v>
      </c>
      <c r="D281" s="2">
        <v>44390.75</v>
      </c>
      <c r="E281" s="2">
        <v>44390.909722222219</v>
      </c>
      <c r="F281" s="23">
        <f t="shared" si="12"/>
        <v>0.15972222221898846</v>
      </c>
      <c r="G281" s="24">
        <f t="shared" si="14"/>
        <v>78.260869566801873</v>
      </c>
      <c r="H281" s="1" t="s">
        <v>1</v>
      </c>
      <c r="I281" s="4" t="s">
        <v>2</v>
      </c>
      <c r="J281" s="14">
        <v>0.75</v>
      </c>
      <c r="K281" s="20" t="str">
        <f t="shared" si="13"/>
        <v>2nd Shift</v>
      </c>
    </row>
    <row r="282" spans="1:11" x14ac:dyDescent="0.25">
      <c r="A282" s="1">
        <v>281</v>
      </c>
      <c r="B282" s="1">
        <v>6</v>
      </c>
      <c r="C282" s="3">
        <v>6115271723200</v>
      </c>
      <c r="D282" s="2">
        <v>44390.75</v>
      </c>
      <c r="E282" s="2">
        <v>44390.909722222219</v>
      </c>
      <c r="F282" s="23">
        <f t="shared" si="12"/>
        <v>0.15972222221898846</v>
      </c>
      <c r="G282" s="24">
        <f t="shared" si="14"/>
        <v>78.260869566801873</v>
      </c>
      <c r="H282" s="1" t="s">
        <v>1</v>
      </c>
      <c r="I282" s="4" t="s">
        <v>2</v>
      </c>
      <c r="J282" s="14">
        <v>0.75</v>
      </c>
      <c r="K282" s="20" t="str">
        <f t="shared" si="13"/>
        <v>2nd Shift</v>
      </c>
    </row>
    <row r="283" spans="1:11" x14ac:dyDescent="0.25">
      <c r="A283" s="1">
        <v>282</v>
      </c>
      <c r="B283" s="1">
        <v>2</v>
      </c>
      <c r="C283" s="3">
        <v>2115270184101</v>
      </c>
      <c r="D283" s="2">
        <v>44390.75</v>
      </c>
      <c r="E283" s="2">
        <v>44390.909722222219</v>
      </c>
      <c r="F283" s="23">
        <f t="shared" si="12"/>
        <v>0.15972222221898846</v>
      </c>
      <c r="G283" s="24">
        <f t="shared" si="14"/>
        <v>78.260869566801873</v>
      </c>
      <c r="H283" s="1" t="s">
        <v>1</v>
      </c>
      <c r="I283" s="4" t="s">
        <v>3</v>
      </c>
      <c r="J283" s="14">
        <v>0.75</v>
      </c>
      <c r="K283" s="20" t="str">
        <f t="shared" si="13"/>
        <v>2nd Shift</v>
      </c>
    </row>
    <row r="284" spans="1:11" x14ac:dyDescent="0.25">
      <c r="A284" s="1">
        <v>283</v>
      </c>
      <c r="B284" s="1">
        <v>2</v>
      </c>
      <c r="C284" s="3">
        <v>2115270184100</v>
      </c>
      <c r="D284" s="2">
        <v>44390.75</v>
      </c>
      <c r="E284" s="2">
        <v>44390.909722222219</v>
      </c>
      <c r="F284" s="23">
        <f t="shared" si="12"/>
        <v>0.15972222221898846</v>
      </c>
      <c r="G284" s="24">
        <f t="shared" si="14"/>
        <v>78.260869566801873</v>
      </c>
      <c r="H284" s="1" t="s">
        <v>1</v>
      </c>
      <c r="I284" s="4" t="s">
        <v>2</v>
      </c>
      <c r="J284" s="14">
        <v>0.75</v>
      </c>
      <c r="K284" s="20" t="str">
        <f t="shared" si="13"/>
        <v>2nd Shift</v>
      </c>
    </row>
    <row r="285" spans="1:11" x14ac:dyDescent="0.25">
      <c r="A285" s="1">
        <v>284</v>
      </c>
      <c r="B285" s="1">
        <v>2</v>
      </c>
      <c r="C285" s="3">
        <v>2115270154201</v>
      </c>
      <c r="D285" s="2">
        <v>44390.75</v>
      </c>
      <c r="E285" s="2">
        <v>44390.909722222219</v>
      </c>
      <c r="F285" s="23">
        <f t="shared" si="12"/>
        <v>0.15972222221898846</v>
      </c>
      <c r="G285" s="24">
        <f t="shared" si="14"/>
        <v>78.260869566801873</v>
      </c>
      <c r="H285" s="1" t="s">
        <v>1</v>
      </c>
      <c r="I285" s="4" t="s">
        <v>3</v>
      </c>
      <c r="J285" s="14">
        <v>0.75</v>
      </c>
      <c r="K285" s="20" t="str">
        <f t="shared" si="13"/>
        <v>2nd Shift</v>
      </c>
    </row>
    <row r="286" spans="1:11" x14ac:dyDescent="0.25">
      <c r="A286" s="1">
        <v>285</v>
      </c>
      <c r="B286" s="1">
        <v>2</v>
      </c>
      <c r="C286" s="3">
        <v>2115270154200</v>
      </c>
      <c r="D286" s="2">
        <v>44390.75</v>
      </c>
      <c r="E286" s="2">
        <v>44390.909722222219</v>
      </c>
      <c r="F286" s="23">
        <f t="shared" si="12"/>
        <v>0.15972222221898846</v>
      </c>
      <c r="G286" s="24">
        <f t="shared" si="14"/>
        <v>78.260869566801873</v>
      </c>
      <c r="H286" s="1" t="s">
        <v>1</v>
      </c>
      <c r="I286" s="4" t="s">
        <v>2</v>
      </c>
      <c r="J286" s="14">
        <v>0.75</v>
      </c>
      <c r="K286" s="20" t="str">
        <f t="shared" si="13"/>
        <v>2nd Shift</v>
      </c>
    </row>
    <row r="287" spans="1:11" x14ac:dyDescent="0.25">
      <c r="A287" s="1">
        <v>286</v>
      </c>
      <c r="B287" s="1">
        <v>10</v>
      </c>
      <c r="C287" s="3">
        <v>10115271431101</v>
      </c>
      <c r="D287" s="2">
        <v>44390.930555555555</v>
      </c>
      <c r="E287" s="2">
        <v>44390.993055555555</v>
      </c>
      <c r="F287" s="23">
        <f t="shared" si="12"/>
        <v>6.25E-2</v>
      </c>
      <c r="G287" s="24">
        <f t="shared" si="14"/>
        <v>200</v>
      </c>
      <c r="H287" s="1" t="s">
        <v>1</v>
      </c>
      <c r="I287" s="4" t="s">
        <v>2</v>
      </c>
      <c r="J287" s="14">
        <v>0.93055555555555558</v>
      </c>
      <c r="K287" s="20" t="str">
        <f t="shared" si="13"/>
        <v>3rd Shift</v>
      </c>
    </row>
    <row r="288" spans="1:11" x14ac:dyDescent="0.25">
      <c r="A288" s="1">
        <v>287</v>
      </c>
      <c r="B288" s="1">
        <v>10</v>
      </c>
      <c r="C288" s="3">
        <v>10115271431100</v>
      </c>
      <c r="D288" s="2">
        <v>44390.930555555555</v>
      </c>
      <c r="E288" s="2">
        <v>44390.993055555555</v>
      </c>
      <c r="F288" s="23">
        <f t="shared" si="12"/>
        <v>6.25E-2</v>
      </c>
      <c r="G288" s="24">
        <f t="shared" si="14"/>
        <v>200</v>
      </c>
      <c r="H288" s="1" t="s">
        <v>1</v>
      </c>
      <c r="I288" s="4" t="s">
        <v>2</v>
      </c>
      <c r="J288" s="14">
        <v>0.93055555555555558</v>
      </c>
      <c r="K288" s="20" t="str">
        <f t="shared" si="13"/>
        <v>3rd Shift</v>
      </c>
    </row>
    <row r="289" spans="1:11" x14ac:dyDescent="0.25">
      <c r="A289" s="1">
        <v>288</v>
      </c>
      <c r="B289" s="1">
        <v>10</v>
      </c>
      <c r="C289" s="3">
        <v>10115270953301</v>
      </c>
      <c r="D289" s="2">
        <v>44390.930555555555</v>
      </c>
      <c r="E289" s="2">
        <v>44390.993055555555</v>
      </c>
      <c r="F289" s="23">
        <f t="shared" si="12"/>
        <v>6.25E-2</v>
      </c>
      <c r="G289" s="24">
        <f t="shared" si="14"/>
        <v>200</v>
      </c>
      <c r="H289" s="1" t="s">
        <v>1</v>
      </c>
      <c r="I289" s="4" t="s">
        <v>2</v>
      </c>
      <c r="J289" s="14">
        <v>0.93055555555555558</v>
      </c>
      <c r="K289" s="20" t="str">
        <f t="shared" si="13"/>
        <v>3rd Shift</v>
      </c>
    </row>
    <row r="290" spans="1:11" x14ac:dyDescent="0.25">
      <c r="A290" s="1">
        <v>289</v>
      </c>
      <c r="B290" s="1">
        <v>10</v>
      </c>
      <c r="C290" s="3">
        <v>10115270953300</v>
      </c>
      <c r="D290" s="2">
        <v>44390.930555555555</v>
      </c>
      <c r="E290" s="2">
        <v>44390.993055555555</v>
      </c>
      <c r="F290" s="23">
        <f t="shared" si="12"/>
        <v>6.25E-2</v>
      </c>
      <c r="G290" s="24">
        <f t="shared" si="14"/>
        <v>200</v>
      </c>
      <c r="H290" s="1" t="s">
        <v>1</v>
      </c>
      <c r="I290" s="4" t="s">
        <v>2</v>
      </c>
      <c r="J290" s="14">
        <v>0.93055555555555558</v>
      </c>
      <c r="K290" s="20" t="str">
        <f t="shared" si="13"/>
        <v>3rd Shift</v>
      </c>
    </row>
    <row r="291" spans="1:11" x14ac:dyDescent="0.25">
      <c r="A291" s="1">
        <v>290</v>
      </c>
      <c r="B291" s="1">
        <v>14</v>
      </c>
      <c r="C291" s="3">
        <v>14115271673112</v>
      </c>
      <c r="D291" s="2">
        <v>44391.010416666664</v>
      </c>
      <c r="E291" s="2">
        <v>44391.145833333336</v>
      </c>
      <c r="F291" s="23">
        <f t="shared" si="12"/>
        <v>0.13541666667151731</v>
      </c>
      <c r="G291" s="24">
        <f t="shared" si="14"/>
        <v>92.307692304385839</v>
      </c>
      <c r="H291" s="1" t="s">
        <v>1</v>
      </c>
      <c r="I291" s="4" t="s">
        <v>2</v>
      </c>
      <c r="J291" s="14">
        <v>1.0416666666666666E-2</v>
      </c>
      <c r="K291" s="20" t="str">
        <f t="shared" si="13"/>
        <v>3rd Shift</v>
      </c>
    </row>
    <row r="292" spans="1:11" x14ac:dyDescent="0.25">
      <c r="A292" s="1">
        <v>291</v>
      </c>
      <c r="B292" s="1">
        <v>13</v>
      </c>
      <c r="C292" s="3">
        <v>13115271591400</v>
      </c>
      <c r="D292" s="2">
        <v>44391.010416666664</v>
      </c>
      <c r="E292" s="2">
        <v>44391.145833333336</v>
      </c>
      <c r="F292" s="23">
        <f t="shared" si="12"/>
        <v>0.13541666667151731</v>
      </c>
      <c r="G292" s="24">
        <f t="shared" si="14"/>
        <v>92.307692304385839</v>
      </c>
      <c r="H292" s="1" t="s">
        <v>1</v>
      </c>
      <c r="I292" s="4" t="s">
        <v>3</v>
      </c>
      <c r="J292" s="14">
        <v>1.0416666666666666E-2</v>
      </c>
      <c r="K292" s="20" t="str">
        <f t="shared" si="13"/>
        <v>3rd Shift</v>
      </c>
    </row>
    <row r="293" spans="1:11" x14ac:dyDescent="0.25">
      <c r="A293" s="1">
        <v>292</v>
      </c>
      <c r="B293" s="1">
        <v>15</v>
      </c>
      <c r="C293" s="3">
        <v>15115271781406</v>
      </c>
      <c r="D293" s="2">
        <v>44391.291666666664</v>
      </c>
      <c r="E293" s="2">
        <v>44391.520833333336</v>
      </c>
      <c r="F293" s="23">
        <f t="shared" si="12"/>
        <v>0.22916666667151731</v>
      </c>
      <c r="G293" s="24">
        <f t="shared" si="14"/>
        <v>54.545454544300007</v>
      </c>
      <c r="H293" s="1" t="s">
        <v>1</v>
      </c>
      <c r="I293" s="4" t="s">
        <v>2</v>
      </c>
      <c r="J293" s="14">
        <v>0.29166666666666669</v>
      </c>
      <c r="K293" s="20" t="str">
        <f t="shared" si="13"/>
        <v>1st Shift</v>
      </c>
    </row>
    <row r="294" spans="1:11" x14ac:dyDescent="0.25">
      <c r="A294" s="1">
        <v>293</v>
      </c>
      <c r="B294" s="1">
        <v>13</v>
      </c>
      <c r="C294" s="3">
        <v>13115271591700</v>
      </c>
      <c r="D294" s="2">
        <v>44391.291666666664</v>
      </c>
      <c r="E294" s="2">
        <v>44391.520833333336</v>
      </c>
      <c r="F294" s="23">
        <f t="shared" si="12"/>
        <v>0.22916666667151731</v>
      </c>
      <c r="G294" s="24">
        <f t="shared" si="14"/>
        <v>54.545454544300007</v>
      </c>
      <c r="H294" s="1" t="s">
        <v>1</v>
      </c>
      <c r="I294" s="4" t="s">
        <v>2</v>
      </c>
      <c r="J294" s="14">
        <v>0.29166666666666669</v>
      </c>
      <c r="K294" s="20" t="str">
        <f t="shared" si="13"/>
        <v>1st Shift</v>
      </c>
    </row>
    <row r="295" spans="1:11" x14ac:dyDescent="0.25">
      <c r="A295" s="1">
        <v>294</v>
      </c>
      <c r="B295" s="1">
        <v>12</v>
      </c>
      <c r="C295" s="3">
        <v>12115271560136</v>
      </c>
      <c r="D295" s="2">
        <v>44391.291666666664</v>
      </c>
      <c r="E295" s="2">
        <v>44391.520833333336</v>
      </c>
      <c r="F295" s="23">
        <f t="shared" si="12"/>
        <v>0.22916666667151731</v>
      </c>
      <c r="G295" s="24">
        <f t="shared" si="14"/>
        <v>54.545454544300007</v>
      </c>
      <c r="H295" s="1" t="s">
        <v>1</v>
      </c>
      <c r="I295" s="4" t="s">
        <v>2</v>
      </c>
      <c r="J295" s="14">
        <v>0.29166666666666669</v>
      </c>
      <c r="K295" s="20" t="str">
        <f t="shared" si="13"/>
        <v>1st Shift</v>
      </c>
    </row>
    <row r="296" spans="1:11" x14ac:dyDescent="0.25">
      <c r="A296" s="1">
        <v>295</v>
      </c>
      <c r="B296" s="1">
        <v>10</v>
      </c>
      <c r="C296" s="3">
        <v>10115270954200</v>
      </c>
      <c r="D296" s="2">
        <v>44391.291666666664</v>
      </c>
      <c r="E296" s="2">
        <v>44391.520833333336</v>
      </c>
      <c r="F296" s="23">
        <f t="shared" si="12"/>
        <v>0.22916666667151731</v>
      </c>
      <c r="G296" s="24">
        <f t="shared" si="14"/>
        <v>54.545454544300007</v>
      </c>
      <c r="H296" s="1" t="s">
        <v>1</v>
      </c>
      <c r="I296" s="4" t="s">
        <v>2</v>
      </c>
      <c r="J296" s="14">
        <v>0.29166666666666669</v>
      </c>
      <c r="K296" s="20" t="str">
        <f t="shared" si="13"/>
        <v>1st Shift</v>
      </c>
    </row>
    <row r="297" spans="1:11" x14ac:dyDescent="0.25">
      <c r="A297" s="1">
        <v>296</v>
      </c>
      <c r="B297" s="1">
        <v>6</v>
      </c>
      <c r="C297" s="3">
        <v>6115271740817</v>
      </c>
      <c r="D297" s="2">
        <v>44391.291666666664</v>
      </c>
      <c r="E297" s="2">
        <v>44391.520833333336</v>
      </c>
      <c r="F297" s="23">
        <f t="shared" si="12"/>
        <v>0.22916666667151731</v>
      </c>
      <c r="G297" s="24">
        <f t="shared" si="14"/>
        <v>54.545454544300007</v>
      </c>
      <c r="H297" s="1" t="s">
        <v>1</v>
      </c>
      <c r="I297" s="4" t="s">
        <v>2</v>
      </c>
      <c r="J297" s="14">
        <v>0.29166666666666669</v>
      </c>
      <c r="K297" s="20" t="str">
        <f t="shared" si="13"/>
        <v>1st Shift</v>
      </c>
    </row>
    <row r="298" spans="1:11" x14ac:dyDescent="0.25">
      <c r="A298" s="1">
        <v>297</v>
      </c>
      <c r="B298" s="1">
        <v>5</v>
      </c>
      <c r="C298" s="3">
        <v>5115271285402</v>
      </c>
      <c r="D298" s="2">
        <v>44391.291666666664</v>
      </c>
      <c r="E298" s="2">
        <v>44391.520833333336</v>
      </c>
      <c r="F298" s="23">
        <f t="shared" si="12"/>
        <v>0.22916666667151731</v>
      </c>
      <c r="G298" s="24">
        <f t="shared" si="14"/>
        <v>54.545454544300007</v>
      </c>
      <c r="H298" s="1" t="s">
        <v>1</v>
      </c>
      <c r="I298" s="4" t="s">
        <v>2</v>
      </c>
      <c r="J298" s="14">
        <v>0.29166666666666669</v>
      </c>
      <c r="K298" s="20" t="str">
        <f t="shared" si="13"/>
        <v>1st Shift</v>
      </c>
    </row>
    <row r="299" spans="1:11" x14ac:dyDescent="0.25">
      <c r="A299" s="1">
        <v>298</v>
      </c>
      <c r="B299" s="1">
        <v>4</v>
      </c>
      <c r="C299" s="3">
        <v>4115270868700</v>
      </c>
      <c r="D299" s="2">
        <v>44391.291666666664</v>
      </c>
      <c r="E299" s="2">
        <v>44391.520833333336</v>
      </c>
      <c r="F299" s="23">
        <f t="shared" si="12"/>
        <v>0.22916666667151731</v>
      </c>
      <c r="G299" s="24">
        <f t="shared" si="14"/>
        <v>54.545454544300007</v>
      </c>
      <c r="H299" s="1" t="s">
        <v>1</v>
      </c>
      <c r="I299" s="4" t="s">
        <v>2</v>
      </c>
      <c r="J299" s="14">
        <v>0.29166666666666669</v>
      </c>
      <c r="K299" s="20" t="str">
        <f t="shared" si="13"/>
        <v>1st Shift</v>
      </c>
    </row>
    <row r="300" spans="1:11" x14ac:dyDescent="0.25">
      <c r="A300" s="1">
        <v>299</v>
      </c>
      <c r="B300" s="1">
        <v>6</v>
      </c>
      <c r="C300" s="3">
        <v>6115271720814</v>
      </c>
      <c r="D300" s="2">
        <v>44391.541666666664</v>
      </c>
      <c r="E300" s="2">
        <v>44391.590277777781</v>
      </c>
      <c r="F300" s="23">
        <f t="shared" si="12"/>
        <v>4.8611111116770189E-2</v>
      </c>
      <c r="G300" s="24">
        <f t="shared" si="14"/>
        <v>257.14285711292177</v>
      </c>
      <c r="H300" s="1" t="s">
        <v>1</v>
      </c>
      <c r="I300" s="4" t="s">
        <v>2</v>
      </c>
      <c r="J300" s="14">
        <v>0.54166666666666663</v>
      </c>
      <c r="K300" s="20" t="str">
        <f t="shared" si="13"/>
        <v>1st Shift</v>
      </c>
    </row>
    <row r="301" spans="1:11" x14ac:dyDescent="0.25">
      <c r="A301" s="1">
        <v>300</v>
      </c>
      <c r="B301" s="1">
        <v>4</v>
      </c>
      <c r="C301" s="3">
        <v>4115270875801</v>
      </c>
      <c r="D301" s="2">
        <v>44391.541666666664</v>
      </c>
      <c r="E301" s="2">
        <v>44391.590277777781</v>
      </c>
      <c r="F301" s="23">
        <f t="shared" si="12"/>
        <v>4.8611111116770189E-2</v>
      </c>
      <c r="G301" s="24">
        <f t="shared" si="14"/>
        <v>257.14285711292177</v>
      </c>
      <c r="H301" s="1" t="s">
        <v>1</v>
      </c>
      <c r="I301" s="4" t="s">
        <v>2</v>
      </c>
      <c r="J301" s="14">
        <v>0.54166666666666663</v>
      </c>
      <c r="K301" s="20" t="str">
        <f t="shared" si="13"/>
        <v>1st Shift</v>
      </c>
    </row>
    <row r="302" spans="1:11" x14ac:dyDescent="0.25">
      <c r="A302" s="1">
        <v>301</v>
      </c>
      <c r="B302" s="1">
        <v>15</v>
      </c>
      <c r="C302" s="3">
        <v>15115271795016</v>
      </c>
      <c r="D302" s="2">
        <v>44391.625</v>
      </c>
      <c r="E302" s="2">
        <v>44391.770833333336</v>
      </c>
      <c r="F302" s="23">
        <f t="shared" si="12"/>
        <v>0.14583333333575865</v>
      </c>
      <c r="G302" s="24">
        <f t="shared" si="14"/>
        <v>85.714285712860217</v>
      </c>
      <c r="H302" s="1" t="s">
        <v>1</v>
      </c>
      <c r="I302" s="4" t="s">
        <v>3</v>
      </c>
      <c r="J302" s="14">
        <v>0.625</v>
      </c>
      <c r="K302" s="20" t="str">
        <f t="shared" si="13"/>
        <v>2nd Shift</v>
      </c>
    </row>
    <row r="303" spans="1:11" x14ac:dyDescent="0.25">
      <c r="A303" s="1">
        <v>302</v>
      </c>
      <c r="B303" s="1">
        <v>14</v>
      </c>
      <c r="C303" s="3">
        <v>14115271704100</v>
      </c>
      <c r="D303" s="2">
        <v>44391.625</v>
      </c>
      <c r="E303" s="2">
        <v>44391.770833333336</v>
      </c>
      <c r="F303" s="23">
        <f t="shared" si="12"/>
        <v>0.14583333333575865</v>
      </c>
      <c r="G303" s="24">
        <f t="shared" si="14"/>
        <v>85.714285712860217</v>
      </c>
      <c r="H303" s="1" t="s">
        <v>1</v>
      </c>
      <c r="I303" s="4" t="s">
        <v>2</v>
      </c>
      <c r="J303" s="14">
        <v>0.625</v>
      </c>
      <c r="K303" s="20" t="str">
        <f t="shared" si="13"/>
        <v>2nd Shift</v>
      </c>
    </row>
    <row r="304" spans="1:11" x14ac:dyDescent="0.25">
      <c r="A304" s="1">
        <v>303</v>
      </c>
      <c r="B304" s="1">
        <v>14</v>
      </c>
      <c r="C304" s="3">
        <v>14115271703000</v>
      </c>
      <c r="D304" s="2">
        <v>44391.625</v>
      </c>
      <c r="E304" s="2">
        <v>44391.770833333336</v>
      </c>
      <c r="F304" s="23">
        <f t="shared" si="12"/>
        <v>0.14583333333575865</v>
      </c>
      <c r="G304" s="24">
        <f t="shared" si="14"/>
        <v>85.714285712860217</v>
      </c>
      <c r="H304" s="1" t="s">
        <v>1</v>
      </c>
      <c r="I304" s="4" t="s">
        <v>4</v>
      </c>
      <c r="J304" s="14">
        <v>0.625</v>
      </c>
      <c r="K304" s="20" t="str">
        <f t="shared" si="13"/>
        <v>2nd Shift</v>
      </c>
    </row>
    <row r="305" spans="1:11" x14ac:dyDescent="0.25">
      <c r="A305" s="1">
        <v>304</v>
      </c>
      <c r="B305" s="1">
        <v>9</v>
      </c>
      <c r="C305" s="3">
        <v>9115270641800</v>
      </c>
      <c r="D305" s="2">
        <v>44391.625</v>
      </c>
      <c r="E305" s="2">
        <v>44391.770833333336</v>
      </c>
      <c r="F305" s="23">
        <f t="shared" si="12"/>
        <v>0.14583333333575865</v>
      </c>
      <c r="G305" s="24">
        <f t="shared" si="14"/>
        <v>85.714285712860217</v>
      </c>
      <c r="H305" s="1" t="s">
        <v>1</v>
      </c>
      <c r="I305" s="4" t="s">
        <v>2</v>
      </c>
      <c r="J305" s="14">
        <v>0.625</v>
      </c>
      <c r="K305" s="20" t="str">
        <f t="shared" si="13"/>
        <v>2nd Shift</v>
      </c>
    </row>
    <row r="306" spans="1:11" x14ac:dyDescent="0.25">
      <c r="A306" s="1">
        <v>305</v>
      </c>
      <c r="B306" s="1">
        <v>12</v>
      </c>
      <c r="C306" s="3">
        <v>12115271566215</v>
      </c>
      <c r="D306" s="2">
        <v>44391.708333333336</v>
      </c>
      <c r="E306" s="2">
        <v>44391.909722222219</v>
      </c>
      <c r="F306" s="23">
        <f t="shared" si="12"/>
        <v>0.20138888888322981</v>
      </c>
      <c r="G306" s="24">
        <f t="shared" si="14"/>
        <v>62.068965518985529</v>
      </c>
      <c r="H306" s="1" t="s">
        <v>1</v>
      </c>
      <c r="I306" s="4" t="s">
        <v>2</v>
      </c>
      <c r="J306" s="14">
        <v>0.70833333333333337</v>
      </c>
      <c r="K306" s="20" t="str">
        <f t="shared" si="13"/>
        <v>2nd Shift</v>
      </c>
    </row>
    <row r="307" spans="1:11" x14ac:dyDescent="0.25">
      <c r="A307" s="1">
        <v>306</v>
      </c>
      <c r="B307" s="1">
        <v>11</v>
      </c>
      <c r="C307" s="3">
        <v>11115271500800</v>
      </c>
      <c r="D307" s="2">
        <v>44391.708333333336</v>
      </c>
      <c r="E307" s="2">
        <v>44391.909722222219</v>
      </c>
      <c r="F307" s="23">
        <f t="shared" si="12"/>
        <v>0.20138888888322981</v>
      </c>
      <c r="G307" s="24">
        <f t="shared" si="14"/>
        <v>62.068965518985529</v>
      </c>
      <c r="H307" s="1" t="s">
        <v>1</v>
      </c>
      <c r="I307" s="4" t="s">
        <v>2</v>
      </c>
      <c r="J307" s="14">
        <v>0.70833333333333337</v>
      </c>
      <c r="K307" s="20" t="str">
        <f t="shared" si="13"/>
        <v>2nd Shift</v>
      </c>
    </row>
    <row r="308" spans="1:11" x14ac:dyDescent="0.25">
      <c r="A308" s="1">
        <v>307</v>
      </c>
      <c r="B308" s="1">
        <v>10</v>
      </c>
      <c r="C308" s="3">
        <v>10115270971901</v>
      </c>
      <c r="D308" s="2">
        <v>44391.708333333336</v>
      </c>
      <c r="E308" s="2">
        <v>44391.909722222219</v>
      </c>
      <c r="F308" s="23">
        <f t="shared" si="12"/>
        <v>0.20138888888322981</v>
      </c>
      <c r="G308" s="24">
        <f t="shared" si="14"/>
        <v>62.068965518985529</v>
      </c>
      <c r="H308" s="1" t="s">
        <v>1</v>
      </c>
      <c r="I308" s="4" t="s">
        <v>2</v>
      </c>
      <c r="J308" s="14">
        <v>0.70833333333333337</v>
      </c>
      <c r="K308" s="20" t="str">
        <f t="shared" si="13"/>
        <v>2nd Shift</v>
      </c>
    </row>
    <row r="309" spans="1:11" x14ac:dyDescent="0.25">
      <c r="A309" s="1">
        <v>308</v>
      </c>
      <c r="B309" s="1">
        <v>6</v>
      </c>
      <c r="C309" s="3">
        <v>6115271719608</v>
      </c>
      <c r="D309" s="2">
        <v>44391.9375</v>
      </c>
      <c r="E309" s="2">
        <v>44391.979166666664</v>
      </c>
      <c r="F309" s="23">
        <f t="shared" si="12"/>
        <v>4.1666666664241347E-2</v>
      </c>
      <c r="G309" s="24">
        <f t="shared" si="14"/>
        <v>300.0000000174623</v>
      </c>
      <c r="H309" s="1" t="s">
        <v>1</v>
      </c>
      <c r="I309" s="4" t="s">
        <v>3</v>
      </c>
      <c r="J309" s="14">
        <v>0.9375</v>
      </c>
      <c r="K309" s="20" t="str">
        <f t="shared" si="13"/>
        <v>3rd Shift</v>
      </c>
    </row>
    <row r="310" spans="1:11" x14ac:dyDescent="0.25">
      <c r="A310" s="1">
        <v>309</v>
      </c>
      <c r="B310" s="1">
        <v>8</v>
      </c>
      <c r="C310" s="3">
        <v>8115271830601</v>
      </c>
      <c r="D310" s="2">
        <v>44391.9375</v>
      </c>
      <c r="E310" s="2">
        <v>44391.993055555555</v>
      </c>
      <c r="F310" s="23">
        <f t="shared" si="12"/>
        <v>5.5555555554747116E-2</v>
      </c>
      <c r="G310" s="24">
        <f t="shared" si="14"/>
        <v>225.00000000327418</v>
      </c>
      <c r="H310" s="1" t="s">
        <v>1</v>
      </c>
      <c r="I310" s="4" t="s">
        <v>2</v>
      </c>
      <c r="J310" s="14">
        <v>0.9375</v>
      </c>
      <c r="K310" s="20" t="str">
        <f t="shared" si="13"/>
        <v>3rd Shift</v>
      </c>
    </row>
    <row r="311" spans="1:11" x14ac:dyDescent="0.25">
      <c r="A311" s="1">
        <v>310</v>
      </c>
      <c r="B311" s="1">
        <v>3</v>
      </c>
      <c r="C311" s="3">
        <v>3115270373500</v>
      </c>
      <c r="D311" s="2">
        <v>44392.010416666664</v>
      </c>
      <c r="E311" s="2">
        <v>44392.114583333336</v>
      </c>
      <c r="F311" s="23">
        <f t="shared" si="12"/>
        <v>0.10416666667151731</v>
      </c>
      <c r="G311" s="24">
        <f t="shared" si="14"/>
        <v>119.99999999441206</v>
      </c>
      <c r="H311" s="1" t="s">
        <v>1</v>
      </c>
      <c r="I311" s="4" t="s">
        <v>3</v>
      </c>
      <c r="J311" s="14">
        <v>1.0416666666666666E-2</v>
      </c>
      <c r="K311" s="20" t="str">
        <f t="shared" si="13"/>
        <v>3rd Shift</v>
      </c>
    </row>
    <row r="312" spans="1:11" x14ac:dyDescent="0.25">
      <c r="A312" s="1">
        <v>311</v>
      </c>
      <c r="B312" s="1">
        <v>1</v>
      </c>
      <c r="C312" s="3">
        <v>1115270054700</v>
      </c>
      <c r="D312" s="2">
        <v>44392.010416666664</v>
      </c>
      <c r="E312" s="2">
        <v>44392.114583333336</v>
      </c>
      <c r="F312" s="23">
        <f t="shared" si="12"/>
        <v>0.10416666667151731</v>
      </c>
      <c r="G312" s="24">
        <f t="shared" si="14"/>
        <v>119.99999999441206</v>
      </c>
      <c r="H312" s="1" t="s">
        <v>1</v>
      </c>
      <c r="I312" s="4" t="s">
        <v>2</v>
      </c>
      <c r="J312" s="14">
        <v>1.0416666666666666E-2</v>
      </c>
      <c r="K312" s="20" t="str">
        <f t="shared" si="13"/>
        <v>3rd Shift</v>
      </c>
    </row>
    <row r="313" spans="1:11" x14ac:dyDescent="0.25">
      <c r="A313" s="1">
        <v>312</v>
      </c>
      <c r="B313" s="1">
        <v>15</v>
      </c>
      <c r="C313" s="3">
        <v>15115271755600</v>
      </c>
      <c r="D313" s="2">
        <v>44392.354166666664</v>
      </c>
      <c r="E313" s="2">
        <v>44392.520833333336</v>
      </c>
      <c r="F313" s="23">
        <f t="shared" si="12"/>
        <v>0.16666666667151731</v>
      </c>
      <c r="G313" s="24">
        <f t="shared" si="14"/>
        <v>74.999999997817213</v>
      </c>
      <c r="H313" s="1" t="s">
        <v>1</v>
      </c>
      <c r="I313" s="4" t="s">
        <v>2</v>
      </c>
      <c r="J313" s="14">
        <v>0.35416666666666669</v>
      </c>
      <c r="K313" s="20" t="str">
        <f t="shared" si="13"/>
        <v>1st Shift</v>
      </c>
    </row>
    <row r="314" spans="1:11" x14ac:dyDescent="0.25">
      <c r="A314" s="1">
        <v>313</v>
      </c>
      <c r="B314" s="1">
        <v>13</v>
      </c>
      <c r="C314" s="3">
        <v>13115271591400</v>
      </c>
      <c r="D314" s="2">
        <v>44392.354166666664</v>
      </c>
      <c r="E314" s="2">
        <v>44392.520833333336</v>
      </c>
      <c r="F314" s="23">
        <f t="shared" si="12"/>
        <v>0.16666666667151731</v>
      </c>
      <c r="G314" s="24">
        <f t="shared" si="14"/>
        <v>74.999999997817213</v>
      </c>
      <c r="H314" s="1" t="s">
        <v>1</v>
      </c>
      <c r="I314" s="4" t="s">
        <v>2</v>
      </c>
      <c r="J314" s="14">
        <v>0.35416666666666669</v>
      </c>
      <c r="K314" s="20" t="str">
        <f t="shared" si="13"/>
        <v>1st Shift</v>
      </c>
    </row>
    <row r="315" spans="1:11" x14ac:dyDescent="0.25">
      <c r="A315" s="1">
        <v>314</v>
      </c>
      <c r="B315" s="1">
        <v>10</v>
      </c>
      <c r="C315" s="3">
        <v>10115271443800</v>
      </c>
      <c r="D315" s="2">
        <v>44392.354166666664</v>
      </c>
      <c r="E315" s="2">
        <v>44392.520833333336</v>
      </c>
      <c r="F315" s="23">
        <f t="shared" si="12"/>
        <v>0.16666666667151731</v>
      </c>
      <c r="G315" s="24">
        <f t="shared" si="14"/>
        <v>74.999999997817213</v>
      </c>
      <c r="H315" s="1" t="s">
        <v>1</v>
      </c>
      <c r="I315" s="4" t="s">
        <v>4</v>
      </c>
      <c r="J315" s="14">
        <v>0.35416666666666669</v>
      </c>
      <c r="K315" s="20" t="str">
        <f t="shared" si="13"/>
        <v>1st Shift</v>
      </c>
    </row>
    <row r="316" spans="1:11" x14ac:dyDescent="0.25">
      <c r="A316" s="1">
        <v>315</v>
      </c>
      <c r="B316" s="1">
        <v>9</v>
      </c>
      <c r="C316" s="3">
        <v>9115271908012</v>
      </c>
      <c r="D316" s="2">
        <v>44392.354166666664</v>
      </c>
      <c r="E316" s="2">
        <v>44392.520833333336</v>
      </c>
      <c r="F316" s="23">
        <f t="shared" si="12"/>
        <v>0.16666666667151731</v>
      </c>
      <c r="G316" s="24">
        <f t="shared" si="14"/>
        <v>74.999999997817213</v>
      </c>
      <c r="H316" s="1" t="s">
        <v>1</v>
      </c>
      <c r="I316" s="4" t="s">
        <v>2</v>
      </c>
      <c r="J316" s="14">
        <v>0.35416666666666669</v>
      </c>
      <c r="K316" s="20" t="str">
        <f t="shared" si="13"/>
        <v>1st Shift</v>
      </c>
    </row>
    <row r="317" spans="1:11" x14ac:dyDescent="0.25">
      <c r="A317" s="1">
        <v>316</v>
      </c>
      <c r="B317" s="1">
        <v>6</v>
      </c>
      <c r="C317" s="3">
        <v>6115271740300</v>
      </c>
      <c r="D317" s="2">
        <v>44392.552083333336</v>
      </c>
      <c r="E317" s="2">
        <v>44392.576388888891</v>
      </c>
      <c r="F317" s="23">
        <f t="shared" si="12"/>
        <v>2.4305555554747116E-2</v>
      </c>
      <c r="G317" s="24">
        <f t="shared" si="14"/>
        <v>514.28571430282022</v>
      </c>
      <c r="H317" s="1" t="s">
        <v>1</v>
      </c>
      <c r="I317" s="4" t="s">
        <v>4</v>
      </c>
      <c r="J317" s="14">
        <v>0.55208333333333337</v>
      </c>
      <c r="K317" s="20" t="str">
        <f t="shared" si="13"/>
        <v>1st Shift</v>
      </c>
    </row>
    <row r="318" spans="1:11" x14ac:dyDescent="0.25">
      <c r="A318" s="1">
        <v>317</v>
      </c>
      <c r="B318" s="1">
        <v>14</v>
      </c>
      <c r="C318" s="3">
        <v>14115271690218</v>
      </c>
      <c r="D318" s="2">
        <v>44392.597222222219</v>
      </c>
      <c r="E318" s="2">
        <v>44392.770833333336</v>
      </c>
      <c r="F318" s="23">
        <f t="shared" si="12"/>
        <v>0.17361111111677019</v>
      </c>
      <c r="G318" s="24">
        <f t="shared" si="14"/>
        <v>71.999999997653063</v>
      </c>
      <c r="H318" s="1" t="s">
        <v>1</v>
      </c>
      <c r="I318" s="4" t="s">
        <v>2</v>
      </c>
      <c r="J318" s="14">
        <v>0.59722222222222221</v>
      </c>
      <c r="K318" s="20" t="str">
        <f t="shared" si="13"/>
        <v>2nd Shift</v>
      </c>
    </row>
    <row r="319" spans="1:11" x14ac:dyDescent="0.25">
      <c r="A319" s="1">
        <v>318</v>
      </c>
      <c r="B319" s="1">
        <v>11</v>
      </c>
      <c r="C319" s="3">
        <v>11115271552105</v>
      </c>
      <c r="D319" s="2">
        <v>44392.597222222219</v>
      </c>
      <c r="E319" s="2">
        <v>44392.770833333336</v>
      </c>
      <c r="F319" s="23">
        <f t="shared" si="12"/>
        <v>0.17361111111677019</v>
      </c>
      <c r="G319" s="24">
        <f t="shared" si="14"/>
        <v>71.999999997653063</v>
      </c>
      <c r="H319" s="1" t="s">
        <v>1</v>
      </c>
      <c r="I319" s="4" t="s">
        <v>2</v>
      </c>
      <c r="J319" s="14">
        <v>0.59722222222222221</v>
      </c>
      <c r="K319" s="20" t="str">
        <f t="shared" si="13"/>
        <v>2nd Shift</v>
      </c>
    </row>
    <row r="320" spans="1:11" x14ac:dyDescent="0.25">
      <c r="A320" s="1">
        <v>319</v>
      </c>
      <c r="B320" s="1">
        <v>7</v>
      </c>
      <c r="C320" s="3">
        <v>7115271774717</v>
      </c>
      <c r="D320" s="2">
        <v>44392.597222222219</v>
      </c>
      <c r="E320" s="2">
        <v>44392.770833333336</v>
      </c>
      <c r="F320" s="23">
        <f t="shared" si="12"/>
        <v>0.17361111111677019</v>
      </c>
      <c r="G320" s="24">
        <f t="shared" si="14"/>
        <v>71.999999997653063</v>
      </c>
      <c r="H320" s="1" t="s">
        <v>1</v>
      </c>
      <c r="I320" s="4" t="s">
        <v>2</v>
      </c>
      <c r="J320" s="14">
        <v>0.59722222222222221</v>
      </c>
      <c r="K320" s="20" t="str">
        <f t="shared" si="13"/>
        <v>2nd Shift</v>
      </c>
    </row>
    <row r="321" spans="1:11" x14ac:dyDescent="0.25">
      <c r="A321" s="1">
        <v>320</v>
      </c>
      <c r="B321" s="1">
        <v>5</v>
      </c>
      <c r="C321" s="3">
        <v>5115271294402</v>
      </c>
      <c r="D321" s="2">
        <v>44392.597222222219</v>
      </c>
      <c r="E321" s="2">
        <v>44392.770833333336</v>
      </c>
      <c r="F321" s="23">
        <f t="shared" si="12"/>
        <v>0.17361111111677019</v>
      </c>
      <c r="G321" s="24">
        <f t="shared" si="14"/>
        <v>71.999999997653063</v>
      </c>
      <c r="H321" s="1" t="s">
        <v>1</v>
      </c>
      <c r="I321" s="4" t="s">
        <v>2</v>
      </c>
      <c r="J321" s="14">
        <v>0.59722222222222221</v>
      </c>
      <c r="K321" s="20" t="str">
        <f t="shared" si="13"/>
        <v>2nd Shift</v>
      </c>
    </row>
    <row r="322" spans="1:11" x14ac:dyDescent="0.25">
      <c r="A322" s="1">
        <v>321</v>
      </c>
      <c r="B322" s="1">
        <v>2</v>
      </c>
      <c r="C322" s="3">
        <v>2115270275200</v>
      </c>
      <c r="D322" s="2">
        <v>44392.597222222219</v>
      </c>
      <c r="E322" s="2">
        <v>44392.770833333336</v>
      </c>
      <c r="F322" s="23">
        <f t="shared" ref="F322:F385" si="15">E322-D322</f>
        <v>0.17361111111677019</v>
      </c>
      <c r="G322" s="24">
        <f t="shared" si="14"/>
        <v>71.999999997653063</v>
      </c>
      <c r="H322" s="1" t="s">
        <v>1</v>
      </c>
      <c r="I322" s="4" t="s">
        <v>5</v>
      </c>
      <c r="J322" s="14">
        <v>0.59722222222222221</v>
      </c>
      <c r="K322" s="20" t="str">
        <f t="shared" ref="K322:K385" si="16">IF(AND(J322&gt;=$M$3,J322&lt;$M$4),"1st Shift",IF(AND(J322&gt;=$M$4,J322&lt;$M$5),"2nd Shift","3rd Shift"))</f>
        <v>2nd Shift</v>
      </c>
    </row>
    <row r="323" spans="1:11" x14ac:dyDescent="0.25">
      <c r="A323" s="1">
        <v>322</v>
      </c>
      <c r="B323" s="1">
        <v>15</v>
      </c>
      <c r="C323" s="3">
        <v>15115271781406</v>
      </c>
      <c r="D323" s="2">
        <v>44392.791666666664</v>
      </c>
      <c r="E323" s="2">
        <v>44392.916666666664</v>
      </c>
      <c r="F323" s="23">
        <f t="shared" si="15"/>
        <v>0.125</v>
      </c>
      <c r="G323" s="24">
        <f t="shared" ref="G323:G386" si="17">$M$9/F323*100</f>
        <v>100</v>
      </c>
      <c r="H323" s="1" t="s">
        <v>1</v>
      </c>
      <c r="I323" s="4" t="s">
        <v>2</v>
      </c>
      <c r="J323" s="14">
        <v>0.79166666666666663</v>
      </c>
      <c r="K323" s="20" t="str">
        <f t="shared" si="16"/>
        <v>2nd Shift</v>
      </c>
    </row>
    <row r="324" spans="1:11" x14ac:dyDescent="0.25">
      <c r="A324" s="1">
        <v>323</v>
      </c>
      <c r="B324" s="1">
        <v>12</v>
      </c>
      <c r="C324" s="3">
        <v>12115271566200</v>
      </c>
      <c r="D324" s="2">
        <v>44392.791666666664</v>
      </c>
      <c r="E324" s="2">
        <v>44392.916666666664</v>
      </c>
      <c r="F324" s="23">
        <f t="shared" si="15"/>
        <v>0.125</v>
      </c>
      <c r="G324" s="24">
        <f t="shared" si="17"/>
        <v>100</v>
      </c>
      <c r="H324" s="1" t="s">
        <v>1</v>
      </c>
      <c r="I324" s="4" t="s">
        <v>3</v>
      </c>
      <c r="J324" s="14">
        <v>0.79166666666666663</v>
      </c>
      <c r="K324" s="20" t="str">
        <f t="shared" si="16"/>
        <v>2nd Shift</v>
      </c>
    </row>
    <row r="325" spans="1:11" x14ac:dyDescent="0.25">
      <c r="A325" s="1">
        <v>324</v>
      </c>
      <c r="B325" s="1">
        <v>10</v>
      </c>
      <c r="C325" s="3">
        <v>10115271959502</v>
      </c>
      <c r="D325" s="2">
        <v>44392.791666666664</v>
      </c>
      <c r="E325" s="2">
        <v>44392.916666666664</v>
      </c>
      <c r="F325" s="23">
        <f t="shared" si="15"/>
        <v>0.125</v>
      </c>
      <c r="G325" s="24">
        <f t="shared" si="17"/>
        <v>100</v>
      </c>
      <c r="H325" s="1" t="s">
        <v>1</v>
      </c>
      <c r="I325" s="4" t="s">
        <v>2</v>
      </c>
      <c r="J325" s="14">
        <v>0.79166666666666663</v>
      </c>
      <c r="K325" s="20" t="str">
        <f t="shared" si="16"/>
        <v>2nd Shift</v>
      </c>
    </row>
    <row r="326" spans="1:11" x14ac:dyDescent="0.25">
      <c r="A326" s="1">
        <v>325</v>
      </c>
      <c r="B326" s="1">
        <v>13</v>
      </c>
      <c r="C326" s="3">
        <v>13115271635000</v>
      </c>
      <c r="D326" s="2">
        <v>44392.993055555555</v>
      </c>
      <c r="E326" s="2">
        <v>44393.15625</v>
      </c>
      <c r="F326" s="23">
        <f t="shared" si="15"/>
        <v>0.16319444444525288</v>
      </c>
      <c r="G326" s="24">
        <f t="shared" si="17"/>
        <v>76.595744680471626</v>
      </c>
      <c r="H326" s="1" t="s">
        <v>1</v>
      </c>
      <c r="I326" s="4" t="s">
        <v>3</v>
      </c>
      <c r="J326" s="14">
        <v>0.99305555555555558</v>
      </c>
      <c r="K326" s="20" t="str">
        <f t="shared" si="16"/>
        <v>3rd Shift</v>
      </c>
    </row>
    <row r="327" spans="1:11" x14ac:dyDescent="0.25">
      <c r="A327" s="1">
        <v>326</v>
      </c>
      <c r="B327" s="1">
        <v>3</v>
      </c>
      <c r="C327" s="3">
        <v>3115270448600</v>
      </c>
      <c r="D327" s="2">
        <v>44392.993055555555</v>
      </c>
      <c r="E327" s="2">
        <v>44393.15625</v>
      </c>
      <c r="F327" s="23">
        <f t="shared" si="15"/>
        <v>0.16319444444525288</v>
      </c>
      <c r="G327" s="24">
        <f t="shared" si="17"/>
        <v>76.595744680471626</v>
      </c>
      <c r="H327" s="1" t="s">
        <v>1</v>
      </c>
      <c r="I327" s="4" t="s">
        <v>3</v>
      </c>
      <c r="J327" s="14">
        <v>0.99305555555555558</v>
      </c>
      <c r="K327" s="20" t="str">
        <f t="shared" si="16"/>
        <v>3rd Shift</v>
      </c>
    </row>
    <row r="328" spans="1:11" x14ac:dyDescent="0.25">
      <c r="A328" s="1">
        <v>327</v>
      </c>
      <c r="B328" s="1">
        <v>2</v>
      </c>
      <c r="C328" s="3">
        <v>2115270190011</v>
      </c>
      <c r="D328" s="2">
        <v>44392.993055555555</v>
      </c>
      <c r="E328" s="2">
        <v>44393.15625</v>
      </c>
      <c r="F328" s="23">
        <f t="shared" si="15"/>
        <v>0.16319444444525288</v>
      </c>
      <c r="G328" s="24">
        <f t="shared" si="17"/>
        <v>76.595744680471626</v>
      </c>
      <c r="H328" s="1" t="s">
        <v>1</v>
      </c>
      <c r="I328" s="4" t="s">
        <v>2</v>
      </c>
      <c r="J328" s="14">
        <v>0.99305555555555558</v>
      </c>
      <c r="K328" s="20" t="str">
        <f t="shared" si="16"/>
        <v>3rd Shift</v>
      </c>
    </row>
    <row r="329" spans="1:11" x14ac:dyDescent="0.25">
      <c r="A329" s="1">
        <v>328</v>
      </c>
      <c r="B329" s="1">
        <v>13</v>
      </c>
      <c r="C329" s="3">
        <v>13115271672251</v>
      </c>
      <c r="D329" s="2">
        <v>44393.375</v>
      </c>
      <c r="E329" s="2">
        <v>44393.524305555555</v>
      </c>
      <c r="F329" s="23">
        <f t="shared" si="15"/>
        <v>0.14930555555474712</v>
      </c>
      <c r="G329" s="24">
        <f t="shared" si="17"/>
        <v>83.720930233011458</v>
      </c>
      <c r="H329" s="1" t="s">
        <v>1</v>
      </c>
      <c r="I329" s="4" t="s">
        <v>4</v>
      </c>
      <c r="J329" s="14">
        <v>0.375</v>
      </c>
      <c r="K329" s="20" t="str">
        <f t="shared" si="16"/>
        <v>1st Shift</v>
      </c>
    </row>
    <row r="330" spans="1:11" x14ac:dyDescent="0.25">
      <c r="A330" s="1">
        <v>329</v>
      </c>
      <c r="B330" s="1">
        <v>12</v>
      </c>
      <c r="C330" s="3">
        <v>12115271560226</v>
      </c>
      <c r="D330" s="2">
        <v>44393.375</v>
      </c>
      <c r="E330" s="2">
        <v>44393.524305555555</v>
      </c>
      <c r="F330" s="23">
        <f t="shared" si="15"/>
        <v>0.14930555555474712</v>
      </c>
      <c r="G330" s="24">
        <f t="shared" si="17"/>
        <v>83.720930233011458</v>
      </c>
      <c r="H330" s="1" t="s">
        <v>1</v>
      </c>
      <c r="I330" s="4" t="s">
        <v>2</v>
      </c>
      <c r="J330" s="14">
        <v>0.375</v>
      </c>
      <c r="K330" s="20" t="str">
        <f t="shared" si="16"/>
        <v>1st Shift</v>
      </c>
    </row>
    <row r="331" spans="1:11" x14ac:dyDescent="0.25">
      <c r="A331" s="1">
        <v>330</v>
      </c>
      <c r="B331" s="1">
        <v>9</v>
      </c>
      <c r="C331" s="3">
        <v>9115271913100</v>
      </c>
      <c r="D331" s="2">
        <v>44393.375</v>
      </c>
      <c r="E331" s="2">
        <v>44393.524305555555</v>
      </c>
      <c r="F331" s="23">
        <f t="shared" si="15"/>
        <v>0.14930555555474712</v>
      </c>
      <c r="G331" s="24">
        <f t="shared" si="17"/>
        <v>83.720930233011458</v>
      </c>
      <c r="H331" s="1" t="s">
        <v>1</v>
      </c>
      <c r="I331" s="4" t="s">
        <v>2</v>
      </c>
      <c r="J331" s="14">
        <v>0.375</v>
      </c>
      <c r="K331" s="20" t="str">
        <f t="shared" si="16"/>
        <v>1st Shift</v>
      </c>
    </row>
    <row r="332" spans="1:11" x14ac:dyDescent="0.25">
      <c r="A332" s="1">
        <v>331</v>
      </c>
      <c r="B332" s="1">
        <v>8</v>
      </c>
      <c r="C332" s="3">
        <v>8115270615800</v>
      </c>
      <c r="D332" s="2">
        <v>44393.375</v>
      </c>
      <c r="E332" s="2">
        <v>44393.524305555555</v>
      </c>
      <c r="F332" s="23">
        <f t="shared" si="15"/>
        <v>0.14930555555474712</v>
      </c>
      <c r="G332" s="24">
        <f t="shared" si="17"/>
        <v>83.720930233011458</v>
      </c>
      <c r="H332" s="1" t="s">
        <v>1</v>
      </c>
      <c r="I332" s="4" t="s">
        <v>2</v>
      </c>
      <c r="J332" s="14">
        <v>0.375</v>
      </c>
      <c r="K332" s="20" t="str">
        <f t="shared" si="16"/>
        <v>1st Shift</v>
      </c>
    </row>
    <row r="333" spans="1:11" x14ac:dyDescent="0.25">
      <c r="A333" s="1">
        <v>332</v>
      </c>
      <c r="B333" s="1">
        <v>6</v>
      </c>
      <c r="C333" s="3">
        <v>6115271721305</v>
      </c>
      <c r="D333" s="2">
        <v>44393.375</v>
      </c>
      <c r="E333" s="2">
        <v>44393.524305555555</v>
      </c>
      <c r="F333" s="23">
        <f t="shared" si="15"/>
        <v>0.14930555555474712</v>
      </c>
      <c r="G333" s="24">
        <f t="shared" si="17"/>
        <v>83.720930233011458</v>
      </c>
      <c r="H333" s="1" t="s">
        <v>1</v>
      </c>
      <c r="I333" s="4" t="s">
        <v>2</v>
      </c>
      <c r="J333" s="14">
        <v>0.375</v>
      </c>
      <c r="K333" s="20" t="str">
        <f t="shared" si="16"/>
        <v>1st Shift</v>
      </c>
    </row>
    <row r="334" spans="1:11" x14ac:dyDescent="0.25">
      <c r="A334" s="1">
        <v>333</v>
      </c>
      <c r="B334" s="1">
        <v>4</v>
      </c>
      <c r="C334" s="3">
        <v>4115270868801</v>
      </c>
      <c r="D334" s="2">
        <v>44393.375</v>
      </c>
      <c r="E334" s="2">
        <v>44393.524305555555</v>
      </c>
      <c r="F334" s="23">
        <f t="shared" si="15"/>
        <v>0.14930555555474712</v>
      </c>
      <c r="G334" s="24">
        <f t="shared" si="17"/>
        <v>83.720930233011458</v>
      </c>
      <c r="H334" s="1" t="s">
        <v>1</v>
      </c>
      <c r="I334" s="4" t="s">
        <v>2</v>
      </c>
      <c r="J334" s="14">
        <v>0.375</v>
      </c>
      <c r="K334" s="20" t="str">
        <f t="shared" si="16"/>
        <v>1st Shift</v>
      </c>
    </row>
    <row r="335" spans="1:11" x14ac:dyDescent="0.25">
      <c r="A335" s="1">
        <v>334</v>
      </c>
      <c r="B335" s="1">
        <v>15</v>
      </c>
      <c r="C335" s="3">
        <v>15115271778900</v>
      </c>
      <c r="D335" s="2">
        <v>44393.541666666664</v>
      </c>
      <c r="E335" s="2">
        <v>44393.583333333336</v>
      </c>
      <c r="F335" s="23">
        <f t="shared" si="15"/>
        <v>4.1666666671517305E-2</v>
      </c>
      <c r="G335" s="24">
        <f t="shared" si="17"/>
        <v>299.9999999650754</v>
      </c>
      <c r="H335" s="1" t="s">
        <v>1</v>
      </c>
      <c r="I335" s="4" t="s">
        <v>2</v>
      </c>
      <c r="J335" s="14">
        <v>0.54166666666666663</v>
      </c>
      <c r="K335" s="20" t="str">
        <f t="shared" si="16"/>
        <v>1st Shift</v>
      </c>
    </row>
    <row r="336" spans="1:11" x14ac:dyDescent="0.25">
      <c r="A336" s="1">
        <v>335</v>
      </c>
      <c r="B336" s="1">
        <v>14</v>
      </c>
      <c r="C336" s="3">
        <v>14115271706400</v>
      </c>
      <c r="D336" s="2">
        <v>44393.541666666664</v>
      </c>
      <c r="E336" s="2">
        <v>44393.583333333336</v>
      </c>
      <c r="F336" s="23">
        <f t="shared" si="15"/>
        <v>4.1666666671517305E-2</v>
      </c>
      <c r="G336" s="24">
        <f t="shared" si="17"/>
        <v>299.9999999650754</v>
      </c>
      <c r="H336" s="1" t="s">
        <v>1</v>
      </c>
      <c r="I336" s="4" t="s">
        <v>2</v>
      </c>
      <c r="J336" s="14">
        <v>0.54166666666666663</v>
      </c>
      <c r="K336" s="20" t="str">
        <f t="shared" si="16"/>
        <v>1st Shift</v>
      </c>
    </row>
    <row r="337" spans="1:11" x14ac:dyDescent="0.25">
      <c r="A337" s="1">
        <v>336</v>
      </c>
      <c r="B337" s="1">
        <v>13</v>
      </c>
      <c r="C337" s="3">
        <v>13115271634000</v>
      </c>
      <c r="D337" s="2">
        <v>44393.59375</v>
      </c>
      <c r="E337" s="2">
        <v>44393.833333333336</v>
      </c>
      <c r="F337" s="23">
        <f t="shared" si="15"/>
        <v>0.23958333333575865</v>
      </c>
      <c r="G337" s="24">
        <f t="shared" si="17"/>
        <v>52.173913042950105</v>
      </c>
      <c r="H337" s="1" t="s">
        <v>1</v>
      </c>
      <c r="I337" s="4" t="s">
        <v>2</v>
      </c>
      <c r="J337" s="14">
        <v>0.59375</v>
      </c>
      <c r="K337" s="20" t="str">
        <f t="shared" si="16"/>
        <v>2nd Shift</v>
      </c>
    </row>
    <row r="338" spans="1:11" x14ac:dyDescent="0.25">
      <c r="A338" s="1">
        <v>337</v>
      </c>
      <c r="B338" s="1">
        <v>13</v>
      </c>
      <c r="C338" s="3">
        <v>13115271591200</v>
      </c>
      <c r="D338" s="2">
        <v>44393.59375</v>
      </c>
      <c r="E338" s="2">
        <v>44393.833333333336</v>
      </c>
      <c r="F338" s="23">
        <f t="shared" si="15"/>
        <v>0.23958333333575865</v>
      </c>
      <c r="G338" s="24">
        <f t="shared" si="17"/>
        <v>52.173913042950105</v>
      </c>
      <c r="H338" s="1" t="s">
        <v>1</v>
      </c>
      <c r="I338" s="4" t="s">
        <v>2</v>
      </c>
      <c r="J338" s="14">
        <v>0.59375</v>
      </c>
      <c r="K338" s="20" t="str">
        <f t="shared" si="16"/>
        <v>2nd Shift</v>
      </c>
    </row>
    <row r="339" spans="1:11" x14ac:dyDescent="0.25">
      <c r="A339" s="1">
        <v>338</v>
      </c>
      <c r="B339" s="1">
        <v>12</v>
      </c>
      <c r="C339" s="3">
        <v>12115271566210</v>
      </c>
      <c r="D339" s="2">
        <v>44393.59375</v>
      </c>
      <c r="E339" s="2">
        <v>44393.833333333336</v>
      </c>
      <c r="F339" s="23">
        <f t="shared" si="15"/>
        <v>0.23958333333575865</v>
      </c>
      <c r="G339" s="24">
        <f t="shared" si="17"/>
        <v>52.173913042950105</v>
      </c>
      <c r="H339" s="1" t="s">
        <v>1</v>
      </c>
      <c r="I339" s="4" t="s">
        <v>2</v>
      </c>
      <c r="J339" s="14">
        <v>0.59375</v>
      </c>
      <c r="K339" s="20" t="str">
        <f t="shared" si="16"/>
        <v>2nd Shift</v>
      </c>
    </row>
    <row r="340" spans="1:11" x14ac:dyDescent="0.25">
      <c r="A340" s="1">
        <v>339</v>
      </c>
      <c r="B340" s="1">
        <v>10</v>
      </c>
      <c r="C340" s="3">
        <v>10115271422401</v>
      </c>
      <c r="D340" s="2">
        <v>44393.59375</v>
      </c>
      <c r="E340" s="2">
        <v>44393.833333333336</v>
      </c>
      <c r="F340" s="23">
        <f t="shared" si="15"/>
        <v>0.23958333333575865</v>
      </c>
      <c r="G340" s="24">
        <f t="shared" si="17"/>
        <v>52.173913042950105</v>
      </c>
      <c r="H340" s="1" t="s">
        <v>1</v>
      </c>
      <c r="I340" s="4" t="s">
        <v>2</v>
      </c>
      <c r="J340" s="14">
        <v>0.59375</v>
      </c>
      <c r="K340" s="20" t="str">
        <f t="shared" si="16"/>
        <v>2nd Shift</v>
      </c>
    </row>
    <row r="341" spans="1:11" x14ac:dyDescent="0.25">
      <c r="A341" s="1">
        <v>340</v>
      </c>
      <c r="B341" s="1">
        <v>10</v>
      </c>
      <c r="C341" s="3">
        <v>10115270965500</v>
      </c>
      <c r="D341" s="2">
        <v>44393.59375</v>
      </c>
      <c r="E341" s="2">
        <v>44393.833333333336</v>
      </c>
      <c r="F341" s="23">
        <f t="shared" si="15"/>
        <v>0.23958333333575865</v>
      </c>
      <c r="G341" s="24">
        <f t="shared" si="17"/>
        <v>52.173913042950105</v>
      </c>
      <c r="H341" s="1" t="s">
        <v>1</v>
      </c>
      <c r="I341" s="4" t="s">
        <v>2</v>
      </c>
      <c r="J341" s="14">
        <v>0.59375</v>
      </c>
      <c r="K341" s="20" t="str">
        <f t="shared" si="16"/>
        <v>2nd Shift</v>
      </c>
    </row>
    <row r="342" spans="1:11" x14ac:dyDescent="0.25">
      <c r="A342" s="1">
        <v>341</v>
      </c>
      <c r="B342" s="1">
        <v>8</v>
      </c>
      <c r="C342" s="3">
        <v>8115271815401</v>
      </c>
      <c r="D342" s="2">
        <v>44393.59375</v>
      </c>
      <c r="E342" s="2">
        <v>44393.833333333336</v>
      </c>
      <c r="F342" s="23">
        <f t="shared" si="15"/>
        <v>0.23958333333575865</v>
      </c>
      <c r="G342" s="24">
        <f t="shared" si="17"/>
        <v>52.173913042950105</v>
      </c>
      <c r="H342" s="1" t="s">
        <v>1</v>
      </c>
      <c r="I342" s="4" t="s">
        <v>2</v>
      </c>
      <c r="J342" s="14">
        <v>0.59375</v>
      </c>
      <c r="K342" s="20" t="str">
        <f t="shared" si="16"/>
        <v>2nd Shift</v>
      </c>
    </row>
    <row r="343" spans="1:11" x14ac:dyDescent="0.25">
      <c r="A343" s="1">
        <v>342</v>
      </c>
      <c r="B343" s="1">
        <v>8</v>
      </c>
      <c r="C343" s="3">
        <v>8115271809900</v>
      </c>
      <c r="D343" s="2">
        <v>44393.59375</v>
      </c>
      <c r="E343" s="2">
        <v>44393.833333333336</v>
      </c>
      <c r="F343" s="23">
        <f t="shared" si="15"/>
        <v>0.23958333333575865</v>
      </c>
      <c r="G343" s="24">
        <f t="shared" si="17"/>
        <v>52.173913042950105</v>
      </c>
      <c r="H343" s="1" t="s">
        <v>1</v>
      </c>
      <c r="I343" s="4" t="s">
        <v>2</v>
      </c>
      <c r="J343" s="14">
        <v>0.59375</v>
      </c>
      <c r="K343" s="20" t="str">
        <f t="shared" si="16"/>
        <v>2nd Shift</v>
      </c>
    </row>
    <row r="344" spans="1:11" x14ac:dyDescent="0.25">
      <c r="A344" s="1">
        <v>343</v>
      </c>
      <c r="B344" s="1">
        <v>6</v>
      </c>
      <c r="C344" s="3">
        <v>6115271690507</v>
      </c>
      <c r="D344" s="2">
        <v>44393.59375</v>
      </c>
      <c r="E344" s="2">
        <v>44393.833333333336</v>
      </c>
      <c r="F344" s="23">
        <f t="shared" si="15"/>
        <v>0.23958333333575865</v>
      </c>
      <c r="G344" s="24">
        <f t="shared" si="17"/>
        <v>52.173913042950105</v>
      </c>
      <c r="H344" s="1" t="s">
        <v>1</v>
      </c>
      <c r="I344" s="4" t="s">
        <v>4</v>
      </c>
      <c r="J344" s="14">
        <v>0.59375</v>
      </c>
      <c r="K344" s="20" t="str">
        <f t="shared" si="16"/>
        <v>2nd Shift</v>
      </c>
    </row>
    <row r="345" spans="1:11" x14ac:dyDescent="0.25">
      <c r="A345" s="1">
        <v>344</v>
      </c>
      <c r="B345" s="1">
        <v>5</v>
      </c>
      <c r="C345" s="3">
        <v>5115271296608</v>
      </c>
      <c r="D345" s="2">
        <v>44393.59375</v>
      </c>
      <c r="E345" s="2">
        <v>44393.833333333336</v>
      </c>
      <c r="F345" s="23">
        <f t="shared" si="15"/>
        <v>0.23958333333575865</v>
      </c>
      <c r="G345" s="24">
        <f t="shared" si="17"/>
        <v>52.173913042950105</v>
      </c>
      <c r="H345" s="1" t="s">
        <v>1</v>
      </c>
      <c r="I345" s="4" t="s">
        <v>2</v>
      </c>
      <c r="J345" s="14">
        <v>0.59375</v>
      </c>
      <c r="K345" s="20" t="str">
        <f t="shared" si="16"/>
        <v>2nd Shift</v>
      </c>
    </row>
    <row r="346" spans="1:11" x14ac:dyDescent="0.25">
      <c r="A346" s="1">
        <v>345</v>
      </c>
      <c r="B346" s="1">
        <v>3</v>
      </c>
      <c r="C346" s="3">
        <v>3115270306900</v>
      </c>
      <c r="D346" s="2">
        <v>44393.59375</v>
      </c>
      <c r="E346" s="2">
        <v>44393.833333333336</v>
      </c>
      <c r="F346" s="23">
        <f t="shared" si="15"/>
        <v>0.23958333333575865</v>
      </c>
      <c r="G346" s="24">
        <f t="shared" si="17"/>
        <v>52.173913042950105</v>
      </c>
      <c r="H346" s="1" t="s">
        <v>1</v>
      </c>
      <c r="I346" s="4" t="s">
        <v>2</v>
      </c>
      <c r="J346" s="14">
        <v>0.59375</v>
      </c>
      <c r="K346" s="20" t="str">
        <f t="shared" si="16"/>
        <v>2nd Shift</v>
      </c>
    </row>
    <row r="347" spans="1:11" x14ac:dyDescent="0.25">
      <c r="A347" s="1">
        <v>346</v>
      </c>
      <c r="B347" s="1">
        <v>15</v>
      </c>
      <c r="C347" s="3">
        <v>15115271753100</v>
      </c>
      <c r="D347" s="2">
        <v>44393.854166666664</v>
      </c>
      <c r="E347" s="2">
        <v>44393.909722222219</v>
      </c>
      <c r="F347" s="23">
        <f t="shared" si="15"/>
        <v>5.5555555554747116E-2</v>
      </c>
      <c r="G347" s="24">
        <f t="shared" si="17"/>
        <v>225.00000000327418</v>
      </c>
      <c r="H347" s="1" t="s">
        <v>1</v>
      </c>
      <c r="I347" s="4" t="s">
        <v>2</v>
      </c>
      <c r="J347" s="14">
        <v>0.85416666666666663</v>
      </c>
      <c r="K347" s="20" t="str">
        <f t="shared" si="16"/>
        <v>2nd Shift</v>
      </c>
    </row>
    <row r="348" spans="1:11" x14ac:dyDescent="0.25">
      <c r="A348" s="1">
        <v>347</v>
      </c>
      <c r="B348" s="1">
        <v>14</v>
      </c>
      <c r="C348" s="3">
        <v>14115271672600</v>
      </c>
      <c r="D348" s="2">
        <v>44393.854166666664</v>
      </c>
      <c r="E348" s="2">
        <v>44393.909722222219</v>
      </c>
      <c r="F348" s="23">
        <f t="shared" si="15"/>
        <v>5.5555555554747116E-2</v>
      </c>
      <c r="G348" s="24">
        <f t="shared" si="17"/>
        <v>225.00000000327418</v>
      </c>
      <c r="H348" s="1" t="s">
        <v>1</v>
      </c>
      <c r="I348" s="4" t="s">
        <v>2</v>
      </c>
      <c r="J348" s="14">
        <v>0.85416666666666663</v>
      </c>
      <c r="K348" s="20" t="str">
        <f t="shared" si="16"/>
        <v>2nd Shift</v>
      </c>
    </row>
    <row r="349" spans="1:11" x14ac:dyDescent="0.25">
      <c r="A349" s="1">
        <v>348</v>
      </c>
      <c r="B349" s="1">
        <v>13</v>
      </c>
      <c r="C349" s="3">
        <v>13115271634200</v>
      </c>
      <c r="D349" s="2">
        <v>44393.854166666664</v>
      </c>
      <c r="E349" s="2">
        <v>44393.909722222219</v>
      </c>
      <c r="F349" s="23">
        <f t="shared" si="15"/>
        <v>5.5555555554747116E-2</v>
      </c>
      <c r="G349" s="24">
        <f t="shared" si="17"/>
        <v>225.00000000327418</v>
      </c>
      <c r="H349" s="1" t="s">
        <v>1</v>
      </c>
      <c r="I349" s="4" t="s">
        <v>2</v>
      </c>
      <c r="J349" s="14">
        <v>0.85416666666666663</v>
      </c>
      <c r="K349" s="20" t="str">
        <f t="shared" si="16"/>
        <v>2nd Shift</v>
      </c>
    </row>
    <row r="350" spans="1:11" x14ac:dyDescent="0.25">
      <c r="A350" s="1">
        <v>349</v>
      </c>
      <c r="B350" s="1">
        <v>8</v>
      </c>
      <c r="C350" s="3">
        <v>8115271838900</v>
      </c>
      <c r="D350" s="2">
        <v>44393.9375</v>
      </c>
      <c r="E350" s="2">
        <v>44394.0625</v>
      </c>
      <c r="F350" s="23">
        <f t="shared" si="15"/>
        <v>0.125</v>
      </c>
      <c r="G350" s="24">
        <f t="shared" si="17"/>
        <v>100</v>
      </c>
      <c r="H350" s="1" t="s">
        <v>1</v>
      </c>
      <c r="I350" s="4" t="s">
        <v>2</v>
      </c>
      <c r="J350" s="14">
        <v>0.9375</v>
      </c>
      <c r="K350" s="20" t="str">
        <f t="shared" si="16"/>
        <v>3rd Shift</v>
      </c>
    </row>
    <row r="351" spans="1:11" x14ac:dyDescent="0.25">
      <c r="A351" s="1">
        <v>350</v>
      </c>
      <c r="B351" s="1">
        <v>6</v>
      </c>
      <c r="C351" s="3">
        <v>6115271736400</v>
      </c>
      <c r="D351" s="2">
        <v>44393.9375</v>
      </c>
      <c r="E351" s="2">
        <v>44394.0625</v>
      </c>
      <c r="F351" s="23">
        <f t="shared" si="15"/>
        <v>0.125</v>
      </c>
      <c r="G351" s="24">
        <f t="shared" si="17"/>
        <v>100</v>
      </c>
      <c r="H351" s="1" t="s">
        <v>1</v>
      </c>
      <c r="I351" s="4" t="s">
        <v>2</v>
      </c>
      <c r="J351" s="14">
        <v>0.9375</v>
      </c>
      <c r="K351" s="20" t="str">
        <f t="shared" si="16"/>
        <v>3rd Shift</v>
      </c>
    </row>
    <row r="352" spans="1:11" x14ac:dyDescent="0.25">
      <c r="A352" s="1">
        <v>351</v>
      </c>
      <c r="B352" s="1">
        <v>5</v>
      </c>
      <c r="C352" s="3">
        <v>5115270974200</v>
      </c>
      <c r="D352" s="2">
        <v>44393.9375</v>
      </c>
      <c r="E352" s="2">
        <v>44394.0625</v>
      </c>
      <c r="F352" s="23">
        <f t="shared" si="15"/>
        <v>0.125</v>
      </c>
      <c r="G352" s="24">
        <f t="shared" si="17"/>
        <v>100</v>
      </c>
      <c r="H352" s="1" t="s">
        <v>1</v>
      </c>
      <c r="I352" s="4" t="s">
        <v>3</v>
      </c>
      <c r="J352" s="14">
        <v>0.9375</v>
      </c>
      <c r="K352" s="20" t="str">
        <f t="shared" si="16"/>
        <v>3rd Shift</v>
      </c>
    </row>
    <row r="353" spans="1:11" x14ac:dyDescent="0.25">
      <c r="A353" s="1">
        <v>352</v>
      </c>
      <c r="B353" s="1">
        <v>3</v>
      </c>
      <c r="C353" s="3">
        <v>3115270401200</v>
      </c>
      <c r="D353" s="2">
        <v>44393.9375</v>
      </c>
      <c r="E353" s="2">
        <v>44394.0625</v>
      </c>
      <c r="F353" s="23">
        <f t="shared" si="15"/>
        <v>0.125</v>
      </c>
      <c r="G353" s="24">
        <f t="shared" si="17"/>
        <v>100</v>
      </c>
      <c r="H353" s="1" t="s">
        <v>1</v>
      </c>
      <c r="I353" s="4" t="s">
        <v>2</v>
      </c>
      <c r="J353" s="14">
        <v>0.9375</v>
      </c>
      <c r="K353" s="20" t="str">
        <f t="shared" si="16"/>
        <v>3rd Shift</v>
      </c>
    </row>
    <row r="354" spans="1:11" x14ac:dyDescent="0.25">
      <c r="A354" s="1">
        <v>353</v>
      </c>
      <c r="B354" s="1">
        <v>1</v>
      </c>
      <c r="C354" s="3">
        <v>1115270043600</v>
      </c>
      <c r="D354" s="2">
        <v>44393.9375</v>
      </c>
      <c r="E354" s="2">
        <v>44394.0625</v>
      </c>
      <c r="F354" s="23">
        <f t="shared" si="15"/>
        <v>0.125</v>
      </c>
      <c r="G354" s="24">
        <f t="shared" si="17"/>
        <v>100</v>
      </c>
      <c r="H354" s="1" t="s">
        <v>1</v>
      </c>
      <c r="I354" s="4" t="s">
        <v>5</v>
      </c>
      <c r="J354" s="14">
        <v>0.9375</v>
      </c>
      <c r="K354" s="20" t="str">
        <f t="shared" si="16"/>
        <v>3rd Shift</v>
      </c>
    </row>
    <row r="355" spans="1:11" x14ac:dyDescent="0.25">
      <c r="A355" s="1">
        <v>354</v>
      </c>
      <c r="B355" s="1">
        <v>6</v>
      </c>
      <c r="C355" s="3">
        <v>6115271725413</v>
      </c>
      <c r="D355" s="2">
        <v>44394.166666666664</v>
      </c>
      <c r="E355" s="2">
        <v>44394.208333333336</v>
      </c>
      <c r="F355" s="23">
        <f t="shared" si="15"/>
        <v>4.1666666671517305E-2</v>
      </c>
      <c r="G355" s="24">
        <f t="shared" si="17"/>
        <v>299.9999999650754</v>
      </c>
      <c r="H355" s="1" t="s">
        <v>1</v>
      </c>
      <c r="I355" s="4" t="s">
        <v>2</v>
      </c>
      <c r="J355" s="14">
        <v>0.16666666666666666</v>
      </c>
      <c r="K355" s="20" t="str">
        <f t="shared" si="16"/>
        <v>3rd Shift</v>
      </c>
    </row>
    <row r="356" spans="1:11" x14ac:dyDescent="0.25">
      <c r="A356" s="1">
        <v>355</v>
      </c>
      <c r="B356" s="1">
        <v>15</v>
      </c>
      <c r="C356" s="3">
        <v>15115271790900</v>
      </c>
      <c r="D356" s="2">
        <v>44394.333333333336</v>
      </c>
      <c r="E356" s="2">
        <v>44394.524305555555</v>
      </c>
      <c r="F356" s="23">
        <f t="shared" si="15"/>
        <v>0.19097222221898846</v>
      </c>
      <c r="G356" s="24">
        <f t="shared" si="17"/>
        <v>65.4545454556538</v>
      </c>
      <c r="H356" s="1" t="s">
        <v>1</v>
      </c>
      <c r="I356" s="4" t="s">
        <v>2</v>
      </c>
      <c r="J356" s="14">
        <v>0.33333333333333331</v>
      </c>
      <c r="K356" s="20" t="str">
        <f t="shared" si="16"/>
        <v>1st Shift</v>
      </c>
    </row>
    <row r="357" spans="1:11" x14ac:dyDescent="0.25">
      <c r="A357" s="1">
        <v>356</v>
      </c>
      <c r="B357" s="1">
        <v>14</v>
      </c>
      <c r="C357" s="3">
        <v>14115271734400</v>
      </c>
      <c r="D357" s="2">
        <v>44394.333333333336</v>
      </c>
      <c r="E357" s="2">
        <v>44394.524305555555</v>
      </c>
      <c r="F357" s="23">
        <f t="shared" si="15"/>
        <v>0.19097222221898846</v>
      </c>
      <c r="G357" s="24">
        <f t="shared" si="17"/>
        <v>65.4545454556538</v>
      </c>
      <c r="H357" s="1" t="s">
        <v>1</v>
      </c>
      <c r="I357" s="4" t="s">
        <v>2</v>
      </c>
      <c r="J357" s="14">
        <v>0.33333333333333331</v>
      </c>
      <c r="K357" s="20" t="str">
        <f t="shared" si="16"/>
        <v>1st Shift</v>
      </c>
    </row>
    <row r="358" spans="1:11" x14ac:dyDescent="0.25">
      <c r="A358" s="1">
        <v>357</v>
      </c>
      <c r="B358" s="1">
        <v>13</v>
      </c>
      <c r="C358" s="3">
        <v>13115271621702</v>
      </c>
      <c r="D358" s="2">
        <v>44394.333333333336</v>
      </c>
      <c r="E358" s="2">
        <v>44394.524305555555</v>
      </c>
      <c r="F358" s="23">
        <f t="shared" si="15"/>
        <v>0.19097222221898846</v>
      </c>
      <c r="G358" s="24">
        <f t="shared" si="17"/>
        <v>65.4545454556538</v>
      </c>
      <c r="H358" s="1" t="s">
        <v>1</v>
      </c>
      <c r="I358" s="4" t="s">
        <v>3</v>
      </c>
      <c r="J358" s="14">
        <v>0.33333333333333331</v>
      </c>
      <c r="K358" s="20" t="str">
        <f t="shared" si="16"/>
        <v>1st Shift</v>
      </c>
    </row>
    <row r="359" spans="1:11" x14ac:dyDescent="0.25">
      <c r="A359" s="1">
        <v>358</v>
      </c>
      <c r="B359" s="1">
        <v>13</v>
      </c>
      <c r="C359" s="3">
        <v>13115271591200</v>
      </c>
      <c r="D359" s="2">
        <v>44394.333333333336</v>
      </c>
      <c r="E359" s="2">
        <v>44394.524305555555</v>
      </c>
      <c r="F359" s="23">
        <f t="shared" si="15"/>
        <v>0.19097222221898846</v>
      </c>
      <c r="G359" s="24">
        <f t="shared" si="17"/>
        <v>65.4545454556538</v>
      </c>
      <c r="H359" s="1" t="s">
        <v>1</v>
      </c>
      <c r="I359" s="4" t="s">
        <v>4</v>
      </c>
      <c r="J359" s="14">
        <v>0.33333333333333331</v>
      </c>
      <c r="K359" s="20" t="str">
        <f t="shared" si="16"/>
        <v>1st Shift</v>
      </c>
    </row>
    <row r="360" spans="1:11" x14ac:dyDescent="0.25">
      <c r="A360" s="1">
        <v>359</v>
      </c>
      <c r="B360" s="1">
        <v>11</v>
      </c>
      <c r="C360" s="3">
        <v>11115271560103</v>
      </c>
      <c r="D360" s="2">
        <v>44394.333333333336</v>
      </c>
      <c r="E360" s="2">
        <v>44394.524305555555</v>
      </c>
      <c r="F360" s="23">
        <f t="shared" si="15"/>
        <v>0.19097222221898846</v>
      </c>
      <c r="G360" s="24">
        <f t="shared" si="17"/>
        <v>65.4545454556538</v>
      </c>
      <c r="H360" s="1" t="s">
        <v>1</v>
      </c>
      <c r="I360" s="4" t="s">
        <v>2</v>
      </c>
      <c r="J360" s="14">
        <v>0.33333333333333331</v>
      </c>
      <c r="K360" s="20" t="str">
        <f t="shared" si="16"/>
        <v>1st Shift</v>
      </c>
    </row>
    <row r="361" spans="1:11" x14ac:dyDescent="0.25">
      <c r="A361" s="1">
        <v>360</v>
      </c>
      <c r="B361" s="1">
        <v>10</v>
      </c>
      <c r="C361" s="3">
        <v>10115271959500</v>
      </c>
      <c r="D361" s="2">
        <v>44394.333333333336</v>
      </c>
      <c r="E361" s="2">
        <v>44394.524305555555</v>
      </c>
      <c r="F361" s="23">
        <f t="shared" si="15"/>
        <v>0.19097222221898846</v>
      </c>
      <c r="G361" s="24">
        <f t="shared" si="17"/>
        <v>65.4545454556538</v>
      </c>
      <c r="H361" s="1" t="s">
        <v>1</v>
      </c>
      <c r="I361" s="4" t="s">
        <v>2</v>
      </c>
      <c r="J361" s="14">
        <v>0.33333333333333331</v>
      </c>
      <c r="K361" s="20" t="str">
        <f t="shared" si="16"/>
        <v>1st Shift</v>
      </c>
    </row>
    <row r="362" spans="1:11" x14ac:dyDescent="0.25">
      <c r="A362" s="1">
        <v>361</v>
      </c>
      <c r="B362" s="1">
        <v>9</v>
      </c>
      <c r="C362" s="3">
        <v>9115271909300</v>
      </c>
      <c r="D362" s="2">
        <v>44394.333333333336</v>
      </c>
      <c r="E362" s="2">
        <v>44394.524305555555</v>
      </c>
      <c r="F362" s="23">
        <f t="shared" si="15"/>
        <v>0.19097222221898846</v>
      </c>
      <c r="G362" s="24">
        <f t="shared" si="17"/>
        <v>65.4545454556538</v>
      </c>
      <c r="H362" s="1" t="s">
        <v>1</v>
      </c>
      <c r="I362" s="4" t="s">
        <v>2</v>
      </c>
      <c r="J362" s="14">
        <v>0.33333333333333331</v>
      </c>
      <c r="K362" s="20" t="str">
        <f t="shared" si="16"/>
        <v>1st Shift</v>
      </c>
    </row>
    <row r="363" spans="1:11" x14ac:dyDescent="0.25">
      <c r="A363" s="1">
        <v>362</v>
      </c>
      <c r="B363" s="1">
        <v>15</v>
      </c>
      <c r="C363" s="3">
        <v>15115271779410</v>
      </c>
      <c r="D363" s="2">
        <v>44394.53125</v>
      </c>
      <c r="E363" s="2">
        <v>44394.576388888891</v>
      </c>
      <c r="F363" s="23">
        <f t="shared" si="15"/>
        <v>4.5138888890505768E-2</v>
      </c>
      <c r="G363" s="24">
        <f t="shared" si="17"/>
        <v>276.9230769131575</v>
      </c>
      <c r="H363" s="1" t="s">
        <v>1</v>
      </c>
      <c r="I363" s="4" t="s">
        <v>2</v>
      </c>
      <c r="J363" s="14">
        <v>0.53125</v>
      </c>
      <c r="K363" s="20" t="str">
        <f t="shared" si="16"/>
        <v>1st Shift</v>
      </c>
    </row>
    <row r="364" spans="1:11" x14ac:dyDescent="0.25">
      <c r="A364" s="1">
        <v>363</v>
      </c>
      <c r="B364" s="1">
        <v>12</v>
      </c>
      <c r="C364" s="3">
        <v>12115271560818</v>
      </c>
      <c r="D364" s="2">
        <v>44394.53125</v>
      </c>
      <c r="E364" s="2">
        <v>44394.576388888891</v>
      </c>
      <c r="F364" s="23">
        <f t="shared" si="15"/>
        <v>4.5138888890505768E-2</v>
      </c>
      <c r="G364" s="24">
        <f t="shared" si="17"/>
        <v>276.9230769131575</v>
      </c>
      <c r="H364" s="1" t="s">
        <v>1</v>
      </c>
      <c r="I364" s="4" t="s">
        <v>2</v>
      </c>
      <c r="J364" s="14">
        <v>0.53125</v>
      </c>
      <c r="K364" s="20" t="str">
        <f t="shared" si="16"/>
        <v>1st Shift</v>
      </c>
    </row>
    <row r="365" spans="1:11" x14ac:dyDescent="0.25">
      <c r="A365" s="1">
        <v>364</v>
      </c>
      <c r="B365" s="1">
        <v>8</v>
      </c>
      <c r="C365" s="3">
        <v>8115271839600</v>
      </c>
      <c r="D365" s="2">
        <v>44394.604166666664</v>
      </c>
      <c r="E365" s="2">
        <v>44394.708333333336</v>
      </c>
      <c r="F365" s="23">
        <f t="shared" si="15"/>
        <v>0.10416666667151731</v>
      </c>
      <c r="G365" s="24">
        <f t="shared" si="17"/>
        <v>119.99999999441206</v>
      </c>
      <c r="H365" s="1" t="s">
        <v>1</v>
      </c>
      <c r="I365" s="4" t="s">
        <v>2</v>
      </c>
      <c r="J365" s="14">
        <v>0.60416666666666663</v>
      </c>
      <c r="K365" s="20" t="str">
        <f t="shared" si="16"/>
        <v>2nd Shift</v>
      </c>
    </row>
    <row r="366" spans="1:11" x14ac:dyDescent="0.25">
      <c r="A366" s="1">
        <v>365</v>
      </c>
      <c r="B366" s="1">
        <v>5</v>
      </c>
      <c r="C366" s="3">
        <v>5115271081507</v>
      </c>
      <c r="D366" s="2">
        <v>44394.604166666664</v>
      </c>
      <c r="E366" s="2">
        <v>44394.708333333336</v>
      </c>
      <c r="F366" s="23">
        <f t="shared" si="15"/>
        <v>0.10416666667151731</v>
      </c>
      <c r="G366" s="24">
        <f t="shared" si="17"/>
        <v>119.99999999441206</v>
      </c>
      <c r="H366" s="1" t="s">
        <v>1</v>
      </c>
      <c r="I366" s="4" t="s">
        <v>3</v>
      </c>
      <c r="J366" s="14">
        <v>0.60416666666666663</v>
      </c>
      <c r="K366" s="20" t="str">
        <f t="shared" si="16"/>
        <v>2nd Shift</v>
      </c>
    </row>
    <row r="367" spans="1:11" x14ac:dyDescent="0.25">
      <c r="A367" s="1">
        <v>366</v>
      </c>
      <c r="B367" s="1">
        <v>2</v>
      </c>
      <c r="C367" s="3">
        <v>2115270168700</v>
      </c>
      <c r="D367" s="2">
        <v>44394.604166666664</v>
      </c>
      <c r="E367" s="2">
        <v>44394.708333333336</v>
      </c>
      <c r="F367" s="23">
        <f t="shared" si="15"/>
        <v>0.10416666667151731</v>
      </c>
      <c r="G367" s="24">
        <f t="shared" si="17"/>
        <v>119.99999999441206</v>
      </c>
      <c r="H367" s="1" t="s">
        <v>1</v>
      </c>
      <c r="I367" s="4" t="s">
        <v>2</v>
      </c>
      <c r="J367" s="14">
        <v>0.60416666666666663</v>
      </c>
      <c r="K367" s="20" t="str">
        <f t="shared" si="16"/>
        <v>2nd Shift</v>
      </c>
    </row>
    <row r="368" spans="1:11" x14ac:dyDescent="0.25">
      <c r="A368" s="1">
        <v>367</v>
      </c>
      <c r="B368" s="1">
        <v>2</v>
      </c>
      <c r="C368" s="3">
        <v>2115270155100</v>
      </c>
      <c r="D368" s="2">
        <v>44394.604166666664</v>
      </c>
      <c r="E368" s="2">
        <v>44394.708333333336</v>
      </c>
      <c r="F368" s="23">
        <f t="shared" si="15"/>
        <v>0.10416666667151731</v>
      </c>
      <c r="G368" s="24">
        <f t="shared" si="17"/>
        <v>119.99999999441206</v>
      </c>
      <c r="H368" s="1" t="s">
        <v>1</v>
      </c>
      <c r="I368" s="4" t="s">
        <v>2</v>
      </c>
      <c r="J368" s="14">
        <v>0.60416666666666663</v>
      </c>
      <c r="K368" s="20" t="str">
        <f t="shared" si="16"/>
        <v>2nd Shift</v>
      </c>
    </row>
    <row r="369" spans="1:11" x14ac:dyDescent="0.25">
      <c r="A369" s="1">
        <v>368</v>
      </c>
      <c r="B369" s="1">
        <v>12</v>
      </c>
      <c r="C369" s="3">
        <v>12115271567800</v>
      </c>
      <c r="D369" s="2">
        <v>44394.729166666664</v>
      </c>
      <c r="E369" s="2">
        <v>44394.895833333336</v>
      </c>
      <c r="F369" s="23">
        <f t="shared" si="15"/>
        <v>0.16666666667151731</v>
      </c>
      <c r="G369" s="24">
        <f t="shared" si="17"/>
        <v>74.999999997817213</v>
      </c>
      <c r="H369" s="1" t="s">
        <v>1</v>
      </c>
      <c r="I369" s="4" t="s">
        <v>2</v>
      </c>
      <c r="J369" s="14">
        <v>0.72916666666666663</v>
      </c>
      <c r="K369" s="20" t="str">
        <f t="shared" si="16"/>
        <v>2nd Shift</v>
      </c>
    </row>
    <row r="370" spans="1:11" x14ac:dyDescent="0.25">
      <c r="A370" s="1">
        <v>369</v>
      </c>
      <c r="B370" s="1">
        <v>10</v>
      </c>
      <c r="C370" s="3">
        <v>10115271957500</v>
      </c>
      <c r="D370" s="2">
        <v>44394.729166666664</v>
      </c>
      <c r="E370" s="2">
        <v>44394.895833333336</v>
      </c>
      <c r="F370" s="23">
        <f t="shared" si="15"/>
        <v>0.16666666667151731</v>
      </c>
      <c r="G370" s="24">
        <f t="shared" si="17"/>
        <v>74.999999997817213</v>
      </c>
      <c r="H370" s="1" t="s">
        <v>1</v>
      </c>
      <c r="I370" s="4" t="s">
        <v>2</v>
      </c>
      <c r="J370" s="14">
        <v>0.72916666666666663</v>
      </c>
      <c r="K370" s="20" t="str">
        <f t="shared" si="16"/>
        <v>2nd Shift</v>
      </c>
    </row>
    <row r="371" spans="1:11" x14ac:dyDescent="0.25">
      <c r="A371" s="1">
        <v>370</v>
      </c>
      <c r="B371" s="1">
        <v>9</v>
      </c>
      <c r="C371" s="3">
        <v>9115271909200</v>
      </c>
      <c r="D371" s="2">
        <v>44394.729166666664</v>
      </c>
      <c r="E371" s="2">
        <v>44394.895833333336</v>
      </c>
      <c r="F371" s="23">
        <f t="shared" si="15"/>
        <v>0.16666666667151731</v>
      </c>
      <c r="G371" s="24">
        <f t="shared" si="17"/>
        <v>74.999999997817213</v>
      </c>
      <c r="H371" s="1" t="s">
        <v>1</v>
      </c>
      <c r="I371" s="4" t="s">
        <v>2</v>
      </c>
      <c r="J371" s="14">
        <v>0.72916666666666663</v>
      </c>
      <c r="K371" s="20" t="str">
        <f t="shared" si="16"/>
        <v>2nd Shift</v>
      </c>
    </row>
    <row r="372" spans="1:11" x14ac:dyDescent="0.25">
      <c r="A372" s="1">
        <v>371</v>
      </c>
      <c r="B372" s="1">
        <v>9</v>
      </c>
      <c r="C372" s="3">
        <v>9115271909106</v>
      </c>
      <c r="D372" s="2">
        <v>44394.729166666664</v>
      </c>
      <c r="E372" s="2">
        <v>44394.895833333336</v>
      </c>
      <c r="F372" s="23">
        <f t="shared" si="15"/>
        <v>0.16666666667151731</v>
      </c>
      <c r="G372" s="24">
        <f t="shared" si="17"/>
        <v>74.999999997817213</v>
      </c>
      <c r="H372" s="1" t="s">
        <v>1</v>
      </c>
      <c r="I372" s="4" t="s">
        <v>2</v>
      </c>
      <c r="J372" s="14">
        <v>0.72916666666666663</v>
      </c>
      <c r="K372" s="20" t="str">
        <f t="shared" si="16"/>
        <v>2nd Shift</v>
      </c>
    </row>
    <row r="373" spans="1:11" x14ac:dyDescent="0.25">
      <c r="A373" s="1">
        <v>372</v>
      </c>
      <c r="B373" s="1">
        <v>6</v>
      </c>
      <c r="C373" s="3">
        <v>6115271720800</v>
      </c>
      <c r="D373" s="2">
        <v>44394.729166666664</v>
      </c>
      <c r="E373" s="2">
        <v>44394.895833333336</v>
      </c>
      <c r="F373" s="23">
        <f t="shared" si="15"/>
        <v>0.16666666667151731</v>
      </c>
      <c r="G373" s="24">
        <f t="shared" si="17"/>
        <v>74.999999997817213</v>
      </c>
      <c r="H373" s="1" t="s">
        <v>1</v>
      </c>
      <c r="I373" s="4" t="s">
        <v>2</v>
      </c>
      <c r="J373" s="14">
        <v>0.72916666666666663</v>
      </c>
      <c r="K373" s="20" t="str">
        <f t="shared" si="16"/>
        <v>2nd Shift</v>
      </c>
    </row>
    <row r="374" spans="1:11" x14ac:dyDescent="0.25">
      <c r="A374" s="1">
        <v>373</v>
      </c>
      <c r="B374" s="1">
        <v>15</v>
      </c>
      <c r="C374" s="3">
        <v>15115271749000</v>
      </c>
      <c r="D374" s="2">
        <v>44394.979166666664</v>
      </c>
      <c r="E374" s="2">
        <v>44395.145833333336</v>
      </c>
      <c r="F374" s="23">
        <f t="shared" si="15"/>
        <v>0.16666666667151731</v>
      </c>
      <c r="G374" s="24">
        <f t="shared" si="17"/>
        <v>74.999999997817213</v>
      </c>
      <c r="H374" s="1" t="s">
        <v>1</v>
      </c>
      <c r="I374" s="4" t="s">
        <v>2</v>
      </c>
      <c r="J374" s="14">
        <v>0.97916666666666663</v>
      </c>
      <c r="K374" s="20" t="str">
        <f t="shared" si="16"/>
        <v>3rd Shift</v>
      </c>
    </row>
    <row r="375" spans="1:11" x14ac:dyDescent="0.25">
      <c r="A375" s="1">
        <v>374</v>
      </c>
      <c r="B375" s="1">
        <v>13</v>
      </c>
      <c r="C375" s="3">
        <v>13115271661600</v>
      </c>
      <c r="D375" s="2">
        <v>44394.979166666664</v>
      </c>
      <c r="E375" s="2">
        <v>44395.145833333336</v>
      </c>
      <c r="F375" s="23">
        <f t="shared" si="15"/>
        <v>0.16666666667151731</v>
      </c>
      <c r="G375" s="24">
        <f t="shared" si="17"/>
        <v>74.999999997817213</v>
      </c>
      <c r="H375" s="1" t="s">
        <v>1</v>
      </c>
      <c r="I375" s="4" t="s">
        <v>2</v>
      </c>
      <c r="J375" s="14">
        <v>0.97916666666666663</v>
      </c>
      <c r="K375" s="20" t="str">
        <f t="shared" si="16"/>
        <v>3rd Shift</v>
      </c>
    </row>
    <row r="376" spans="1:11" x14ac:dyDescent="0.25">
      <c r="A376" s="1">
        <v>375</v>
      </c>
      <c r="B376" s="1">
        <v>12</v>
      </c>
      <c r="C376" s="3">
        <v>12115271567399</v>
      </c>
      <c r="D376" s="2">
        <v>44394.979166666664</v>
      </c>
      <c r="E376" s="2">
        <v>44395.145833333336</v>
      </c>
      <c r="F376" s="23">
        <f t="shared" si="15"/>
        <v>0.16666666667151731</v>
      </c>
      <c r="G376" s="24">
        <f t="shared" si="17"/>
        <v>74.999999997817213</v>
      </c>
      <c r="H376" s="1" t="s">
        <v>1</v>
      </c>
      <c r="I376" s="4" t="s">
        <v>2</v>
      </c>
      <c r="J376" s="14">
        <v>0.97916666666666663</v>
      </c>
      <c r="K376" s="20" t="str">
        <f t="shared" si="16"/>
        <v>3rd Shift</v>
      </c>
    </row>
    <row r="377" spans="1:11" x14ac:dyDescent="0.25">
      <c r="A377" s="1">
        <v>376</v>
      </c>
      <c r="B377" s="1">
        <v>9</v>
      </c>
      <c r="C377" s="3">
        <v>9115271909404</v>
      </c>
      <c r="D377" s="2">
        <v>44394.979166666664</v>
      </c>
      <c r="E377" s="2">
        <v>44395.145833333336</v>
      </c>
      <c r="F377" s="23">
        <f t="shared" si="15"/>
        <v>0.16666666667151731</v>
      </c>
      <c r="G377" s="24">
        <f t="shared" si="17"/>
        <v>74.999999997817213</v>
      </c>
      <c r="H377" s="1" t="s">
        <v>1</v>
      </c>
      <c r="I377" s="4" t="s">
        <v>2</v>
      </c>
      <c r="J377" s="14">
        <v>0.97916666666666663</v>
      </c>
      <c r="K377" s="20" t="str">
        <f t="shared" si="16"/>
        <v>3rd Shift</v>
      </c>
    </row>
    <row r="378" spans="1:11" x14ac:dyDescent="0.25">
      <c r="A378" s="1">
        <v>377</v>
      </c>
      <c r="B378" s="1">
        <v>15</v>
      </c>
      <c r="C378" s="3">
        <v>15115271789400</v>
      </c>
      <c r="D378" s="2">
        <v>44395.364583333336</v>
      </c>
      <c r="E378" s="2">
        <v>44395.576388888891</v>
      </c>
      <c r="F378" s="23">
        <f t="shared" si="15"/>
        <v>0.21180555555474712</v>
      </c>
      <c r="G378" s="24">
        <f t="shared" si="17"/>
        <v>59.016393442848212</v>
      </c>
      <c r="H378" s="1" t="s">
        <v>1</v>
      </c>
      <c r="I378" s="4" t="s">
        <v>2</v>
      </c>
      <c r="J378" s="14">
        <v>0.36458333333333331</v>
      </c>
      <c r="K378" s="20" t="str">
        <f t="shared" si="16"/>
        <v>1st Shift</v>
      </c>
    </row>
    <row r="379" spans="1:11" x14ac:dyDescent="0.25">
      <c r="A379" s="1">
        <v>378</v>
      </c>
      <c r="B379" s="1">
        <v>14</v>
      </c>
      <c r="C379" s="3">
        <v>14115271673114</v>
      </c>
      <c r="D379" s="2">
        <v>44395.364583333336</v>
      </c>
      <c r="E379" s="2">
        <v>44395.576388888891</v>
      </c>
      <c r="F379" s="23">
        <f t="shared" si="15"/>
        <v>0.21180555555474712</v>
      </c>
      <c r="G379" s="24">
        <f t="shared" si="17"/>
        <v>59.016393442848212</v>
      </c>
      <c r="H379" s="1" t="s">
        <v>1</v>
      </c>
      <c r="I379" s="4" t="s">
        <v>3</v>
      </c>
      <c r="J379" s="14">
        <v>0.36458333333333331</v>
      </c>
      <c r="K379" s="20" t="str">
        <f t="shared" si="16"/>
        <v>1st Shift</v>
      </c>
    </row>
    <row r="380" spans="1:11" x14ac:dyDescent="0.25">
      <c r="A380" s="1">
        <v>379</v>
      </c>
      <c r="B380" s="1">
        <v>14</v>
      </c>
      <c r="C380" s="3">
        <v>14115271673113</v>
      </c>
      <c r="D380" s="2">
        <v>44395.364583333336</v>
      </c>
      <c r="E380" s="2">
        <v>44395.576388888891</v>
      </c>
      <c r="F380" s="23">
        <f t="shared" si="15"/>
        <v>0.21180555555474712</v>
      </c>
      <c r="G380" s="24">
        <f t="shared" si="17"/>
        <v>59.016393442848212</v>
      </c>
      <c r="H380" s="1" t="s">
        <v>1</v>
      </c>
      <c r="I380" s="4" t="s">
        <v>4</v>
      </c>
      <c r="J380" s="14">
        <v>0.36458333333333331</v>
      </c>
      <c r="K380" s="20" t="str">
        <f t="shared" si="16"/>
        <v>1st Shift</v>
      </c>
    </row>
    <row r="381" spans="1:11" x14ac:dyDescent="0.25">
      <c r="A381" s="1">
        <v>380</v>
      </c>
      <c r="B381" s="1">
        <v>13</v>
      </c>
      <c r="C381" s="3">
        <v>13115271591709</v>
      </c>
      <c r="D381" s="2">
        <v>44395.364583333336</v>
      </c>
      <c r="E381" s="2">
        <v>44395.576388888891</v>
      </c>
      <c r="F381" s="23">
        <f t="shared" si="15"/>
        <v>0.21180555555474712</v>
      </c>
      <c r="G381" s="24">
        <f t="shared" si="17"/>
        <v>59.016393442848212</v>
      </c>
      <c r="H381" s="1" t="s">
        <v>1</v>
      </c>
      <c r="I381" s="4" t="s">
        <v>2</v>
      </c>
      <c r="J381" s="14">
        <v>0.36458333333333331</v>
      </c>
      <c r="K381" s="20" t="str">
        <f t="shared" si="16"/>
        <v>1st Shift</v>
      </c>
    </row>
    <row r="382" spans="1:11" x14ac:dyDescent="0.25">
      <c r="A382" s="1">
        <v>381</v>
      </c>
      <c r="B382" s="1">
        <v>13</v>
      </c>
      <c r="C382" s="3">
        <v>13115271591400</v>
      </c>
      <c r="D382" s="2">
        <v>44395.364583333336</v>
      </c>
      <c r="E382" s="2">
        <v>44395.576388888891</v>
      </c>
      <c r="F382" s="23">
        <f t="shared" si="15"/>
        <v>0.21180555555474712</v>
      </c>
      <c r="G382" s="24">
        <f t="shared" si="17"/>
        <v>59.016393442848212</v>
      </c>
      <c r="H382" s="1" t="s">
        <v>1</v>
      </c>
      <c r="I382" s="4" t="s">
        <v>2</v>
      </c>
      <c r="J382" s="14">
        <v>0.36458333333333331</v>
      </c>
      <c r="K382" s="20" t="str">
        <f t="shared" si="16"/>
        <v>1st Shift</v>
      </c>
    </row>
    <row r="383" spans="1:11" x14ac:dyDescent="0.25">
      <c r="A383" s="1">
        <v>382</v>
      </c>
      <c r="B383" s="1">
        <v>12</v>
      </c>
      <c r="C383" s="3">
        <v>12115271574614</v>
      </c>
      <c r="D383" s="2">
        <v>44395.364583333336</v>
      </c>
      <c r="E383" s="2">
        <v>44395.576388888891</v>
      </c>
      <c r="F383" s="23">
        <f t="shared" si="15"/>
        <v>0.21180555555474712</v>
      </c>
      <c r="G383" s="24">
        <f t="shared" si="17"/>
        <v>59.016393442848212</v>
      </c>
      <c r="H383" s="1" t="s">
        <v>1</v>
      </c>
      <c r="I383" s="4" t="s">
        <v>2</v>
      </c>
      <c r="J383" s="14">
        <v>0.36458333333333331</v>
      </c>
      <c r="K383" s="20" t="str">
        <f t="shared" si="16"/>
        <v>1st Shift</v>
      </c>
    </row>
    <row r="384" spans="1:11" x14ac:dyDescent="0.25">
      <c r="A384" s="1">
        <v>383</v>
      </c>
      <c r="B384" s="1">
        <v>12</v>
      </c>
      <c r="C384" s="3">
        <v>12115271574613</v>
      </c>
      <c r="D384" s="2">
        <v>44395.364583333336</v>
      </c>
      <c r="E384" s="2">
        <v>44395.576388888891</v>
      </c>
      <c r="F384" s="23">
        <f t="shared" si="15"/>
        <v>0.21180555555474712</v>
      </c>
      <c r="G384" s="24">
        <f t="shared" si="17"/>
        <v>59.016393442848212</v>
      </c>
      <c r="H384" s="1" t="s">
        <v>1</v>
      </c>
      <c r="I384" s="4" t="s">
        <v>2</v>
      </c>
      <c r="J384" s="14">
        <v>0.36458333333333331</v>
      </c>
      <c r="K384" s="20" t="str">
        <f t="shared" si="16"/>
        <v>1st Shift</v>
      </c>
    </row>
    <row r="385" spans="1:11" x14ac:dyDescent="0.25">
      <c r="A385" s="1">
        <v>384</v>
      </c>
      <c r="B385" s="1">
        <v>11</v>
      </c>
      <c r="C385" s="3">
        <v>11115271515601</v>
      </c>
      <c r="D385" s="2">
        <v>44395.364583333336</v>
      </c>
      <c r="E385" s="2">
        <v>44395.576388888891</v>
      </c>
      <c r="F385" s="23">
        <f t="shared" si="15"/>
        <v>0.21180555555474712</v>
      </c>
      <c r="G385" s="24">
        <f t="shared" si="17"/>
        <v>59.016393442848212</v>
      </c>
      <c r="H385" s="1" t="s">
        <v>1</v>
      </c>
      <c r="I385" s="4" t="s">
        <v>2</v>
      </c>
      <c r="J385" s="14">
        <v>0.36458333333333331</v>
      </c>
      <c r="K385" s="20" t="str">
        <f t="shared" si="16"/>
        <v>1st Shift</v>
      </c>
    </row>
    <row r="386" spans="1:11" x14ac:dyDescent="0.25">
      <c r="A386" s="1">
        <v>385</v>
      </c>
      <c r="B386" s="1">
        <v>11</v>
      </c>
      <c r="C386" s="3">
        <v>11115271515600</v>
      </c>
      <c r="D386" s="2">
        <v>44395.364583333336</v>
      </c>
      <c r="E386" s="2">
        <v>44395.576388888891</v>
      </c>
      <c r="F386" s="23">
        <f t="shared" ref="F386:F449" si="18">E386-D386</f>
        <v>0.21180555555474712</v>
      </c>
      <c r="G386" s="24">
        <f t="shared" si="17"/>
        <v>59.016393442848212</v>
      </c>
      <c r="H386" s="1" t="s">
        <v>1</v>
      </c>
      <c r="I386" s="4" t="s">
        <v>3</v>
      </c>
      <c r="J386" s="14">
        <v>0.36458333333333331</v>
      </c>
      <c r="K386" s="20" t="str">
        <f t="shared" ref="K386:K449" si="19">IF(AND(J386&gt;=$M$3,J386&lt;$M$4),"1st Shift",IF(AND(J386&gt;=$M$4,J386&lt;$M$5),"2nd Shift","3rd Shift"))</f>
        <v>1st Shift</v>
      </c>
    </row>
    <row r="387" spans="1:11" x14ac:dyDescent="0.25">
      <c r="A387" s="1">
        <v>386</v>
      </c>
      <c r="B387" s="1">
        <v>10</v>
      </c>
      <c r="C387" s="3">
        <v>10115271451101</v>
      </c>
      <c r="D387" s="2">
        <v>44395.364583333336</v>
      </c>
      <c r="E387" s="2">
        <v>44395.576388888891</v>
      </c>
      <c r="F387" s="23">
        <f t="shared" si="18"/>
        <v>0.21180555555474712</v>
      </c>
      <c r="G387" s="24">
        <f t="shared" ref="G387:G450" si="20">$M$9/F387*100</f>
        <v>59.016393442848212</v>
      </c>
      <c r="H387" s="1" t="s">
        <v>1</v>
      </c>
      <c r="I387" s="4" t="s">
        <v>2</v>
      </c>
      <c r="J387" s="14">
        <v>0.36458333333333331</v>
      </c>
      <c r="K387" s="20" t="str">
        <f t="shared" si="19"/>
        <v>1st Shift</v>
      </c>
    </row>
    <row r="388" spans="1:11" x14ac:dyDescent="0.25">
      <c r="A388" s="1">
        <v>387</v>
      </c>
      <c r="B388" s="1">
        <v>10</v>
      </c>
      <c r="C388" s="3">
        <v>10115271451100</v>
      </c>
      <c r="D388" s="2">
        <v>44395.364583333336</v>
      </c>
      <c r="E388" s="2">
        <v>44395.576388888891</v>
      </c>
      <c r="F388" s="23">
        <f t="shared" si="18"/>
        <v>0.21180555555474712</v>
      </c>
      <c r="G388" s="24">
        <f t="shared" si="20"/>
        <v>59.016393442848212</v>
      </c>
      <c r="H388" s="1" t="s">
        <v>1</v>
      </c>
      <c r="I388" s="4" t="s">
        <v>2</v>
      </c>
      <c r="J388" s="14">
        <v>0.36458333333333331</v>
      </c>
      <c r="K388" s="20" t="str">
        <f t="shared" si="19"/>
        <v>1st Shift</v>
      </c>
    </row>
    <row r="389" spans="1:11" x14ac:dyDescent="0.25">
      <c r="A389" s="1">
        <v>388</v>
      </c>
      <c r="B389" s="1">
        <v>8</v>
      </c>
      <c r="C389" s="3">
        <v>8115270614201</v>
      </c>
      <c r="D389" s="2">
        <v>44395.364583333336</v>
      </c>
      <c r="E389" s="2">
        <v>44395.576388888891</v>
      </c>
      <c r="F389" s="23">
        <f t="shared" si="18"/>
        <v>0.21180555555474712</v>
      </c>
      <c r="G389" s="24">
        <f t="shared" si="20"/>
        <v>59.016393442848212</v>
      </c>
      <c r="H389" s="1" t="s">
        <v>1</v>
      </c>
      <c r="I389" s="4" t="s">
        <v>2</v>
      </c>
      <c r="J389" s="14">
        <v>0.36458333333333331</v>
      </c>
      <c r="K389" s="20" t="str">
        <f t="shared" si="19"/>
        <v>1st Shift</v>
      </c>
    </row>
    <row r="390" spans="1:11" x14ac:dyDescent="0.25">
      <c r="A390" s="1">
        <v>389</v>
      </c>
      <c r="B390" s="1">
        <v>8</v>
      </c>
      <c r="C390" s="3">
        <v>8115270614200</v>
      </c>
      <c r="D390" s="2">
        <v>44395.364583333336</v>
      </c>
      <c r="E390" s="2">
        <v>44395.576388888891</v>
      </c>
      <c r="F390" s="23">
        <f t="shared" si="18"/>
        <v>0.21180555555474712</v>
      </c>
      <c r="G390" s="24">
        <f t="shared" si="20"/>
        <v>59.016393442848212</v>
      </c>
      <c r="H390" s="1" t="s">
        <v>1</v>
      </c>
      <c r="I390" s="4" t="s">
        <v>2</v>
      </c>
      <c r="J390" s="14">
        <v>0.36458333333333331</v>
      </c>
      <c r="K390" s="20" t="str">
        <f t="shared" si="19"/>
        <v>1st Shift</v>
      </c>
    </row>
    <row r="391" spans="1:11" x14ac:dyDescent="0.25">
      <c r="A391" s="1">
        <v>390</v>
      </c>
      <c r="B391" s="1">
        <v>7</v>
      </c>
      <c r="C391" s="3">
        <v>7115271790503</v>
      </c>
      <c r="D391" s="2">
        <v>44395.364583333336</v>
      </c>
      <c r="E391" s="2">
        <v>44395.576388888891</v>
      </c>
      <c r="F391" s="23">
        <f t="shared" si="18"/>
        <v>0.21180555555474712</v>
      </c>
      <c r="G391" s="24">
        <f t="shared" si="20"/>
        <v>59.016393442848212</v>
      </c>
      <c r="H391" s="1" t="s">
        <v>1</v>
      </c>
      <c r="I391" s="4" t="s">
        <v>2</v>
      </c>
      <c r="J391" s="14">
        <v>0.36458333333333331</v>
      </c>
      <c r="K391" s="20" t="str">
        <f t="shared" si="19"/>
        <v>1st Shift</v>
      </c>
    </row>
    <row r="392" spans="1:11" x14ac:dyDescent="0.25">
      <c r="A392" s="1">
        <v>391</v>
      </c>
      <c r="B392" s="1">
        <v>7</v>
      </c>
      <c r="C392" s="3">
        <v>7115271790502</v>
      </c>
      <c r="D392" s="2">
        <v>44395.364583333336</v>
      </c>
      <c r="E392" s="2">
        <v>44395.576388888891</v>
      </c>
      <c r="F392" s="23">
        <f t="shared" si="18"/>
        <v>0.21180555555474712</v>
      </c>
      <c r="G392" s="24">
        <f t="shared" si="20"/>
        <v>59.016393442848212</v>
      </c>
      <c r="H392" s="1" t="s">
        <v>1</v>
      </c>
      <c r="I392" s="4" t="s">
        <v>2</v>
      </c>
      <c r="J392" s="14">
        <v>0.36458333333333331</v>
      </c>
      <c r="K392" s="20" t="str">
        <f t="shared" si="19"/>
        <v>1st Shift</v>
      </c>
    </row>
    <row r="393" spans="1:11" x14ac:dyDescent="0.25">
      <c r="A393" s="1">
        <v>392</v>
      </c>
      <c r="B393" s="1">
        <v>7</v>
      </c>
      <c r="C393" s="3">
        <v>7115271790301</v>
      </c>
      <c r="D393" s="2">
        <v>44395.364583333336</v>
      </c>
      <c r="E393" s="2">
        <v>44395.576388888891</v>
      </c>
      <c r="F393" s="23">
        <f t="shared" si="18"/>
        <v>0.21180555555474712</v>
      </c>
      <c r="G393" s="24">
        <f t="shared" si="20"/>
        <v>59.016393442848212</v>
      </c>
      <c r="H393" s="1" t="s">
        <v>1</v>
      </c>
      <c r="I393" s="4" t="s">
        <v>3</v>
      </c>
      <c r="J393" s="14">
        <v>0.36458333333333331</v>
      </c>
      <c r="K393" s="20" t="str">
        <f t="shared" si="19"/>
        <v>1st Shift</v>
      </c>
    </row>
    <row r="394" spans="1:11" x14ac:dyDescent="0.25">
      <c r="A394" s="1">
        <v>393</v>
      </c>
      <c r="B394" s="1">
        <v>7</v>
      </c>
      <c r="C394" s="3">
        <v>7115271790300</v>
      </c>
      <c r="D394" s="2">
        <v>44395.364583333336</v>
      </c>
      <c r="E394" s="2">
        <v>44395.576388888891</v>
      </c>
      <c r="F394" s="23">
        <f t="shared" si="18"/>
        <v>0.21180555555474712</v>
      </c>
      <c r="G394" s="24">
        <f t="shared" si="20"/>
        <v>59.016393442848212</v>
      </c>
      <c r="H394" s="1" t="s">
        <v>1</v>
      </c>
      <c r="I394" s="4" t="s">
        <v>6</v>
      </c>
      <c r="J394" s="14">
        <v>0.36458333333333331</v>
      </c>
      <c r="K394" s="20" t="str">
        <f t="shared" si="19"/>
        <v>1st Shift</v>
      </c>
    </row>
    <row r="395" spans="1:11" x14ac:dyDescent="0.25">
      <c r="A395" s="1">
        <v>394</v>
      </c>
      <c r="B395" s="1">
        <v>5</v>
      </c>
      <c r="C395" s="3">
        <v>5115271685023</v>
      </c>
      <c r="D395" s="2">
        <v>44395.364583333336</v>
      </c>
      <c r="E395" s="2">
        <v>44395.576388888891</v>
      </c>
      <c r="F395" s="23">
        <f t="shared" si="18"/>
        <v>0.21180555555474712</v>
      </c>
      <c r="G395" s="24">
        <f t="shared" si="20"/>
        <v>59.016393442848212</v>
      </c>
      <c r="H395" s="1" t="s">
        <v>1</v>
      </c>
      <c r="I395" s="4" t="s">
        <v>2</v>
      </c>
      <c r="J395" s="14">
        <v>0.36458333333333331</v>
      </c>
      <c r="K395" s="20" t="str">
        <f t="shared" si="19"/>
        <v>1st Shift</v>
      </c>
    </row>
    <row r="396" spans="1:11" x14ac:dyDescent="0.25">
      <c r="A396" s="1">
        <v>395</v>
      </c>
      <c r="B396" s="1">
        <v>5</v>
      </c>
      <c r="C396" s="3">
        <v>5115271685022</v>
      </c>
      <c r="D396" s="2">
        <v>44395.364583333336</v>
      </c>
      <c r="E396" s="2">
        <v>44395.576388888891</v>
      </c>
      <c r="F396" s="23">
        <f t="shared" si="18"/>
        <v>0.21180555555474712</v>
      </c>
      <c r="G396" s="24">
        <f t="shared" si="20"/>
        <v>59.016393442848212</v>
      </c>
      <c r="H396" s="1" t="s">
        <v>1</v>
      </c>
      <c r="I396" s="4" t="s">
        <v>2</v>
      </c>
      <c r="J396" s="14">
        <v>0.36458333333333331</v>
      </c>
      <c r="K396" s="20" t="str">
        <f t="shared" si="19"/>
        <v>1st Shift</v>
      </c>
    </row>
    <row r="397" spans="1:11" x14ac:dyDescent="0.25">
      <c r="A397" s="1">
        <v>396</v>
      </c>
      <c r="B397" s="1">
        <v>3</v>
      </c>
      <c r="C397" s="3">
        <v>3115270346701</v>
      </c>
      <c r="D397" s="2">
        <v>44395.364583333336</v>
      </c>
      <c r="E397" s="2">
        <v>44395.576388888891</v>
      </c>
      <c r="F397" s="23">
        <f t="shared" si="18"/>
        <v>0.21180555555474712</v>
      </c>
      <c r="G397" s="24">
        <f t="shared" si="20"/>
        <v>59.016393442848212</v>
      </c>
      <c r="H397" s="1" t="s">
        <v>1</v>
      </c>
      <c r="I397" s="4" t="s">
        <v>3</v>
      </c>
      <c r="J397" s="14">
        <v>0.36458333333333331</v>
      </c>
      <c r="K397" s="20" t="str">
        <f t="shared" si="19"/>
        <v>1st Shift</v>
      </c>
    </row>
    <row r="398" spans="1:11" x14ac:dyDescent="0.25">
      <c r="A398" s="1">
        <v>397</v>
      </c>
      <c r="B398" s="1">
        <v>3</v>
      </c>
      <c r="C398" s="3">
        <v>3115270346700</v>
      </c>
      <c r="D398" s="2">
        <v>44395.364583333336</v>
      </c>
      <c r="E398" s="2">
        <v>44395.576388888891</v>
      </c>
      <c r="F398" s="23">
        <f t="shared" si="18"/>
        <v>0.21180555555474712</v>
      </c>
      <c r="G398" s="24">
        <f t="shared" si="20"/>
        <v>59.016393442848212</v>
      </c>
      <c r="H398" s="1" t="s">
        <v>1</v>
      </c>
      <c r="I398" s="4" t="s">
        <v>2</v>
      </c>
      <c r="J398" s="14">
        <v>0.36458333333333331</v>
      </c>
      <c r="K398" s="20" t="str">
        <f t="shared" si="19"/>
        <v>1st Shift</v>
      </c>
    </row>
    <row r="399" spans="1:11" x14ac:dyDescent="0.25">
      <c r="A399" s="1">
        <v>398</v>
      </c>
      <c r="B399" s="1">
        <v>2</v>
      </c>
      <c r="C399" s="3">
        <v>2115270230110</v>
      </c>
      <c r="D399" s="2">
        <v>44395.364583333336</v>
      </c>
      <c r="E399" s="2">
        <v>44395.576388888891</v>
      </c>
      <c r="F399" s="23">
        <f t="shared" si="18"/>
        <v>0.21180555555474712</v>
      </c>
      <c r="G399" s="24">
        <f t="shared" si="20"/>
        <v>59.016393442848212</v>
      </c>
      <c r="H399" s="1" t="s">
        <v>1</v>
      </c>
      <c r="I399" s="4" t="s">
        <v>2</v>
      </c>
      <c r="J399" s="14">
        <v>0.36458333333333331</v>
      </c>
      <c r="K399" s="20" t="str">
        <f t="shared" si="19"/>
        <v>1st Shift</v>
      </c>
    </row>
    <row r="400" spans="1:11" x14ac:dyDescent="0.25">
      <c r="A400" s="1">
        <v>399</v>
      </c>
      <c r="B400" s="1">
        <v>2</v>
      </c>
      <c r="C400" s="3">
        <v>2115270230100</v>
      </c>
      <c r="D400" s="2">
        <v>44395.364583333336</v>
      </c>
      <c r="E400" s="2">
        <v>44395.576388888891</v>
      </c>
      <c r="F400" s="23">
        <f t="shared" si="18"/>
        <v>0.21180555555474712</v>
      </c>
      <c r="G400" s="24">
        <f t="shared" si="20"/>
        <v>59.016393442848212</v>
      </c>
      <c r="H400" s="1" t="s">
        <v>1</v>
      </c>
      <c r="I400" s="4" t="s">
        <v>3</v>
      </c>
      <c r="J400" s="14">
        <v>0.36458333333333331</v>
      </c>
      <c r="K400" s="20" t="str">
        <f t="shared" si="19"/>
        <v>1st Shift</v>
      </c>
    </row>
    <row r="401" spans="1:11" x14ac:dyDescent="0.25">
      <c r="A401" s="1">
        <v>400</v>
      </c>
      <c r="B401" s="1">
        <v>1</v>
      </c>
      <c r="C401" s="3">
        <v>1115270074802</v>
      </c>
      <c r="D401" s="2">
        <v>44395.364583333336</v>
      </c>
      <c r="E401" s="2">
        <v>44395.576388888891</v>
      </c>
      <c r="F401" s="23">
        <f t="shared" si="18"/>
        <v>0.21180555555474712</v>
      </c>
      <c r="G401" s="24">
        <f t="shared" si="20"/>
        <v>59.016393442848212</v>
      </c>
      <c r="H401" s="1" t="s">
        <v>1</v>
      </c>
      <c r="I401" s="4" t="s">
        <v>2</v>
      </c>
      <c r="J401" s="14">
        <v>0.36458333333333331</v>
      </c>
      <c r="K401" s="20" t="str">
        <f t="shared" si="19"/>
        <v>1st Shift</v>
      </c>
    </row>
    <row r="402" spans="1:11" x14ac:dyDescent="0.25">
      <c r="A402" s="1">
        <v>401</v>
      </c>
      <c r="B402" s="1">
        <v>1</v>
      </c>
      <c r="C402" s="3">
        <v>1115270074801</v>
      </c>
      <c r="D402" s="2">
        <v>44395.364583333336</v>
      </c>
      <c r="E402" s="2">
        <v>44395.576388888891</v>
      </c>
      <c r="F402" s="23">
        <f t="shared" si="18"/>
        <v>0.21180555555474712</v>
      </c>
      <c r="G402" s="24">
        <f t="shared" si="20"/>
        <v>59.016393442848212</v>
      </c>
      <c r="H402" s="1" t="s">
        <v>1</v>
      </c>
      <c r="I402" s="4" t="s">
        <v>2</v>
      </c>
      <c r="J402" s="14">
        <v>0.36458333333333331</v>
      </c>
      <c r="K402" s="20" t="str">
        <f t="shared" si="19"/>
        <v>1st Shift</v>
      </c>
    </row>
    <row r="403" spans="1:11" x14ac:dyDescent="0.25">
      <c r="A403" s="1">
        <v>402</v>
      </c>
      <c r="B403" s="1">
        <v>11</v>
      </c>
      <c r="C403" s="3">
        <v>11115271463804</v>
      </c>
      <c r="D403" s="2">
        <v>44395.604166666664</v>
      </c>
      <c r="E403" s="2">
        <v>44395.75</v>
      </c>
      <c r="F403" s="23">
        <f t="shared" si="18"/>
        <v>0.14583333333575865</v>
      </c>
      <c r="G403" s="24">
        <f t="shared" si="20"/>
        <v>85.714285712860217</v>
      </c>
      <c r="H403" s="1" t="s">
        <v>1</v>
      </c>
      <c r="I403" s="4" t="s">
        <v>4</v>
      </c>
      <c r="J403" s="14">
        <v>0.60416666666666663</v>
      </c>
      <c r="K403" s="20" t="str">
        <f t="shared" si="19"/>
        <v>2nd Shift</v>
      </c>
    </row>
    <row r="404" spans="1:11" x14ac:dyDescent="0.25">
      <c r="A404" s="1">
        <v>403</v>
      </c>
      <c r="B404" s="1">
        <v>10</v>
      </c>
      <c r="C404" s="3">
        <v>10115271959001</v>
      </c>
      <c r="D404" s="2">
        <v>44395.604166666664</v>
      </c>
      <c r="E404" s="2">
        <v>44395.75</v>
      </c>
      <c r="F404" s="23">
        <f t="shared" si="18"/>
        <v>0.14583333333575865</v>
      </c>
      <c r="G404" s="24">
        <f t="shared" si="20"/>
        <v>85.714285712860217</v>
      </c>
      <c r="H404" s="1" t="s">
        <v>1</v>
      </c>
      <c r="I404" s="4" t="s">
        <v>2</v>
      </c>
      <c r="J404" s="14">
        <v>0.60416666666666663</v>
      </c>
      <c r="K404" s="20" t="str">
        <f t="shared" si="19"/>
        <v>2nd Shift</v>
      </c>
    </row>
    <row r="405" spans="1:11" x14ac:dyDescent="0.25">
      <c r="A405" s="1">
        <v>404</v>
      </c>
      <c r="B405" s="1">
        <v>8</v>
      </c>
      <c r="C405" s="3">
        <v>8115271820902</v>
      </c>
      <c r="D405" s="2">
        <v>44395.604166666664</v>
      </c>
      <c r="E405" s="2">
        <v>44395.75</v>
      </c>
      <c r="F405" s="23">
        <f t="shared" si="18"/>
        <v>0.14583333333575865</v>
      </c>
      <c r="G405" s="24">
        <f t="shared" si="20"/>
        <v>85.714285712860217</v>
      </c>
      <c r="H405" s="1" t="s">
        <v>1</v>
      </c>
      <c r="I405" s="4" t="s">
        <v>2</v>
      </c>
      <c r="J405" s="14">
        <v>0.60416666666666663</v>
      </c>
      <c r="K405" s="20" t="str">
        <f t="shared" si="19"/>
        <v>2nd Shift</v>
      </c>
    </row>
    <row r="406" spans="1:11" x14ac:dyDescent="0.25">
      <c r="A406" s="1">
        <v>405</v>
      </c>
      <c r="B406" s="1">
        <v>7</v>
      </c>
      <c r="C406" s="3">
        <v>7115271766600</v>
      </c>
      <c r="D406" s="2">
        <v>44395.604166666664</v>
      </c>
      <c r="E406" s="2">
        <v>44395.75</v>
      </c>
      <c r="F406" s="23">
        <f t="shared" si="18"/>
        <v>0.14583333333575865</v>
      </c>
      <c r="G406" s="24">
        <f t="shared" si="20"/>
        <v>85.714285712860217</v>
      </c>
      <c r="H406" s="1" t="s">
        <v>1</v>
      </c>
      <c r="I406" s="4" t="s">
        <v>2</v>
      </c>
      <c r="J406" s="14">
        <v>0.60416666666666663</v>
      </c>
      <c r="K406" s="20" t="str">
        <f t="shared" si="19"/>
        <v>2nd Shift</v>
      </c>
    </row>
    <row r="407" spans="1:11" x14ac:dyDescent="0.25">
      <c r="A407" s="1">
        <v>406</v>
      </c>
      <c r="B407" s="1">
        <v>6</v>
      </c>
      <c r="C407" s="3">
        <v>6115271741208</v>
      </c>
      <c r="D407" s="2">
        <v>44395.604166666664</v>
      </c>
      <c r="E407" s="2">
        <v>44395.75</v>
      </c>
      <c r="F407" s="23">
        <f t="shared" si="18"/>
        <v>0.14583333333575865</v>
      </c>
      <c r="G407" s="24">
        <f t="shared" si="20"/>
        <v>85.714285712860217</v>
      </c>
      <c r="H407" s="1" t="s">
        <v>1</v>
      </c>
      <c r="I407" s="4" t="s">
        <v>2</v>
      </c>
      <c r="J407" s="14">
        <v>0.60416666666666663</v>
      </c>
      <c r="K407" s="20" t="str">
        <f t="shared" si="19"/>
        <v>2nd Shift</v>
      </c>
    </row>
    <row r="408" spans="1:11" x14ac:dyDescent="0.25">
      <c r="A408" s="1">
        <v>407</v>
      </c>
      <c r="B408" s="1">
        <v>5</v>
      </c>
      <c r="C408" s="3">
        <v>5115271080500</v>
      </c>
      <c r="D408" s="2">
        <v>44395.604166666664</v>
      </c>
      <c r="E408" s="2">
        <v>44395.75</v>
      </c>
      <c r="F408" s="23">
        <f t="shared" si="18"/>
        <v>0.14583333333575865</v>
      </c>
      <c r="G408" s="24">
        <f t="shared" si="20"/>
        <v>85.714285712860217</v>
      </c>
      <c r="H408" s="1" t="s">
        <v>1</v>
      </c>
      <c r="I408" s="4" t="s">
        <v>3</v>
      </c>
      <c r="J408" s="14">
        <v>0.60416666666666663</v>
      </c>
      <c r="K408" s="20" t="str">
        <f t="shared" si="19"/>
        <v>2nd Shift</v>
      </c>
    </row>
    <row r="409" spans="1:11" x14ac:dyDescent="0.25">
      <c r="A409" s="1">
        <v>408</v>
      </c>
      <c r="B409" s="1">
        <v>2</v>
      </c>
      <c r="C409" s="3">
        <v>2115270229100</v>
      </c>
      <c r="D409" s="2">
        <v>44395.604166666664</v>
      </c>
      <c r="E409" s="2">
        <v>44395.75</v>
      </c>
      <c r="F409" s="23">
        <f t="shared" si="18"/>
        <v>0.14583333333575865</v>
      </c>
      <c r="G409" s="24">
        <f t="shared" si="20"/>
        <v>85.714285712860217</v>
      </c>
      <c r="H409" s="1" t="s">
        <v>1</v>
      </c>
      <c r="I409" s="4" t="s">
        <v>2</v>
      </c>
      <c r="J409" s="14">
        <v>0.60416666666666663</v>
      </c>
      <c r="K409" s="20" t="str">
        <f t="shared" si="19"/>
        <v>2nd Shift</v>
      </c>
    </row>
    <row r="410" spans="1:11" x14ac:dyDescent="0.25">
      <c r="A410" s="1">
        <v>409</v>
      </c>
      <c r="B410" s="1">
        <v>14</v>
      </c>
      <c r="C410" s="3">
        <v>14115271676200</v>
      </c>
      <c r="D410" s="2">
        <v>44395.770833333336</v>
      </c>
      <c r="E410" s="2">
        <v>44395.909722222219</v>
      </c>
      <c r="F410" s="23">
        <f t="shared" si="18"/>
        <v>0.13888888888322981</v>
      </c>
      <c r="G410" s="24">
        <f t="shared" si="20"/>
        <v>90.000000003667083</v>
      </c>
      <c r="H410" s="1" t="s">
        <v>1</v>
      </c>
      <c r="I410" s="4" t="s">
        <v>2</v>
      </c>
      <c r="J410" s="14">
        <v>0.77083333333333337</v>
      </c>
      <c r="K410" s="20" t="str">
        <f t="shared" si="19"/>
        <v>2nd Shift</v>
      </c>
    </row>
    <row r="411" spans="1:11" x14ac:dyDescent="0.25">
      <c r="A411" s="1">
        <v>410</v>
      </c>
      <c r="B411" s="1">
        <v>13</v>
      </c>
      <c r="C411" s="3">
        <v>13115271600400</v>
      </c>
      <c r="D411" s="2">
        <v>44395.770833333336</v>
      </c>
      <c r="E411" s="2">
        <v>44395.909722222219</v>
      </c>
      <c r="F411" s="23">
        <f t="shared" si="18"/>
        <v>0.13888888888322981</v>
      </c>
      <c r="G411" s="24">
        <f t="shared" si="20"/>
        <v>90.000000003667083</v>
      </c>
      <c r="H411" s="1" t="s">
        <v>1</v>
      </c>
      <c r="I411" s="4" t="s">
        <v>2</v>
      </c>
      <c r="J411" s="14">
        <v>0.77083333333333337</v>
      </c>
      <c r="K411" s="20" t="str">
        <f t="shared" si="19"/>
        <v>2nd Shift</v>
      </c>
    </row>
    <row r="412" spans="1:11" x14ac:dyDescent="0.25">
      <c r="A412" s="1">
        <v>411</v>
      </c>
      <c r="B412" s="1">
        <v>13</v>
      </c>
      <c r="C412" s="3">
        <v>13115271592415</v>
      </c>
      <c r="D412" s="2">
        <v>44395.770833333336</v>
      </c>
      <c r="E412" s="2">
        <v>44395.909722222219</v>
      </c>
      <c r="F412" s="23">
        <f t="shared" si="18"/>
        <v>0.13888888888322981</v>
      </c>
      <c r="G412" s="24">
        <f t="shared" si="20"/>
        <v>90.000000003667083</v>
      </c>
      <c r="H412" s="1" t="s">
        <v>1</v>
      </c>
      <c r="I412" s="4" t="s">
        <v>2</v>
      </c>
      <c r="J412" s="14">
        <v>0.77083333333333337</v>
      </c>
      <c r="K412" s="20" t="str">
        <f t="shared" si="19"/>
        <v>2nd Shift</v>
      </c>
    </row>
    <row r="413" spans="1:11" x14ac:dyDescent="0.25">
      <c r="A413" s="1">
        <v>412</v>
      </c>
      <c r="B413" s="1">
        <v>11</v>
      </c>
      <c r="C413" s="3">
        <v>11115271552301</v>
      </c>
      <c r="D413" s="2">
        <v>44395.770833333336</v>
      </c>
      <c r="E413" s="2">
        <v>44395.909722222219</v>
      </c>
      <c r="F413" s="23">
        <f t="shared" si="18"/>
        <v>0.13888888888322981</v>
      </c>
      <c r="G413" s="24">
        <f t="shared" si="20"/>
        <v>90.000000003667083</v>
      </c>
      <c r="H413" s="1" t="s">
        <v>1</v>
      </c>
      <c r="I413" s="4" t="s">
        <v>3</v>
      </c>
      <c r="J413" s="14">
        <v>0.77083333333333337</v>
      </c>
      <c r="K413" s="20" t="str">
        <f t="shared" si="19"/>
        <v>2nd Shift</v>
      </c>
    </row>
    <row r="414" spans="1:11" x14ac:dyDescent="0.25">
      <c r="A414" s="1">
        <v>413</v>
      </c>
      <c r="B414" s="1">
        <v>10</v>
      </c>
      <c r="C414" s="3">
        <v>10115270968900</v>
      </c>
      <c r="D414" s="2">
        <v>44395.770833333336</v>
      </c>
      <c r="E414" s="2">
        <v>44395.909722222219</v>
      </c>
      <c r="F414" s="23">
        <f t="shared" si="18"/>
        <v>0.13888888888322981</v>
      </c>
      <c r="G414" s="24">
        <f t="shared" si="20"/>
        <v>90.000000003667083</v>
      </c>
      <c r="H414" s="1" t="s">
        <v>1</v>
      </c>
      <c r="I414" s="4" t="s">
        <v>2</v>
      </c>
      <c r="J414" s="14">
        <v>0.77083333333333337</v>
      </c>
      <c r="K414" s="20" t="str">
        <f t="shared" si="19"/>
        <v>2nd Shift</v>
      </c>
    </row>
    <row r="415" spans="1:11" x14ac:dyDescent="0.25">
      <c r="A415" s="1">
        <v>414</v>
      </c>
      <c r="B415" s="1">
        <v>9</v>
      </c>
      <c r="C415" s="3">
        <v>9115271909300</v>
      </c>
      <c r="D415" s="2">
        <v>44395.770833333336</v>
      </c>
      <c r="E415" s="2">
        <v>44395.909722222219</v>
      </c>
      <c r="F415" s="23">
        <f t="shared" si="18"/>
        <v>0.13888888888322981</v>
      </c>
      <c r="G415" s="24">
        <f t="shared" si="20"/>
        <v>90.000000003667083</v>
      </c>
      <c r="H415" s="1" t="s">
        <v>1</v>
      </c>
      <c r="I415" s="4" t="s">
        <v>2</v>
      </c>
      <c r="J415" s="14">
        <v>0.77083333333333337</v>
      </c>
      <c r="K415" s="20" t="str">
        <f t="shared" si="19"/>
        <v>2nd Shift</v>
      </c>
    </row>
    <row r="416" spans="1:11" x14ac:dyDescent="0.25">
      <c r="A416" s="1">
        <v>415</v>
      </c>
      <c r="B416" s="1">
        <v>6</v>
      </c>
      <c r="C416" s="3">
        <v>6115271750300</v>
      </c>
      <c r="D416" s="2">
        <v>44395.9375</v>
      </c>
      <c r="E416" s="2">
        <v>44395.993055555555</v>
      </c>
      <c r="F416" s="23">
        <f t="shared" si="18"/>
        <v>5.5555555554747116E-2</v>
      </c>
      <c r="G416" s="24">
        <f t="shared" si="20"/>
        <v>225.00000000327418</v>
      </c>
      <c r="H416" s="1" t="s">
        <v>1</v>
      </c>
      <c r="I416" s="4" t="s">
        <v>2</v>
      </c>
      <c r="J416" s="14">
        <v>0.9375</v>
      </c>
      <c r="K416" s="20" t="str">
        <f t="shared" si="19"/>
        <v>3rd Shift</v>
      </c>
    </row>
    <row r="417" spans="1:11" x14ac:dyDescent="0.25">
      <c r="A417" s="1">
        <v>416</v>
      </c>
      <c r="B417" s="1">
        <v>5</v>
      </c>
      <c r="C417" s="3">
        <v>5115271241708</v>
      </c>
      <c r="D417" s="2">
        <v>44395.9375</v>
      </c>
      <c r="E417" s="2">
        <v>44395.993055555555</v>
      </c>
      <c r="F417" s="23">
        <f t="shared" si="18"/>
        <v>5.5555555554747116E-2</v>
      </c>
      <c r="G417" s="24">
        <f t="shared" si="20"/>
        <v>225.00000000327418</v>
      </c>
      <c r="H417" s="1" t="s">
        <v>1</v>
      </c>
      <c r="I417" s="4" t="s">
        <v>2</v>
      </c>
      <c r="J417" s="14">
        <v>0.9375</v>
      </c>
      <c r="K417" s="20" t="str">
        <f t="shared" si="19"/>
        <v>3rd Shift</v>
      </c>
    </row>
    <row r="418" spans="1:11" x14ac:dyDescent="0.25">
      <c r="A418" s="1">
        <v>417</v>
      </c>
      <c r="B418" s="1">
        <v>13</v>
      </c>
      <c r="C418" s="3">
        <v>13115271602200</v>
      </c>
      <c r="D418" s="2">
        <v>44396.020833333336</v>
      </c>
      <c r="E418" s="2">
        <v>44396.166666666664</v>
      </c>
      <c r="F418" s="23">
        <f t="shared" si="18"/>
        <v>0.14583333332848269</v>
      </c>
      <c r="G418" s="24">
        <f t="shared" si="20"/>
        <v>85.714285717136704</v>
      </c>
      <c r="H418" s="1" t="s">
        <v>1</v>
      </c>
      <c r="I418" s="4" t="s">
        <v>2</v>
      </c>
      <c r="J418" s="14">
        <v>2.0833333333333332E-2</v>
      </c>
      <c r="K418" s="20" t="str">
        <f t="shared" si="19"/>
        <v>3rd Shift</v>
      </c>
    </row>
    <row r="419" spans="1:11" x14ac:dyDescent="0.25">
      <c r="A419" s="1">
        <v>418</v>
      </c>
      <c r="B419" s="1">
        <v>13</v>
      </c>
      <c r="C419" s="3">
        <v>13115271591906</v>
      </c>
      <c r="D419" s="2">
        <v>44396.020833333336</v>
      </c>
      <c r="E419" s="2">
        <v>44396.166666666664</v>
      </c>
      <c r="F419" s="23">
        <f t="shared" si="18"/>
        <v>0.14583333332848269</v>
      </c>
      <c r="G419" s="24">
        <f t="shared" si="20"/>
        <v>85.714285717136704</v>
      </c>
      <c r="H419" s="1" t="s">
        <v>1</v>
      </c>
      <c r="I419" s="4" t="s">
        <v>2</v>
      </c>
      <c r="J419" s="14">
        <v>2.0833333333333332E-2</v>
      </c>
      <c r="K419" s="20" t="str">
        <f t="shared" si="19"/>
        <v>3rd Shift</v>
      </c>
    </row>
    <row r="420" spans="1:11" x14ac:dyDescent="0.25">
      <c r="A420" s="1">
        <v>419</v>
      </c>
      <c r="B420" s="1">
        <v>11</v>
      </c>
      <c r="C420" s="3">
        <v>11115271552802</v>
      </c>
      <c r="D420" s="2">
        <v>44396.020833333336</v>
      </c>
      <c r="E420" s="2">
        <v>44396.166666666664</v>
      </c>
      <c r="F420" s="23">
        <f t="shared" si="18"/>
        <v>0.14583333332848269</v>
      </c>
      <c r="G420" s="24">
        <f t="shared" si="20"/>
        <v>85.714285717136704</v>
      </c>
      <c r="H420" s="1" t="s">
        <v>1</v>
      </c>
      <c r="I420" s="4" t="s">
        <v>2</v>
      </c>
      <c r="J420" s="14">
        <v>2.0833333333333332E-2</v>
      </c>
      <c r="K420" s="20" t="str">
        <f t="shared" si="19"/>
        <v>3rd Shift</v>
      </c>
    </row>
    <row r="421" spans="1:11" x14ac:dyDescent="0.25">
      <c r="A421" s="1">
        <v>420</v>
      </c>
      <c r="B421" s="1">
        <v>9</v>
      </c>
      <c r="C421" s="3">
        <v>9115271909406</v>
      </c>
      <c r="D421" s="2">
        <v>44396.020833333336</v>
      </c>
      <c r="E421" s="2">
        <v>44396.166666666664</v>
      </c>
      <c r="F421" s="23">
        <f t="shared" si="18"/>
        <v>0.14583333332848269</v>
      </c>
      <c r="G421" s="24">
        <f t="shared" si="20"/>
        <v>85.714285717136704</v>
      </c>
      <c r="H421" s="1" t="s">
        <v>1</v>
      </c>
      <c r="I421" s="4" t="s">
        <v>2</v>
      </c>
      <c r="J421" s="14">
        <v>2.0833333333333332E-2</v>
      </c>
      <c r="K421" s="20" t="str">
        <f t="shared" si="19"/>
        <v>3rd Shift</v>
      </c>
    </row>
    <row r="422" spans="1:11" x14ac:dyDescent="0.25">
      <c r="A422" s="1">
        <v>421</v>
      </c>
      <c r="B422" s="1">
        <v>14</v>
      </c>
      <c r="C422" s="3">
        <v>14115271672600</v>
      </c>
      <c r="D422" s="2">
        <v>44396.291666666664</v>
      </c>
      <c r="E422" s="2">
        <v>44396.5</v>
      </c>
      <c r="F422" s="23">
        <f t="shared" si="18"/>
        <v>0.20833333333575865</v>
      </c>
      <c r="G422" s="24">
        <f t="shared" si="20"/>
        <v>59.999999999301515</v>
      </c>
      <c r="H422" s="1" t="s">
        <v>1</v>
      </c>
      <c r="I422" s="4" t="s">
        <v>2</v>
      </c>
      <c r="J422" s="14">
        <v>0.29166666666666669</v>
      </c>
      <c r="K422" s="20" t="str">
        <f t="shared" si="19"/>
        <v>1st Shift</v>
      </c>
    </row>
    <row r="423" spans="1:11" x14ac:dyDescent="0.25">
      <c r="A423" s="1">
        <v>422</v>
      </c>
      <c r="B423" s="1">
        <v>7</v>
      </c>
      <c r="C423" s="3">
        <v>7115271783301</v>
      </c>
      <c r="D423" s="2">
        <v>44396.291666666664</v>
      </c>
      <c r="E423" s="2">
        <v>44396.5</v>
      </c>
      <c r="F423" s="23">
        <f t="shared" si="18"/>
        <v>0.20833333333575865</v>
      </c>
      <c r="G423" s="24">
        <f t="shared" si="20"/>
        <v>59.999999999301515</v>
      </c>
      <c r="H423" s="1" t="s">
        <v>1</v>
      </c>
      <c r="I423" s="4" t="s">
        <v>2</v>
      </c>
      <c r="J423" s="14">
        <v>0.29166666666666669</v>
      </c>
      <c r="K423" s="20" t="str">
        <f t="shared" si="19"/>
        <v>1st Shift</v>
      </c>
    </row>
    <row r="424" spans="1:11" x14ac:dyDescent="0.25">
      <c r="A424" s="1">
        <v>423</v>
      </c>
      <c r="B424" s="1">
        <v>6</v>
      </c>
      <c r="C424" s="3">
        <v>6115271720814</v>
      </c>
      <c r="D424" s="2">
        <v>44396.291666666664</v>
      </c>
      <c r="E424" s="2">
        <v>44396.5</v>
      </c>
      <c r="F424" s="23">
        <f t="shared" si="18"/>
        <v>0.20833333333575865</v>
      </c>
      <c r="G424" s="24">
        <f t="shared" si="20"/>
        <v>59.999999999301515</v>
      </c>
      <c r="H424" s="1" t="s">
        <v>1</v>
      </c>
      <c r="I424" s="4" t="s">
        <v>2</v>
      </c>
      <c r="J424" s="14">
        <v>0.29166666666666669</v>
      </c>
      <c r="K424" s="20" t="str">
        <f t="shared" si="19"/>
        <v>1st Shift</v>
      </c>
    </row>
    <row r="425" spans="1:11" x14ac:dyDescent="0.25">
      <c r="A425" s="1">
        <v>424</v>
      </c>
      <c r="B425" s="1">
        <v>6</v>
      </c>
      <c r="C425" s="3">
        <v>6115271690503</v>
      </c>
      <c r="D425" s="2">
        <v>44396.291666666664</v>
      </c>
      <c r="E425" s="2">
        <v>44396.5</v>
      </c>
      <c r="F425" s="23">
        <f t="shared" si="18"/>
        <v>0.20833333333575865</v>
      </c>
      <c r="G425" s="24">
        <f t="shared" si="20"/>
        <v>59.999999999301515</v>
      </c>
      <c r="H425" s="1" t="s">
        <v>1</v>
      </c>
      <c r="I425" s="4" t="s">
        <v>2</v>
      </c>
      <c r="J425" s="14">
        <v>0.29166666666666669</v>
      </c>
      <c r="K425" s="20" t="str">
        <f t="shared" si="19"/>
        <v>1st Shift</v>
      </c>
    </row>
    <row r="426" spans="1:11" x14ac:dyDescent="0.25">
      <c r="A426" s="1">
        <v>425</v>
      </c>
      <c r="B426" s="1">
        <v>5</v>
      </c>
      <c r="C426" s="3">
        <v>5115271685022</v>
      </c>
      <c r="D426" s="2">
        <v>44396.291666666664</v>
      </c>
      <c r="E426" s="2">
        <v>44396.5</v>
      </c>
      <c r="F426" s="23">
        <f t="shared" si="18"/>
        <v>0.20833333333575865</v>
      </c>
      <c r="G426" s="24">
        <f t="shared" si="20"/>
        <v>59.999999999301515</v>
      </c>
      <c r="H426" s="1" t="s">
        <v>1</v>
      </c>
      <c r="I426" s="4" t="s">
        <v>2</v>
      </c>
      <c r="J426" s="14">
        <v>0.29166666666666669</v>
      </c>
      <c r="K426" s="20" t="str">
        <f t="shared" si="19"/>
        <v>1st Shift</v>
      </c>
    </row>
    <row r="427" spans="1:11" x14ac:dyDescent="0.25">
      <c r="A427" s="1">
        <v>426</v>
      </c>
      <c r="B427" s="1">
        <v>4</v>
      </c>
      <c r="C427" s="3">
        <v>4115271058403</v>
      </c>
      <c r="D427" s="2">
        <v>44396.291666666664</v>
      </c>
      <c r="E427" s="2">
        <v>44396.5</v>
      </c>
      <c r="F427" s="23">
        <f t="shared" si="18"/>
        <v>0.20833333333575865</v>
      </c>
      <c r="G427" s="24">
        <f t="shared" si="20"/>
        <v>59.999999999301515</v>
      </c>
      <c r="H427" s="1" t="s">
        <v>1</v>
      </c>
      <c r="I427" s="4" t="s">
        <v>2</v>
      </c>
      <c r="J427" s="14">
        <v>0.29166666666666669</v>
      </c>
      <c r="K427" s="20" t="str">
        <f t="shared" si="19"/>
        <v>1st Shift</v>
      </c>
    </row>
    <row r="428" spans="1:11" x14ac:dyDescent="0.25">
      <c r="A428" s="1">
        <v>427</v>
      </c>
      <c r="B428" s="1">
        <v>3</v>
      </c>
      <c r="C428" s="3">
        <v>3115270347400</v>
      </c>
      <c r="D428" s="2">
        <v>44396.291666666664</v>
      </c>
      <c r="E428" s="2">
        <v>44396.5</v>
      </c>
      <c r="F428" s="23">
        <f t="shared" si="18"/>
        <v>0.20833333333575865</v>
      </c>
      <c r="G428" s="24">
        <f t="shared" si="20"/>
        <v>59.999999999301515</v>
      </c>
      <c r="H428" s="1" t="s">
        <v>1</v>
      </c>
      <c r="I428" s="4" t="s">
        <v>2</v>
      </c>
      <c r="J428" s="14">
        <v>0.29166666666666669</v>
      </c>
      <c r="K428" s="20" t="str">
        <f t="shared" si="19"/>
        <v>1st Shift</v>
      </c>
    </row>
    <row r="429" spans="1:11" x14ac:dyDescent="0.25">
      <c r="A429" s="1">
        <v>428</v>
      </c>
      <c r="B429" s="1">
        <v>3</v>
      </c>
      <c r="C429" s="3">
        <v>3115270306900</v>
      </c>
      <c r="D429" s="2">
        <v>44396.291666666664</v>
      </c>
      <c r="E429" s="2">
        <v>44396.5</v>
      </c>
      <c r="F429" s="23">
        <f t="shared" si="18"/>
        <v>0.20833333333575865</v>
      </c>
      <c r="G429" s="24">
        <f t="shared" si="20"/>
        <v>59.999999999301515</v>
      </c>
      <c r="H429" s="1" t="s">
        <v>1</v>
      </c>
      <c r="I429" s="4" t="s">
        <v>2</v>
      </c>
      <c r="J429" s="14">
        <v>0.29166666666666669</v>
      </c>
      <c r="K429" s="20" t="str">
        <f t="shared" si="19"/>
        <v>1st Shift</v>
      </c>
    </row>
    <row r="430" spans="1:11" x14ac:dyDescent="0.25">
      <c r="A430" s="1">
        <v>429</v>
      </c>
      <c r="B430" s="1">
        <v>7</v>
      </c>
      <c r="C430" s="3">
        <v>7115271799401</v>
      </c>
      <c r="D430" s="2">
        <v>44396.520833333336</v>
      </c>
      <c r="E430" s="2">
        <v>44396.576388888891</v>
      </c>
      <c r="F430" s="23">
        <f t="shared" si="18"/>
        <v>5.5555555554747116E-2</v>
      </c>
      <c r="G430" s="24">
        <f t="shared" si="20"/>
        <v>225.00000000327418</v>
      </c>
      <c r="H430" s="1" t="s">
        <v>1</v>
      </c>
      <c r="I430" s="4" t="s">
        <v>2</v>
      </c>
      <c r="J430" s="14">
        <v>0.52083333333333337</v>
      </c>
      <c r="K430" s="20" t="str">
        <f t="shared" si="19"/>
        <v>1st Shift</v>
      </c>
    </row>
    <row r="431" spans="1:11" x14ac:dyDescent="0.25">
      <c r="A431" s="1">
        <v>430</v>
      </c>
      <c r="B431" s="1">
        <v>6</v>
      </c>
      <c r="C431" s="3">
        <v>6115271750000</v>
      </c>
      <c r="D431" s="2">
        <v>44396.520833333336</v>
      </c>
      <c r="E431" s="2">
        <v>44396.576388888891</v>
      </c>
      <c r="F431" s="23">
        <f t="shared" si="18"/>
        <v>5.5555555554747116E-2</v>
      </c>
      <c r="G431" s="24">
        <f t="shared" si="20"/>
        <v>225.00000000327418</v>
      </c>
      <c r="H431" s="1" t="s">
        <v>1</v>
      </c>
      <c r="I431" s="4" t="s">
        <v>4</v>
      </c>
      <c r="J431" s="14">
        <v>0.52083333333333337</v>
      </c>
      <c r="K431" s="20" t="str">
        <f t="shared" si="19"/>
        <v>1st Shift</v>
      </c>
    </row>
    <row r="432" spans="1:11" x14ac:dyDescent="0.25">
      <c r="A432" s="1">
        <v>431</v>
      </c>
      <c r="B432" s="1">
        <v>14</v>
      </c>
      <c r="C432" s="3">
        <v>14115271704100</v>
      </c>
      <c r="D432" s="2">
        <v>44396.614583333336</v>
      </c>
      <c r="E432" s="2">
        <v>44396.75</v>
      </c>
      <c r="F432" s="23">
        <f t="shared" si="18"/>
        <v>0.13541666666424135</v>
      </c>
      <c r="G432" s="24">
        <f t="shared" si="20"/>
        <v>92.307692309345541</v>
      </c>
      <c r="H432" s="1" t="s">
        <v>1</v>
      </c>
      <c r="I432" s="4" t="s">
        <v>3</v>
      </c>
      <c r="J432" s="14">
        <v>0.61458333333333337</v>
      </c>
      <c r="K432" s="20" t="str">
        <f t="shared" si="19"/>
        <v>2nd Shift</v>
      </c>
    </row>
    <row r="433" spans="1:11" x14ac:dyDescent="0.25">
      <c r="A433" s="1">
        <v>432</v>
      </c>
      <c r="B433" s="1">
        <v>14</v>
      </c>
      <c r="C433" s="3">
        <v>14115271672601</v>
      </c>
      <c r="D433" s="2">
        <v>44396.614583333336</v>
      </c>
      <c r="E433" s="2">
        <v>44396.75</v>
      </c>
      <c r="F433" s="23">
        <f t="shared" si="18"/>
        <v>0.13541666666424135</v>
      </c>
      <c r="G433" s="24">
        <f t="shared" si="20"/>
        <v>92.307692309345541</v>
      </c>
      <c r="H433" s="1" t="s">
        <v>1</v>
      </c>
      <c r="I433" s="4" t="s">
        <v>2</v>
      </c>
      <c r="J433" s="14">
        <v>0.61458333333333337</v>
      </c>
      <c r="K433" s="20" t="str">
        <f t="shared" si="19"/>
        <v>2nd Shift</v>
      </c>
    </row>
    <row r="434" spans="1:11" x14ac:dyDescent="0.25">
      <c r="A434" s="1">
        <v>433</v>
      </c>
      <c r="B434" s="1">
        <v>13</v>
      </c>
      <c r="C434" s="3">
        <v>13115271591700</v>
      </c>
      <c r="D434" s="2">
        <v>44396.614583333336</v>
      </c>
      <c r="E434" s="2">
        <v>44396.75</v>
      </c>
      <c r="F434" s="23">
        <f t="shared" si="18"/>
        <v>0.13541666666424135</v>
      </c>
      <c r="G434" s="24">
        <f t="shared" si="20"/>
        <v>92.307692309345541</v>
      </c>
      <c r="H434" s="1" t="s">
        <v>1</v>
      </c>
      <c r="I434" s="4" t="s">
        <v>2</v>
      </c>
      <c r="J434" s="14">
        <v>0.61458333333333337</v>
      </c>
      <c r="K434" s="20" t="str">
        <f t="shared" si="19"/>
        <v>2nd Shift</v>
      </c>
    </row>
    <row r="435" spans="1:11" x14ac:dyDescent="0.25">
      <c r="A435" s="1">
        <v>434</v>
      </c>
      <c r="B435" s="1">
        <v>12</v>
      </c>
      <c r="C435" s="3">
        <v>12115271560187</v>
      </c>
      <c r="D435" s="2">
        <v>44396.614583333336</v>
      </c>
      <c r="E435" s="2">
        <v>44396.75</v>
      </c>
      <c r="F435" s="23">
        <f t="shared" si="18"/>
        <v>0.13541666666424135</v>
      </c>
      <c r="G435" s="24">
        <f t="shared" si="20"/>
        <v>92.307692309345541</v>
      </c>
      <c r="H435" s="1" t="s">
        <v>1</v>
      </c>
      <c r="I435" s="4" t="s">
        <v>4</v>
      </c>
      <c r="J435" s="14">
        <v>0.61458333333333337</v>
      </c>
      <c r="K435" s="20" t="str">
        <f t="shared" si="19"/>
        <v>2nd Shift</v>
      </c>
    </row>
    <row r="436" spans="1:11" x14ac:dyDescent="0.25">
      <c r="A436" s="1">
        <v>435</v>
      </c>
      <c r="B436" s="1">
        <v>11</v>
      </c>
      <c r="C436" s="3">
        <v>11115271512104</v>
      </c>
      <c r="D436" s="2">
        <v>44396.614583333336</v>
      </c>
      <c r="E436" s="2">
        <v>44396.75</v>
      </c>
      <c r="F436" s="23">
        <f t="shared" si="18"/>
        <v>0.13541666666424135</v>
      </c>
      <c r="G436" s="24">
        <f t="shared" si="20"/>
        <v>92.307692309345541</v>
      </c>
      <c r="H436" s="1" t="s">
        <v>1</v>
      </c>
      <c r="I436" s="4" t="s">
        <v>2</v>
      </c>
      <c r="J436" s="14">
        <v>0.61458333333333337</v>
      </c>
      <c r="K436" s="20" t="str">
        <f t="shared" si="19"/>
        <v>2nd Shift</v>
      </c>
    </row>
    <row r="437" spans="1:11" x14ac:dyDescent="0.25">
      <c r="A437" s="1">
        <v>436</v>
      </c>
      <c r="B437" s="1">
        <v>9</v>
      </c>
      <c r="C437" s="3">
        <v>9115271970809</v>
      </c>
      <c r="D437" s="2">
        <v>44396.614583333336</v>
      </c>
      <c r="E437" s="2">
        <v>44396.75</v>
      </c>
      <c r="F437" s="23">
        <f t="shared" si="18"/>
        <v>0.13541666666424135</v>
      </c>
      <c r="G437" s="24">
        <f t="shared" si="20"/>
        <v>92.307692309345541</v>
      </c>
      <c r="H437" s="1" t="s">
        <v>1</v>
      </c>
      <c r="I437" s="4" t="s">
        <v>2</v>
      </c>
      <c r="J437" s="14">
        <v>0.61458333333333337</v>
      </c>
      <c r="K437" s="20" t="str">
        <f t="shared" si="19"/>
        <v>2nd Shift</v>
      </c>
    </row>
    <row r="438" spans="1:11" x14ac:dyDescent="0.25">
      <c r="A438" s="1">
        <v>437</v>
      </c>
      <c r="B438" s="1">
        <v>15</v>
      </c>
      <c r="C438" s="3">
        <v>15115271781415</v>
      </c>
      <c r="D438" s="2">
        <v>44396.708333333336</v>
      </c>
      <c r="E438" s="2">
        <v>44396.913194444445</v>
      </c>
      <c r="F438" s="23">
        <f t="shared" si="18"/>
        <v>0.20486111110949423</v>
      </c>
      <c r="G438" s="24">
        <f t="shared" si="20"/>
        <v>61.016949153023958</v>
      </c>
      <c r="H438" s="1" t="s">
        <v>1</v>
      </c>
      <c r="I438" s="4" t="s">
        <v>2</v>
      </c>
      <c r="J438" s="14">
        <v>0.70833333333333337</v>
      </c>
      <c r="K438" s="20" t="str">
        <f t="shared" si="19"/>
        <v>2nd Shift</v>
      </c>
    </row>
    <row r="439" spans="1:11" x14ac:dyDescent="0.25">
      <c r="A439" s="1">
        <v>438</v>
      </c>
      <c r="B439" s="1">
        <v>9</v>
      </c>
      <c r="C439" s="3">
        <v>9115270624200</v>
      </c>
      <c r="D439" s="2">
        <v>44396.708333333336</v>
      </c>
      <c r="E439" s="2">
        <v>44396.913194444445</v>
      </c>
      <c r="F439" s="23">
        <f t="shared" si="18"/>
        <v>0.20486111110949423</v>
      </c>
      <c r="G439" s="24">
        <f t="shared" si="20"/>
        <v>61.016949153023958</v>
      </c>
      <c r="H439" s="1" t="s">
        <v>1</v>
      </c>
      <c r="I439" s="4" t="s">
        <v>2</v>
      </c>
      <c r="J439" s="14">
        <v>0.70833333333333337</v>
      </c>
      <c r="K439" s="20" t="str">
        <f t="shared" si="19"/>
        <v>2nd Shift</v>
      </c>
    </row>
    <row r="440" spans="1:11" x14ac:dyDescent="0.25">
      <c r="A440" s="1">
        <v>439</v>
      </c>
      <c r="B440" s="1">
        <v>8</v>
      </c>
      <c r="C440" s="3">
        <v>8115271841800</v>
      </c>
      <c r="D440" s="2">
        <v>44396.9375</v>
      </c>
      <c r="E440" s="2">
        <v>44396.993055555555</v>
      </c>
      <c r="F440" s="23">
        <f t="shared" si="18"/>
        <v>5.5555555554747116E-2</v>
      </c>
      <c r="G440" s="24">
        <f t="shared" si="20"/>
        <v>225.00000000327418</v>
      </c>
      <c r="H440" s="1" t="s">
        <v>1</v>
      </c>
      <c r="I440" s="4" t="s">
        <v>2</v>
      </c>
      <c r="J440" s="14">
        <v>0.9375</v>
      </c>
      <c r="K440" s="20" t="str">
        <f t="shared" si="19"/>
        <v>3rd Shift</v>
      </c>
    </row>
    <row r="441" spans="1:11" x14ac:dyDescent="0.25">
      <c r="A441" s="1">
        <v>440</v>
      </c>
      <c r="B441" s="1">
        <v>6</v>
      </c>
      <c r="C441" s="3">
        <v>6115271750936</v>
      </c>
      <c r="D441" s="2">
        <v>44396.9375</v>
      </c>
      <c r="E441" s="2">
        <v>44396.993055555555</v>
      </c>
      <c r="F441" s="23">
        <f t="shared" si="18"/>
        <v>5.5555555554747116E-2</v>
      </c>
      <c r="G441" s="24">
        <f t="shared" si="20"/>
        <v>225.00000000327418</v>
      </c>
      <c r="H441" s="1" t="s">
        <v>1</v>
      </c>
      <c r="I441" s="4" t="s">
        <v>3</v>
      </c>
      <c r="J441" s="14">
        <v>0.9375</v>
      </c>
      <c r="K441" s="20" t="str">
        <f t="shared" si="19"/>
        <v>3rd Shift</v>
      </c>
    </row>
    <row r="442" spans="1:11" x14ac:dyDescent="0.25">
      <c r="A442" s="1">
        <v>441</v>
      </c>
      <c r="B442" s="1">
        <v>5</v>
      </c>
      <c r="C442" s="3">
        <v>5115271240702</v>
      </c>
      <c r="D442" s="2">
        <v>44396.9375</v>
      </c>
      <c r="E442" s="2">
        <v>44396.993055555555</v>
      </c>
      <c r="F442" s="23">
        <f t="shared" si="18"/>
        <v>5.5555555554747116E-2</v>
      </c>
      <c r="G442" s="24">
        <f t="shared" si="20"/>
        <v>225.00000000327418</v>
      </c>
      <c r="H442" s="1" t="s">
        <v>1</v>
      </c>
      <c r="I442" s="4" t="s">
        <v>2</v>
      </c>
      <c r="J442" s="14">
        <v>0.9375</v>
      </c>
      <c r="K442" s="20" t="str">
        <f t="shared" si="19"/>
        <v>3rd Shift</v>
      </c>
    </row>
    <row r="443" spans="1:11" x14ac:dyDescent="0.25">
      <c r="A443" s="1">
        <v>442</v>
      </c>
      <c r="B443" s="1">
        <v>14</v>
      </c>
      <c r="C443" s="3">
        <v>14115271704100</v>
      </c>
      <c r="D443" s="2">
        <v>44397.9375</v>
      </c>
      <c r="E443" s="2">
        <v>44398.125</v>
      </c>
      <c r="F443" s="23">
        <f t="shared" si="18"/>
        <v>0.1875</v>
      </c>
      <c r="G443" s="24">
        <f t="shared" si="20"/>
        <v>66.666666666666657</v>
      </c>
      <c r="H443" s="1" t="s">
        <v>1</v>
      </c>
      <c r="I443" s="4" t="s">
        <v>2</v>
      </c>
      <c r="J443" s="14">
        <v>0.9375</v>
      </c>
      <c r="K443" s="20" t="str">
        <f t="shared" si="19"/>
        <v>3rd Shift</v>
      </c>
    </row>
    <row r="444" spans="1:11" x14ac:dyDescent="0.25">
      <c r="A444" s="1">
        <v>443</v>
      </c>
      <c r="B444" s="1">
        <v>14</v>
      </c>
      <c r="C444" s="3">
        <v>14115271672410</v>
      </c>
      <c r="D444" s="2">
        <v>44397.9375</v>
      </c>
      <c r="E444" s="2">
        <v>44398.125</v>
      </c>
      <c r="F444" s="23">
        <f t="shared" si="18"/>
        <v>0.1875</v>
      </c>
      <c r="G444" s="24">
        <f t="shared" si="20"/>
        <v>66.666666666666657</v>
      </c>
      <c r="H444" s="1" t="s">
        <v>1</v>
      </c>
      <c r="I444" s="4" t="s">
        <v>2</v>
      </c>
      <c r="J444" s="14">
        <v>0.9375</v>
      </c>
      <c r="K444" s="20" t="str">
        <f t="shared" si="19"/>
        <v>3rd Shift</v>
      </c>
    </row>
    <row r="445" spans="1:11" x14ac:dyDescent="0.25">
      <c r="A445" s="1">
        <v>444</v>
      </c>
      <c r="B445" s="1">
        <v>7</v>
      </c>
      <c r="C445" s="3">
        <v>7115271803800</v>
      </c>
      <c r="D445" s="2">
        <v>44397.020833333336</v>
      </c>
      <c r="E445" s="2">
        <v>44397.145833333336</v>
      </c>
      <c r="F445" s="23">
        <f t="shared" si="18"/>
        <v>0.125</v>
      </c>
      <c r="G445" s="24">
        <f t="shared" si="20"/>
        <v>100</v>
      </c>
      <c r="H445" s="1" t="s">
        <v>1</v>
      </c>
      <c r="I445" s="4" t="s">
        <v>2</v>
      </c>
      <c r="J445" s="14">
        <v>2.0833333333333332E-2</v>
      </c>
      <c r="K445" s="20" t="str">
        <f t="shared" si="19"/>
        <v>3rd Shift</v>
      </c>
    </row>
    <row r="446" spans="1:11" x14ac:dyDescent="0.25">
      <c r="A446" s="1">
        <v>445</v>
      </c>
      <c r="B446" s="1">
        <v>6</v>
      </c>
      <c r="C446" s="3">
        <v>6115271713200</v>
      </c>
      <c r="D446" s="2">
        <v>44397.020833333336</v>
      </c>
      <c r="E446" s="2">
        <v>44397.145833333336</v>
      </c>
      <c r="F446" s="23">
        <f t="shared" si="18"/>
        <v>0.125</v>
      </c>
      <c r="G446" s="24">
        <f t="shared" si="20"/>
        <v>100</v>
      </c>
      <c r="H446" s="1" t="s">
        <v>1</v>
      </c>
      <c r="I446" s="4" t="s">
        <v>2</v>
      </c>
      <c r="J446" s="14">
        <v>2.0833333333333332E-2</v>
      </c>
      <c r="K446" s="20" t="str">
        <f t="shared" si="19"/>
        <v>3rd Shift</v>
      </c>
    </row>
    <row r="447" spans="1:11" x14ac:dyDescent="0.25">
      <c r="A447" s="1">
        <v>446</v>
      </c>
      <c r="B447" s="1">
        <v>3</v>
      </c>
      <c r="C447" s="3">
        <v>3115270346600</v>
      </c>
      <c r="D447" s="2">
        <v>44397.020833333336</v>
      </c>
      <c r="E447" s="2">
        <v>44397.145833333336</v>
      </c>
      <c r="F447" s="23">
        <f t="shared" si="18"/>
        <v>0.125</v>
      </c>
      <c r="G447" s="24">
        <f t="shared" si="20"/>
        <v>100</v>
      </c>
      <c r="H447" s="1" t="s">
        <v>1</v>
      </c>
      <c r="I447" s="4" t="s">
        <v>2</v>
      </c>
      <c r="J447" s="14">
        <v>2.0833333333333332E-2</v>
      </c>
      <c r="K447" s="20" t="str">
        <f t="shared" si="19"/>
        <v>3rd Shift</v>
      </c>
    </row>
    <row r="448" spans="1:11" x14ac:dyDescent="0.25">
      <c r="A448" s="1">
        <v>447</v>
      </c>
      <c r="B448" s="1">
        <v>1</v>
      </c>
      <c r="C448" s="3">
        <v>1115270070900</v>
      </c>
      <c r="D448" s="2">
        <v>44397.020833333336</v>
      </c>
      <c r="E448" s="2">
        <v>44397.145833333336</v>
      </c>
      <c r="F448" s="23">
        <f t="shared" si="18"/>
        <v>0.125</v>
      </c>
      <c r="G448" s="24">
        <f t="shared" si="20"/>
        <v>100</v>
      </c>
      <c r="H448" s="1" t="s">
        <v>1</v>
      </c>
      <c r="I448" s="4" t="s">
        <v>2</v>
      </c>
      <c r="J448" s="14">
        <v>2.0833333333333332E-2</v>
      </c>
      <c r="K448" s="20" t="str">
        <f t="shared" si="19"/>
        <v>3rd Shift</v>
      </c>
    </row>
    <row r="449" spans="1:11" x14ac:dyDescent="0.25">
      <c r="A449" s="1">
        <v>448</v>
      </c>
      <c r="B449" s="1">
        <v>15</v>
      </c>
      <c r="C449" s="3">
        <v>15115271748465</v>
      </c>
      <c r="D449" s="2">
        <v>44397.333333333336</v>
      </c>
      <c r="E449" s="2">
        <v>44397.576388888891</v>
      </c>
      <c r="F449" s="23">
        <f t="shared" si="18"/>
        <v>0.24305555555474712</v>
      </c>
      <c r="G449" s="24">
        <f t="shared" si="20"/>
        <v>51.428571428742487</v>
      </c>
      <c r="H449" s="1" t="s">
        <v>1</v>
      </c>
      <c r="I449" s="4" t="s">
        <v>2</v>
      </c>
      <c r="J449" s="14">
        <v>0.33333333333333331</v>
      </c>
      <c r="K449" s="20" t="str">
        <f t="shared" si="19"/>
        <v>1st Shift</v>
      </c>
    </row>
    <row r="450" spans="1:11" x14ac:dyDescent="0.25">
      <c r="A450" s="1">
        <v>449</v>
      </c>
      <c r="B450" s="1">
        <v>14</v>
      </c>
      <c r="C450" s="3">
        <v>14115271672600</v>
      </c>
      <c r="D450" s="2">
        <v>44397.333333333336</v>
      </c>
      <c r="E450" s="2">
        <v>44397.576388888891</v>
      </c>
      <c r="F450" s="23">
        <f t="shared" ref="F450:F513" si="21">E450-D450</f>
        <v>0.24305555555474712</v>
      </c>
      <c r="G450" s="24">
        <f t="shared" si="20"/>
        <v>51.428571428742487</v>
      </c>
      <c r="H450" s="1" t="s">
        <v>1</v>
      </c>
      <c r="I450" s="4" t="s">
        <v>2</v>
      </c>
      <c r="J450" s="14">
        <v>0.33333333333333331</v>
      </c>
      <c r="K450" s="20" t="str">
        <f t="shared" ref="K450:K513" si="22">IF(AND(J450&gt;=$M$3,J450&lt;$M$4),"1st Shift",IF(AND(J450&gt;=$M$4,J450&lt;$M$5),"2nd Shift","3rd Shift"))</f>
        <v>1st Shift</v>
      </c>
    </row>
    <row r="451" spans="1:11" x14ac:dyDescent="0.25">
      <c r="A451" s="1">
        <v>450</v>
      </c>
      <c r="B451" s="1">
        <v>13</v>
      </c>
      <c r="C451" s="3">
        <v>13115271591500</v>
      </c>
      <c r="D451" s="2">
        <v>44397.333333333336</v>
      </c>
      <c r="E451" s="2">
        <v>44397.576388888891</v>
      </c>
      <c r="F451" s="23">
        <f t="shared" si="21"/>
        <v>0.24305555555474712</v>
      </c>
      <c r="G451" s="24">
        <f t="shared" ref="G451:G514" si="23">$M$9/F451*100</f>
        <v>51.428571428742487</v>
      </c>
      <c r="H451" s="1" t="s">
        <v>1</v>
      </c>
      <c r="I451" s="4" t="s">
        <v>2</v>
      </c>
      <c r="J451" s="14">
        <v>0.33333333333333331</v>
      </c>
      <c r="K451" s="20" t="str">
        <f t="shared" si="22"/>
        <v>1st Shift</v>
      </c>
    </row>
    <row r="452" spans="1:11" x14ac:dyDescent="0.25">
      <c r="A452" s="1">
        <v>451</v>
      </c>
      <c r="B452" s="1">
        <v>12</v>
      </c>
      <c r="C452" s="3">
        <v>12115271560188</v>
      </c>
      <c r="D452" s="2">
        <v>44397.333333333336</v>
      </c>
      <c r="E452" s="2">
        <v>44397.576388888891</v>
      </c>
      <c r="F452" s="23">
        <f t="shared" si="21"/>
        <v>0.24305555555474712</v>
      </c>
      <c r="G452" s="24">
        <f t="shared" si="23"/>
        <v>51.428571428742487</v>
      </c>
      <c r="H452" s="1" t="s">
        <v>1</v>
      </c>
      <c r="I452" s="4" t="s">
        <v>2</v>
      </c>
      <c r="J452" s="14">
        <v>0.33333333333333331</v>
      </c>
      <c r="K452" s="20" t="str">
        <f t="shared" si="22"/>
        <v>1st Shift</v>
      </c>
    </row>
    <row r="453" spans="1:11" x14ac:dyDescent="0.25">
      <c r="A453" s="1">
        <v>452</v>
      </c>
      <c r="B453" s="1">
        <v>11</v>
      </c>
      <c r="C453" s="3">
        <v>11115271529000</v>
      </c>
      <c r="D453" s="2">
        <v>44397.333333333336</v>
      </c>
      <c r="E453" s="2">
        <v>44397.576388888891</v>
      </c>
      <c r="F453" s="23">
        <f t="shared" si="21"/>
        <v>0.24305555555474712</v>
      </c>
      <c r="G453" s="24">
        <f t="shared" si="23"/>
        <v>51.428571428742487</v>
      </c>
      <c r="H453" s="1" t="s">
        <v>1</v>
      </c>
      <c r="I453" s="4" t="s">
        <v>2</v>
      </c>
      <c r="J453" s="14">
        <v>0.33333333333333331</v>
      </c>
      <c r="K453" s="20" t="str">
        <f t="shared" si="22"/>
        <v>1st Shift</v>
      </c>
    </row>
    <row r="454" spans="1:11" x14ac:dyDescent="0.25">
      <c r="A454" s="1">
        <v>453</v>
      </c>
      <c r="B454" s="1">
        <v>11</v>
      </c>
      <c r="C454" s="3">
        <v>11115271480705</v>
      </c>
      <c r="D454" s="2">
        <v>44397.333333333336</v>
      </c>
      <c r="E454" s="2">
        <v>44397.576388888891</v>
      </c>
      <c r="F454" s="23">
        <f t="shared" si="21"/>
        <v>0.24305555555474712</v>
      </c>
      <c r="G454" s="24">
        <f t="shared" si="23"/>
        <v>51.428571428742487</v>
      </c>
      <c r="H454" s="1" t="s">
        <v>1</v>
      </c>
      <c r="I454" s="4" t="s">
        <v>2</v>
      </c>
      <c r="J454" s="14">
        <v>0.33333333333333331</v>
      </c>
      <c r="K454" s="20" t="str">
        <f t="shared" si="22"/>
        <v>1st Shift</v>
      </c>
    </row>
    <row r="455" spans="1:11" x14ac:dyDescent="0.25">
      <c r="A455" s="1">
        <v>454</v>
      </c>
      <c r="B455" s="1">
        <v>9</v>
      </c>
      <c r="C455" s="3">
        <v>9115271962100</v>
      </c>
      <c r="D455" s="2">
        <v>44397.333333333336</v>
      </c>
      <c r="E455" s="2">
        <v>44397.576388888891</v>
      </c>
      <c r="F455" s="23">
        <f t="shared" si="21"/>
        <v>0.24305555555474712</v>
      </c>
      <c r="G455" s="24">
        <f t="shared" si="23"/>
        <v>51.428571428742487</v>
      </c>
      <c r="H455" s="1" t="s">
        <v>1</v>
      </c>
      <c r="I455" s="4" t="s">
        <v>3</v>
      </c>
      <c r="J455" s="14">
        <v>0.33333333333333331</v>
      </c>
      <c r="K455" s="20" t="str">
        <f t="shared" si="22"/>
        <v>1st Shift</v>
      </c>
    </row>
    <row r="456" spans="1:11" x14ac:dyDescent="0.25">
      <c r="A456" s="1">
        <v>455</v>
      </c>
      <c r="B456" s="1">
        <v>9</v>
      </c>
      <c r="C456" s="3">
        <v>9115271925000</v>
      </c>
      <c r="D456" s="2">
        <v>44397.333333333336</v>
      </c>
      <c r="E456" s="2">
        <v>44397.576388888891</v>
      </c>
      <c r="F456" s="23">
        <f t="shared" si="21"/>
        <v>0.24305555555474712</v>
      </c>
      <c r="G456" s="24">
        <f t="shared" si="23"/>
        <v>51.428571428742487</v>
      </c>
      <c r="H456" s="1" t="s">
        <v>1</v>
      </c>
      <c r="I456" s="4" t="s">
        <v>2</v>
      </c>
      <c r="J456" s="14">
        <v>0.33333333333333331</v>
      </c>
      <c r="K456" s="20" t="str">
        <f t="shared" si="22"/>
        <v>1st Shift</v>
      </c>
    </row>
    <row r="457" spans="1:11" x14ac:dyDescent="0.25">
      <c r="A457" s="1">
        <v>456</v>
      </c>
      <c r="B457" s="1">
        <v>7</v>
      </c>
      <c r="C457" s="3">
        <v>7115271798005</v>
      </c>
      <c r="D457" s="2">
        <v>44397.333333333336</v>
      </c>
      <c r="E457" s="2">
        <v>44397.576388888891</v>
      </c>
      <c r="F457" s="23">
        <f t="shared" si="21"/>
        <v>0.24305555555474712</v>
      </c>
      <c r="G457" s="24">
        <f t="shared" si="23"/>
        <v>51.428571428742487</v>
      </c>
      <c r="H457" s="1" t="s">
        <v>1</v>
      </c>
      <c r="I457" s="4" t="s">
        <v>2</v>
      </c>
      <c r="J457" s="14">
        <v>0.33333333333333331</v>
      </c>
      <c r="K457" s="20" t="str">
        <f t="shared" si="22"/>
        <v>1st Shift</v>
      </c>
    </row>
    <row r="458" spans="1:11" x14ac:dyDescent="0.25">
      <c r="A458" s="1">
        <v>457</v>
      </c>
      <c r="B458" s="1">
        <v>7</v>
      </c>
      <c r="C458" s="3">
        <v>7115271776800</v>
      </c>
      <c r="D458" s="2">
        <v>44397.333333333336</v>
      </c>
      <c r="E458" s="2">
        <v>44397.576388888891</v>
      </c>
      <c r="F458" s="23">
        <f t="shared" si="21"/>
        <v>0.24305555555474712</v>
      </c>
      <c r="G458" s="24">
        <f t="shared" si="23"/>
        <v>51.428571428742487</v>
      </c>
      <c r="H458" s="1" t="s">
        <v>1</v>
      </c>
      <c r="I458" s="4" t="s">
        <v>2</v>
      </c>
      <c r="J458" s="14">
        <v>0.33333333333333331</v>
      </c>
      <c r="K458" s="20" t="str">
        <f t="shared" si="22"/>
        <v>1st Shift</v>
      </c>
    </row>
    <row r="459" spans="1:11" x14ac:dyDescent="0.25">
      <c r="A459" s="1">
        <v>458</v>
      </c>
      <c r="B459" s="1">
        <v>5</v>
      </c>
      <c r="C459" s="3">
        <v>5115271678202</v>
      </c>
      <c r="D459" s="2">
        <v>44397.333333333336</v>
      </c>
      <c r="E459" s="2">
        <v>44397.576388888891</v>
      </c>
      <c r="F459" s="23">
        <f t="shared" si="21"/>
        <v>0.24305555555474712</v>
      </c>
      <c r="G459" s="24">
        <f t="shared" si="23"/>
        <v>51.428571428742487</v>
      </c>
      <c r="H459" s="1" t="s">
        <v>1</v>
      </c>
      <c r="I459" s="4" t="s">
        <v>2</v>
      </c>
      <c r="J459" s="14">
        <v>0.33333333333333331</v>
      </c>
      <c r="K459" s="20" t="str">
        <f t="shared" si="22"/>
        <v>1st Shift</v>
      </c>
    </row>
    <row r="460" spans="1:11" x14ac:dyDescent="0.25">
      <c r="A460" s="1">
        <v>459</v>
      </c>
      <c r="B460" s="1">
        <v>3</v>
      </c>
      <c r="C460" s="3">
        <v>3115270441800</v>
      </c>
      <c r="D460" s="2">
        <v>44397.333333333336</v>
      </c>
      <c r="E460" s="2">
        <v>44397.576388888891</v>
      </c>
      <c r="F460" s="23">
        <f t="shared" si="21"/>
        <v>0.24305555555474712</v>
      </c>
      <c r="G460" s="24">
        <f t="shared" si="23"/>
        <v>51.428571428742487</v>
      </c>
      <c r="H460" s="1" t="s">
        <v>1</v>
      </c>
      <c r="I460" s="4" t="s">
        <v>2</v>
      </c>
      <c r="J460" s="14">
        <v>0.33333333333333331</v>
      </c>
      <c r="K460" s="20" t="str">
        <f t="shared" si="22"/>
        <v>1st Shift</v>
      </c>
    </row>
    <row r="461" spans="1:11" x14ac:dyDescent="0.25">
      <c r="A461" s="1">
        <v>460</v>
      </c>
      <c r="B461" s="1">
        <v>2</v>
      </c>
      <c r="C461" s="3">
        <v>2115270291700</v>
      </c>
      <c r="D461" s="2">
        <v>44397.333333333336</v>
      </c>
      <c r="E461" s="2">
        <v>44397.576388888891</v>
      </c>
      <c r="F461" s="23">
        <f t="shared" si="21"/>
        <v>0.24305555555474712</v>
      </c>
      <c r="G461" s="24">
        <f t="shared" si="23"/>
        <v>51.428571428742487</v>
      </c>
      <c r="H461" s="1" t="s">
        <v>1</v>
      </c>
      <c r="I461" s="4" t="s">
        <v>2</v>
      </c>
      <c r="J461" s="14">
        <v>0.33333333333333331</v>
      </c>
      <c r="K461" s="20" t="str">
        <f t="shared" si="22"/>
        <v>1st Shift</v>
      </c>
    </row>
    <row r="462" spans="1:11" x14ac:dyDescent="0.25">
      <c r="A462" s="1">
        <v>461</v>
      </c>
      <c r="B462" s="1">
        <v>2</v>
      </c>
      <c r="C462" s="3">
        <v>2115270279600</v>
      </c>
      <c r="D462" s="2">
        <v>44397.333333333336</v>
      </c>
      <c r="E462" s="2">
        <v>44397.576388888891</v>
      </c>
      <c r="F462" s="23">
        <f t="shared" si="21"/>
        <v>0.24305555555474712</v>
      </c>
      <c r="G462" s="24">
        <f t="shared" si="23"/>
        <v>51.428571428742487</v>
      </c>
      <c r="H462" s="1" t="s">
        <v>1</v>
      </c>
      <c r="I462" s="4" t="s">
        <v>3</v>
      </c>
      <c r="J462" s="14">
        <v>0.33333333333333331</v>
      </c>
      <c r="K462" s="20" t="str">
        <f t="shared" si="22"/>
        <v>1st Shift</v>
      </c>
    </row>
    <row r="463" spans="1:11" x14ac:dyDescent="0.25">
      <c r="A463" s="1">
        <v>462</v>
      </c>
      <c r="B463" s="1">
        <v>1</v>
      </c>
      <c r="C463" s="3">
        <v>1115270139400</v>
      </c>
      <c r="D463" s="2">
        <v>44397.333333333336</v>
      </c>
      <c r="E463" s="2">
        <v>44397.576388888891</v>
      </c>
      <c r="F463" s="23">
        <f t="shared" si="21"/>
        <v>0.24305555555474712</v>
      </c>
      <c r="G463" s="24">
        <f t="shared" si="23"/>
        <v>51.428571428742487</v>
      </c>
      <c r="H463" s="1" t="s">
        <v>1</v>
      </c>
      <c r="I463" s="4" t="s">
        <v>2</v>
      </c>
      <c r="J463" s="14">
        <v>0.33333333333333331</v>
      </c>
      <c r="K463" s="20" t="str">
        <f t="shared" si="22"/>
        <v>1st Shift</v>
      </c>
    </row>
    <row r="464" spans="1:11" x14ac:dyDescent="0.25">
      <c r="A464" s="1">
        <v>463</v>
      </c>
      <c r="B464" s="1">
        <v>11</v>
      </c>
      <c r="C464" s="3">
        <v>11115271552802</v>
      </c>
      <c r="D464" s="2">
        <v>44397.625</v>
      </c>
      <c r="E464" s="2">
        <v>44397.895833333336</v>
      </c>
      <c r="F464" s="23">
        <f t="shared" si="21"/>
        <v>0.27083333333575865</v>
      </c>
      <c r="G464" s="24">
        <f t="shared" si="23"/>
        <v>46.153846153432845</v>
      </c>
      <c r="H464" s="1" t="s">
        <v>1</v>
      </c>
      <c r="I464" s="4" t="s">
        <v>2</v>
      </c>
      <c r="J464" s="14">
        <v>0.625</v>
      </c>
      <c r="K464" s="20" t="str">
        <f t="shared" si="22"/>
        <v>2nd Shift</v>
      </c>
    </row>
    <row r="465" spans="1:11" x14ac:dyDescent="0.25">
      <c r="A465" s="1">
        <v>464</v>
      </c>
      <c r="B465" s="1">
        <v>10</v>
      </c>
      <c r="C465" s="3">
        <v>10115271439500</v>
      </c>
      <c r="D465" s="2">
        <v>44397.625</v>
      </c>
      <c r="E465" s="2">
        <v>44397.895833333336</v>
      </c>
      <c r="F465" s="23">
        <f t="shared" si="21"/>
        <v>0.27083333333575865</v>
      </c>
      <c r="G465" s="24">
        <f t="shared" si="23"/>
        <v>46.153846153432845</v>
      </c>
      <c r="H465" s="1" t="s">
        <v>1</v>
      </c>
      <c r="I465" s="4" t="s">
        <v>2</v>
      </c>
      <c r="J465" s="14">
        <v>0.625</v>
      </c>
      <c r="K465" s="20" t="str">
        <f t="shared" si="22"/>
        <v>2nd Shift</v>
      </c>
    </row>
    <row r="466" spans="1:11" x14ac:dyDescent="0.25">
      <c r="A466" s="1">
        <v>465</v>
      </c>
      <c r="B466" s="1">
        <v>9</v>
      </c>
      <c r="C466" s="3">
        <v>9115271924500</v>
      </c>
      <c r="D466" s="2">
        <v>44397.625</v>
      </c>
      <c r="E466" s="2">
        <v>44397.895833333336</v>
      </c>
      <c r="F466" s="23">
        <f t="shared" si="21"/>
        <v>0.27083333333575865</v>
      </c>
      <c r="G466" s="24">
        <f t="shared" si="23"/>
        <v>46.153846153432845</v>
      </c>
      <c r="H466" s="1" t="s">
        <v>1</v>
      </c>
      <c r="I466" s="4" t="s">
        <v>2</v>
      </c>
      <c r="J466" s="14">
        <v>0.625</v>
      </c>
      <c r="K466" s="20" t="str">
        <f t="shared" si="22"/>
        <v>2nd Shift</v>
      </c>
    </row>
    <row r="467" spans="1:11" x14ac:dyDescent="0.25">
      <c r="A467" s="1">
        <v>466</v>
      </c>
      <c r="B467" s="1">
        <v>9</v>
      </c>
      <c r="C467" s="3">
        <v>9115271908800</v>
      </c>
      <c r="D467" s="2">
        <v>44397.625</v>
      </c>
      <c r="E467" s="2">
        <v>44397.895833333336</v>
      </c>
      <c r="F467" s="23">
        <f t="shared" si="21"/>
        <v>0.27083333333575865</v>
      </c>
      <c r="G467" s="24">
        <f t="shared" si="23"/>
        <v>46.153846153432845</v>
      </c>
      <c r="H467" s="1" t="s">
        <v>1</v>
      </c>
      <c r="I467" s="4" t="s">
        <v>2</v>
      </c>
      <c r="J467" s="14">
        <v>0.625</v>
      </c>
      <c r="K467" s="20" t="str">
        <f t="shared" si="22"/>
        <v>2nd Shift</v>
      </c>
    </row>
    <row r="468" spans="1:11" x14ac:dyDescent="0.25">
      <c r="A468" s="1">
        <v>467</v>
      </c>
      <c r="B468" s="1">
        <v>7</v>
      </c>
      <c r="C468" s="3">
        <v>7115271801700</v>
      </c>
      <c r="D468" s="2">
        <v>44397.625</v>
      </c>
      <c r="E468" s="2">
        <v>44397.895833333336</v>
      </c>
      <c r="F468" s="23">
        <f t="shared" si="21"/>
        <v>0.27083333333575865</v>
      </c>
      <c r="G468" s="24">
        <f t="shared" si="23"/>
        <v>46.153846153432845</v>
      </c>
      <c r="H468" s="1" t="s">
        <v>1</v>
      </c>
      <c r="I468" s="4" t="s">
        <v>2</v>
      </c>
      <c r="J468" s="14">
        <v>0.625</v>
      </c>
      <c r="K468" s="20" t="str">
        <f t="shared" si="22"/>
        <v>2nd Shift</v>
      </c>
    </row>
    <row r="469" spans="1:11" x14ac:dyDescent="0.25">
      <c r="A469" s="1">
        <v>468</v>
      </c>
      <c r="B469" s="1">
        <v>7</v>
      </c>
      <c r="C469" s="3">
        <v>7115271760300</v>
      </c>
      <c r="D469" s="2">
        <v>44397.625</v>
      </c>
      <c r="E469" s="2">
        <v>44397.895833333336</v>
      </c>
      <c r="F469" s="23">
        <f t="shared" si="21"/>
        <v>0.27083333333575865</v>
      </c>
      <c r="G469" s="24">
        <f t="shared" si="23"/>
        <v>46.153846153432845</v>
      </c>
      <c r="H469" s="1" t="s">
        <v>1</v>
      </c>
      <c r="I469" s="4" t="s">
        <v>2</v>
      </c>
      <c r="J469" s="14">
        <v>0.625</v>
      </c>
      <c r="K469" s="20" t="str">
        <f t="shared" si="22"/>
        <v>2nd Shift</v>
      </c>
    </row>
    <row r="470" spans="1:11" x14ac:dyDescent="0.25">
      <c r="A470" s="1">
        <v>469</v>
      </c>
      <c r="B470" s="1">
        <v>6</v>
      </c>
      <c r="C470" s="3">
        <v>6115271749000</v>
      </c>
      <c r="D470" s="2">
        <v>44397.625</v>
      </c>
      <c r="E470" s="2">
        <v>44397.895833333336</v>
      </c>
      <c r="F470" s="23">
        <f t="shared" si="21"/>
        <v>0.27083333333575865</v>
      </c>
      <c r="G470" s="24">
        <f t="shared" si="23"/>
        <v>46.153846153432845</v>
      </c>
      <c r="H470" s="1" t="s">
        <v>1</v>
      </c>
      <c r="I470" s="4" t="s">
        <v>2</v>
      </c>
      <c r="J470" s="14">
        <v>0.625</v>
      </c>
      <c r="K470" s="20" t="str">
        <f t="shared" si="22"/>
        <v>2nd Shift</v>
      </c>
    </row>
    <row r="471" spans="1:11" x14ac:dyDescent="0.25">
      <c r="A471" s="1">
        <v>470</v>
      </c>
      <c r="B471" s="1">
        <v>6</v>
      </c>
      <c r="C471" s="3">
        <v>6115271720800</v>
      </c>
      <c r="D471" s="2">
        <v>44397.625</v>
      </c>
      <c r="E471" s="2">
        <v>44397.895833333336</v>
      </c>
      <c r="F471" s="23">
        <f t="shared" si="21"/>
        <v>0.27083333333575865</v>
      </c>
      <c r="G471" s="24">
        <f t="shared" si="23"/>
        <v>46.153846153432845</v>
      </c>
      <c r="H471" s="1" t="s">
        <v>1</v>
      </c>
      <c r="I471" s="4" t="s">
        <v>3</v>
      </c>
      <c r="J471" s="14">
        <v>0.625</v>
      </c>
      <c r="K471" s="20" t="str">
        <f t="shared" si="22"/>
        <v>2nd Shift</v>
      </c>
    </row>
    <row r="472" spans="1:11" x14ac:dyDescent="0.25">
      <c r="A472" s="1">
        <v>471</v>
      </c>
      <c r="B472" s="1">
        <v>6</v>
      </c>
      <c r="C472" s="3">
        <v>6115271717404</v>
      </c>
      <c r="D472" s="2">
        <v>44397.625</v>
      </c>
      <c r="E472" s="2">
        <v>44397.895833333336</v>
      </c>
      <c r="F472" s="23">
        <f t="shared" si="21"/>
        <v>0.27083333333575865</v>
      </c>
      <c r="G472" s="24">
        <f t="shared" si="23"/>
        <v>46.153846153432845</v>
      </c>
      <c r="H472" s="1" t="s">
        <v>1</v>
      </c>
      <c r="I472" s="4" t="s">
        <v>4</v>
      </c>
      <c r="J472" s="14">
        <v>0.625</v>
      </c>
      <c r="K472" s="20" t="str">
        <f t="shared" si="22"/>
        <v>2nd Shift</v>
      </c>
    </row>
    <row r="473" spans="1:11" x14ac:dyDescent="0.25">
      <c r="A473" s="1">
        <v>472</v>
      </c>
      <c r="B473" s="1">
        <v>5</v>
      </c>
      <c r="C473" s="3">
        <v>5115271238100</v>
      </c>
      <c r="D473" s="2">
        <v>44397.625</v>
      </c>
      <c r="E473" s="2">
        <v>44397.895833333336</v>
      </c>
      <c r="F473" s="23">
        <f t="shared" si="21"/>
        <v>0.27083333333575865</v>
      </c>
      <c r="G473" s="24">
        <f t="shared" si="23"/>
        <v>46.153846153432845</v>
      </c>
      <c r="H473" s="1" t="s">
        <v>1</v>
      </c>
      <c r="I473" s="4" t="s">
        <v>3</v>
      </c>
      <c r="J473" s="14">
        <v>0.625</v>
      </c>
      <c r="K473" s="20" t="str">
        <f t="shared" si="22"/>
        <v>2nd Shift</v>
      </c>
    </row>
    <row r="474" spans="1:11" x14ac:dyDescent="0.25">
      <c r="A474" s="1">
        <v>473</v>
      </c>
      <c r="B474" s="1">
        <v>4</v>
      </c>
      <c r="C474" s="3">
        <v>4115270831900</v>
      </c>
      <c r="D474" s="2">
        <v>44397.625</v>
      </c>
      <c r="E474" s="2">
        <v>44397.895833333336</v>
      </c>
      <c r="F474" s="23">
        <f t="shared" si="21"/>
        <v>0.27083333333575865</v>
      </c>
      <c r="G474" s="24">
        <f t="shared" si="23"/>
        <v>46.153846153432845</v>
      </c>
      <c r="H474" s="1" t="s">
        <v>1</v>
      </c>
      <c r="I474" s="4" t="s">
        <v>3</v>
      </c>
      <c r="J474" s="14">
        <v>0.625</v>
      </c>
      <c r="K474" s="20" t="str">
        <f t="shared" si="22"/>
        <v>2nd Shift</v>
      </c>
    </row>
    <row r="475" spans="1:11" x14ac:dyDescent="0.25">
      <c r="A475" s="1">
        <v>474</v>
      </c>
      <c r="B475" s="1">
        <v>15</v>
      </c>
      <c r="C475" s="3">
        <v>15115271791100</v>
      </c>
      <c r="D475" s="2">
        <v>44397.9375</v>
      </c>
      <c r="E475" s="2">
        <v>44398.125</v>
      </c>
      <c r="F475" s="23">
        <f t="shared" si="21"/>
        <v>0.1875</v>
      </c>
      <c r="G475" s="24">
        <f t="shared" si="23"/>
        <v>66.666666666666657</v>
      </c>
      <c r="H475" s="1" t="s">
        <v>1</v>
      </c>
      <c r="I475" s="4" t="s">
        <v>2</v>
      </c>
      <c r="J475" s="14">
        <v>0.9375</v>
      </c>
      <c r="K475" s="20" t="str">
        <f t="shared" si="22"/>
        <v>3rd Shift</v>
      </c>
    </row>
    <row r="476" spans="1:11" x14ac:dyDescent="0.25">
      <c r="A476" s="1">
        <v>475</v>
      </c>
      <c r="B476" s="1">
        <v>13</v>
      </c>
      <c r="C476" s="3">
        <v>13115271591905</v>
      </c>
      <c r="D476" s="2">
        <v>44397.9375</v>
      </c>
      <c r="E476" s="2">
        <v>44398.125</v>
      </c>
      <c r="F476" s="23">
        <f t="shared" si="21"/>
        <v>0.1875</v>
      </c>
      <c r="G476" s="24">
        <f t="shared" si="23"/>
        <v>66.666666666666657</v>
      </c>
      <c r="H476" s="1" t="s">
        <v>1</v>
      </c>
      <c r="I476" s="4" t="s">
        <v>2</v>
      </c>
      <c r="J476" s="14">
        <v>0.9375</v>
      </c>
      <c r="K476" s="20" t="str">
        <f t="shared" si="22"/>
        <v>3rd Shift</v>
      </c>
    </row>
    <row r="477" spans="1:11" x14ac:dyDescent="0.25">
      <c r="A477" s="1">
        <v>476</v>
      </c>
      <c r="B477" s="1">
        <v>12</v>
      </c>
      <c r="C477" s="3">
        <v>12115271566225</v>
      </c>
      <c r="D477" s="2">
        <v>44397.9375</v>
      </c>
      <c r="E477" s="2">
        <v>44398.125</v>
      </c>
      <c r="F477" s="23">
        <f t="shared" si="21"/>
        <v>0.1875</v>
      </c>
      <c r="G477" s="24">
        <f t="shared" si="23"/>
        <v>66.666666666666657</v>
      </c>
      <c r="H477" s="1" t="s">
        <v>1</v>
      </c>
      <c r="I477" s="4" t="s">
        <v>3</v>
      </c>
      <c r="J477" s="14">
        <v>0.9375</v>
      </c>
      <c r="K477" s="20" t="str">
        <f t="shared" si="22"/>
        <v>3rd Shift</v>
      </c>
    </row>
    <row r="478" spans="1:11" x14ac:dyDescent="0.25">
      <c r="A478" s="1">
        <v>477</v>
      </c>
      <c r="B478" s="1">
        <v>8</v>
      </c>
      <c r="C478" s="3">
        <v>8115271880902</v>
      </c>
      <c r="D478" s="2">
        <v>44398.333333333336</v>
      </c>
      <c r="E478" s="2">
        <v>44398.489583333336</v>
      </c>
      <c r="F478" s="23">
        <f t="shared" si="21"/>
        <v>0.15625</v>
      </c>
      <c r="G478" s="24">
        <f t="shared" si="23"/>
        <v>80</v>
      </c>
      <c r="H478" s="1" t="s">
        <v>1</v>
      </c>
      <c r="I478" s="4" t="s">
        <v>4</v>
      </c>
      <c r="J478" s="14">
        <v>0.33333333333333331</v>
      </c>
      <c r="K478" s="20" t="str">
        <f t="shared" si="22"/>
        <v>1st Shift</v>
      </c>
    </row>
    <row r="479" spans="1:11" x14ac:dyDescent="0.25">
      <c r="A479" s="1">
        <v>478</v>
      </c>
      <c r="B479" s="1">
        <v>5</v>
      </c>
      <c r="C479" s="3">
        <v>5115271685050</v>
      </c>
      <c r="D479" s="2">
        <v>44398.333333333336</v>
      </c>
      <c r="E479" s="2">
        <v>44398.489583333336</v>
      </c>
      <c r="F479" s="23">
        <f t="shared" si="21"/>
        <v>0.15625</v>
      </c>
      <c r="G479" s="24">
        <f t="shared" si="23"/>
        <v>80</v>
      </c>
      <c r="H479" s="1" t="s">
        <v>1</v>
      </c>
      <c r="I479" s="4" t="s">
        <v>3</v>
      </c>
      <c r="J479" s="14">
        <v>0.33333333333333331</v>
      </c>
      <c r="K479" s="20" t="str">
        <f t="shared" si="22"/>
        <v>1st Shift</v>
      </c>
    </row>
    <row r="480" spans="1:11" x14ac:dyDescent="0.25">
      <c r="A480" s="1">
        <v>479</v>
      </c>
      <c r="B480" s="1">
        <v>3</v>
      </c>
      <c r="C480" s="3">
        <v>3115270343200</v>
      </c>
      <c r="D480" s="2">
        <v>44398.333333333336</v>
      </c>
      <c r="E480" s="2">
        <v>44398.489583333336</v>
      </c>
      <c r="F480" s="23">
        <f t="shared" si="21"/>
        <v>0.15625</v>
      </c>
      <c r="G480" s="24">
        <f t="shared" si="23"/>
        <v>80</v>
      </c>
      <c r="H480" s="1" t="s">
        <v>1</v>
      </c>
      <c r="I480" s="4" t="s">
        <v>3</v>
      </c>
      <c r="J480" s="14">
        <v>0.33333333333333331</v>
      </c>
      <c r="K480" s="20" t="str">
        <f t="shared" si="22"/>
        <v>1st Shift</v>
      </c>
    </row>
    <row r="481" spans="1:11" x14ac:dyDescent="0.25">
      <c r="A481" s="1">
        <v>480</v>
      </c>
      <c r="B481" s="1">
        <v>3</v>
      </c>
      <c r="C481" s="3">
        <v>3115270321900</v>
      </c>
      <c r="D481" s="2">
        <v>44398.333333333336</v>
      </c>
      <c r="E481" s="2">
        <v>44398.489583333336</v>
      </c>
      <c r="F481" s="23">
        <f t="shared" si="21"/>
        <v>0.15625</v>
      </c>
      <c r="G481" s="24">
        <f t="shared" si="23"/>
        <v>80</v>
      </c>
      <c r="H481" s="1" t="s">
        <v>1</v>
      </c>
      <c r="I481" s="4" t="s">
        <v>2</v>
      </c>
      <c r="J481" s="14">
        <v>0.33333333333333331</v>
      </c>
      <c r="K481" s="20" t="str">
        <f t="shared" si="22"/>
        <v>1st Shift</v>
      </c>
    </row>
    <row r="482" spans="1:11" x14ac:dyDescent="0.25">
      <c r="A482" s="1">
        <v>481</v>
      </c>
      <c r="B482" s="1">
        <v>1</v>
      </c>
      <c r="C482" s="3">
        <v>1115270075501</v>
      </c>
      <c r="D482" s="2">
        <v>44398.333333333336</v>
      </c>
      <c r="E482" s="2">
        <v>44398.489583333336</v>
      </c>
      <c r="F482" s="23">
        <f t="shared" si="21"/>
        <v>0.15625</v>
      </c>
      <c r="G482" s="24">
        <f t="shared" si="23"/>
        <v>80</v>
      </c>
      <c r="H482" s="1" t="s">
        <v>1</v>
      </c>
      <c r="I482" s="4" t="s">
        <v>2</v>
      </c>
      <c r="J482" s="14">
        <v>0.33333333333333331</v>
      </c>
      <c r="K482" s="20" t="str">
        <f t="shared" si="22"/>
        <v>1st Shift</v>
      </c>
    </row>
    <row r="483" spans="1:11" x14ac:dyDescent="0.25">
      <c r="A483" s="1">
        <v>482</v>
      </c>
      <c r="B483" s="1">
        <v>8</v>
      </c>
      <c r="C483" s="3">
        <v>8115271810106</v>
      </c>
      <c r="D483" s="2">
        <v>44398.5</v>
      </c>
      <c r="E483" s="2">
        <v>44398.576388888891</v>
      </c>
      <c r="F483" s="23">
        <f t="shared" si="21"/>
        <v>7.6388888890505768E-2</v>
      </c>
      <c r="G483" s="24">
        <f t="shared" si="23"/>
        <v>163.63636363290004</v>
      </c>
      <c r="H483" s="1" t="s">
        <v>1</v>
      </c>
      <c r="I483" s="4" t="s">
        <v>2</v>
      </c>
      <c r="J483" s="14">
        <v>0.5</v>
      </c>
      <c r="K483" s="20" t="str">
        <f t="shared" si="22"/>
        <v>1st Shift</v>
      </c>
    </row>
    <row r="484" spans="1:11" x14ac:dyDescent="0.25">
      <c r="A484" s="1">
        <v>483</v>
      </c>
      <c r="B484" s="1">
        <v>7</v>
      </c>
      <c r="C484" s="3">
        <v>7115271784000</v>
      </c>
      <c r="D484" s="2">
        <v>44398.5</v>
      </c>
      <c r="E484" s="2">
        <v>44398.576388888891</v>
      </c>
      <c r="F484" s="23">
        <f t="shared" si="21"/>
        <v>7.6388888890505768E-2</v>
      </c>
      <c r="G484" s="24">
        <f t="shared" si="23"/>
        <v>163.63636363290004</v>
      </c>
      <c r="H484" s="1" t="s">
        <v>1</v>
      </c>
      <c r="I484" s="4" t="s">
        <v>2</v>
      </c>
      <c r="J484" s="14">
        <v>0.5</v>
      </c>
      <c r="K484" s="20" t="str">
        <f t="shared" si="22"/>
        <v>1st Shift</v>
      </c>
    </row>
    <row r="485" spans="1:11" x14ac:dyDescent="0.25">
      <c r="A485" s="1">
        <v>484</v>
      </c>
      <c r="B485" s="1">
        <v>6</v>
      </c>
      <c r="C485" s="3">
        <v>6115271720814</v>
      </c>
      <c r="D485" s="2">
        <v>44398.5</v>
      </c>
      <c r="E485" s="2">
        <v>44398.576388888891</v>
      </c>
      <c r="F485" s="23">
        <f t="shared" si="21"/>
        <v>7.6388888890505768E-2</v>
      </c>
      <c r="G485" s="24">
        <f t="shared" si="23"/>
        <v>163.63636363290004</v>
      </c>
      <c r="H485" s="1" t="s">
        <v>1</v>
      </c>
      <c r="I485" s="4" t="s">
        <v>3</v>
      </c>
      <c r="J485" s="14">
        <v>0.5</v>
      </c>
      <c r="K485" s="20" t="str">
        <f t="shared" si="22"/>
        <v>1st Shift</v>
      </c>
    </row>
    <row r="486" spans="1:11" x14ac:dyDescent="0.25">
      <c r="A486" s="1">
        <v>485</v>
      </c>
      <c r="B486" s="1">
        <v>13</v>
      </c>
      <c r="C486" s="3">
        <v>13115271591200</v>
      </c>
      <c r="D486" s="2">
        <v>44398.59375</v>
      </c>
      <c r="E486" s="2">
        <v>44398.75</v>
      </c>
      <c r="F486" s="23">
        <f t="shared" si="21"/>
        <v>0.15625</v>
      </c>
      <c r="G486" s="24">
        <f t="shared" si="23"/>
        <v>80</v>
      </c>
      <c r="H486" s="1" t="s">
        <v>1</v>
      </c>
      <c r="I486" s="4" t="s">
        <v>2</v>
      </c>
      <c r="J486" s="14">
        <v>0.59375</v>
      </c>
      <c r="K486" s="20" t="str">
        <f t="shared" si="22"/>
        <v>2nd Shift</v>
      </c>
    </row>
    <row r="487" spans="1:11" x14ac:dyDescent="0.25">
      <c r="A487" s="1">
        <v>486</v>
      </c>
      <c r="B487" s="1">
        <v>11</v>
      </c>
      <c r="C487" s="3">
        <v>11115271552300</v>
      </c>
      <c r="D487" s="2">
        <v>44398.59375</v>
      </c>
      <c r="E487" s="2">
        <v>44398.75</v>
      </c>
      <c r="F487" s="23">
        <f t="shared" si="21"/>
        <v>0.15625</v>
      </c>
      <c r="G487" s="24">
        <f t="shared" si="23"/>
        <v>80</v>
      </c>
      <c r="H487" s="1" t="s">
        <v>1</v>
      </c>
      <c r="I487" s="4" t="s">
        <v>2</v>
      </c>
      <c r="J487" s="14">
        <v>0.59375</v>
      </c>
      <c r="K487" s="20" t="str">
        <f t="shared" si="22"/>
        <v>2nd Shift</v>
      </c>
    </row>
    <row r="488" spans="1:11" x14ac:dyDescent="0.25">
      <c r="A488" s="1">
        <v>487</v>
      </c>
      <c r="B488" s="1">
        <v>11</v>
      </c>
      <c r="C488" s="3">
        <v>11115271530102</v>
      </c>
      <c r="D488" s="2">
        <v>44398.59375</v>
      </c>
      <c r="E488" s="2">
        <v>44398.75</v>
      </c>
      <c r="F488" s="23">
        <f t="shared" si="21"/>
        <v>0.15625</v>
      </c>
      <c r="G488" s="24">
        <f t="shared" si="23"/>
        <v>80</v>
      </c>
      <c r="H488" s="1" t="s">
        <v>1</v>
      </c>
      <c r="I488" s="4" t="s">
        <v>2</v>
      </c>
      <c r="J488" s="14">
        <v>0.59375</v>
      </c>
      <c r="K488" s="20" t="str">
        <f t="shared" si="22"/>
        <v>2nd Shift</v>
      </c>
    </row>
    <row r="489" spans="1:11" x14ac:dyDescent="0.25">
      <c r="A489" s="1">
        <v>488</v>
      </c>
      <c r="B489" s="1">
        <v>10</v>
      </c>
      <c r="C489" s="3">
        <v>10115270963403</v>
      </c>
      <c r="D489" s="2">
        <v>44398.59375</v>
      </c>
      <c r="E489" s="2">
        <v>44398.75</v>
      </c>
      <c r="F489" s="23">
        <f t="shared" si="21"/>
        <v>0.15625</v>
      </c>
      <c r="G489" s="24">
        <f t="shared" si="23"/>
        <v>80</v>
      </c>
      <c r="H489" s="1" t="s">
        <v>1</v>
      </c>
      <c r="I489" s="4" t="s">
        <v>2</v>
      </c>
      <c r="J489" s="14">
        <v>0.59375</v>
      </c>
      <c r="K489" s="20" t="str">
        <f t="shared" si="22"/>
        <v>2nd Shift</v>
      </c>
    </row>
    <row r="490" spans="1:11" x14ac:dyDescent="0.25">
      <c r="A490" s="1">
        <v>489</v>
      </c>
      <c r="B490" s="1">
        <v>10</v>
      </c>
      <c r="C490" s="3">
        <v>10115270953000</v>
      </c>
      <c r="D490" s="2">
        <v>44398.59375</v>
      </c>
      <c r="E490" s="2">
        <v>44398.75</v>
      </c>
      <c r="F490" s="23">
        <f t="shared" si="21"/>
        <v>0.15625</v>
      </c>
      <c r="G490" s="24">
        <f t="shared" si="23"/>
        <v>80</v>
      </c>
      <c r="H490" s="1" t="s">
        <v>1</v>
      </c>
      <c r="I490" s="4" t="s">
        <v>2</v>
      </c>
      <c r="J490" s="14">
        <v>0.59375</v>
      </c>
      <c r="K490" s="20" t="str">
        <f t="shared" si="22"/>
        <v>2nd Shift</v>
      </c>
    </row>
    <row r="491" spans="1:11" x14ac:dyDescent="0.25">
      <c r="A491" s="1">
        <v>490</v>
      </c>
      <c r="B491" s="1">
        <v>9</v>
      </c>
      <c r="C491" s="3">
        <v>9115271909208</v>
      </c>
      <c r="D491" s="2">
        <v>44398.59375</v>
      </c>
      <c r="E491" s="2">
        <v>44398.75</v>
      </c>
      <c r="F491" s="23">
        <f t="shared" si="21"/>
        <v>0.15625</v>
      </c>
      <c r="G491" s="24">
        <f t="shared" si="23"/>
        <v>80</v>
      </c>
      <c r="H491" s="1" t="s">
        <v>1</v>
      </c>
      <c r="I491" s="4" t="s">
        <v>7</v>
      </c>
      <c r="J491" s="14">
        <v>0.59375</v>
      </c>
      <c r="K491" s="20" t="str">
        <f t="shared" si="22"/>
        <v>2nd Shift</v>
      </c>
    </row>
    <row r="492" spans="1:11" x14ac:dyDescent="0.25">
      <c r="A492" s="1">
        <v>491</v>
      </c>
      <c r="B492" s="1">
        <v>4</v>
      </c>
      <c r="C492" s="3">
        <v>4115270851201</v>
      </c>
      <c r="D492" s="2">
        <v>44398.770833333336</v>
      </c>
      <c r="E492" s="2">
        <v>44398.916666666664</v>
      </c>
      <c r="F492" s="23">
        <f t="shared" si="21"/>
        <v>0.14583333332848269</v>
      </c>
      <c r="G492" s="24">
        <f t="shared" si="23"/>
        <v>85.714285717136704</v>
      </c>
      <c r="H492" s="1" t="s">
        <v>1</v>
      </c>
      <c r="I492" s="4" t="s">
        <v>2</v>
      </c>
      <c r="J492" s="14">
        <v>0.77083333333333337</v>
      </c>
      <c r="K492" s="20" t="str">
        <f t="shared" si="22"/>
        <v>2nd Shift</v>
      </c>
    </row>
    <row r="493" spans="1:11" x14ac:dyDescent="0.25">
      <c r="A493" s="1">
        <v>492</v>
      </c>
      <c r="B493" s="1">
        <v>3</v>
      </c>
      <c r="C493" s="3">
        <v>3115270392100</v>
      </c>
      <c r="D493" s="2">
        <v>44398.770833333336</v>
      </c>
      <c r="E493" s="2">
        <v>44398.916666666664</v>
      </c>
      <c r="F493" s="23">
        <f t="shared" si="21"/>
        <v>0.14583333332848269</v>
      </c>
      <c r="G493" s="24">
        <f t="shared" si="23"/>
        <v>85.714285717136704</v>
      </c>
      <c r="H493" s="1" t="s">
        <v>1</v>
      </c>
      <c r="I493" s="4" t="s">
        <v>2</v>
      </c>
      <c r="J493" s="14">
        <v>0.77083333333333337</v>
      </c>
      <c r="K493" s="20" t="str">
        <f t="shared" si="22"/>
        <v>2nd Shift</v>
      </c>
    </row>
    <row r="494" spans="1:11" x14ac:dyDescent="0.25">
      <c r="A494" s="1">
        <v>493</v>
      </c>
      <c r="B494" s="1">
        <v>2</v>
      </c>
      <c r="C494" s="3">
        <v>2115270238800</v>
      </c>
      <c r="D494" s="2">
        <v>44398.770833333336</v>
      </c>
      <c r="E494" s="2">
        <v>44398.916666666664</v>
      </c>
      <c r="F494" s="23">
        <f t="shared" si="21"/>
        <v>0.14583333332848269</v>
      </c>
      <c r="G494" s="24">
        <f t="shared" si="23"/>
        <v>85.714285717136704</v>
      </c>
      <c r="H494" s="1" t="s">
        <v>1</v>
      </c>
      <c r="I494" s="4" t="s">
        <v>2</v>
      </c>
      <c r="J494" s="14">
        <v>0.77083333333333337</v>
      </c>
      <c r="K494" s="20" t="str">
        <f t="shared" si="22"/>
        <v>2nd Shift</v>
      </c>
    </row>
    <row r="495" spans="1:11" x14ac:dyDescent="0.25">
      <c r="A495" s="1">
        <v>494</v>
      </c>
      <c r="B495" s="1">
        <v>1</v>
      </c>
      <c r="C495" s="3">
        <v>1115270052500</v>
      </c>
      <c r="D495" s="2">
        <v>44398.770833333336</v>
      </c>
      <c r="E495" s="2">
        <v>44398.916666666664</v>
      </c>
      <c r="F495" s="23">
        <f t="shared" si="21"/>
        <v>0.14583333332848269</v>
      </c>
      <c r="G495" s="24">
        <f t="shared" si="23"/>
        <v>85.714285717136704</v>
      </c>
      <c r="H495" s="1" t="s">
        <v>1</v>
      </c>
      <c r="I495" s="4" t="s">
        <v>2</v>
      </c>
      <c r="J495" s="14">
        <v>0.77083333333333337</v>
      </c>
      <c r="K495" s="20" t="str">
        <f t="shared" si="22"/>
        <v>2nd Shift</v>
      </c>
    </row>
    <row r="496" spans="1:11" x14ac:dyDescent="0.25">
      <c r="A496" s="1">
        <v>495</v>
      </c>
      <c r="B496" s="1">
        <v>5</v>
      </c>
      <c r="C496" s="3">
        <v>5115271678309</v>
      </c>
      <c r="D496" s="2">
        <v>44398.9375</v>
      </c>
      <c r="E496" s="2">
        <v>44398.993055555555</v>
      </c>
      <c r="F496" s="23">
        <f t="shared" si="21"/>
        <v>5.5555555554747116E-2</v>
      </c>
      <c r="G496" s="24">
        <f t="shared" si="23"/>
        <v>225.00000000327418</v>
      </c>
      <c r="H496" s="1" t="s">
        <v>1</v>
      </c>
      <c r="I496" s="4" t="s">
        <v>3</v>
      </c>
      <c r="J496" s="14">
        <v>0.9375</v>
      </c>
      <c r="K496" s="20" t="str">
        <f t="shared" si="22"/>
        <v>3rd Shift</v>
      </c>
    </row>
    <row r="497" spans="1:11" x14ac:dyDescent="0.25">
      <c r="A497" s="1">
        <v>496</v>
      </c>
      <c r="B497" s="1">
        <v>3</v>
      </c>
      <c r="C497" s="3">
        <v>3115270393500</v>
      </c>
      <c r="D497" s="2">
        <v>44398.9375</v>
      </c>
      <c r="E497" s="2">
        <v>44398.993055555555</v>
      </c>
      <c r="F497" s="23">
        <f t="shared" si="21"/>
        <v>5.5555555554747116E-2</v>
      </c>
      <c r="G497" s="24">
        <f t="shared" si="23"/>
        <v>225.00000000327418</v>
      </c>
      <c r="H497" s="1" t="s">
        <v>1</v>
      </c>
      <c r="I497" s="4" t="s">
        <v>3</v>
      </c>
      <c r="J497" s="14">
        <v>0.9375</v>
      </c>
      <c r="K497" s="20" t="str">
        <f t="shared" si="22"/>
        <v>3rd Shift</v>
      </c>
    </row>
    <row r="498" spans="1:11" x14ac:dyDescent="0.25">
      <c r="A498" s="1">
        <v>497</v>
      </c>
      <c r="B498" s="1">
        <v>12</v>
      </c>
      <c r="C498" s="3">
        <v>12115271560801</v>
      </c>
      <c r="D498" s="2">
        <v>44399.020833333336</v>
      </c>
      <c r="E498" s="2">
        <v>44399.125</v>
      </c>
      <c r="F498" s="23">
        <f t="shared" si="21"/>
        <v>0.10416666666424135</v>
      </c>
      <c r="G498" s="24">
        <f t="shared" si="23"/>
        <v>120.00000000279397</v>
      </c>
      <c r="H498" s="1" t="s">
        <v>1</v>
      </c>
      <c r="I498" s="4" t="s">
        <v>3</v>
      </c>
      <c r="J498" s="14">
        <v>2.0833333333333332E-2</v>
      </c>
      <c r="K498" s="20" t="str">
        <f t="shared" si="22"/>
        <v>3rd Shift</v>
      </c>
    </row>
    <row r="499" spans="1:11" x14ac:dyDescent="0.25">
      <c r="A499" s="1">
        <v>498</v>
      </c>
      <c r="B499" s="1">
        <v>11</v>
      </c>
      <c r="C499" s="3">
        <v>11115271552200</v>
      </c>
      <c r="D499" s="2">
        <v>44399.020833333336</v>
      </c>
      <c r="E499" s="2">
        <v>44399.125</v>
      </c>
      <c r="F499" s="23">
        <f t="shared" si="21"/>
        <v>0.10416666666424135</v>
      </c>
      <c r="G499" s="24">
        <f t="shared" si="23"/>
        <v>120.00000000279397</v>
      </c>
      <c r="H499" s="1" t="s">
        <v>1</v>
      </c>
      <c r="I499" s="4" t="s">
        <v>2</v>
      </c>
      <c r="J499" s="14">
        <v>2.0833333333333332E-2</v>
      </c>
      <c r="K499" s="20" t="str">
        <f t="shared" si="22"/>
        <v>3rd Shift</v>
      </c>
    </row>
    <row r="500" spans="1:11" x14ac:dyDescent="0.25">
      <c r="A500" s="1">
        <v>499</v>
      </c>
      <c r="B500" s="1">
        <v>10</v>
      </c>
      <c r="C500" s="3">
        <v>10115271440500</v>
      </c>
      <c r="D500" s="2">
        <v>44399.020833333336</v>
      </c>
      <c r="E500" s="2">
        <v>44399.125</v>
      </c>
      <c r="F500" s="23">
        <f t="shared" si="21"/>
        <v>0.10416666666424135</v>
      </c>
      <c r="G500" s="24">
        <f t="shared" si="23"/>
        <v>120.00000000279397</v>
      </c>
      <c r="H500" s="1" t="s">
        <v>1</v>
      </c>
      <c r="I500" s="4" t="s">
        <v>2</v>
      </c>
      <c r="J500" s="14">
        <v>2.0833333333333332E-2</v>
      </c>
      <c r="K500" s="20" t="str">
        <f t="shared" si="22"/>
        <v>3rd Shift</v>
      </c>
    </row>
    <row r="501" spans="1:11" x14ac:dyDescent="0.25">
      <c r="A501" s="1">
        <v>500</v>
      </c>
      <c r="B501" s="1">
        <v>13</v>
      </c>
      <c r="C501" s="3">
        <v>13115271672305</v>
      </c>
      <c r="D501" s="2">
        <v>44399.333333333336</v>
      </c>
      <c r="E501" s="2">
        <v>44399.5</v>
      </c>
      <c r="F501" s="23">
        <f t="shared" si="21"/>
        <v>0.16666666666424135</v>
      </c>
      <c r="G501" s="24">
        <f t="shared" si="23"/>
        <v>75.000000001091394</v>
      </c>
      <c r="H501" s="1" t="s">
        <v>1</v>
      </c>
      <c r="I501" s="4" t="s">
        <v>2</v>
      </c>
      <c r="J501" s="14">
        <v>0.33333333333333331</v>
      </c>
      <c r="K501" s="20" t="str">
        <f t="shared" si="22"/>
        <v>1st Shift</v>
      </c>
    </row>
    <row r="502" spans="1:11" x14ac:dyDescent="0.25">
      <c r="A502" s="1">
        <v>501</v>
      </c>
      <c r="B502" s="1">
        <v>11</v>
      </c>
      <c r="C502" s="3">
        <v>11115271560114</v>
      </c>
      <c r="D502" s="2">
        <v>44399.333333333336</v>
      </c>
      <c r="E502" s="2">
        <v>44399.5</v>
      </c>
      <c r="F502" s="23">
        <f t="shared" si="21"/>
        <v>0.16666666666424135</v>
      </c>
      <c r="G502" s="24">
        <f t="shared" si="23"/>
        <v>75.000000001091394</v>
      </c>
      <c r="H502" s="1" t="s">
        <v>1</v>
      </c>
      <c r="I502" s="4" t="s">
        <v>2</v>
      </c>
      <c r="J502" s="14">
        <v>0.33333333333333331</v>
      </c>
      <c r="K502" s="20" t="str">
        <f t="shared" si="22"/>
        <v>1st Shift</v>
      </c>
    </row>
    <row r="503" spans="1:11" x14ac:dyDescent="0.25">
      <c r="A503" s="1">
        <v>502</v>
      </c>
      <c r="B503" s="1">
        <v>10</v>
      </c>
      <c r="C503" s="3">
        <v>10115271958400</v>
      </c>
      <c r="D503" s="2">
        <v>44399.333333333336</v>
      </c>
      <c r="E503" s="2">
        <v>44399.5</v>
      </c>
      <c r="F503" s="23">
        <f t="shared" si="21"/>
        <v>0.16666666666424135</v>
      </c>
      <c r="G503" s="24">
        <f t="shared" si="23"/>
        <v>75.000000001091394</v>
      </c>
      <c r="H503" s="1" t="s">
        <v>1</v>
      </c>
      <c r="I503" s="4" t="s">
        <v>3</v>
      </c>
      <c r="J503" s="14">
        <v>0.33333333333333331</v>
      </c>
      <c r="K503" s="20" t="str">
        <f t="shared" si="22"/>
        <v>1st Shift</v>
      </c>
    </row>
    <row r="504" spans="1:11" x14ac:dyDescent="0.25">
      <c r="A504" s="1">
        <v>503</v>
      </c>
      <c r="B504" s="1">
        <v>10</v>
      </c>
      <c r="C504" s="3">
        <v>10115270952801</v>
      </c>
      <c r="D504" s="2">
        <v>44399.333333333336</v>
      </c>
      <c r="E504" s="2">
        <v>44399.5</v>
      </c>
      <c r="F504" s="23">
        <f t="shared" si="21"/>
        <v>0.16666666666424135</v>
      </c>
      <c r="G504" s="24">
        <f t="shared" si="23"/>
        <v>75.000000001091394</v>
      </c>
      <c r="H504" s="1" t="s">
        <v>1</v>
      </c>
      <c r="I504" s="4" t="s">
        <v>2</v>
      </c>
      <c r="J504" s="14">
        <v>0.33333333333333331</v>
      </c>
      <c r="K504" s="20" t="str">
        <f t="shared" si="22"/>
        <v>1st Shift</v>
      </c>
    </row>
    <row r="505" spans="1:11" x14ac:dyDescent="0.25">
      <c r="A505" s="1">
        <v>504</v>
      </c>
      <c r="B505" s="1">
        <v>5</v>
      </c>
      <c r="C505" s="3">
        <v>5115271677600</v>
      </c>
      <c r="D505" s="2">
        <v>44399.333333333336</v>
      </c>
      <c r="E505" s="2">
        <v>44399.5</v>
      </c>
      <c r="F505" s="23">
        <f t="shared" si="21"/>
        <v>0.16666666666424135</v>
      </c>
      <c r="G505" s="24">
        <f t="shared" si="23"/>
        <v>75.000000001091394</v>
      </c>
      <c r="H505" s="1" t="s">
        <v>1</v>
      </c>
      <c r="I505" s="4" t="s">
        <v>2</v>
      </c>
      <c r="J505" s="14">
        <v>0.33333333333333331</v>
      </c>
      <c r="K505" s="20" t="str">
        <f t="shared" si="22"/>
        <v>1st Shift</v>
      </c>
    </row>
    <row r="506" spans="1:11" x14ac:dyDescent="0.25">
      <c r="A506" s="1">
        <v>505</v>
      </c>
      <c r="B506" s="1">
        <v>3</v>
      </c>
      <c r="C506" s="3">
        <v>3115270429100</v>
      </c>
      <c r="D506" s="2">
        <v>44399.333333333336</v>
      </c>
      <c r="E506" s="2">
        <v>44399.5</v>
      </c>
      <c r="F506" s="23">
        <f t="shared" si="21"/>
        <v>0.16666666666424135</v>
      </c>
      <c r="G506" s="24">
        <f t="shared" si="23"/>
        <v>75.000000001091394</v>
      </c>
      <c r="H506" s="1" t="s">
        <v>1</v>
      </c>
      <c r="I506" s="4" t="s">
        <v>2</v>
      </c>
      <c r="J506" s="14">
        <v>0.33333333333333331</v>
      </c>
      <c r="K506" s="20" t="str">
        <f t="shared" si="22"/>
        <v>1st Shift</v>
      </c>
    </row>
    <row r="507" spans="1:11" x14ac:dyDescent="0.25">
      <c r="A507" s="1">
        <v>506</v>
      </c>
      <c r="B507" s="1">
        <v>4</v>
      </c>
      <c r="C507" s="3">
        <v>4115271058310</v>
      </c>
      <c r="D507" s="2">
        <v>44399.524305555555</v>
      </c>
      <c r="E507" s="2">
        <v>44399.590277777781</v>
      </c>
      <c r="F507" s="23">
        <f t="shared" si="21"/>
        <v>6.5972222226264421E-2</v>
      </c>
      <c r="G507" s="24">
        <f t="shared" si="23"/>
        <v>189.47368419891703</v>
      </c>
      <c r="H507" s="1" t="s">
        <v>1</v>
      </c>
      <c r="I507" s="4" t="s">
        <v>2</v>
      </c>
      <c r="J507" s="14">
        <v>0.52430555555555558</v>
      </c>
      <c r="K507" s="20" t="str">
        <f t="shared" si="22"/>
        <v>1st Shift</v>
      </c>
    </row>
    <row r="508" spans="1:11" x14ac:dyDescent="0.25">
      <c r="A508" s="1">
        <v>507</v>
      </c>
      <c r="B508" s="1">
        <v>3</v>
      </c>
      <c r="C508" s="3">
        <v>3115270397900</v>
      </c>
      <c r="D508" s="2">
        <v>44399.524305555555</v>
      </c>
      <c r="E508" s="2">
        <v>44399.590277777781</v>
      </c>
      <c r="F508" s="23">
        <f t="shared" si="21"/>
        <v>6.5972222226264421E-2</v>
      </c>
      <c r="G508" s="24">
        <f t="shared" si="23"/>
        <v>189.47368419891703</v>
      </c>
      <c r="H508" s="1" t="s">
        <v>1</v>
      </c>
      <c r="I508" s="4" t="s">
        <v>2</v>
      </c>
      <c r="J508" s="14">
        <v>0.52430555555555558</v>
      </c>
      <c r="K508" s="20" t="str">
        <f t="shared" si="22"/>
        <v>1st Shift</v>
      </c>
    </row>
    <row r="509" spans="1:11" x14ac:dyDescent="0.25">
      <c r="A509" s="1">
        <v>508</v>
      </c>
      <c r="B509" s="1">
        <v>7</v>
      </c>
      <c r="C509" s="3">
        <v>7115271783301</v>
      </c>
      <c r="D509" s="2">
        <v>44399.524305555555</v>
      </c>
      <c r="E509" s="2">
        <v>44399.59375</v>
      </c>
      <c r="F509" s="23">
        <f t="shared" si="21"/>
        <v>6.9444444445252884E-2</v>
      </c>
      <c r="G509" s="24">
        <f t="shared" si="23"/>
        <v>179.99999999790452</v>
      </c>
      <c r="H509" s="1" t="s">
        <v>1</v>
      </c>
      <c r="I509" s="4" t="s">
        <v>3</v>
      </c>
      <c r="J509" s="14">
        <v>0.52430555555555558</v>
      </c>
      <c r="K509" s="20" t="str">
        <f t="shared" si="22"/>
        <v>1st Shift</v>
      </c>
    </row>
    <row r="510" spans="1:11" x14ac:dyDescent="0.25">
      <c r="A510" s="1">
        <v>509</v>
      </c>
      <c r="B510" s="1">
        <v>15</v>
      </c>
      <c r="C510" s="3">
        <v>15115271748465</v>
      </c>
      <c r="D510" s="2">
        <v>44399.625</v>
      </c>
      <c r="E510" s="2">
        <v>44399.895833333336</v>
      </c>
      <c r="F510" s="23">
        <f t="shared" si="21"/>
        <v>0.27083333333575865</v>
      </c>
      <c r="G510" s="24">
        <f t="shared" si="23"/>
        <v>46.153846153432845</v>
      </c>
      <c r="H510" s="1" t="s">
        <v>1</v>
      </c>
      <c r="I510" s="4" t="s">
        <v>2</v>
      </c>
      <c r="J510" s="14">
        <v>0.625</v>
      </c>
      <c r="K510" s="20" t="str">
        <f t="shared" si="22"/>
        <v>2nd Shift</v>
      </c>
    </row>
    <row r="511" spans="1:11" x14ac:dyDescent="0.25">
      <c r="A511" s="1">
        <v>510</v>
      </c>
      <c r="B511" s="1">
        <v>14</v>
      </c>
      <c r="C511" s="3">
        <v>14115271672601</v>
      </c>
      <c r="D511" s="2">
        <v>44399.625</v>
      </c>
      <c r="E511" s="2">
        <v>44399.895833333336</v>
      </c>
      <c r="F511" s="23">
        <f t="shared" si="21"/>
        <v>0.27083333333575865</v>
      </c>
      <c r="G511" s="24">
        <f t="shared" si="23"/>
        <v>46.153846153432845</v>
      </c>
      <c r="H511" s="1" t="s">
        <v>1</v>
      </c>
      <c r="I511" s="4" t="s">
        <v>2</v>
      </c>
      <c r="J511" s="14">
        <v>0.625</v>
      </c>
      <c r="K511" s="20" t="str">
        <f t="shared" si="22"/>
        <v>2nd Shift</v>
      </c>
    </row>
    <row r="512" spans="1:11" x14ac:dyDescent="0.25">
      <c r="A512" s="1">
        <v>511</v>
      </c>
      <c r="B512" s="1">
        <v>12</v>
      </c>
      <c r="C512" s="3">
        <v>12115271585600</v>
      </c>
      <c r="D512" s="2">
        <v>44399.625</v>
      </c>
      <c r="E512" s="2">
        <v>44399.895833333336</v>
      </c>
      <c r="F512" s="23">
        <f t="shared" si="21"/>
        <v>0.27083333333575865</v>
      </c>
      <c r="G512" s="24">
        <f t="shared" si="23"/>
        <v>46.153846153432845</v>
      </c>
      <c r="H512" s="1" t="s">
        <v>1</v>
      </c>
      <c r="I512" s="4" t="s">
        <v>2</v>
      </c>
      <c r="J512" s="14">
        <v>0.625</v>
      </c>
      <c r="K512" s="20" t="str">
        <f t="shared" si="22"/>
        <v>2nd Shift</v>
      </c>
    </row>
    <row r="513" spans="1:11" x14ac:dyDescent="0.25">
      <c r="A513" s="1">
        <v>512</v>
      </c>
      <c r="B513" s="1">
        <v>12</v>
      </c>
      <c r="C513" s="3">
        <v>12115271560127</v>
      </c>
      <c r="D513" s="2">
        <v>44399.625</v>
      </c>
      <c r="E513" s="2">
        <v>44399.895833333336</v>
      </c>
      <c r="F513" s="23">
        <f t="shared" si="21"/>
        <v>0.27083333333575865</v>
      </c>
      <c r="G513" s="24">
        <f t="shared" si="23"/>
        <v>46.153846153432845</v>
      </c>
      <c r="H513" s="1" t="s">
        <v>1</v>
      </c>
      <c r="I513" s="4" t="s">
        <v>8</v>
      </c>
      <c r="J513" s="14">
        <v>0.625</v>
      </c>
      <c r="K513" s="20" t="str">
        <f t="shared" si="22"/>
        <v>2nd Shift</v>
      </c>
    </row>
    <row r="514" spans="1:11" x14ac:dyDescent="0.25">
      <c r="A514" s="1">
        <v>513</v>
      </c>
      <c r="B514" s="1">
        <v>11</v>
      </c>
      <c r="C514" s="3">
        <v>11115271552802</v>
      </c>
      <c r="D514" s="2">
        <v>44399.625</v>
      </c>
      <c r="E514" s="2">
        <v>44399.895833333336</v>
      </c>
      <c r="F514" s="23">
        <f t="shared" ref="F514:F577" si="24">E514-D514</f>
        <v>0.27083333333575865</v>
      </c>
      <c r="G514" s="24">
        <f t="shared" si="23"/>
        <v>46.153846153432845</v>
      </c>
      <c r="H514" s="1" t="s">
        <v>1</v>
      </c>
      <c r="I514" s="4" t="s">
        <v>2</v>
      </c>
      <c r="J514" s="14">
        <v>0.625</v>
      </c>
      <c r="K514" s="20" t="str">
        <f t="shared" ref="K514:K577" si="25">IF(AND(J514&gt;=$M$3,J514&lt;$M$4),"1st Shift",IF(AND(J514&gt;=$M$4,J514&lt;$M$5),"2nd Shift","3rd Shift"))</f>
        <v>2nd Shift</v>
      </c>
    </row>
    <row r="515" spans="1:11" x14ac:dyDescent="0.25">
      <c r="A515" s="1">
        <v>514</v>
      </c>
      <c r="B515" s="1">
        <v>7</v>
      </c>
      <c r="C515" s="3">
        <v>7115271766600</v>
      </c>
      <c r="D515" s="2">
        <v>44399.625</v>
      </c>
      <c r="E515" s="2">
        <v>44399.895833333336</v>
      </c>
      <c r="F515" s="23">
        <f t="shared" si="24"/>
        <v>0.27083333333575865</v>
      </c>
      <c r="G515" s="24">
        <f t="shared" ref="G515:G578" si="26">$M$9/F515*100</f>
        <v>46.153846153432845</v>
      </c>
      <c r="H515" s="1" t="s">
        <v>1</v>
      </c>
      <c r="I515" s="4" t="s">
        <v>2</v>
      </c>
      <c r="J515" s="14">
        <v>0.625</v>
      </c>
      <c r="K515" s="20" t="str">
        <f t="shared" si="25"/>
        <v>2nd Shift</v>
      </c>
    </row>
    <row r="516" spans="1:11" x14ac:dyDescent="0.25">
      <c r="A516" s="1">
        <v>515</v>
      </c>
      <c r="B516" s="1">
        <v>3</v>
      </c>
      <c r="C516" s="3">
        <v>3115270821600</v>
      </c>
      <c r="D516" s="2">
        <v>44399.625</v>
      </c>
      <c r="E516" s="2">
        <v>44399.895833333336</v>
      </c>
      <c r="F516" s="23">
        <f t="shared" si="24"/>
        <v>0.27083333333575865</v>
      </c>
      <c r="G516" s="24">
        <f t="shared" si="26"/>
        <v>46.153846153432845</v>
      </c>
      <c r="H516" s="1" t="s">
        <v>1</v>
      </c>
      <c r="I516" s="4" t="s">
        <v>2</v>
      </c>
      <c r="J516" s="14">
        <v>0.625</v>
      </c>
      <c r="K516" s="20" t="str">
        <f t="shared" si="25"/>
        <v>2nd Shift</v>
      </c>
    </row>
    <row r="517" spans="1:11" x14ac:dyDescent="0.25">
      <c r="A517" s="1">
        <v>516</v>
      </c>
      <c r="B517" s="1">
        <v>2</v>
      </c>
      <c r="C517" s="3">
        <v>2115270292600</v>
      </c>
      <c r="D517" s="2">
        <v>44399.625</v>
      </c>
      <c r="E517" s="2">
        <v>44399.895833333336</v>
      </c>
      <c r="F517" s="23">
        <f t="shared" si="24"/>
        <v>0.27083333333575865</v>
      </c>
      <c r="G517" s="24">
        <f t="shared" si="26"/>
        <v>46.153846153432845</v>
      </c>
      <c r="H517" s="1" t="s">
        <v>1</v>
      </c>
      <c r="I517" s="4" t="s">
        <v>2</v>
      </c>
      <c r="J517" s="14">
        <v>0.625</v>
      </c>
      <c r="K517" s="20" t="str">
        <f t="shared" si="25"/>
        <v>2nd Shift</v>
      </c>
    </row>
    <row r="518" spans="1:11" x14ac:dyDescent="0.25">
      <c r="A518" s="1">
        <v>517</v>
      </c>
      <c r="B518" s="1">
        <v>1</v>
      </c>
      <c r="C518" s="3">
        <v>1115270070000</v>
      </c>
      <c r="D518" s="2">
        <v>44399.625</v>
      </c>
      <c r="E518" s="2">
        <v>44399.895833333336</v>
      </c>
      <c r="F518" s="23">
        <f t="shared" si="24"/>
        <v>0.27083333333575865</v>
      </c>
      <c r="G518" s="24">
        <f t="shared" si="26"/>
        <v>46.153846153432845</v>
      </c>
      <c r="H518" s="1" t="s">
        <v>1</v>
      </c>
      <c r="I518" s="4" t="s">
        <v>2</v>
      </c>
      <c r="J518" s="14">
        <v>0.625</v>
      </c>
      <c r="K518" s="20" t="str">
        <f t="shared" si="25"/>
        <v>2nd Shift</v>
      </c>
    </row>
    <row r="519" spans="1:11" x14ac:dyDescent="0.25">
      <c r="A519" s="1">
        <v>518</v>
      </c>
      <c r="B519" s="1">
        <v>11</v>
      </c>
      <c r="C519" s="3">
        <v>11115271483500</v>
      </c>
      <c r="D519" s="2">
        <v>44399.9375</v>
      </c>
      <c r="E519" s="2">
        <v>44400.104166666664</v>
      </c>
      <c r="F519" s="23">
        <f t="shared" si="24"/>
        <v>0.16666666666424135</v>
      </c>
      <c r="G519" s="24">
        <f t="shared" si="26"/>
        <v>75.000000001091394</v>
      </c>
      <c r="H519" s="1" t="s">
        <v>1</v>
      </c>
      <c r="I519" s="4" t="s">
        <v>2</v>
      </c>
      <c r="J519" s="14">
        <v>0.9375</v>
      </c>
      <c r="K519" s="20" t="str">
        <f t="shared" si="25"/>
        <v>3rd Shift</v>
      </c>
    </row>
    <row r="520" spans="1:11" x14ac:dyDescent="0.25">
      <c r="A520" s="1">
        <v>519</v>
      </c>
      <c r="B520" s="1">
        <v>7</v>
      </c>
      <c r="C520" s="3">
        <v>7115271802201</v>
      </c>
      <c r="D520" s="2">
        <v>44399.9375</v>
      </c>
      <c r="E520" s="2">
        <v>44400.104166666664</v>
      </c>
      <c r="F520" s="23">
        <f t="shared" si="24"/>
        <v>0.16666666666424135</v>
      </c>
      <c r="G520" s="24">
        <f t="shared" si="26"/>
        <v>75.000000001091394</v>
      </c>
      <c r="H520" s="1" t="s">
        <v>1</v>
      </c>
      <c r="I520" s="4" t="s">
        <v>2</v>
      </c>
      <c r="J520" s="14">
        <v>0.9375</v>
      </c>
      <c r="K520" s="20" t="str">
        <f t="shared" si="25"/>
        <v>3rd Shift</v>
      </c>
    </row>
    <row r="521" spans="1:11" x14ac:dyDescent="0.25">
      <c r="A521" s="1">
        <v>520</v>
      </c>
      <c r="B521" s="1">
        <v>5</v>
      </c>
      <c r="C521" s="3">
        <v>5115271684801</v>
      </c>
      <c r="D521" s="2">
        <v>44399.9375</v>
      </c>
      <c r="E521" s="2">
        <v>44400.104166666664</v>
      </c>
      <c r="F521" s="23">
        <f t="shared" si="24"/>
        <v>0.16666666666424135</v>
      </c>
      <c r="G521" s="24">
        <f t="shared" si="26"/>
        <v>75.000000001091394</v>
      </c>
      <c r="H521" s="1" t="s">
        <v>1</v>
      </c>
      <c r="I521" s="4" t="s">
        <v>2</v>
      </c>
      <c r="J521" s="14">
        <v>0.9375</v>
      </c>
      <c r="K521" s="20" t="str">
        <f t="shared" si="25"/>
        <v>3rd Shift</v>
      </c>
    </row>
    <row r="522" spans="1:11" x14ac:dyDescent="0.25">
      <c r="A522" s="1">
        <v>521</v>
      </c>
      <c r="B522" s="1">
        <v>5</v>
      </c>
      <c r="C522" s="3">
        <v>5115271678309</v>
      </c>
      <c r="D522" s="2">
        <v>44399.9375</v>
      </c>
      <c r="E522" s="2">
        <v>44400.104166666664</v>
      </c>
      <c r="F522" s="23">
        <f t="shared" si="24"/>
        <v>0.16666666666424135</v>
      </c>
      <c r="G522" s="24">
        <f t="shared" si="26"/>
        <v>75.000000001091394</v>
      </c>
      <c r="H522" s="1" t="s">
        <v>1</v>
      </c>
      <c r="I522" s="4" t="s">
        <v>2</v>
      </c>
      <c r="J522" s="14">
        <v>0.9375</v>
      </c>
      <c r="K522" s="20" t="str">
        <f t="shared" si="25"/>
        <v>3rd Shift</v>
      </c>
    </row>
    <row r="523" spans="1:11" x14ac:dyDescent="0.25">
      <c r="A523" s="1">
        <v>522</v>
      </c>
      <c r="B523" s="1">
        <v>14</v>
      </c>
      <c r="C523" s="3">
        <v>14115271672602</v>
      </c>
      <c r="D523" s="2">
        <v>44400.333333333336</v>
      </c>
      <c r="E523" s="2">
        <v>44400.5</v>
      </c>
      <c r="F523" s="23">
        <f t="shared" si="24"/>
        <v>0.16666666666424135</v>
      </c>
      <c r="G523" s="24">
        <f t="shared" si="26"/>
        <v>75.000000001091394</v>
      </c>
      <c r="H523" s="1" t="s">
        <v>1</v>
      </c>
      <c r="I523" s="4" t="s">
        <v>2</v>
      </c>
      <c r="J523" s="14">
        <v>0.33333333333333331</v>
      </c>
      <c r="K523" s="20" t="str">
        <f t="shared" si="25"/>
        <v>1st Shift</v>
      </c>
    </row>
    <row r="524" spans="1:11" x14ac:dyDescent="0.25">
      <c r="A524" s="1">
        <v>523</v>
      </c>
      <c r="B524" s="1">
        <v>13</v>
      </c>
      <c r="C524" s="3">
        <v>13115271650700</v>
      </c>
      <c r="D524" s="2">
        <v>44400.333333333336</v>
      </c>
      <c r="E524" s="2">
        <v>44400.5</v>
      </c>
      <c r="F524" s="23">
        <f t="shared" si="24"/>
        <v>0.16666666666424135</v>
      </c>
      <c r="G524" s="24">
        <f t="shared" si="26"/>
        <v>75.000000001091394</v>
      </c>
      <c r="H524" s="1" t="s">
        <v>1</v>
      </c>
      <c r="I524" s="4" t="s">
        <v>3</v>
      </c>
      <c r="J524" s="14">
        <v>0.33333333333333331</v>
      </c>
      <c r="K524" s="20" t="str">
        <f t="shared" si="25"/>
        <v>1st Shift</v>
      </c>
    </row>
    <row r="525" spans="1:11" x14ac:dyDescent="0.25">
      <c r="A525" s="1">
        <v>524</v>
      </c>
      <c r="B525" s="1">
        <v>13</v>
      </c>
      <c r="C525" s="3">
        <v>13115271591107</v>
      </c>
      <c r="D525" s="2">
        <v>44400.333333333336</v>
      </c>
      <c r="E525" s="2">
        <v>44400.5</v>
      </c>
      <c r="F525" s="23">
        <f t="shared" si="24"/>
        <v>0.16666666666424135</v>
      </c>
      <c r="G525" s="24">
        <f t="shared" si="26"/>
        <v>75.000000001091394</v>
      </c>
      <c r="H525" s="1" t="s">
        <v>1</v>
      </c>
      <c r="I525" s="4" t="s">
        <v>2</v>
      </c>
      <c r="J525" s="14">
        <v>0.33333333333333331</v>
      </c>
      <c r="K525" s="20" t="str">
        <f t="shared" si="25"/>
        <v>1st Shift</v>
      </c>
    </row>
    <row r="526" spans="1:11" x14ac:dyDescent="0.25">
      <c r="A526" s="1">
        <v>525</v>
      </c>
      <c r="B526" s="1">
        <v>12</v>
      </c>
      <c r="C526" s="3">
        <v>12115271575005</v>
      </c>
      <c r="D526" s="2">
        <v>44400.333333333336</v>
      </c>
      <c r="E526" s="2">
        <v>44400.5</v>
      </c>
      <c r="F526" s="23">
        <f t="shared" si="24"/>
        <v>0.16666666666424135</v>
      </c>
      <c r="G526" s="24">
        <f t="shared" si="26"/>
        <v>75.000000001091394</v>
      </c>
      <c r="H526" s="1" t="s">
        <v>1</v>
      </c>
      <c r="I526" s="4" t="s">
        <v>2</v>
      </c>
      <c r="J526" s="14">
        <v>0.33333333333333331</v>
      </c>
      <c r="K526" s="20" t="str">
        <f t="shared" si="25"/>
        <v>1st Shift</v>
      </c>
    </row>
    <row r="527" spans="1:11" x14ac:dyDescent="0.25">
      <c r="A527" s="1">
        <v>526</v>
      </c>
      <c r="B527" s="1">
        <v>15</v>
      </c>
      <c r="C527" s="3">
        <v>15115271780900</v>
      </c>
      <c r="D527" s="2">
        <v>44400.520833333336</v>
      </c>
      <c r="E527" s="2">
        <v>44400.583333333336</v>
      </c>
      <c r="F527" s="23">
        <f t="shared" si="24"/>
        <v>6.25E-2</v>
      </c>
      <c r="G527" s="24">
        <f t="shared" si="26"/>
        <v>200</v>
      </c>
      <c r="H527" s="1" t="s">
        <v>1</v>
      </c>
      <c r="I527" s="4" t="s">
        <v>2</v>
      </c>
      <c r="J527" s="14">
        <v>0.52083333333333337</v>
      </c>
      <c r="K527" s="20" t="str">
        <f t="shared" si="25"/>
        <v>1st Shift</v>
      </c>
    </row>
    <row r="528" spans="1:11" x14ac:dyDescent="0.25">
      <c r="A528" s="1">
        <v>527</v>
      </c>
      <c r="B528" s="1">
        <v>15</v>
      </c>
      <c r="C528" s="3">
        <v>15115271743805</v>
      </c>
      <c r="D528" s="2">
        <v>44400.520833333336</v>
      </c>
      <c r="E528" s="2">
        <v>44400.583333333336</v>
      </c>
      <c r="F528" s="23">
        <f t="shared" si="24"/>
        <v>6.25E-2</v>
      </c>
      <c r="G528" s="24">
        <f t="shared" si="26"/>
        <v>200</v>
      </c>
      <c r="H528" s="1" t="s">
        <v>1</v>
      </c>
      <c r="I528" s="4" t="s">
        <v>2</v>
      </c>
      <c r="J528" s="14">
        <v>0.52083333333333337</v>
      </c>
      <c r="K528" s="20" t="str">
        <f t="shared" si="25"/>
        <v>1st Shift</v>
      </c>
    </row>
    <row r="529" spans="1:11" x14ac:dyDescent="0.25">
      <c r="A529" s="1">
        <v>528</v>
      </c>
      <c r="B529" s="1">
        <v>12</v>
      </c>
      <c r="C529" s="3">
        <v>12115271588610</v>
      </c>
      <c r="D529" s="2">
        <v>44400.520833333336</v>
      </c>
      <c r="E529" s="2">
        <v>44400.583333333336</v>
      </c>
      <c r="F529" s="23">
        <f t="shared" si="24"/>
        <v>6.25E-2</v>
      </c>
      <c r="G529" s="24">
        <f t="shared" si="26"/>
        <v>200</v>
      </c>
      <c r="H529" s="1" t="s">
        <v>1</v>
      </c>
      <c r="I529" s="4" t="s">
        <v>2</v>
      </c>
      <c r="J529" s="14">
        <v>0.52083333333333337</v>
      </c>
      <c r="K529" s="20" t="str">
        <f t="shared" si="25"/>
        <v>1st Shift</v>
      </c>
    </row>
    <row r="530" spans="1:11" x14ac:dyDescent="0.25">
      <c r="A530" s="1">
        <v>529</v>
      </c>
      <c r="B530" s="1">
        <v>8</v>
      </c>
      <c r="C530" s="3">
        <v>8115271860600</v>
      </c>
      <c r="D530" s="2">
        <v>44400.625</v>
      </c>
      <c r="E530" s="2">
        <v>44400.75</v>
      </c>
      <c r="F530" s="23">
        <f t="shared" si="24"/>
        <v>0.125</v>
      </c>
      <c r="G530" s="24">
        <f t="shared" si="26"/>
        <v>100</v>
      </c>
      <c r="H530" s="1" t="s">
        <v>1</v>
      </c>
      <c r="I530" s="4" t="s">
        <v>2</v>
      </c>
      <c r="J530" s="14">
        <v>0.625</v>
      </c>
      <c r="K530" s="20" t="str">
        <f t="shared" si="25"/>
        <v>2nd Shift</v>
      </c>
    </row>
    <row r="531" spans="1:11" x14ac:dyDescent="0.25">
      <c r="A531" s="1">
        <v>530</v>
      </c>
      <c r="B531" s="1">
        <v>7</v>
      </c>
      <c r="C531" s="3">
        <v>7115271764701</v>
      </c>
      <c r="D531" s="2">
        <v>44400.625</v>
      </c>
      <c r="E531" s="2">
        <v>44400.75</v>
      </c>
      <c r="F531" s="23">
        <f t="shared" si="24"/>
        <v>0.125</v>
      </c>
      <c r="G531" s="24">
        <f t="shared" si="26"/>
        <v>100</v>
      </c>
      <c r="H531" s="1" t="s">
        <v>1</v>
      </c>
      <c r="I531" s="4" t="s">
        <v>2</v>
      </c>
      <c r="J531" s="14">
        <v>0.625</v>
      </c>
      <c r="K531" s="20" t="str">
        <f t="shared" si="25"/>
        <v>2nd Shift</v>
      </c>
    </row>
    <row r="532" spans="1:11" x14ac:dyDescent="0.25">
      <c r="A532" s="1">
        <v>531</v>
      </c>
      <c r="B532" s="1">
        <v>5</v>
      </c>
      <c r="C532" s="3">
        <v>5115271282200</v>
      </c>
      <c r="D532" s="2">
        <v>44400.625</v>
      </c>
      <c r="E532" s="2">
        <v>44400.75</v>
      </c>
      <c r="F532" s="23">
        <f t="shared" si="24"/>
        <v>0.125</v>
      </c>
      <c r="G532" s="24">
        <f t="shared" si="26"/>
        <v>100</v>
      </c>
      <c r="H532" s="1" t="s">
        <v>1</v>
      </c>
      <c r="I532" s="4" t="s">
        <v>2</v>
      </c>
      <c r="J532" s="14">
        <v>0.625</v>
      </c>
      <c r="K532" s="20" t="str">
        <f t="shared" si="25"/>
        <v>2nd Shift</v>
      </c>
    </row>
    <row r="533" spans="1:11" x14ac:dyDescent="0.25">
      <c r="A533" s="1">
        <v>532</v>
      </c>
      <c r="B533" s="1">
        <v>3</v>
      </c>
      <c r="C533" s="3">
        <v>3115270395900</v>
      </c>
      <c r="D533" s="2">
        <v>44400.625</v>
      </c>
      <c r="E533" s="2">
        <v>44400.75</v>
      </c>
      <c r="F533" s="23">
        <f t="shared" si="24"/>
        <v>0.125</v>
      </c>
      <c r="G533" s="24">
        <f t="shared" si="26"/>
        <v>100</v>
      </c>
      <c r="H533" s="1" t="s">
        <v>1</v>
      </c>
      <c r="I533" s="4" t="s">
        <v>2</v>
      </c>
      <c r="J533" s="14">
        <v>0.625</v>
      </c>
      <c r="K533" s="20" t="str">
        <f t="shared" si="25"/>
        <v>2nd Shift</v>
      </c>
    </row>
    <row r="534" spans="1:11" x14ac:dyDescent="0.25">
      <c r="A534" s="1">
        <v>533</v>
      </c>
      <c r="B534" s="1">
        <v>6</v>
      </c>
      <c r="C534" s="3">
        <v>6115271748906</v>
      </c>
      <c r="D534" s="2">
        <v>44400.791666666664</v>
      </c>
      <c r="E534" s="2">
        <v>44400.902777777781</v>
      </c>
      <c r="F534" s="23">
        <f t="shared" si="24"/>
        <v>0.11111111111677019</v>
      </c>
      <c r="G534" s="24">
        <f t="shared" si="26"/>
        <v>112.49999999427018</v>
      </c>
      <c r="H534" s="1" t="s">
        <v>1</v>
      </c>
      <c r="I534" s="4" t="s">
        <v>2</v>
      </c>
      <c r="J534" s="14">
        <v>0.79166666666666663</v>
      </c>
      <c r="K534" s="20" t="str">
        <f t="shared" si="25"/>
        <v>2nd Shift</v>
      </c>
    </row>
    <row r="535" spans="1:11" x14ac:dyDescent="0.25">
      <c r="A535" s="1">
        <v>534</v>
      </c>
      <c r="B535" s="1">
        <v>5</v>
      </c>
      <c r="C535" s="3">
        <v>5115271677900</v>
      </c>
      <c r="D535" s="2">
        <v>44400.791666666664</v>
      </c>
      <c r="E535" s="2">
        <v>44400.902777777781</v>
      </c>
      <c r="F535" s="23">
        <f t="shared" si="24"/>
        <v>0.11111111111677019</v>
      </c>
      <c r="G535" s="24">
        <f t="shared" si="26"/>
        <v>112.49999999427018</v>
      </c>
      <c r="H535" s="1" t="s">
        <v>1</v>
      </c>
      <c r="I535" s="4" t="s">
        <v>2</v>
      </c>
      <c r="J535" s="14">
        <v>0.79166666666666663</v>
      </c>
      <c r="K535" s="20" t="str">
        <f t="shared" si="25"/>
        <v>2nd Shift</v>
      </c>
    </row>
    <row r="536" spans="1:11" x14ac:dyDescent="0.25">
      <c r="A536" s="1">
        <v>535</v>
      </c>
      <c r="B536" s="1">
        <v>4</v>
      </c>
      <c r="C536" s="3">
        <v>4115270852401</v>
      </c>
      <c r="D536" s="2">
        <v>44400.791666666664</v>
      </c>
      <c r="E536" s="2">
        <v>44400.902777777781</v>
      </c>
      <c r="F536" s="23">
        <f t="shared" si="24"/>
        <v>0.11111111111677019</v>
      </c>
      <c r="G536" s="24">
        <f t="shared" si="26"/>
        <v>112.49999999427018</v>
      </c>
      <c r="H536" s="1" t="s">
        <v>1</v>
      </c>
      <c r="I536" s="4" t="s">
        <v>2</v>
      </c>
      <c r="J536" s="14">
        <v>0.79166666666666663</v>
      </c>
      <c r="K536" s="20" t="str">
        <f t="shared" si="25"/>
        <v>2nd Shift</v>
      </c>
    </row>
    <row r="537" spans="1:11" x14ac:dyDescent="0.25">
      <c r="A537" s="1">
        <v>536</v>
      </c>
      <c r="B537" s="1">
        <v>1</v>
      </c>
      <c r="C537" s="3">
        <v>1115270104700</v>
      </c>
      <c r="D537" s="2">
        <v>44400.791666666664</v>
      </c>
      <c r="E537" s="2">
        <v>44400.902777777781</v>
      </c>
      <c r="F537" s="23">
        <f t="shared" si="24"/>
        <v>0.11111111111677019</v>
      </c>
      <c r="G537" s="24">
        <f t="shared" si="26"/>
        <v>112.49999999427018</v>
      </c>
      <c r="H537" s="1" t="s">
        <v>1</v>
      </c>
      <c r="I537" s="4" t="s">
        <v>2</v>
      </c>
      <c r="J537" s="14">
        <v>0.79166666666666663</v>
      </c>
      <c r="K537" s="20" t="str">
        <f t="shared" si="25"/>
        <v>2nd Shift</v>
      </c>
    </row>
    <row r="538" spans="1:11" x14ac:dyDescent="0.25">
      <c r="A538" s="1">
        <v>537</v>
      </c>
      <c r="B538" s="1">
        <v>12</v>
      </c>
      <c r="C538" s="3">
        <v>12115271569827</v>
      </c>
      <c r="D538" s="2">
        <v>44400.9375</v>
      </c>
      <c r="E538" s="2">
        <v>44401.083333333336</v>
      </c>
      <c r="F538" s="23">
        <f t="shared" si="24"/>
        <v>0.14583333333575865</v>
      </c>
      <c r="G538" s="24">
        <f t="shared" si="26"/>
        <v>85.714285712860217</v>
      </c>
      <c r="H538" s="1" t="s">
        <v>1</v>
      </c>
      <c r="I538" s="4" t="s">
        <v>2</v>
      </c>
      <c r="J538" s="14">
        <v>0.9375</v>
      </c>
      <c r="K538" s="20" t="str">
        <f t="shared" si="25"/>
        <v>3rd Shift</v>
      </c>
    </row>
    <row r="539" spans="1:11" x14ac:dyDescent="0.25">
      <c r="A539" s="1">
        <v>538</v>
      </c>
      <c r="B539" s="1">
        <v>12</v>
      </c>
      <c r="C539" s="3">
        <v>12115271559930</v>
      </c>
      <c r="D539" s="2">
        <v>44400.9375</v>
      </c>
      <c r="E539" s="2">
        <v>44401.083333333336</v>
      </c>
      <c r="F539" s="23">
        <f t="shared" si="24"/>
        <v>0.14583333333575865</v>
      </c>
      <c r="G539" s="24">
        <f t="shared" si="26"/>
        <v>85.714285712860217</v>
      </c>
      <c r="H539" s="1" t="s">
        <v>1</v>
      </c>
      <c r="I539" s="4" t="s">
        <v>3</v>
      </c>
      <c r="J539" s="14">
        <v>0.9375</v>
      </c>
      <c r="K539" s="20" t="str">
        <f t="shared" si="25"/>
        <v>3rd Shift</v>
      </c>
    </row>
    <row r="540" spans="1:11" x14ac:dyDescent="0.25">
      <c r="A540" s="1">
        <v>539</v>
      </c>
      <c r="B540" s="1">
        <v>10</v>
      </c>
      <c r="C540" s="3">
        <v>10115271434100</v>
      </c>
      <c r="D540" s="2">
        <v>44400.9375</v>
      </c>
      <c r="E540" s="2">
        <v>44401.083333333336</v>
      </c>
      <c r="F540" s="23">
        <f t="shared" si="24"/>
        <v>0.14583333333575865</v>
      </c>
      <c r="G540" s="24">
        <f t="shared" si="26"/>
        <v>85.714285712860217</v>
      </c>
      <c r="H540" s="1" t="s">
        <v>1</v>
      </c>
      <c r="I540" s="4" t="s">
        <v>2</v>
      </c>
      <c r="J540" s="14">
        <v>0.9375</v>
      </c>
      <c r="K540" s="20" t="str">
        <f t="shared" si="25"/>
        <v>3rd Shift</v>
      </c>
    </row>
    <row r="541" spans="1:11" x14ac:dyDescent="0.25">
      <c r="A541" s="1">
        <v>540</v>
      </c>
      <c r="B541" s="1">
        <v>9</v>
      </c>
      <c r="C541" s="3">
        <v>9115271908700</v>
      </c>
      <c r="D541" s="2">
        <v>44400.9375</v>
      </c>
      <c r="E541" s="2">
        <v>44401.083333333336</v>
      </c>
      <c r="F541" s="23">
        <f t="shared" si="24"/>
        <v>0.14583333333575865</v>
      </c>
      <c r="G541" s="24">
        <f t="shared" si="26"/>
        <v>85.714285712860217</v>
      </c>
      <c r="H541" s="1" t="s">
        <v>1</v>
      </c>
      <c r="I541" s="4" t="s">
        <v>2</v>
      </c>
      <c r="J541" s="14">
        <v>0.9375</v>
      </c>
      <c r="K541" s="20" t="str">
        <f t="shared" si="25"/>
        <v>3rd Shift</v>
      </c>
    </row>
    <row r="542" spans="1:11" x14ac:dyDescent="0.25">
      <c r="A542" s="1">
        <v>541</v>
      </c>
      <c r="B542" s="1">
        <v>7</v>
      </c>
      <c r="C542" s="3">
        <v>7115271783703</v>
      </c>
      <c r="D542" s="2">
        <v>44400.020833333336</v>
      </c>
      <c r="E542" s="2">
        <v>44401.083333333336</v>
      </c>
      <c r="F542" s="23">
        <f t="shared" si="24"/>
        <v>1.0625</v>
      </c>
      <c r="G542" s="24">
        <f t="shared" si="26"/>
        <v>11.76470588235294</v>
      </c>
      <c r="H542" s="1" t="s">
        <v>1</v>
      </c>
      <c r="I542" s="4" t="s">
        <v>2</v>
      </c>
      <c r="J542" s="14">
        <v>2.0833333333333332E-2</v>
      </c>
      <c r="K542" s="20" t="str">
        <f t="shared" si="25"/>
        <v>3rd Shift</v>
      </c>
    </row>
    <row r="543" spans="1:11" x14ac:dyDescent="0.25">
      <c r="A543" s="1">
        <v>542</v>
      </c>
      <c r="B543" s="1">
        <v>14</v>
      </c>
      <c r="C543" s="3">
        <v>14115271713900</v>
      </c>
      <c r="D543" s="2">
        <v>44401.333333333336</v>
      </c>
      <c r="E543" s="2">
        <v>44401.576388888891</v>
      </c>
      <c r="F543" s="23">
        <f t="shared" si="24"/>
        <v>0.24305555555474712</v>
      </c>
      <c r="G543" s="24">
        <f t="shared" si="26"/>
        <v>51.428571428742487</v>
      </c>
      <c r="H543" s="1" t="s">
        <v>1</v>
      </c>
      <c r="I543" s="4" t="s">
        <v>2</v>
      </c>
      <c r="J543" s="14">
        <v>0.33333333333333331</v>
      </c>
      <c r="K543" s="20" t="str">
        <f t="shared" si="25"/>
        <v>1st Shift</v>
      </c>
    </row>
    <row r="544" spans="1:11" x14ac:dyDescent="0.25">
      <c r="A544" s="1">
        <v>543</v>
      </c>
      <c r="B544" s="1">
        <v>14</v>
      </c>
      <c r="C544" s="3">
        <v>14115271713102</v>
      </c>
      <c r="D544" s="2">
        <v>44401.333333333336</v>
      </c>
      <c r="E544" s="2">
        <v>44401.576388888891</v>
      </c>
      <c r="F544" s="23">
        <f t="shared" si="24"/>
        <v>0.24305555555474712</v>
      </c>
      <c r="G544" s="24">
        <f t="shared" si="26"/>
        <v>51.428571428742487</v>
      </c>
      <c r="H544" s="1" t="s">
        <v>1</v>
      </c>
      <c r="I544" s="4" t="s">
        <v>8</v>
      </c>
      <c r="J544" s="14">
        <v>0.33333333333333331</v>
      </c>
      <c r="K544" s="20" t="str">
        <f t="shared" si="25"/>
        <v>1st Shift</v>
      </c>
    </row>
    <row r="545" spans="1:11" x14ac:dyDescent="0.25">
      <c r="A545" s="1">
        <v>544</v>
      </c>
      <c r="B545" s="1">
        <v>13</v>
      </c>
      <c r="C545" s="3">
        <v>13115271639303</v>
      </c>
      <c r="D545" s="2">
        <v>44401.333333333336</v>
      </c>
      <c r="E545" s="2">
        <v>44401.576388888891</v>
      </c>
      <c r="F545" s="23">
        <f t="shared" si="24"/>
        <v>0.24305555555474712</v>
      </c>
      <c r="G545" s="24">
        <f t="shared" si="26"/>
        <v>51.428571428742487</v>
      </c>
      <c r="H545" s="1" t="s">
        <v>1</v>
      </c>
      <c r="I545" s="4" t="s">
        <v>3</v>
      </c>
      <c r="J545" s="14">
        <v>0.33333333333333331</v>
      </c>
      <c r="K545" s="20" t="str">
        <f t="shared" si="25"/>
        <v>1st Shift</v>
      </c>
    </row>
    <row r="546" spans="1:11" x14ac:dyDescent="0.25">
      <c r="A546" s="1">
        <v>545</v>
      </c>
      <c r="B546" s="1">
        <v>12</v>
      </c>
      <c r="C546" s="3">
        <v>12115271567400</v>
      </c>
      <c r="D546" s="2">
        <v>44401.333333333336</v>
      </c>
      <c r="E546" s="2">
        <v>44401.576388888891</v>
      </c>
      <c r="F546" s="23">
        <f t="shared" si="24"/>
        <v>0.24305555555474712</v>
      </c>
      <c r="G546" s="24">
        <f t="shared" si="26"/>
        <v>51.428571428742487</v>
      </c>
      <c r="H546" s="1" t="s">
        <v>1</v>
      </c>
      <c r="I546" s="4" t="s">
        <v>3</v>
      </c>
      <c r="J546" s="14">
        <v>0.33333333333333331</v>
      </c>
      <c r="K546" s="20" t="str">
        <f t="shared" si="25"/>
        <v>1st Shift</v>
      </c>
    </row>
    <row r="547" spans="1:11" x14ac:dyDescent="0.25">
      <c r="A547" s="1">
        <v>546</v>
      </c>
      <c r="B547" s="1">
        <v>11</v>
      </c>
      <c r="C547" s="3">
        <v>11115271542600</v>
      </c>
      <c r="D547" s="2">
        <v>44401.333333333336</v>
      </c>
      <c r="E547" s="2">
        <v>44401.576388888891</v>
      </c>
      <c r="F547" s="23">
        <f t="shared" si="24"/>
        <v>0.24305555555474712</v>
      </c>
      <c r="G547" s="24">
        <f t="shared" si="26"/>
        <v>51.428571428742487</v>
      </c>
      <c r="H547" s="1" t="s">
        <v>1</v>
      </c>
      <c r="I547" s="4" t="s">
        <v>4</v>
      </c>
      <c r="J547" s="14">
        <v>0.33333333333333331</v>
      </c>
      <c r="K547" s="20" t="str">
        <f t="shared" si="25"/>
        <v>1st Shift</v>
      </c>
    </row>
    <row r="548" spans="1:11" x14ac:dyDescent="0.25">
      <c r="A548" s="1">
        <v>547</v>
      </c>
      <c r="B548" s="1">
        <v>10</v>
      </c>
      <c r="C548" s="3">
        <v>10115271450400</v>
      </c>
      <c r="D548" s="2">
        <v>44401.333333333336</v>
      </c>
      <c r="E548" s="2">
        <v>44401.576388888891</v>
      </c>
      <c r="F548" s="23">
        <f t="shared" si="24"/>
        <v>0.24305555555474712</v>
      </c>
      <c r="G548" s="24">
        <f t="shared" si="26"/>
        <v>51.428571428742487</v>
      </c>
      <c r="H548" s="1" t="s">
        <v>1</v>
      </c>
      <c r="I548" s="4" t="s">
        <v>3</v>
      </c>
      <c r="J548" s="14">
        <v>0.33333333333333331</v>
      </c>
      <c r="K548" s="20" t="str">
        <f t="shared" si="25"/>
        <v>1st Shift</v>
      </c>
    </row>
    <row r="549" spans="1:11" x14ac:dyDescent="0.25">
      <c r="A549" s="1">
        <v>548</v>
      </c>
      <c r="B549" s="1">
        <v>8</v>
      </c>
      <c r="C549" s="3">
        <v>8115271842401</v>
      </c>
      <c r="D549" s="2">
        <v>44401.333333333336</v>
      </c>
      <c r="E549" s="2">
        <v>44401.576388888891</v>
      </c>
      <c r="F549" s="23">
        <f t="shared" si="24"/>
        <v>0.24305555555474712</v>
      </c>
      <c r="G549" s="24">
        <f t="shared" si="26"/>
        <v>51.428571428742487</v>
      </c>
      <c r="H549" s="1" t="s">
        <v>1</v>
      </c>
      <c r="I549" s="4" t="s">
        <v>2</v>
      </c>
      <c r="J549" s="14">
        <v>0.33333333333333331</v>
      </c>
      <c r="K549" s="20" t="str">
        <f t="shared" si="25"/>
        <v>1st Shift</v>
      </c>
    </row>
    <row r="550" spans="1:11" x14ac:dyDescent="0.25">
      <c r="A550" s="1">
        <v>549</v>
      </c>
      <c r="B550" s="1">
        <v>4</v>
      </c>
      <c r="C550" s="3">
        <v>4115270877504</v>
      </c>
      <c r="D550" s="2">
        <v>44401.604166666664</v>
      </c>
      <c r="E550" s="2">
        <v>44401.666666666664</v>
      </c>
      <c r="F550" s="23">
        <f t="shared" si="24"/>
        <v>6.25E-2</v>
      </c>
      <c r="G550" s="24">
        <f t="shared" si="26"/>
        <v>200</v>
      </c>
      <c r="H550" s="1" t="s">
        <v>1</v>
      </c>
      <c r="I550" s="4" t="s">
        <v>2</v>
      </c>
      <c r="J550" s="14">
        <v>0.60416666666666663</v>
      </c>
      <c r="K550" s="20" t="str">
        <f t="shared" si="25"/>
        <v>2nd Shift</v>
      </c>
    </row>
    <row r="551" spans="1:11" x14ac:dyDescent="0.25">
      <c r="A551" s="1">
        <v>550</v>
      </c>
      <c r="B551" s="1">
        <v>3</v>
      </c>
      <c r="C551" s="3">
        <v>3115270311200</v>
      </c>
      <c r="D551" s="2">
        <v>44401.604166666664</v>
      </c>
      <c r="E551" s="2">
        <v>44401.666666666664</v>
      </c>
      <c r="F551" s="23">
        <f t="shared" si="24"/>
        <v>6.25E-2</v>
      </c>
      <c r="G551" s="24">
        <f t="shared" si="26"/>
        <v>200</v>
      </c>
      <c r="H551" s="1" t="s">
        <v>1</v>
      </c>
      <c r="I551" s="4" t="s">
        <v>3</v>
      </c>
      <c r="J551" s="14">
        <v>0.60416666666666663</v>
      </c>
      <c r="K551" s="20" t="str">
        <f t="shared" si="25"/>
        <v>2nd Shift</v>
      </c>
    </row>
    <row r="552" spans="1:11" x14ac:dyDescent="0.25">
      <c r="A552" s="1">
        <v>551</v>
      </c>
      <c r="B552" s="1">
        <v>7</v>
      </c>
      <c r="C552" s="3">
        <v>7115271781007</v>
      </c>
      <c r="D552" s="2">
        <v>44401.708333333336</v>
      </c>
      <c r="E552" s="2">
        <v>44401.909722222219</v>
      </c>
      <c r="F552" s="23">
        <f t="shared" si="24"/>
        <v>0.20138888888322981</v>
      </c>
      <c r="G552" s="24">
        <f t="shared" si="26"/>
        <v>62.068965518985529</v>
      </c>
      <c r="H552" s="1" t="s">
        <v>1</v>
      </c>
      <c r="I552" s="4" t="s">
        <v>3</v>
      </c>
      <c r="J552" s="14">
        <v>0.70833333333333337</v>
      </c>
      <c r="K552" s="20" t="str">
        <f t="shared" si="25"/>
        <v>2nd Shift</v>
      </c>
    </row>
    <row r="553" spans="1:11" x14ac:dyDescent="0.25">
      <c r="A553" s="1">
        <v>552</v>
      </c>
      <c r="B553" s="1">
        <v>5</v>
      </c>
      <c r="C553" s="3">
        <v>5115271678309</v>
      </c>
      <c r="D553" s="2">
        <v>44401.708333333336</v>
      </c>
      <c r="E553" s="2">
        <v>44401.909722222219</v>
      </c>
      <c r="F553" s="23">
        <f t="shared" si="24"/>
        <v>0.20138888888322981</v>
      </c>
      <c r="G553" s="24">
        <f t="shared" si="26"/>
        <v>62.068965518985529</v>
      </c>
      <c r="H553" s="1" t="s">
        <v>1</v>
      </c>
      <c r="I553" s="4" t="s">
        <v>3</v>
      </c>
      <c r="J553" s="14">
        <v>0.70833333333333337</v>
      </c>
      <c r="K553" s="20" t="str">
        <f t="shared" si="25"/>
        <v>2nd Shift</v>
      </c>
    </row>
    <row r="554" spans="1:11" x14ac:dyDescent="0.25">
      <c r="A554" s="1">
        <v>553</v>
      </c>
      <c r="B554" s="1">
        <v>5</v>
      </c>
      <c r="C554" s="3">
        <v>5115271270400</v>
      </c>
      <c r="D554" s="2">
        <v>44401.708333333336</v>
      </c>
      <c r="E554" s="2">
        <v>44401.909722222219</v>
      </c>
      <c r="F554" s="23">
        <f t="shared" si="24"/>
        <v>0.20138888888322981</v>
      </c>
      <c r="G554" s="24">
        <f t="shared" si="26"/>
        <v>62.068965518985529</v>
      </c>
      <c r="H554" s="1" t="s">
        <v>1</v>
      </c>
      <c r="I554" s="4" t="s">
        <v>2</v>
      </c>
      <c r="J554" s="14">
        <v>0.70833333333333337</v>
      </c>
      <c r="K554" s="20" t="str">
        <f t="shared" si="25"/>
        <v>2nd Shift</v>
      </c>
    </row>
    <row r="555" spans="1:11" x14ac:dyDescent="0.25">
      <c r="A555" s="1">
        <v>554</v>
      </c>
      <c r="B555" s="1">
        <v>4</v>
      </c>
      <c r="C555" s="3">
        <v>4115270847400</v>
      </c>
      <c r="D555" s="2">
        <v>44401.708333333336</v>
      </c>
      <c r="E555" s="2">
        <v>44401.909722222219</v>
      </c>
      <c r="F555" s="23">
        <f t="shared" si="24"/>
        <v>0.20138888888322981</v>
      </c>
      <c r="G555" s="24">
        <f t="shared" si="26"/>
        <v>62.068965518985529</v>
      </c>
      <c r="H555" s="1" t="s">
        <v>1</v>
      </c>
      <c r="I555" s="4" t="s">
        <v>2</v>
      </c>
      <c r="J555" s="14">
        <v>0.70833333333333337</v>
      </c>
      <c r="K555" s="20" t="str">
        <f t="shared" si="25"/>
        <v>2nd Shift</v>
      </c>
    </row>
    <row r="556" spans="1:11" x14ac:dyDescent="0.25">
      <c r="A556" s="1">
        <v>555</v>
      </c>
      <c r="B556" s="1">
        <v>3</v>
      </c>
      <c r="C556" s="3">
        <v>3115270306400</v>
      </c>
      <c r="D556" s="2">
        <v>44401.708333333336</v>
      </c>
      <c r="E556" s="2">
        <v>44401.909722222219</v>
      </c>
      <c r="F556" s="23">
        <f t="shared" si="24"/>
        <v>0.20138888888322981</v>
      </c>
      <c r="G556" s="24">
        <f t="shared" si="26"/>
        <v>62.068965518985529</v>
      </c>
      <c r="H556" s="1" t="s">
        <v>1</v>
      </c>
      <c r="I556" s="4" t="s">
        <v>2</v>
      </c>
      <c r="J556" s="14">
        <v>0.70833333333333337</v>
      </c>
      <c r="K556" s="20" t="str">
        <f t="shared" si="25"/>
        <v>2nd Shift</v>
      </c>
    </row>
    <row r="557" spans="1:11" x14ac:dyDescent="0.25">
      <c r="A557" s="1">
        <v>556</v>
      </c>
      <c r="B557" s="1">
        <v>13</v>
      </c>
      <c r="C557" s="3">
        <v>13115271591800</v>
      </c>
      <c r="D557" s="2">
        <v>44401.958333333336</v>
      </c>
      <c r="E557" s="2">
        <v>44402.083333333336</v>
      </c>
      <c r="F557" s="23">
        <f t="shared" si="24"/>
        <v>0.125</v>
      </c>
      <c r="G557" s="24">
        <f t="shared" si="26"/>
        <v>100</v>
      </c>
      <c r="H557" s="1" t="s">
        <v>1</v>
      </c>
      <c r="I557" s="4" t="s">
        <v>2</v>
      </c>
      <c r="J557" s="14">
        <v>0.95833333333333337</v>
      </c>
      <c r="K557" s="20" t="str">
        <f t="shared" si="25"/>
        <v>3rd Shift</v>
      </c>
    </row>
    <row r="558" spans="1:11" x14ac:dyDescent="0.25">
      <c r="A558" s="1">
        <v>557</v>
      </c>
      <c r="B558" s="1">
        <v>9</v>
      </c>
      <c r="C558" s="3">
        <v>9115271909202</v>
      </c>
      <c r="D558" s="2">
        <v>44401.958333333336</v>
      </c>
      <c r="E558" s="2">
        <v>44402.083333333336</v>
      </c>
      <c r="F558" s="23">
        <f t="shared" si="24"/>
        <v>0.125</v>
      </c>
      <c r="G558" s="24">
        <f t="shared" si="26"/>
        <v>100</v>
      </c>
      <c r="H558" s="1" t="s">
        <v>1</v>
      </c>
      <c r="I558" s="4" t="s">
        <v>2</v>
      </c>
      <c r="J558" s="14">
        <v>0.95833333333333337</v>
      </c>
      <c r="K558" s="20" t="str">
        <f t="shared" si="25"/>
        <v>3rd Shift</v>
      </c>
    </row>
    <row r="559" spans="1:11" x14ac:dyDescent="0.25">
      <c r="A559" s="1">
        <v>558</v>
      </c>
      <c r="B559" s="1">
        <v>9</v>
      </c>
      <c r="C559" s="3">
        <v>9115270624000</v>
      </c>
      <c r="D559" s="2">
        <v>44401.958333333336</v>
      </c>
      <c r="E559" s="2">
        <v>44402.083333333336</v>
      </c>
      <c r="F559" s="23">
        <f t="shared" si="24"/>
        <v>0.125</v>
      </c>
      <c r="G559" s="24">
        <f t="shared" si="26"/>
        <v>100</v>
      </c>
      <c r="H559" s="1" t="s">
        <v>1</v>
      </c>
      <c r="I559" s="4" t="s">
        <v>3</v>
      </c>
      <c r="J559" s="14">
        <v>0.95833333333333337</v>
      </c>
      <c r="K559" s="20" t="str">
        <f t="shared" si="25"/>
        <v>3rd Shift</v>
      </c>
    </row>
    <row r="560" spans="1:11" x14ac:dyDescent="0.25">
      <c r="A560" s="1">
        <v>559</v>
      </c>
      <c r="B560" s="1">
        <v>14</v>
      </c>
      <c r="C560" s="3">
        <v>14115271690200</v>
      </c>
      <c r="D560" s="2">
        <v>44402.333333333336</v>
      </c>
      <c r="E560" s="2">
        <v>44402.479166666664</v>
      </c>
      <c r="F560" s="23">
        <f t="shared" si="24"/>
        <v>0.14583333332848269</v>
      </c>
      <c r="G560" s="24">
        <f t="shared" si="26"/>
        <v>85.714285717136704</v>
      </c>
      <c r="H560" s="1" t="s">
        <v>1</v>
      </c>
      <c r="I560" s="4" t="s">
        <v>4</v>
      </c>
      <c r="J560" s="14">
        <v>0.33333333333333331</v>
      </c>
      <c r="K560" s="20" t="str">
        <f t="shared" si="25"/>
        <v>1st Shift</v>
      </c>
    </row>
    <row r="561" spans="1:11" x14ac:dyDescent="0.25">
      <c r="A561" s="1">
        <v>560</v>
      </c>
      <c r="B561" s="1">
        <v>13</v>
      </c>
      <c r="C561" s="3">
        <v>13115271590300</v>
      </c>
      <c r="D561" s="2">
        <v>44402.333333333336</v>
      </c>
      <c r="E561" s="2">
        <v>44402.479166666664</v>
      </c>
      <c r="F561" s="23">
        <f t="shared" si="24"/>
        <v>0.14583333332848269</v>
      </c>
      <c r="G561" s="24">
        <f t="shared" si="26"/>
        <v>85.714285717136704</v>
      </c>
      <c r="H561" s="1" t="s">
        <v>1</v>
      </c>
      <c r="I561" s="4" t="s">
        <v>2</v>
      </c>
      <c r="J561" s="14">
        <v>0.33333333333333331</v>
      </c>
      <c r="K561" s="20" t="str">
        <f t="shared" si="25"/>
        <v>1st Shift</v>
      </c>
    </row>
    <row r="562" spans="1:11" x14ac:dyDescent="0.25">
      <c r="A562" s="1">
        <v>561</v>
      </c>
      <c r="B562" s="1">
        <v>10</v>
      </c>
      <c r="C562" s="3">
        <v>10115270953302</v>
      </c>
      <c r="D562" s="2">
        <v>44402.333333333336</v>
      </c>
      <c r="E562" s="2">
        <v>44402.479166666664</v>
      </c>
      <c r="F562" s="23">
        <f t="shared" si="24"/>
        <v>0.14583333332848269</v>
      </c>
      <c r="G562" s="24">
        <f t="shared" si="26"/>
        <v>85.714285717136704</v>
      </c>
      <c r="H562" s="1" t="s">
        <v>1</v>
      </c>
      <c r="I562" s="4" t="s">
        <v>2</v>
      </c>
      <c r="J562" s="14">
        <v>0.33333333333333331</v>
      </c>
      <c r="K562" s="20" t="str">
        <f t="shared" si="25"/>
        <v>1st Shift</v>
      </c>
    </row>
    <row r="563" spans="1:11" x14ac:dyDescent="0.25">
      <c r="A563" s="1">
        <v>562</v>
      </c>
      <c r="B563" s="1">
        <v>9</v>
      </c>
      <c r="C563" s="3">
        <v>9115270622800</v>
      </c>
      <c r="D563" s="2">
        <v>44402.333333333336</v>
      </c>
      <c r="E563" s="2">
        <v>44402.479166666664</v>
      </c>
      <c r="F563" s="23">
        <f t="shared" si="24"/>
        <v>0.14583333332848269</v>
      </c>
      <c r="G563" s="24">
        <f t="shared" si="26"/>
        <v>85.714285717136704</v>
      </c>
      <c r="H563" s="1" t="s">
        <v>1</v>
      </c>
      <c r="I563" s="4" t="s">
        <v>3</v>
      </c>
      <c r="J563" s="14">
        <v>0.33333333333333331</v>
      </c>
      <c r="K563" s="20" t="str">
        <f t="shared" si="25"/>
        <v>1st Shift</v>
      </c>
    </row>
    <row r="564" spans="1:11" x14ac:dyDescent="0.25">
      <c r="A564" s="1">
        <v>563</v>
      </c>
      <c r="B564" s="1">
        <v>7</v>
      </c>
      <c r="C564" s="3">
        <v>7115271797701</v>
      </c>
      <c r="D564" s="2">
        <v>44402.333333333336</v>
      </c>
      <c r="E564" s="2">
        <v>44402.479166666664</v>
      </c>
      <c r="F564" s="23">
        <f t="shared" si="24"/>
        <v>0.14583333332848269</v>
      </c>
      <c r="G564" s="24">
        <f t="shared" si="26"/>
        <v>85.714285717136704</v>
      </c>
      <c r="H564" s="1" t="s">
        <v>1</v>
      </c>
      <c r="I564" s="4" t="s">
        <v>2</v>
      </c>
      <c r="J564" s="14">
        <v>0.33333333333333331</v>
      </c>
      <c r="K564" s="20" t="str">
        <f t="shared" si="25"/>
        <v>1st Shift</v>
      </c>
    </row>
    <row r="565" spans="1:11" x14ac:dyDescent="0.25">
      <c r="A565" s="1">
        <v>564</v>
      </c>
      <c r="B565" s="1">
        <v>15</v>
      </c>
      <c r="C565" s="3">
        <v>15115271748900</v>
      </c>
      <c r="D565" s="2">
        <v>44402.524305555555</v>
      </c>
      <c r="E565" s="2">
        <v>44402.579861111109</v>
      </c>
      <c r="F565" s="23">
        <f t="shared" si="24"/>
        <v>5.5555555554747116E-2</v>
      </c>
      <c r="G565" s="24">
        <f t="shared" si="26"/>
        <v>225.00000000327418</v>
      </c>
      <c r="H565" s="1" t="s">
        <v>1</v>
      </c>
      <c r="I565" s="4" t="s">
        <v>2</v>
      </c>
      <c r="J565" s="14">
        <v>0.52430555555555558</v>
      </c>
      <c r="K565" s="20" t="str">
        <f t="shared" si="25"/>
        <v>1st Shift</v>
      </c>
    </row>
    <row r="566" spans="1:11" x14ac:dyDescent="0.25">
      <c r="A566" s="1">
        <v>565</v>
      </c>
      <c r="B566" s="1">
        <v>8</v>
      </c>
      <c r="C566" s="3">
        <v>8115271862900</v>
      </c>
      <c r="D566" s="2">
        <v>44402.524305555555</v>
      </c>
      <c r="E566" s="2">
        <v>44402.579861111109</v>
      </c>
      <c r="F566" s="23">
        <f t="shared" si="24"/>
        <v>5.5555555554747116E-2</v>
      </c>
      <c r="G566" s="24">
        <f t="shared" si="26"/>
        <v>225.00000000327418</v>
      </c>
      <c r="H566" s="1" t="s">
        <v>1</v>
      </c>
      <c r="I566" s="4" t="s">
        <v>2</v>
      </c>
      <c r="J566" s="14">
        <v>0.52430555555555558</v>
      </c>
      <c r="K566" s="20" t="str">
        <f t="shared" si="25"/>
        <v>1st Shift</v>
      </c>
    </row>
    <row r="567" spans="1:11" x14ac:dyDescent="0.25">
      <c r="A567" s="1">
        <v>566</v>
      </c>
      <c r="B567" s="1">
        <v>7</v>
      </c>
      <c r="C567" s="3">
        <v>7115271766503</v>
      </c>
      <c r="D567" s="2">
        <v>44402.524305555555</v>
      </c>
      <c r="E567" s="2">
        <v>44402.579861111109</v>
      </c>
      <c r="F567" s="23">
        <f t="shared" si="24"/>
        <v>5.5555555554747116E-2</v>
      </c>
      <c r="G567" s="24">
        <f t="shared" si="26"/>
        <v>225.00000000327418</v>
      </c>
      <c r="H567" s="1" t="s">
        <v>1</v>
      </c>
      <c r="I567" s="4" t="s">
        <v>2</v>
      </c>
      <c r="J567" s="14">
        <v>0.52430555555555558</v>
      </c>
      <c r="K567" s="20" t="str">
        <f t="shared" si="25"/>
        <v>1st Shift</v>
      </c>
    </row>
    <row r="568" spans="1:11" x14ac:dyDescent="0.25">
      <c r="A568" s="1">
        <v>567</v>
      </c>
      <c r="B568" s="1">
        <v>7</v>
      </c>
      <c r="C568" s="3">
        <v>7115271766319</v>
      </c>
      <c r="D568" s="2">
        <v>44402.597222222219</v>
      </c>
      <c r="E568" s="2">
        <v>44402.777777777781</v>
      </c>
      <c r="F568" s="23">
        <f t="shared" si="24"/>
        <v>0.18055555556202307</v>
      </c>
      <c r="G568" s="24">
        <f t="shared" si="26"/>
        <v>69.230769228289375</v>
      </c>
      <c r="H568" s="1" t="s">
        <v>1</v>
      </c>
      <c r="I568" s="4" t="s">
        <v>3</v>
      </c>
      <c r="J568" s="14">
        <v>0.59722222222222221</v>
      </c>
      <c r="K568" s="20" t="str">
        <f t="shared" si="25"/>
        <v>2nd Shift</v>
      </c>
    </row>
    <row r="569" spans="1:11" x14ac:dyDescent="0.25">
      <c r="A569" s="1">
        <v>568</v>
      </c>
      <c r="B569" s="1">
        <v>6</v>
      </c>
      <c r="C569" s="3">
        <v>6115271733900</v>
      </c>
      <c r="D569" s="2">
        <v>44402.597222222219</v>
      </c>
      <c r="E569" s="2">
        <v>44402.777777777781</v>
      </c>
      <c r="F569" s="23">
        <f t="shared" si="24"/>
        <v>0.18055555556202307</v>
      </c>
      <c r="G569" s="24">
        <f t="shared" si="26"/>
        <v>69.230769228289375</v>
      </c>
      <c r="H569" s="1" t="s">
        <v>1</v>
      </c>
      <c r="I569" s="4" t="s">
        <v>2</v>
      </c>
      <c r="J569" s="14">
        <v>0.59722222222222221</v>
      </c>
      <c r="K569" s="20" t="str">
        <f t="shared" si="25"/>
        <v>2nd Shift</v>
      </c>
    </row>
    <row r="570" spans="1:11" x14ac:dyDescent="0.25">
      <c r="A570" s="1">
        <v>569</v>
      </c>
      <c r="B570" s="1">
        <v>5</v>
      </c>
      <c r="C570" s="3">
        <v>5115271260700</v>
      </c>
      <c r="D570" s="2">
        <v>44402.597222222219</v>
      </c>
      <c r="E570" s="2">
        <v>44402.777777777781</v>
      </c>
      <c r="F570" s="23">
        <f t="shared" si="24"/>
        <v>0.18055555556202307</v>
      </c>
      <c r="G570" s="24">
        <f t="shared" si="26"/>
        <v>69.230769228289375</v>
      </c>
      <c r="H570" s="1" t="s">
        <v>1</v>
      </c>
      <c r="I570" s="4" t="s">
        <v>2</v>
      </c>
      <c r="J570" s="14">
        <v>0.59722222222222221</v>
      </c>
      <c r="K570" s="20" t="str">
        <f t="shared" si="25"/>
        <v>2nd Shift</v>
      </c>
    </row>
    <row r="571" spans="1:11" x14ac:dyDescent="0.25">
      <c r="A571" s="1">
        <v>570</v>
      </c>
      <c r="B571" s="1">
        <v>4</v>
      </c>
      <c r="C571" s="3">
        <v>4115270826300</v>
      </c>
      <c r="D571" s="2">
        <v>44402.597222222219</v>
      </c>
      <c r="E571" s="2">
        <v>44402.777777777781</v>
      </c>
      <c r="F571" s="23">
        <f t="shared" si="24"/>
        <v>0.18055555556202307</v>
      </c>
      <c r="G571" s="24">
        <f t="shared" si="26"/>
        <v>69.230769228289375</v>
      </c>
      <c r="H571" s="1" t="s">
        <v>1</v>
      </c>
      <c r="I571" s="4" t="s">
        <v>2</v>
      </c>
      <c r="J571" s="14">
        <v>0.59722222222222221</v>
      </c>
      <c r="K571" s="20" t="str">
        <f t="shared" si="25"/>
        <v>2nd Shift</v>
      </c>
    </row>
    <row r="572" spans="1:11" x14ac:dyDescent="0.25">
      <c r="A572" s="1">
        <v>571</v>
      </c>
      <c r="B572" s="1">
        <v>8</v>
      </c>
      <c r="C572" s="3">
        <v>8115271878004</v>
      </c>
      <c r="D572" s="2">
        <v>44402.791666666664</v>
      </c>
      <c r="E572" s="2">
        <v>44402.916666666664</v>
      </c>
      <c r="F572" s="23">
        <f t="shared" si="24"/>
        <v>0.125</v>
      </c>
      <c r="G572" s="24">
        <f t="shared" si="26"/>
        <v>100</v>
      </c>
      <c r="H572" s="1" t="s">
        <v>1</v>
      </c>
      <c r="I572" s="4" t="s">
        <v>3</v>
      </c>
      <c r="J572" s="14">
        <v>0.79166666666666663</v>
      </c>
      <c r="K572" s="20" t="str">
        <f t="shared" si="25"/>
        <v>2nd Shift</v>
      </c>
    </row>
    <row r="573" spans="1:11" x14ac:dyDescent="0.25">
      <c r="A573" s="1">
        <v>572</v>
      </c>
      <c r="B573" s="1">
        <v>6</v>
      </c>
      <c r="C573" s="3">
        <v>6115271736202</v>
      </c>
      <c r="D573" s="2">
        <v>44402.791666666664</v>
      </c>
      <c r="E573" s="2">
        <v>44402.916666666664</v>
      </c>
      <c r="F573" s="23">
        <f t="shared" si="24"/>
        <v>0.125</v>
      </c>
      <c r="G573" s="24">
        <f t="shared" si="26"/>
        <v>100</v>
      </c>
      <c r="H573" s="1" t="s">
        <v>1</v>
      </c>
      <c r="I573" s="4" t="s">
        <v>2</v>
      </c>
      <c r="J573" s="14">
        <v>0.79166666666666663</v>
      </c>
      <c r="K573" s="20" t="str">
        <f t="shared" si="25"/>
        <v>2nd Shift</v>
      </c>
    </row>
    <row r="574" spans="1:11" x14ac:dyDescent="0.25">
      <c r="A574" s="1">
        <v>573</v>
      </c>
      <c r="B574" s="1">
        <v>1</v>
      </c>
      <c r="C574" s="3">
        <v>1115270027600</v>
      </c>
      <c r="D574" s="2">
        <v>44402.791666666664</v>
      </c>
      <c r="E574" s="2">
        <v>44402.916666666664</v>
      </c>
      <c r="F574" s="23">
        <f t="shared" si="24"/>
        <v>0.125</v>
      </c>
      <c r="G574" s="24">
        <f t="shared" si="26"/>
        <v>100</v>
      </c>
      <c r="H574" s="1" t="s">
        <v>1</v>
      </c>
      <c r="I574" s="4" t="s">
        <v>2</v>
      </c>
      <c r="J574" s="14">
        <v>0.79166666666666663</v>
      </c>
      <c r="K574" s="20" t="str">
        <f t="shared" si="25"/>
        <v>2nd Shift</v>
      </c>
    </row>
    <row r="575" spans="1:11" x14ac:dyDescent="0.25">
      <c r="A575" s="1">
        <v>574</v>
      </c>
      <c r="B575" s="1">
        <v>2</v>
      </c>
      <c r="C575" s="3">
        <v>2115270154500</v>
      </c>
      <c r="D575" s="2">
        <v>44403.9375</v>
      </c>
      <c r="E575" s="2">
        <v>44404.083333333336</v>
      </c>
      <c r="F575" s="23">
        <f t="shared" si="24"/>
        <v>0.14583333333575865</v>
      </c>
      <c r="G575" s="24">
        <f t="shared" si="26"/>
        <v>85.714285712860217</v>
      </c>
      <c r="H575" s="1" t="s">
        <v>1</v>
      </c>
      <c r="I575" s="4" t="s">
        <v>3</v>
      </c>
      <c r="J575" s="14">
        <v>0.9375</v>
      </c>
      <c r="K575" s="20" t="str">
        <f t="shared" si="25"/>
        <v>3rd Shift</v>
      </c>
    </row>
    <row r="576" spans="1:11" x14ac:dyDescent="0.25">
      <c r="A576" s="1">
        <v>575</v>
      </c>
      <c r="B576" s="1">
        <v>14</v>
      </c>
      <c r="C576" s="3">
        <v>14115271713705</v>
      </c>
      <c r="D576" s="2">
        <v>44402.958333333336</v>
      </c>
      <c r="E576" s="2">
        <v>44403.145833333336</v>
      </c>
      <c r="F576" s="23">
        <f t="shared" si="24"/>
        <v>0.1875</v>
      </c>
      <c r="G576" s="24">
        <f t="shared" si="26"/>
        <v>66.666666666666657</v>
      </c>
      <c r="H576" s="1" t="s">
        <v>1</v>
      </c>
      <c r="I576" s="4" t="s">
        <v>2</v>
      </c>
      <c r="J576" s="14">
        <v>0.95833333333333337</v>
      </c>
      <c r="K576" s="20" t="str">
        <f t="shared" si="25"/>
        <v>3rd Shift</v>
      </c>
    </row>
    <row r="577" spans="1:11" x14ac:dyDescent="0.25">
      <c r="A577" s="1">
        <v>576</v>
      </c>
      <c r="B577" s="1">
        <v>9</v>
      </c>
      <c r="C577" s="3">
        <v>9115271909101</v>
      </c>
      <c r="D577" s="2">
        <v>44402.958333333336</v>
      </c>
      <c r="E577" s="2">
        <v>44403.145833333336</v>
      </c>
      <c r="F577" s="23">
        <f t="shared" si="24"/>
        <v>0.1875</v>
      </c>
      <c r="G577" s="24">
        <f t="shared" si="26"/>
        <v>66.666666666666657</v>
      </c>
      <c r="H577" s="1" t="s">
        <v>1</v>
      </c>
      <c r="I577" s="4" t="s">
        <v>2</v>
      </c>
      <c r="J577" s="14">
        <v>0.95833333333333337</v>
      </c>
      <c r="K577" s="20" t="str">
        <f t="shared" si="25"/>
        <v>3rd Shift</v>
      </c>
    </row>
    <row r="578" spans="1:11" x14ac:dyDescent="0.25">
      <c r="A578" s="1">
        <v>577</v>
      </c>
      <c r="B578" s="1">
        <v>8</v>
      </c>
      <c r="C578" s="3">
        <v>8115271839300</v>
      </c>
      <c r="D578" s="2">
        <v>44402.958333333336</v>
      </c>
      <c r="E578" s="2">
        <v>44403.145833333336</v>
      </c>
      <c r="F578" s="23">
        <f t="shared" ref="F578:F641" si="27">E578-D578</f>
        <v>0.1875</v>
      </c>
      <c r="G578" s="24">
        <f t="shared" si="26"/>
        <v>66.666666666666657</v>
      </c>
      <c r="H578" s="1" t="s">
        <v>1</v>
      </c>
      <c r="I578" s="4" t="s">
        <v>2</v>
      </c>
      <c r="J578" s="14">
        <v>0.95833333333333337</v>
      </c>
      <c r="K578" s="20" t="str">
        <f t="shared" ref="K578:K641" si="28">IF(AND(J578&gt;=$M$3,J578&lt;$M$4),"1st Shift",IF(AND(J578&gt;=$M$4,J578&lt;$M$5),"2nd Shift","3rd Shift"))</f>
        <v>3rd Shift</v>
      </c>
    </row>
    <row r="579" spans="1:11" x14ac:dyDescent="0.25">
      <c r="A579" s="1">
        <v>578</v>
      </c>
      <c r="B579" s="1">
        <v>4</v>
      </c>
      <c r="C579" s="3">
        <v>4115271213400</v>
      </c>
      <c r="D579" s="2">
        <v>44402.958333333336</v>
      </c>
      <c r="E579" s="2">
        <v>44403.145833333336</v>
      </c>
      <c r="F579" s="23">
        <f t="shared" si="27"/>
        <v>0.1875</v>
      </c>
      <c r="G579" s="24">
        <f t="shared" ref="G579:G642" si="29">$M$9/F579*100</f>
        <v>66.666666666666657</v>
      </c>
      <c r="H579" s="1" t="s">
        <v>1</v>
      </c>
      <c r="I579" s="4" t="s">
        <v>2</v>
      </c>
      <c r="J579" s="14">
        <v>0.95833333333333337</v>
      </c>
      <c r="K579" s="20" t="str">
        <f t="shared" si="28"/>
        <v>3rd Shift</v>
      </c>
    </row>
    <row r="580" spans="1:11" x14ac:dyDescent="0.25">
      <c r="A580" s="1">
        <v>579</v>
      </c>
      <c r="B580" s="1">
        <v>7</v>
      </c>
      <c r="C580" s="3">
        <v>7115271767201</v>
      </c>
      <c r="D580" s="2">
        <v>44403.333333333336</v>
      </c>
      <c r="E580" s="2">
        <v>44403.5</v>
      </c>
      <c r="F580" s="23">
        <f t="shared" si="27"/>
        <v>0.16666666666424135</v>
      </c>
      <c r="G580" s="24">
        <f t="shared" si="29"/>
        <v>75.000000001091394</v>
      </c>
      <c r="H580" s="1" t="s">
        <v>1</v>
      </c>
      <c r="I580" s="4" t="s">
        <v>2</v>
      </c>
      <c r="J580" s="14">
        <v>0.33333333333333331</v>
      </c>
      <c r="K580" s="20" t="str">
        <f t="shared" si="28"/>
        <v>1st Shift</v>
      </c>
    </row>
    <row r="581" spans="1:11" x14ac:dyDescent="0.25">
      <c r="A581" s="1">
        <v>580</v>
      </c>
      <c r="B581" s="1">
        <v>5</v>
      </c>
      <c r="C581" s="3">
        <v>5115271678309</v>
      </c>
      <c r="D581" s="2">
        <v>44403.333333333336</v>
      </c>
      <c r="E581" s="2">
        <v>44403.5</v>
      </c>
      <c r="F581" s="23">
        <f t="shared" si="27"/>
        <v>0.16666666666424135</v>
      </c>
      <c r="G581" s="24">
        <f t="shared" si="29"/>
        <v>75.000000001091394</v>
      </c>
      <c r="H581" s="1" t="s">
        <v>1</v>
      </c>
      <c r="I581" s="4" t="s">
        <v>2</v>
      </c>
      <c r="J581" s="14">
        <v>0.33333333333333331</v>
      </c>
      <c r="K581" s="20" t="str">
        <f t="shared" si="28"/>
        <v>1st Shift</v>
      </c>
    </row>
    <row r="582" spans="1:11" x14ac:dyDescent="0.25">
      <c r="A582" s="1">
        <v>581</v>
      </c>
      <c r="B582" s="1">
        <v>4</v>
      </c>
      <c r="C582" s="3">
        <v>4115270869003</v>
      </c>
      <c r="D582" s="2">
        <v>44403.333333333336</v>
      </c>
      <c r="E582" s="2">
        <v>44403.5</v>
      </c>
      <c r="F582" s="23">
        <f t="shared" si="27"/>
        <v>0.16666666666424135</v>
      </c>
      <c r="G582" s="24">
        <f t="shared" si="29"/>
        <v>75.000000001091394</v>
      </c>
      <c r="H582" s="1" t="s">
        <v>1</v>
      </c>
      <c r="I582" s="4" t="s">
        <v>2</v>
      </c>
      <c r="J582" s="14">
        <v>0.33333333333333331</v>
      </c>
      <c r="K582" s="20" t="str">
        <f t="shared" si="28"/>
        <v>1st Shift</v>
      </c>
    </row>
    <row r="583" spans="1:11" x14ac:dyDescent="0.25">
      <c r="A583" s="1">
        <v>582</v>
      </c>
      <c r="B583" s="1">
        <v>2</v>
      </c>
      <c r="C583" s="3">
        <v>2115270202300</v>
      </c>
      <c r="D583" s="2">
        <v>44403.333333333336</v>
      </c>
      <c r="E583" s="2">
        <v>44403.5</v>
      </c>
      <c r="F583" s="23">
        <f t="shared" si="27"/>
        <v>0.16666666666424135</v>
      </c>
      <c r="G583" s="24">
        <f t="shared" si="29"/>
        <v>75.000000001091394</v>
      </c>
      <c r="H583" s="1" t="s">
        <v>1</v>
      </c>
      <c r="I583" s="4" t="s">
        <v>2</v>
      </c>
      <c r="J583" s="14">
        <v>0.33333333333333331</v>
      </c>
      <c r="K583" s="20" t="str">
        <f t="shared" si="28"/>
        <v>1st Shift</v>
      </c>
    </row>
    <row r="584" spans="1:11" x14ac:dyDescent="0.25">
      <c r="A584" s="1">
        <v>583</v>
      </c>
      <c r="B584" s="1">
        <v>2</v>
      </c>
      <c r="C584" s="3">
        <v>2115270154400</v>
      </c>
      <c r="D584" s="2">
        <v>44403.333333333336</v>
      </c>
      <c r="E584" s="2">
        <v>44403.5</v>
      </c>
      <c r="F584" s="23">
        <f t="shared" si="27"/>
        <v>0.16666666666424135</v>
      </c>
      <c r="G584" s="24">
        <f t="shared" si="29"/>
        <v>75.000000001091394</v>
      </c>
      <c r="H584" s="1" t="s">
        <v>1</v>
      </c>
      <c r="I584" s="4" t="s">
        <v>2</v>
      </c>
      <c r="J584" s="14">
        <v>0.33333333333333331</v>
      </c>
      <c r="K584" s="20" t="str">
        <f t="shared" si="28"/>
        <v>1st Shift</v>
      </c>
    </row>
    <row r="585" spans="1:11" x14ac:dyDescent="0.25">
      <c r="A585" s="1">
        <v>584</v>
      </c>
      <c r="B585" s="1">
        <v>9</v>
      </c>
      <c r="C585" s="3">
        <v>9115271909107</v>
      </c>
      <c r="D585" s="2">
        <v>44403.53125</v>
      </c>
      <c r="E585" s="2">
        <v>44403.576388888891</v>
      </c>
      <c r="F585" s="23">
        <f t="shared" si="27"/>
        <v>4.5138888890505768E-2</v>
      </c>
      <c r="G585" s="24">
        <f t="shared" si="29"/>
        <v>276.9230769131575</v>
      </c>
      <c r="H585" s="1" t="s">
        <v>1</v>
      </c>
      <c r="I585" s="4" t="s">
        <v>3</v>
      </c>
      <c r="J585" s="14">
        <v>0.53125</v>
      </c>
      <c r="K585" s="20" t="str">
        <f t="shared" si="28"/>
        <v>1st Shift</v>
      </c>
    </row>
    <row r="586" spans="1:11" x14ac:dyDescent="0.25">
      <c r="A586" s="1">
        <v>585</v>
      </c>
      <c r="B586" s="1">
        <v>8</v>
      </c>
      <c r="C586" s="3">
        <v>8115271816501</v>
      </c>
      <c r="D586" s="2">
        <v>44403.53125</v>
      </c>
      <c r="E586" s="2">
        <v>44403.576388888891</v>
      </c>
      <c r="F586" s="23">
        <f t="shared" si="27"/>
        <v>4.5138888890505768E-2</v>
      </c>
      <c r="G586" s="24">
        <f t="shared" si="29"/>
        <v>276.9230769131575</v>
      </c>
      <c r="H586" s="1" t="s">
        <v>1</v>
      </c>
      <c r="I586" s="4" t="s">
        <v>2</v>
      </c>
      <c r="J586" s="14">
        <v>0.53125</v>
      </c>
      <c r="K586" s="20" t="str">
        <f t="shared" si="28"/>
        <v>1st Shift</v>
      </c>
    </row>
    <row r="587" spans="1:11" x14ac:dyDescent="0.25">
      <c r="A587" s="1">
        <v>586</v>
      </c>
      <c r="B587" s="1">
        <v>15</v>
      </c>
      <c r="C587" s="3">
        <v>15115271792402</v>
      </c>
      <c r="D587" s="2">
        <v>44403.604166666664</v>
      </c>
      <c r="E587" s="2">
        <v>44403.708333333336</v>
      </c>
      <c r="F587" s="23">
        <f t="shared" si="27"/>
        <v>0.10416666667151731</v>
      </c>
      <c r="G587" s="24">
        <f t="shared" si="29"/>
        <v>119.99999999441206</v>
      </c>
      <c r="H587" s="1" t="s">
        <v>1</v>
      </c>
      <c r="I587" s="4" t="s">
        <v>2</v>
      </c>
      <c r="J587" s="14">
        <v>0.60416666666666663</v>
      </c>
      <c r="K587" s="20" t="str">
        <f t="shared" si="28"/>
        <v>2nd Shift</v>
      </c>
    </row>
    <row r="588" spans="1:11" x14ac:dyDescent="0.25">
      <c r="A588" s="1">
        <v>587</v>
      </c>
      <c r="B588" s="1">
        <v>13</v>
      </c>
      <c r="C588" s="3">
        <v>13115271591200</v>
      </c>
      <c r="D588" s="2">
        <v>44403.604166666664</v>
      </c>
      <c r="E588" s="2">
        <v>44403.708333333336</v>
      </c>
      <c r="F588" s="23">
        <f t="shared" si="27"/>
        <v>0.10416666667151731</v>
      </c>
      <c r="G588" s="24">
        <f t="shared" si="29"/>
        <v>119.99999999441206</v>
      </c>
      <c r="H588" s="1" t="s">
        <v>1</v>
      </c>
      <c r="I588" s="4" t="s">
        <v>2</v>
      </c>
      <c r="J588" s="14">
        <v>0.60416666666666663</v>
      </c>
      <c r="K588" s="20" t="str">
        <f t="shared" si="28"/>
        <v>2nd Shift</v>
      </c>
    </row>
    <row r="589" spans="1:11" x14ac:dyDescent="0.25">
      <c r="A589" s="1">
        <v>588</v>
      </c>
      <c r="B589" s="1">
        <v>10</v>
      </c>
      <c r="C589" s="3">
        <v>10115271408900</v>
      </c>
      <c r="D589" s="2">
        <v>44403.604166666664</v>
      </c>
      <c r="E589" s="2">
        <v>44403.708333333336</v>
      </c>
      <c r="F589" s="23">
        <f t="shared" si="27"/>
        <v>0.10416666667151731</v>
      </c>
      <c r="G589" s="24">
        <f t="shared" si="29"/>
        <v>119.99999999441206</v>
      </c>
      <c r="H589" s="1" t="s">
        <v>1</v>
      </c>
      <c r="I589" s="4" t="s">
        <v>2</v>
      </c>
      <c r="J589" s="14">
        <v>0.60416666666666663</v>
      </c>
      <c r="K589" s="20" t="str">
        <f t="shared" si="28"/>
        <v>2nd Shift</v>
      </c>
    </row>
    <row r="590" spans="1:11" x14ac:dyDescent="0.25">
      <c r="A590" s="1">
        <v>589</v>
      </c>
      <c r="B590" s="1">
        <v>10</v>
      </c>
      <c r="C590" s="3">
        <v>10115271425900</v>
      </c>
      <c r="D590" s="2">
        <v>44403.770833333336</v>
      </c>
      <c r="E590" s="2">
        <v>44403.895833333336</v>
      </c>
      <c r="F590" s="23">
        <f t="shared" si="27"/>
        <v>0.125</v>
      </c>
      <c r="G590" s="24">
        <f t="shared" si="29"/>
        <v>100</v>
      </c>
      <c r="H590" s="1" t="s">
        <v>1</v>
      </c>
      <c r="I590" s="4" t="s">
        <v>2</v>
      </c>
      <c r="J590" s="14">
        <v>0.77083333333333337</v>
      </c>
      <c r="K590" s="20" t="str">
        <f t="shared" si="28"/>
        <v>2nd Shift</v>
      </c>
    </row>
    <row r="591" spans="1:11" x14ac:dyDescent="0.25">
      <c r="A591" s="1">
        <v>590</v>
      </c>
      <c r="B591" s="1">
        <v>9</v>
      </c>
      <c r="C591" s="3">
        <v>9115270623100</v>
      </c>
      <c r="D591" s="2">
        <v>44403.770833333336</v>
      </c>
      <c r="E591" s="2">
        <v>44403.895833333336</v>
      </c>
      <c r="F591" s="23">
        <f t="shared" si="27"/>
        <v>0.125</v>
      </c>
      <c r="G591" s="24">
        <f t="shared" si="29"/>
        <v>100</v>
      </c>
      <c r="H591" s="1" t="s">
        <v>1</v>
      </c>
      <c r="I591" s="4" t="s">
        <v>2</v>
      </c>
      <c r="J591" s="14">
        <v>0.77083333333333337</v>
      </c>
      <c r="K591" s="20" t="str">
        <f t="shared" si="28"/>
        <v>2nd Shift</v>
      </c>
    </row>
    <row r="592" spans="1:11" x14ac:dyDescent="0.25">
      <c r="A592" s="1">
        <v>591</v>
      </c>
      <c r="B592" s="1">
        <v>5</v>
      </c>
      <c r="C592" s="3">
        <v>5115271685042</v>
      </c>
      <c r="D592" s="2">
        <v>44403.770833333336</v>
      </c>
      <c r="E592" s="2">
        <v>44403.895833333336</v>
      </c>
      <c r="F592" s="23">
        <f t="shared" si="27"/>
        <v>0.125</v>
      </c>
      <c r="G592" s="24">
        <f t="shared" si="29"/>
        <v>100</v>
      </c>
      <c r="H592" s="1" t="s">
        <v>1</v>
      </c>
      <c r="I592" s="4" t="s">
        <v>2</v>
      </c>
      <c r="J592" s="14">
        <v>0.77083333333333337</v>
      </c>
      <c r="K592" s="20" t="str">
        <f t="shared" si="28"/>
        <v>2nd Shift</v>
      </c>
    </row>
    <row r="593" spans="1:11" x14ac:dyDescent="0.25">
      <c r="A593" s="1">
        <v>592</v>
      </c>
      <c r="B593" s="1">
        <v>4</v>
      </c>
      <c r="C593" s="3">
        <v>4115270826901</v>
      </c>
      <c r="D593" s="2">
        <v>44403.770833333336</v>
      </c>
      <c r="E593" s="2">
        <v>44403.895833333336</v>
      </c>
      <c r="F593" s="23">
        <f t="shared" si="27"/>
        <v>0.125</v>
      </c>
      <c r="G593" s="24">
        <f t="shared" si="29"/>
        <v>100</v>
      </c>
      <c r="H593" s="1" t="s">
        <v>1</v>
      </c>
      <c r="I593" s="4" t="s">
        <v>2</v>
      </c>
      <c r="J593" s="14">
        <v>0.77083333333333337</v>
      </c>
      <c r="K593" s="20" t="str">
        <f t="shared" si="28"/>
        <v>2nd Shift</v>
      </c>
    </row>
    <row r="594" spans="1:11" x14ac:dyDescent="0.25">
      <c r="A594" s="1">
        <v>593</v>
      </c>
      <c r="B594" s="1">
        <v>7</v>
      </c>
      <c r="C594" s="3">
        <v>7115271802907</v>
      </c>
      <c r="D594" s="2">
        <v>44403.9375</v>
      </c>
      <c r="E594" s="2">
        <v>44404.083333333336</v>
      </c>
      <c r="F594" s="23">
        <f t="shared" si="27"/>
        <v>0.14583333333575865</v>
      </c>
      <c r="G594" s="24">
        <f t="shared" si="29"/>
        <v>85.714285712860217</v>
      </c>
      <c r="H594" s="1" t="s">
        <v>1</v>
      </c>
      <c r="I594" s="4" t="s">
        <v>2</v>
      </c>
      <c r="J594" s="14">
        <v>0.9375</v>
      </c>
      <c r="K594" s="20" t="str">
        <f t="shared" si="28"/>
        <v>3rd Shift</v>
      </c>
    </row>
    <row r="595" spans="1:11" x14ac:dyDescent="0.25">
      <c r="A595" s="1">
        <v>594</v>
      </c>
      <c r="B595" s="1">
        <v>5</v>
      </c>
      <c r="C595" s="3">
        <v>5115271257500</v>
      </c>
      <c r="D595" s="2">
        <v>44403.9375</v>
      </c>
      <c r="E595" s="2">
        <v>44404.083333333336</v>
      </c>
      <c r="F595" s="23">
        <f t="shared" si="27"/>
        <v>0.14583333333575865</v>
      </c>
      <c r="G595" s="24">
        <f t="shared" si="29"/>
        <v>85.714285712860217</v>
      </c>
      <c r="H595" s="1" t="s">
        <v>1</v>
      </c>
      <c r="I595" s="4" t="s">
        <v>2</v>
      </c>
      <c r="J595" s="14">
        <v>0.9375</v>
      </c>
      <c r="K595" s="20" t="str">
        <f t="shared" si="28"/>
        <v>3rd Shift</v>
      </c>
    </row>
    <row r="596" spans="1:11" x14ac:dyDescent="0.25">
      <c r="A596" s="1">
        <v>595</v>
      </c>
      <c r="B596" s="1">
        <v>4</v>
      </c>
      <c r="C596" s="3">
        <v>4115270881401</v>
      </c>
      <c r="D596" s="2">
        <v>44403.9375</v>
      </c>
      <c r="E596" s="2">
        <v>44404.083333333336</v>
      </c>
      <c r="F596" s="23">
        <f t="shared" si="27"/>
        <v>0.14583333333575865</v>
      </c>
      <c r="G596" s="24">
        <f t="shared" si="29"/>
        <v>85.714285712860217</v>
      </c>
      <c r="H596" s="1" t="s">
        <v>1</v>
      </c>
      <c r="I596" s="4" t="s">
        <v>2</v>
      </c>
      <c r="J596" s="14">
        <v>0.9375</v>
      </c>
      <c r="K596" s="20" t="str">
        <f t="shared" si="28"/>
        <v>3rd Shift</v>
      </c>
    </row>
    <row r="597" spans="1:11" x14ac:dyDescent="0.25">
      <c r="A597" s="1">
        <v>596</v>
      </c>
      <c r="B597" s="1">
        <v>8</v>
      </c>
      <c r="C597" s="3">
        <v>8115271809807</v>
      </c>
      <c r="D597" s="2">
        <v>44404.354166666664</v>
      </c>
      <c r="E597" s="2">
        <v>44404.576388888891</v>
      </c>
      <c r="F597" s="23">
        <f t="shared" si="27"/>
        <v>0.22222222222626442</v>
      </c>
      <c r="G597" s="24">
        <f t="shared" si="29"/>
        <v>56.249999998976818</v>
      </c>
      <c r="H597" s="1" t="s">
        <v>1</v>
      </c>
      <c r="I597" s="4" t="s">
        <v>2</v>
      </c>
      <c r="J597" s="14">
        <v>0.35416666666666669</v>
      </c>
      <c r="K597" s="20" t="str">
        <f t="shared" si="28"/>
        <v>1st Shift</v>
      </c>
    </row>
    <row r="598" spans="1:11" x14ac:dyDescent="0.25">
      <c r="A598" s="1">
        <v>597</v>
      </c>
      <c r="B598" s="1">
        <v>8</v>
      </c>
      <c r="C598" s="3">
        <v>8115271809802</v>
      </c>
      <c r="D598" s="2">
        <v>44404.354166666664</v>
      </c>
      <c r="E598" s="2">
        <v>44404.576388888891</v>
      </c>
      <c r="F598" s="23">
        <f t="shared" si="27"/>
        <v>0.22222222222626442</v>
      </c>
      <c r="G598" s="24">
        <f t="shared" si="29"/>
        <v>56.249999998976818</v>
      </c>
      <c r="H598" s="1" t="s">
        <v>1</v>
      </c>
      <c r="I598" s="4" t="s">
        <v>2</v>
      </c>
      <c r="J598" s="14">
        <v>0.35416666666666669</v>
      </c>
      <c r="K598" s="20" t="str">
        <f t="shared" si="28"/>
        <v>1st Shift</v>
      </c>
    </row>
    <row r="599" spans="1:11" x14ac:dyDescent="0.25">
      <c r="A599" s="1">
        <v>598</v>
      </c>
      <c r="B599" s="1">
        <v>8</v>
      </c>
      <c r="C599" s="3">
        <v>8115271809801</v>
      </c>
      <c r="D599" s="2">
        <v>44404.354166666664</v>
      </c>
      <c r="E599" s="2">
        <v>44404.576388888891</v>
      </c>
      <c r="F599" s="23">
        <f t="shared" si="27"/>
        <v>0.22222222222626442</v>
      </c>
      <c r="G599" s="24">
        <f t="shared" si="29"/>
        <v>56.249999998976818</v>
      </c>
      <c r="H599" s="1" t="s">
        <v>1</v>
      </c>
      <c r="I599" s="4" t="s">
        <v>2</v>
      </c>
      <c r="J599" s="14">
        <v>0.35416666666666669</v>
      </c>
      <c r="K599" s="20" t="str">
        <f t="shared" si="28"/>
        <v>1st Shift</v>
      </c>
    </row>
    <row r="600" spans="1:11" x14ac:dyDescent="0.25">
      <c r="A600" s="1">
        <v>599</v>
      </c>
      <c r="B600" s="1">
        <v>7</v>
      </c>
      <c r="C600" s="3">
        <v>7115271756409</v>
      </c>
      <c r="D600" s="2">
        <v>44404.354166666664</v>
      </c>
      <c r="E600" s="2">
        <v>44404.576388888891</v>
      </c>
      <c r="F600" s="23">
        <f t="shared" si="27"/>
        <v>0.22222222222626442</v>
      </c>
      <c r="G600" s="24">
        <f t="shared" si="29"/>
        <v>56.249999998976818</v>
      </c>
      <c r="H600" s="1" t="s">
        <v>1</v>
      </c>
      <c r="I600" s="4" t="s">
        <v>2</v>
      </c>
      <c r="J600" s="14">
        <v>0.35416666666666669</v>
      </c>
      <c r="K600" s="20" t="str">
        <f t="shared" si="28"/>
        <v>1st Shift</v>
      </c>
    </row>
    <row r="601" spans="1:11" x14ac:dyDescent="0.25">
      <c r="A601" s="1">
        <v>600</v>
      </c>
      <c r="B601" s="1">
        <v>7</v>
      </c>
      <c r="C601" s="3">
        <v>7115271756408</v>
      </c>
      <c r="D601" s="2">
        <v>44404.354166666664</v>
      </c>
      <c r="E601" s="2">
        <v>44404.576388888891</v>
      </c>
      <c r="F601" s="23">
        <f t="shared" si="27"/>
        <v>0.22222222222626442</v>
      </c>
      <c r="G601" s="24">
        <f t="shared" si="29"/>
        <v>56.249999998976818</v>
      </c>
      <c r="H601" s="1" t="s">
        <v>1</v>
      </c>
      <c r="I601" s="4" t="s">
        <v>4</v>
      </c>
      <c r="J601" s="14">
        <v>0.35416666666666669</v>
      </c>
      <c r="K601" s="20" t="str">
        <f t="shared" si="28"/>
        <v>1st Shift</v>
      </c>
    </row>
    <row r="602" spans="1:11" x14ac:dyDescent="0.25">
      <c r="A602" s="1">
        <v>601</v>
      </c>
      <c r="B602" s="1">
        <v>7</v>
      </c>
      <c r="C602" s="3">
        <v>7115271756401</v>
      </c>
      <c r="D602" s="2">
        <v>44404.354166666664</v>
      </c>
      <c r="E602" s="2">
        <v>44404.576388888891</v>
      </c>
      <c r="F602" s="23">
        <f t="shared" si="27"/>
        <v>0.22222222222626442</v>
      </c>
      <c r="G602" s="24">
        <f t="shared" si="29"/>
        <v>56.249999998976818</v>
      </c>
      <c r="H602" s="1" t="s">
        <v>1</v>
      </c>
      <c r="I602" s="4" t="s">
        <v>2</v>
      </c>
      <c r="J602" s="14">
        <v>0.35416666666666669</v>
      </c>
      <c r="K602" s="20" t="str">
        <f t="shared" si="28"/>
        <v>1st Shift</v>
      </c>
    </row>
    <row r="603" spans="1:11" x14ac:dyDescent="0.25">
      <c r="A603" s="1">
        <v>602</v>
      </c>
      <c r="B603" s="1">
        <v>6</v>
      </c>
      <c r="C603" s="3">
        <v>6115271751301</v>
      </c>
      <c r="D603" s="2">
        <v>44404.354166666664</v>
      </c>
      <c r="E603" s="2">
        <v>44404.576388888891</v>
      </c>
      <c r="F603" s="23">
        <f t="shared" si="27"/>
        <v>0.22222222222626442</v>
      </c>
      <c r="G603" s="24">
        <f t="shared" si="29"/>
        <v>56.249999998976818</v>
      </c>
      <c r="H603" s="1" t="s">
        <v>1</v>
      </c>
      <c r="I603" s="4" t="s">
        <v>2</v>
      </c>
      <c r="J603" s="14">
        <v>0.35416666666666669</v>
      </c>
      <c r="K603" s="20" t="str">
        <f t="shared" si="28"/>
        <v>1st Shift</v>
      </c>
    </row>
    <row r="604" spans="1:11" x14ac:dyDescent="0.25">
      <c r="A604" s="1">
        <v>603</v>
      </c>
      <c r="B604" s="1">
        <v>6</v>
      </c>
      <c r="C604" s="3">
        <v>6115271751300</v>
      </c>
      <c r="D604" s="2">
        <v>44404.354166666664</v>
      </c>
      <c r="E604" s="2">
        <v>44404.576388888891</v>
      </c>
      <c r="F604" s="23">
        <f t="shared" si="27"/>
        <v>0.22222222222626442</v>
      </c>
      <c r="G604" s="24">
        <f t="shared" si="29"/>
        <v>56.249999998976818</v>
      </c>
      <c r="H604" s="1" t="s">
        <v>1</v>
      </c>
      <c r="I604" s="4" t="s">
        <v>2</v>
      </c>
      <c r="J604" s="14">
        <v>0.35416666666666669</v>
      </c>
      <c r="K604" s="20" t="str">
        <f t="shared" si="28"/>
        <v>1st Shift</v>
      </c>
    </row>
    <row r="605" spans="1:11" x14ac:dyDescent="0.25">
      <c r="A605" s="1">
        <v>604</v>
      </c>
      <c r="B605" s="1">
        <v>5</v>
      </c>
      <c r="C605" s="3">
        <v>5115271260819</v>
      </c>
      <c r="D605" s="2">
        <v>44404.354166666664</v>
      </c>
      <c r="E605" s="2">
        <v>44404.576388888891</v>
      </c>
      <c r="F605" s="23">
        <f t="shared" si="27"/>
        <v>0.22222222222626442</v>
      </c>
      <c r="G605" s="24">
        <f t="shared" si="29"/>
        <v>56.249999998976818</v>
      </c>
      <c r="H605" s="1" t="s">
        <v>1</v>
      </c>
      <c r="I605" s="4" t="s">
        <v>2</v>
      </c>
      <c r="J605" s="14">
        <v>0.35416666666666669</v>
      </c>
      <c r="K605" s="20" t="str">
        <f t="shared" si="28"/>
        <v>1st Shift</v>
      </c>
    </row>
    <row r="606" spans="1:11" x14ac:dyDescent="0.25">
      <c r="A606" s="1">
        <v>605</v>
      </c>
      <c r="B606" s="1">
        <v>5</v>
      </c>
      <c r="C606" s="3">
        <v>5115271260818</v>
      </c>
      <c r="D606" s="2">
        <v>44404.354166666664</v>
      </c>
      <c r="E606" s="2">
        <v>44404.576388888891</v>
      </c>
      <c r="F606" s="23">
        <f t="shared" si="27"/>
        <v>0.22222222222626442</v>
      </c>
      <c r="G606" s="24">
        <f t="shared" si="29"/>
        <v>56.249999998976818</v>
      </c>
      <c r="H606" s="1" t="s">
        <v>1</v>
      </c>
      <c r="I606" s="4" t="s">
        <v>5</v>
      </c>
      <c r="J606" s="14">
        <v>0.35416666666666669</v>
      </c>
      <c r="K606" s="20" t="str">
        <f t="shared" si="28"/>
        <v>1st Shift</v>
      </c>
    </row>
    <row r="607" spans="1:11" x14ac:dyDescent="0.25">
      <c r="A607" s="1">
        <v>606</v>
      </c>
      <c r="B607" s="1">
        <v>2</v>
      </c>
      <c r="C607" s="3">
        <v>2115270156001</v>
      </c>
      <c r="D607" s="2">
        <v>44404.354166666664</v>
      </c>
      <c r="E607" s="2">
        <v>44404.576388888891</v>
      </c>
      <c r="F607" s="23">
        <f t="shared" si="27"/>
        <v>0.22222222222626442</v>
      </c>
      <c r="G607" s="24">
        <f t="shared" si="29"/>
        <v>56.249999998976818</v>
      </c>
      <c r="H607" s="1" t="s">
        <v>1</v>
      </c>
      <c r="I607" s="4" t="s">
        <v>2</v>
      </c>
      <c r="J607" s="14">
        <v>0.35416666666666669</v>
      </c>
      <c r="K607" s="20" t="str">
        <f t="shared" si="28"/>
        <v>1st Shift</v>
      </c>
    </row>
    <row r="608" spans="1:11" x14ac:dyDescent="0.25">
      <c r="A608" s="1">
        <v>607</v>
      </c>
      <c r="B608" s="1">
        <v>2</v>
      </c>
      <c r="C608" s="3">
        <v>2115270156000</v>
      </c>
      <c r="D608" s="2">
        <v>44404.354166666664</v>
      </c>
      <c r="E608" s="2">
        <v>44404.576388888891</v>
      </c>
      <c r="F608" s="23">
        <f t="shared" si="27"/>
        <v>0.22222222222626442</v>
      </c>
      <c r="G608" s="24">
        <f t="shared" si="29"/>
        <v>56.249999998976818</v>
      </c>
      <c r="H608" s="1" t="s">
        <v>1</v>
      </c>
      <c r="I608" s="4" t="s">
        <v>2</v>
      </c>
      <c r="J608" s="14">
        <v>0.35416666666666669</v>
      </c>
      <c r="K608" s="20" t="str">
        <f t="shared" si="28"/>
        <v>1st Shift</v>
      </c>
    </row>
    <row r="609" spans="1:11" x14ac:dyDescent="0.25">
      <c r="A609" s="1">
        <v>608</v>
      </c>
      <c r="B609" s="1">
        <v>14</v>
      </c>
      <c r="C609" s="3">
        <v>14115271713301</v>
      </c>
      <c r="D609" s="2">
        <v>44404.604166666664</v>
      </c>
      <c r="E609" s="2">
        <v>44404.791666666664</v>
      </c>
      <c r="F609" s="23">
        <f t="shared" si="27"/>
        <v>0.1875</v>
      </c>
      <c r="G609" s="24">
        <f t="shared" si="29"/>
        <v>66.666666666666657</v>
      </c>
      <c r="H609" s="1" t="s">
        <v>1</v>
      </c>
      <c r="I609" s="4" t="s">
        <v>2</v>
      </c>
      <c r="J609" s="14">
        <v>0.60416666666666663</v>
      </c>
      <c r="K609" s="20" t="str">
        <f t="shared" si="28"/>
        <v>2nd Shift</v>
      </c>
    </row>
    <row r="610" spans="1:11" x14ac:dyDescent="0.25">
      <c r="A610" s="1">
        <v>609</v>
      </c>
      <c r="B610" s="1">
        <v>14</v>
      </c>
      <c r="C610" s="3">
        <v>14115271713300</v>
      </c>
      <c r="D610" s="2">
        <v>44404.604166666664</v>
      </c>
      <c r="E610" s="2">
        <v>44404.791666666664</v>
      </c>
      <c r="F610" s="23">
        <f t="shared" si="27"/>
        <v>0.1875</v>
      </c>
      <c r="G610" s="24">
        <f t="shared" si="29"/>
        <v>66.666666666666657</v>
      </c>
      <c r="H610" s="1" t="s">
        <v>1</v>
      </c>
      <c r="I610" s="4" t="s">
        <v>2</v>
      </c>
      <c r="J610" s="14">
        <v>0.60416666666666663</v>
      </c>
      <c r="K610" s="20" t="str">
        <f t="shared" si="28"/>
        <v>2nd Shift</v>
      </c>
    </row>
    <row r="611" spans="1:11" x14ac:dyDescent="0.25">
      <c r="A611" s="1">
        <v>610</v>
      </c>
      <c r="B611" s="1">
        <v>12</v>
      </c>
      <c r="C611" s="3">
        <v>12115271562906</v>
      </c>
      <c r="D611" s="2">
        <v>44404.604166666664</v>
      </c>
      <c r="E611" s="2">
        <v>44404.791666666664</v>
      </c>
      <c r="F611" s="23">
        <f t="shared" si="27"/>
        <v>0.1875</v>
      </c>
      <c r="G611" s="24">
        <f t="shared" si="29"/>
        <v>66.666666666666657</v>
      </c>
      <c r="H611" s="1" t="s">
        <v>1</v>
      </c>
      <c r="I611" s="4" t="s">
        <v>2</v>
      </c>
      <c r="J611" s="14">
        <v>0.60416666666666663</v>
      </c>
      <c r="K611" s="20" t="str">
        <f t="shared" si="28"/>
        <v>2nd Shift</v>
      </c>
    </row>
    <row r="612" spans="1:11" x14ac:dyDescent="0.25">
      <c r="A612" s="1">
        <v>611</v>
      </c>
      <c r="B612" s="1">
        <v>12</v>
      </c>
      <c r="C612" s="3">
        <v>12115271562905</v>
      </c>
      <c r="D612" s="2">
        <v>44404.604166666664</v>
      </c>
      <c r="E612" s="2">
        <v>44404.791666666664</v>
      </c>
      <c r="F612" s="23">
        <f t="shared" si="27"/>
        <v>0.1875</v>
      </c>
      <c r="G612" s="24">
        <f t="shared" si="29"/>
        <v>66.666666666666657</v>
      </c>
      <c r="H612" s="1" t="s">
        <v>1</v>
      </c>
      <c r="I612" s="4" t="s">
        <v>2</v>
      </c>
      <c r="J612" s="14">
        <v>0.60416666666666663</v>
      </c>
      <c r="K612" s="20" t="str">
        <f t="shared" si="28"/>
        <v>2nd Shift</v>
      </c>
    </row>
    <row r="613" spans="1:11" x14ac:dyDescent="0.25">
      <c r="A613" s="1">
        <v>612</v>
      </c>
      <c r="B613" s="1">
        <v>10</v>
      </c>
      <c r="C613" s="3">
        <v>10115271959701</v>
      </c>
      <c r="D613" s="2">
        <v>44404.604166666664</v>
      </c>
      <c r="E613" s="2">
        <v>44404.791666666664</v>
      </c>
      <c r="F613" s="23">
        <f t="shared" si="27"/>
        <v>0.1875</v>
      </c>
      <c r="G613" s="24">
        <f t="shared" si="29"/>
        <v>66.666666666666657</v>
      </c>
      <c r="H613" s="1" t="s">
        <v>1</v>
      </c>
      <c r="I613" s="4" t="s">
        <v>2</v>
      </c>
      <c r="J613" s="14">
        <v>0.60416666666666663</v>
      </c>
      <c r="K613" s="20" t="str">
        <f t="shared" si="28"/>
        <v>2nd Shift</v>
      </c>
    </row>
    <row r="614" spans="1:11" x14ac:dyDescent="0.25">
      <c r="A614" s="1">
        <v>613</v>
      </c>
      <c r="B614" s="1">
        <v>10</v>
      </c>
      <c r="C614" s="3">
        <v>10115271959700</v>
      </c>
      <c r="D614" s="2">
        <v>44404.604166666664</v>
      </c>
      <c r="E614" s="2">
        <v>44404.791666666664</v>
      </c>
      <c r="F614" s="23">
        <f t="shared" si="27"/>
        <v>0.1875</v>
      </c>
      <c r="G614" s="24">
        <f t="shared" si="29"/>
        <v>66.666666666666657</v>
      </c>
      <c r="H614" s="1" t="s">
        <v>1</v>
      </c>
      <c r="I614" s="4" t="s">
        <v>3</v>
      </c>
      <c r="J614" s="14">
        <v>0.60416666666666663</v>
      </c>
      <c r="K614" s="20" t="str">
        <f t="shared" si="28"/>
        <v>2nd Shift</v>
      </c>
    </row>
    <row r="615" spans="1:11" x14ac:dyDescent="0.25">
      <c r="A615" s="1">
        <v>614</v>
      </c>
      <c r="B615" s="1">
        <v>9</v>
      </c>
      <c r="C615" s="3">
        <v>9115270626101</v>
      </c>
      <c r="D615" s="2">
        <v>44404.604166666664</v>
      </c>
      <c r="E615" s="2">
        <v>44404.791666666664</v>
      </c>
      <c r="F615" s="23">
        <f t="shared" si="27"/>
        <v>0.1875</v>
      </c>
      <c r="G615" s="24">
        <f t="shared" si="29"/>
        <v>66.666666666666657</v>
      </c>
      <c r="H615" s="1" t="s">
        <v>1</v>
      </c>
      <c r="I615" s="4" t="s">
        <v>3</v>
      </c>
      <c r="J615" s="14">
        <v>0.60416666666666663</v>
      </c>
      <c r="K615" s="20" t="str">
        <f t="shared" si="28"/>
        <v>2nd Shift</v>
      </c>
    </row>
    <row r="616" spans="1:11" x14ac:dyDescent="0.25">
      <c r="A616" s="1">
        <v>615</v>
      </c>
      <c r="B616" s="1">
        <v>9</v>
      </c>
      <c r="C616" s="3">
        <v>9115270626100</v>
      </c>
      <c r="D616" s="2">
        <v>44404.604166666664</v>
      </c>
      <c r="E616" s="2">
        <v>44404.791666666664</v>
      </c>
      <c r="F616" s="23">
        <f t="shared" si="27"/>
        <v>0.1875</v>
      </c>
      <c r="G616" s="24">
        <f t="shared" si="29"/>
        <v>66.666666666666657</v>
      </c>
      <c r="H616" s="1" t="s">
        <v>1</v>
      </c>
      <c r="I616" s="4" t="s">
        <v>2</v>
      </c>
      <c r="J616" s="14">
        <v>0.60416666666666663</v>
      </c>
      <c r="K616" s="20" t="str">
        <f t="shared" si="28"/>
        <v>2nd Shift</v>
      </c>
    </row>
    <row r="617" spans="1:11" x14ac:dyDescent="0.25">
      <c r="A617" s="1">
        <v>616</v>
      </c>
      <c r="B617" s="1">
        <v>13</v>
      </c>
      <c r="C617" s="3">
        <v>13115271590400</v>
      </c>
      <c r="D617" s="2">
        <v>44404.854166666664</v>
      </c>
      <c r="E617" s="2">
        <v>44404.902777777781</v>
      </c>
      <c r="F617" s="23">
        <f t="shared" si="27"/>
        <v>4.8611111116770189E-2</v>
      </c>
      <c r="G617" s="24">
        <f t="shared" si="29"/>
        <v>257.14285711292177</v>
      </c>
      <c r="H617" s="1" t="s">
        <v>1</v>
      </c>
      <c r="I617" s="4" t="s">
        <v>2</v>
      </c>
      <c r="J617" s="14">
        <v>0.85416666666666663</v>
      </c>
      <c r="K617" s="20" t="str">
        <f t="shared" si="28"/>
        <v>2nd Shift</v>
      </c>
    </row>
    <row r="618" spans="1:11" x14ac:dyDescent="0.25">
      <c r="A618" s="1">
        <v>617</v>
      </c>
      <c r="B618" s="1">
        <v>8</v>
      </c>
      <c r="C618" s="3">
        <v>8115271859701</v>
      </c>
      <c r="D618" s="2">
        <v>44404.854166666664</v>
      </c>
      <c r="E618" s="2">
        <v>44404.902777777781</v>
      </c>
      <c r="F618" s="23">
        <f t="shared" si="27"/>
        <v>4.8611111116770189E-2</v>
      </c>
      <c r="G618" s="24">
        <f t="shared" si="29"/>
        <v>257.14285711292177</v>
      </c>
      <c r="H618" s="1" t="s">
        <v>1</v>
      </c>
      <c r="I618" s="4" t="s">
        <v>3</v>
      </c>
      <c r="J618" s="14">
        <v>0.85416666666666663</v>
      </c>
      <c r="K618" s="20" t="str">
        <f t="shared" si="28"/>
        <v>2nd Shift</v>
      </c>
    </row>
    <row r="619" spans="1:11" x14ac:dyDescent="0.25">
      <c r="A619" s="1">
        <v>618</v>
      </c>
      <c r="B619" s="1">
        <v>8</v>
      </c>
      <c r="C619" s="3">
        <v>8115271859700</v>
      </c>
      <c r="D619" s="2">
        <v>44404.854166666664</v>
      </c>
      <c r="E619" s="2">
        <v>44404.902777777781</v>
      </c>
      <c r="F619" s="23">
        <f t="shared" si="27"/>
        <v>4.8611111116770189E-2</v>
      </c>
      <c r="G619" s="24">
        <f t="shared" si="29"/>
        <v>257.14285711292177</v>
      </c>
      <c r="H619" s="1" t="s">
        <v>1</v>
      </c>
      <c r="I619" s="4" t="s">
        <v>2</v>
      </c>
      <c r="J619" s="14">
        <v>0.85416666666666663</v>
      </c>
      <c r="K619" s="20" t="str">
        <f t="shared" si="28"/>
        <v>2nd Shift</v>
      </c>
    </row>
    <row r="620" spans="1:11" x14ac:dyDescent="0.25">
      <c r="A620" s="1">
        <v>619</v>
      </c>
      <c r="B620" s="1">
        <v>13</v>
      </c>
      <c r="C620" s="3">
        <v>13115271650751</v>
      </c>
      <c r="D620" s="2">
        <v>44404.9375</v>
      </c>
      <c r="E620" s="2">
        <v>44404.996527777781</v>
      </c>
      <c r="F620" s="23">
        <f t="shared" si="27"/>
        <v>5.9027777781011537E-2</v>
      </c>
      <c r="G620" s="24">
        <f t="shared" si="29"/>
        <v>211.7647058707517</v>
      </c>
      <c r="H620" s="1" t="s">
        <v>1</v>
      </c>
      <c r="I620" s="4" t="s">
        <v>3</v>
      </c>
      <c r="J620" s="14">
        <v>0.9375</v>
      </c>
      <c r="K620" s="20" t="str">
        <f t="shared" si="28"/>
        <v>3rd Shift</v>
      </c>
    </row>
    <row r="621" spans="1:11" x14ac:dyDescent="0.25">
      <c r="A621" s="1">
        <v>620</v>
      </c>
      <c r="B621" s="1">
        <v>10</v>
      </c>
      <c r="C621" s="3">
        <v>10115271439700</v>
      </c>
      <c r="D621" s="2">
        <v>44404.9375</v>
      </c>
      <c r="E621" s="2">
        <v>44404.996527777781</v>
      </c>
      <c r="F621" s="23">
        <f t="shared" si="27"/>
        <v>5.9027777781011537E-2</v>
      </c>
      <c r="G621" s="24">
        <f t="shared" si="29"/>
        <v>211.7647058707517</v>
      </c>
      <c r="H621" s="1" t="s">
        <v>1</v>
      </c>
      <c r="I621" s="4" t="s">
        <v>2</v>
      </c>
      <c r="J621" s="14">
        <v>0.9375</v>
      </c>
      <c r="K621" s="20" t="str">
        <f t="shared" si="28"/>
        <v>3rd Shift</v>
      </c>
    </row>
    <row r="622" spans="1:11" x14ac:dyDescent="0.25">
      <c r="A622" s="1">
        <v>621</v>
      </c>
      <c r="B622" s="1">
        <v>10</v>
      </c>
      <c r="C622" s="3">
        <v>10115271470201</v>
      </c>
      <c r="D622" s="2">
        <v>44405.947916666664</v>
      </c>
      <c r="E622" s="2">
        <v>44406.0625</v>
      </c>
      <c r="F622" s="23">
        <f t="shared" si="27"/>
        <v>0.11458333333575865</v>
      </c>
      <c r="G622" s="24">
        <f t="shared" si="29"/>
        <v>109.09090908860001</v>
      </c>
      <c r="H622" s="1" t="s">
        <v>1</v>
      </c>
      <c r="I622" s="4" t="s">
        <v>2</v>
      </c>
      <c r="J622" s="14">
        <v>0.94791666666666663</v>
      </c>
      <c r="K622" s="20" t="str">
        <f t="shared" si="28"/>
        <v>3rd Shift</v>
      </c>
    </row>
    <row r="623" spans="1:11" x14ac:dyDescent="0.25">
      <c r="A623" s="1">
        <v>622</v>
      </c>
      <c r="B623" s="1">
        <v>12</v>
      </c>
      <c r="C623" s="3">
        <v>12115271560225</v>
      </c>
      <c r="D623" s="2">
        <v>44405.041666666664</v>
      </c>
      <c r="E623" s="2">
        <v>44405.145833333336</v>
      </c>
      <c r="F623" s="23">
        <f t="shared" si="27"/>
        <v>0.10416666667151731</v>
      </c>
      <c r="G623" s="24">
        <f t="shared" si="29"/>
        <v>119.99999999441206</v>
      </c>
      <c r="H623" s="1" t="s">
        <v>1</v>
      </c>
      <c r="I623" s="4" t="s">
        <v>2</v>
      </c>
      <c r="J623" s="14">
        <v>4.1666666666666664E-2</v>
      </c>
      <c r="K623" s="20" t="str">
        <f t="shared" si="28"/>
        <v>3rd Shift</v>
      </c>
    </row>
    <row r="624" spans="1:11" x14ac:dyDescent="0.25">
      <c r="A624" s="1">
        <v>623</v>
      </c>
      <c r="B624" s="1">
        <v>11</v>
      </c>
      <c r="C624" s="3">
        <v>11115271480705</v>
      </c>
      <c r="D624" s="2">
        <v>44405.041666666664</v>
      </c>
      <c r="E624" s="2">
        <v>44405.145833333336</v>
      </c>
      <c r="F624" s="23">
        <f t="shared" si="27"/>
        <v>0.10416666667151731</v>
      </c>
      <c r="G624" s="24">
        <f t="shared" si="29"/>
        <v>119.99999999441206</v>
      </c>
      <c r="H624" s="1" t="s">
        <v>1</v>
      </c>
      <c r="I624" s="4" t="s">
        <v>2</v>
      </c>
      <c r="J624" s="14">
        <v>4.1666666666666664E-2</v>
      </c>
      <c r="K624" s="20" t="str">
        <f t="shared" si="28"/>
        <v>3rd Shift</v>
      </c>
    </row>
    <row r="625" spans="1:11" x14ac:dyDescent="0.25">
      <c r="A625" s="1">
        <v>624</v>
      </c>
      <c r="B625" s="1">
        <v>9</v>
      </c>
      <c r="C625" s="3">
        <v>9115271909300</v>
      </c>
      <c r="D625" s="2">
        <v>44405.041666666664</v>
      </c>
      <c r="E625" s="2">
        <v>44405.145833333336</v>
      </c>
      <c r="F625" s="23">
        <f t="shared" si="27"/>
        <v>0.10416666667151731</v>
      </c>
      <c r="G625" s="24">
        <f t="shared" si="29"/>
        <v>119.99999999441206</v>
      </c>
      <c r="H625" s="1" t="s">
        <v>1</v>
      </c>
      <c r="I625" s="4" t="s">
        <v>2</v>
      </c>
      <c r="J625" s="14">
        <v>4.1666666666666664E-2</v>
      </c>
      <c r="K625" s="20" t="str">
        <f t="shared" si="28"/>
        <v>3rd Shift</v>
      </c>
    </row>
    <row r="626" spans="1:11" x14ac:dyDescent="0.25">
      <c r="A626" s="1">
        <v>625</v>
      </c>
      <c r="B626" s="1">
        <v>15</v>
      </c>
      <c r="C626" s="3">
        <v>15115271751302</v>
      </c>
      <c r="D626" s="2">
        <v>44405.375</v>
      </c>
      <c r="E626" s="2">
        <v>44405.576388888891</v>
      </c>
      <c r="F626" s="23">
        <f t="shared" si="27"/>
        <v>0.20138888889050577</v>
      </c>
      <c r="G626" s="24">
        <f t="shared" si="29"/>
        <v>62.068965516743049</v>
      </c>
      <c r="H626" s="1" t="s">
        <v>1</v>
      </c>
      <c r="I626" s="4" t="s">
        <v>2</v>
      </c>
      <c r="J626" s="14">
        <v>0.375</v>
      </c>
      <c r="K626" s="20" t="str">
        <f t="shared" si="28"/>
        <v>1st Shift</v>
      </c>
    </row>
    <row r="627" spans="1:11" x14ac:dyDescent="0.25">
      <c r="A627" s="1">
        <v>626</v>
      </c>
      <c r="B627" s="1">
        <v>14</v>
      </c>
      <c r="C627" s="3">
        <v>14115271672501</v>
      </c>
      <c r="D627" s="2">
        <v>44405.375</v>
      </c>
      <c r="E627" s="2">
        <v>44405.576388888891</v>
      </c>
      <c r="F627" s="23">
        <f t="shared" si="27"/>
        <v>0.20138888889050577</v>
      </c>
      <c r="G627" s="24">
        <f t="shared" si="29"/>
        <v>62.068965516743049</v>
      </c>
      <c r="H627" s="1" t="s">
        <v>1</v>
      </c>
      <c r="I627" s="4" t="s">
        <v>2</v>
      </c>
      <c r="J627" s="14">
        <v>0.375</v>
      </c>
      <c r="K627" s="20" t="str">
        <f t="shared" si="28"/>
        <v>1st Shift</v>
      </c>
    </row>
    <row r="628" spans="1:11" x14ac:dyDescent="0.25">
      <c r="A628" s="1">
        <v>627</v>
      </c>
      <c r="B628" s="1">
        <v>12</v>
      </c>
      <c r="C628" s="3">
        <v>12115271560817</v>
      </c>
      <c r="D628" s="2">
        <v>44405.375</v>
      </c>
      <c r="E628" s="2">
        <v>44405.576388888891</v>
      </c>
      <c r="F628" s="23">
        <f t="shared" si="27"/>
        <v>0.20138888889050577</v>
      </c>
      <c r="G628" s="24">
        <f t="shared" si="29"/>
        <v>62.068965516743049</v>
      </c>
      <c r="H628" s="1" t="s">
        <v>1</v>
      </c>
      <c r="I628" s="4" t="s">
        <v>3</v>
      </c>
      <c r="J628" s="14">
        <v>0.375</v>
      </c>
      <c r="K628" s="20" t="str">
        <f t="shared" si="28"/>
        <v>1st Shift</v>
      </c>
    </row>
    <row r="629" spans="1:11" x14ac:dyDescent="0.25">
      <c r="A629" s="1">
        <v>628</v>
      </c>
      <c r="B629" s="1">
        <v>12</v>
      </c>
      <c r="C629" s="3">
        <v>12115271560172</v>
      </c>
      <c r="D629" s="2">
        <v>44405.375</v>
      </c>
      <c r="E629" s="2">
        <v>44405.576388888891</v>
      </c>
      <c r="F629" s="23">
        <f t="shared" si="27"/>
        <v>0.20138888889050577</v>
      </c>
      <c r="G629" s="24">
        <f t="shared" si="29"/>
        <v>62.068965516743049</v>
      </c>
      <c r="H629" s="1" t="s">
        <v>1</v>
      </c>
      <c r="I629" s="4" t="s">
        <v>3</v>
      </c>
      <c r="J629" s="14">
        <v>0.375</v>
      </c>
      <c r="K629" s="20" t="str">
        <f t="shared" si="28"/>
        <v>1st Shift</v>
      </c>
    </row>
    <row r="630" spans="1:11" x14ac:dyDescent="0.25">
      <c r="A630" s="1">
        <v>629</v>
      </c>
      <c r="B630" s="1">
        <v>7</v>
      </c>
      <c r="C630" s="3">
        <v>7115271776100</v>
      </c>
      <c r="D630" s="2">
        <v>44405.375</v>
      </c>
      <c r="E630" s="2">
        <v>44405.576388888891</v>
      </c>
      <c r="F630" s="23">
        <f t="shared" si="27"/>
        <v>0.20138888889050577</v>
      </c>
      <c r="G630" s="24">
        <f t="shared" si="29"/>
        <v>62.068965516743049</v>
      </c>
      <c r="H630" s="1" t="s">
        <v>1</v>
      </c>
      <c r="I630" s="4" t="s">
        <v>2</v>
      </c>
      <c r="J630" s="14">
        <v>0.375</v>
      </c>
      <c r="K630" s="20" t="str">
        <f t="shared" si="28"/>
        <v>1st Shift</v>
      </c>
    </row>
    <row r="631" spans="1:11" x14ac:dyDescent="0.25">
      <c r="A631" s="1">
        <v>630</v>
      </c>
      <c r="B631" s="1">
        <v>3</v>
      </c>
      <c r="C631" s="3">
        <v>3115270310507</v>
      </c>
      <c r="D631" s="2">
        <v>44405.375</v>
      </c>
      <c r="E631" s="2">
        <v>44405.576388888891</v>
      </c>
      <c r="F631" s="23">
        <f t="shared" si="27"/>
        <v>0.20138888889050577</v>
      </c>
      <c r="G631" s="24">
        <f t="shared" si="29"/>
        <v>62.068965516743049</v>
      </c>
      <c r="H631" s="1" t="s">
        <v>1</v>
      </c>
      <c r="I631" s="4" t="s">
        <v>2</v>
      </c>
      <c r="J631" s="14">
        <v>0.375</v>
      </c>
      <c r="K631" s="20" t="str">
        <f t="shared" si="28"/>
        <v>1st Shift</v>
      </c>
    </row>
    <row r="632" spans="1:11" x14ac:dyDescent="0.25">
      <c r="A632" s="1">
        <v>631</v>
      </c>
      <c r="B632" s="1">
        <v>7</v>
      </c>
      <c r="C632" s="3">
        <v>7115271775503</v>
      </c>
      <c r="D632" s="2">
        <v>44405.625</v>
      </c>
      <c r="E632" s="2">
        <v>44405.895833333336</v>
      </c>
      <c r="F632" s="23">
        <f t="shared" si="27"/>
        <v>0.27083333333575865</v>
      </c>
      <c r="G632" s="24">
        <f t="shared" si="29"/>
        <v>46.153846153432845</v>
      </c>
      <c r="H632" s="1" t="s">
        <v>1</v>
      </c>
      <c r="I632" s="4" t="s">
        <v>2</v>
      </c>
      <c r="J632" s="14">
        <v>0.625</v>
      </c>
      <c r="K632" s="20" t="str">
        <f t="shared" si="28"/>
        <v>2nd Shift</v>
      </c>
    </row>
    <row r="633" spans="1:11" x14ac:dyDescent="0.25">
      <c r="A633" s="1">
        <v>632</v>
      </c>
      <c r="B633" s="1">
        <v>6</v>
      </c>
      <c r="C633" s="3">
        <v>6115271720801</v>
      </c>
      <c r="D633" s="2">
        <v>44405.625</v>
      </c>
      <c r="E633" s="2">
        <v>44405.895833333336</v>
      </c>
      <c r="F633" s="23">
        <f t="shared" si="27"/>
        <v>0.27083333333575865</v>
      </c>
      <c r="G633" s="24">
        <f t="shared" si="29"/>
        <v>46.153846153432845</v>
      </c>
      <c r="H633" s="1" t="s">
        <v>1</v>
      </c>
      <c r="I633" s="4" t="s">
        <v>4</v>
      </c>
      <c r="J633" s="14">
        <v>0.625</v>
      </c>
      <c r="K633" s="20" t="str">
        <f t="shared" si="28"/>
        <v>2nd Shift</v>
      </c>
    </row>
    <row r="634" spans="1:11" x14ac:dyDescent="0.25">
      <c r="A634" s="1">
        <v>633</v>
      </c>
      <c r="B634" s="1">
        <v>5</v>
      </c>
      <c r="C634" s="3">
        <v>5115271678201</v>
      </c>
      <c r="D634" s="2">
        <v>44405.625</v>
      </c>
      <c r="E634" s="2">
        <v>44405.895833333336</v>
      </c>
      <c r="F634" s="23">
        <f t="shared" si="27"/>
        <v>0.27083333333575865</v>
      </c>
      <c r="G634" s="24">
        <f t="shared" si="29"/>
        <v>46.153846153432845</v>
      </c>
      <c r="H634" s="1" t="s">
        <v>1</v>
      </c>
      <c r="I634" s="4" t="s">
        <v>2</v>
      </c>
      <c r="J634" s="14">
        <v>0.625</v>
      </c>
      <c r="K634" s="20" t="str">
        <f t="shared" si="28"/>
        <v>2nd Shift</v>
      </c>
    </row>
    <row r="635" spans="1:11" x14ac:dyDescent="0.25">
      <c r="A635" s="1">
        <v>634</v>
      </c>
      <c r="B635" s="1">
        <v>4</v>
      </c>
      <c r="C635" s="3">
        <v>4115271058300</v>
      </c>
      <c r="D635" s="2">
        <v>44405.625</v>
      </c>
      <c r="E635" s="2">
        <v>44405.895833333336</v>
      </c>
      <c r="F635" s="23">
        <f t="shared" si="27"/>
        <v>0.27083333333575865</v>
      </c>
      <c r="G635" s="24">
        <f t="shared" si="29"/>
        <v>46.153846153432845</v>
      </c>
      <c r="H635" s="1" t="s">
        <v>1</v>
      </c>
      <c r="I635" s="4" t="s">
        <v>2</v>
      </c>
      <c r="J635" s="14">
        <v>0.625</v>
      </c>
      <c r="K635" s="20" t="str">
        <f t="shared" si="28"/>
        <v>2nd Shift</v>
      </c>
    </row>
    <row r="636" spans="1:11" x14ac:dyDescent="0.25">
      <c r="A636" s="1">
        <v>635</v>
      </c>
      <c r="B636" s="1">
        <v>3</v>
      </c>
      <c r="C636" s="3">
        <v>3115270406500</v>
      </c>
      <c r="D636" s="2">
        <v>44405.625</v>
      </c>
      <c r="E636" s="2">
        <v>44405.895833333336</v>
      </c>
      <c r="F636" s="23">
        <f t="shared" si="27"/>
        <v>0.27083333333575865</v>
      </c>
      <c r="G636" s="24">
        <f t="shared" si="29"/>
        <v>46.153846153432845</v>
      </c>
      <c r="H636" s="1" t="s">
        <v>1</v>
      </c>
      <c r="I636" s="4" t="s">
        <v>2</v>
      </c>
      <c r="J636" s="14">
        <v>0.625</v>
      </c>
      <c r="K636" s="20" t="str">
        <f t="shared" si="28"/>
        <v>2nd Shift</v>
      </c>
    </row>
    <row r="637" spans="1:11" x14ac:dyDescent="0.25">
      <c r="A637" s="1">
        <v>636</v>
      </c>
      <c r="B637" s="1">
        <v>14</v>
      </c>
      <c r="C637" s="3">
        <v>14115271675184</v>
      </c>
      <c r="D637" s="2">
        <v>44405.947916666664</v>
      </c>
      <c r="E637" s="2">
        <v>44406.0625</v>
      </c>
      <c r="F637" s="23">
        <f t="shared" si="27"/>
        <v>0.11458333333575865</v>
      </c>
      <c r="G637" s="24">
        <f t="shared" si="29"/>
        <v>109.09090908860001</v>
      </c>
      <c r="H637" s="1" t="s">
        <v>1</v>
      </c>
      <c r="I637" s="4" t="s">
        <v>2</v>
      </c>
      <c r="J637" s="14">
        <v>0.94791666666666663</v>
      </c>
      <c r="K637" s="20" t="str">
        <f t="shared" si="28"/>
        <v>3rd Shift</v>
      </c>
    </row>
    <row r="638" spans="1:11" x14ac:dyDescent="0.25">
      <c r="A638" s="1">
        <v>637</v>
      </c>
      <c r="B638" s="1">
        <v>13</v>
      </c>
      <c r="C638" s="3">
        <v>13115271591204</v>
      </c>
      <c r="D638" s="2">
        <v>44405.947916666664</v>
      </c>
      <c r="E638" s="2">
        <v>44406.0625</v>
      </c>
      <c r="F638" s="23">
        <f t="shared" si="27"/>
        <v>0.11458333333575865</v>
      </c>
      <c r="G638" s="24">
        <f t="shared" si="29"/>
        <v>109.09090908860001</v>
      </c>
      <c r="H638" s="1" t="s">
        <v>1</v>
      </c>
      <c r="I638" s="4" t="s">
        <v>3</v>
      </c>
      <c r="J638" s="14">
        <v>0.94791666666666663</v>
      </c>
      <c r="K638" s="20" t="str">
        <f t="shared" si="28"/>
        <v>3rd Shift</v>
      </c>
    </row>
    <row r="639" spans="1:11" x14ac:dyDescent="0.25">
      <c r="A639" s="1">
        <v>638</v>
      </c>
      <c r="B639" s="1">
        <v>10</v>
      </c>
      <c r="C639" s="3">
        <v>10115270979905</v>
      </c>
      <c r="D639" s="2">
        <v>44405.947916666664</v>
      </c>
      <c r="E639" s="2">
        <v>44406.0625</v>
      </c>
      <c r="F639" s="23">
        <f t="shared" si="27"/>
        <v>0.11458333333575865</v>
      </c>
      <c r="G639" s="24">
        <f t="shared" si="29"/>
        <v>109.09090908860001</v>
      </c>
      <c r="H639" s="1" t="s">
        <v>1</v>
      </c>
      <c r="I639" s="4" t="s">
        <v>2</v>
      </c>
      <c r="J639" s="14">
        <v>0.94791666666666663</v>
      </c>
      <c r="K639" s="20" t="str">
        <f t="shared" si="28"/>
        <v>3rd Shift</v>
      </c>
    </row>
    <row r="640" spans="1:11" x14ac:dyDescent="0.25">
      <c r="A640" s="1">
        <v>639</v>
      </c>
      <c r="B640" s="1">
        <v>6</v>
      </c>
      <c r="C640" s="3">
        <v>6115271748907</v>
      </c>
      <c r="D640" s="2">
        <v>44406.354166666664</v>
      </c>
      <c r="E640" s="2">
        <v>44406.520833333336</v>
      </c>
      <c r="F640" s="23">
        <f t="shared" si="27"/>
        <v>0.16666666667151731</v>
      </c>
      <c r="G640" s="24">
        <f t="shared" si="29"/>
        <v>74.999999997817213</v>
      </c>
      <c r="H640" s="1" t="s">
        <v>1</v>
      </c>
      <c r="I640" s="4" t="s">
        <v>4</v>
      </c>
      <c r="J640" s="14">
        <v>0.35416666666666669</v>
      </c>
      <c r="K640" s="20" t="str">
        <f t="shared" si="28"/>
        <v>1st Shift</v>
      </c>
    </row>
    <row r="641" spans="1:11" x14ac:dyDescent="0.25">
      <c r="A641" s="1">
        <v>640</v>
      </c>
      <c r="B641" s="1">
        <v>6</v>
      </c>
      <c r="C641" s="3">
        <v>6115271748906</v>
      </c>
      <c r="D641" s="2">
        <v>44406.354166666664</v>
      </c>
      <c r="E641" s="2">
        <v>44406.520833333336</v>
      </c>
      <c r="F641" s="23">
        <f t="shared" si="27"/>
        <v>0.16666666667151731</v>
      </c>
      <c r="G641" s="24">
        <f t="shared" si="29"/>
        <v>74.999999997817213</v>
      </c>
      <c r="H641" s="1" t="s">
        <v>1</v>
      </c>
      <c r="I641" s="4" t="s">
        <v>2</v>
      </c>
      <c r="J641" s="14">
        <v>0.35416666666666669</v>
      </c>
      <c r="K641" s="20" t="str">
        <f t="shared" si="28"/>
        <v>1st Shift</v>
      </c>
    </row>
    <row r="642" spans="1:11" x14ac:dyDescent="0.25">
      <c r="A642" s="1">
        <v>641</v>
      </c>
      <c r="B642" s="1">
        <v>6</v>
      </c>
      <c r="C642" s="3">
        <v>6115271748906</v>
      </c>
      <c r="D642" s="2">
        <v>44406.354166666664</v>
      </c>
      <c r="E642" s="2">
        <v>44406.520833333336</v>
      </c>
      <c r="F642" s="23">
        <f t="shared" ref="F642:F705" si="30">E642-D642</f>
        <v>0.16666666667151731</v>
      </c>
      <c r="G642" s="24">
        <f t="shared" si="29"/>
        <v>74.999999997817213</v>
      </c>
      <c r="H642" s="1" t="s">
        <v>1</v>
      </c>
      <c r="I642" s="4" t="s">
        <v>3</v>
      </c>
      <c r="J642" s="14">
        <v>0.35416666666666669</v>
      </c>
      <c r="K642" s="20" t="str">
        <f t="shared" ref="K642:K705" si="31">IF(AND(J642&gt;=$M$3,J642&lt;$M$4),"1st Shift",IF(AND(J642&gt;=$M$4,J642&lt;$M$5),"2nd Shift","3rd Shift"))</f>
        <v>1st Shift</v>
      </c>
    </row>
    <row r="643" spans="1:11" x14ac:dyDescent="0.25">
      <c r="A643" s="1">
        <v>642</v>
      </c>
      <c r="B643" s="1">
        <v>4</v>
      </c>
      <c r="C643" s="3">
        <v>4115270825708</v>
      </c>
      <c r="D643" s="2">
        <v>44406.354166666664</v>
      </c>
      <c r="E643" s="2">
        <v>44406.520833333336</v>
      </c>
      <c r="F643" s="23">
        <f t="shared" si="30"/>
        <v>0.16666666667151731</v>
      </c>
      <c r="G643" s="24">
        <f t="shared" ref="G643:G706" si="32">$M$9/F643*100</f>
        <v>74.999999997817213</v>
      </c>
      <c r="H643" s="1" t="s">
        <v>1</v>
      </c>
      <c r="I643" s="4" t="s">
        <v>3</v>
      </c>
      <c r="J643" s="14">
        <v>0.35416666666666669</v>
      </c>
      <c r="K643" s="20" t="str">
        <f t="shared" si="31"/>
        <v>1st Shift</v>
      </c>
    </row>
    <row r="644" spans="1:11" x14ac:dyDescent="0.25">
      <c r="A644" s="1">
        <v>643</v>
      </c>
      <c r="B644" s="1">
        <v>4</v>
      </c>
      <c r="C644" s="3">
        <v>4115270825703</v>
      </c>
      <c r="D644" s="2">
        <v>44406.354166666664</v>
      </c>
      <c r="E644" s="2">
        <v>44406.520833333336</v>
      </c>
      <c r="F644" s="23">
        <f t="shared" si="30"/>
        <v>0.16666666667151731</v>
      </c>
      <c r="G644" s="24">
        <f t="shared" si="32"/>
        <v>74.999999997817213</v>
      </c>
      <c r="H644" s="1" t="s">
        <v>1</v>
      </c>
      <c r="I644" s="4" t="s">
        <v>2</v>
      </c>
      <c r="J644" s="14">
        <v>0.35416666666666669</v>
      </c>
      <c r="K644" s="20" t="str">
        <f t="shared" si="31"/>
        <v>1st Shift</v>
      </c>
    </row>
    <row r="645" spans="1:11" x14ac:dyDescent="0.25">
      <c r="A645" s="1">
        <v>644</v>
      </c>
      <c r="B645" s="1">
        <v>4</v>
      </c>
      <c r="C645" s="3">
        <v>4115270825702</v>
      </c>
      <c r="D645" s="2">
        <v>44406.354166666664</v>
      </c>
      <c r="E645" s="2">
        <v>44406.520833333336</v>
      </c>
      <c r="F645" s="23">
        <f t="shared" si="30"/>
        <v>0.16666666667151731</v>
      </c>
      <c r="G645" s="24">
        <f t="shared" si="32"/>
        <v>74.999999997817213</v>
      </c>
      <c r="H645" s="1" t="s">
        <v>1</v>
      </c>
      <c r="I645" s="4" t="s">
        <v>2</v>
      </c>
      <c r="J645" s="14">
        <v>0.35416666666666669</v>
      </c>
      <c r="K645" s="20" t="str">
        <f t="shared" si="31"/>
        <v>1st Shift</v>
      </c>
    </row>
    <row r="646" spans="1:11" x14ac:dyDescent="0.25">
      <c r="A646" s="1">
        <v>645</v>
      </c>
      <c r="B646" s="1">
        <v>1</v>
      </c>
      <c r="C646" s="3">
        <v>1115270097409</v>
      </c>
      <c r="D646" s="2">
        <v>44406.354166666664</v>
      </c>
      <c r="E646" s="2">
        <v>44406.520833333336</v>
      </c>
      <c r="F646" s="23">
        <f t="shared" si="30"/>
        <v>0.16666666667151731</v>
      </c>
      <c r="G646" s="24">
        <f t="shared" si="32"/>
        <v>74.999999997817213</v>
      </c>
      <c r="H646" s="1" t="s">
        <v>1</v>
      </c>
      <c r="I646" s="4" t="s">
        <v>4</v>
      </c>
      <c r="J646" s="14">
        <v>0.35416666666666669</v>
      </c>
      <c r="K646" s="20" t="str">
        <f t="shared" si="31"/>
        <v>1st Shift</v>
      </c>
    </row>
    <row r="647" spans="1:11" x14ac:dyDescent="0.25">
      <c r="A647" s="1">
        <v>646</v>
      </c>
      <c r="B647" s="1">
        <v>1</v>
      </c>
      <c r="C647" s="3">
        <v>1115270097401</v>
      </c>
      <c r="D647" s="2">
        <v>44406.354166666664</v>
      </c>
      <c r="E647" s="2">
        <v>44406.520833333336</v>
      </c>
      <c r="F647" s="23">
        <f t="shared" si="30"/>
        <v>0.16666666667151731</v>
      </c>
      <c r="G647" s="24">
        <f t="shared" si="32"/>
        <v>74.999999997817213</v>
      </c>
      <c r="H647" s="1" t="s">
        <v>1</v>
      </c>
      <c r="I647" s="4" t="s">
        <v>2</v>
      </c>
      <c r="J647" s="14">
        <v>0.35416666666666669</v>
      </c>
      <c r="K647" s="20" t="str">
        <f t="shared" si="31"/>
        <v>1st Shift</v>
      </c>
    </row>
    <row r="648" spans="1:11" x14ac:dyDescent="0.25">
      <c r="A648" s="1">
        <v>647</v>
      </c>
      <c r="B648" s="1">
        <v>1</v>
      </c>
      <c r="C648" s="3">
        <v>1115270097400</v>
      </c>
      <c r="D648" s="2">
        <v>44406.354166666664</v>
      </c>
      <c r="E648" s="2">
        <v>44406.520833333336</v>
      </c>
      <c r="F648" s="23">
        <f t="shared" si="30"/>
        <v>0.16666666667151731</v>
      </c>
      <c r="G648" s="24">
        <f t="shared" si="32"/>
        <v>74.999999997817213</v>
      </c>
      <c r="H648" s="1" t="s">
        <v>1</v>
      </c>
      <c r="I648" s="4" t="s">
        <v>2</v>
      </c>
      <c r="J648" s="14">
        <v>0.35416666666666669</v>
      </c>
      <c r="K648" s="20" t="str">
        <f t="shared" si="31"/>
        <v>1st Shift</v>
      </c>
    </row>
    <row r="649" spans="1:11" x14ac:dyDescent="0.25">
      <c r="A649" s="1">
        <v>648</v>
      </c>
      <c r="B649" s="1">
        <v>7</v>
      </c>
      <c r="C649" s="3">
        <v>7115271767501</v>
      </c>
      <c r="D649" s="2">
        <v>44406.666666666664</v>
      </c>
      <c r="E649" s="2">
        <v>44406.833333333336</v>
      </c>
      <c r="F649" s="23">
        <f t="shared" si="30"/>
        <v>0.16666666667151731</v>
      </c>
      <c r="G649" s="24">
        <f t="shared" si="32"/>
        <v>74.999999997817213</v>
      </c>
      <c r="H649" s="1" t="s">
        <v>1</v>
      </c>
      <c r="I649" s="4" t="s">
        <v>2</v>
      </c>
      <c r="J649" s="14">
        <v>0.66666666666666663</v>
      </c>
      <c r="K649" s="20" t="str">
        <f t="shared" si="31"/>
        <v>2nd Shift</v>
      </c>
    </row>
    <row r="650" spans="1:11" x14ac:dyDescent="0.25">
      <c r="A650" s="1">
        <v>649</v>
      </c>
      <c r="B650" s="1">
        <v>7</v>
      </c>
      <c r="C650" s="3">
        <v>7115271767500</v>
      </c>
      <c r="D650" s="2">
        <v>44406.666666666664</v>
      </c>
      <c r="E650" s="2">
        <v>44406.833333333336</v>
      </c>
      <c r="F650" s="23">
        <f t="shared" si="30"/>
        <v>0.16666666667151731</v>
      </c>
      <c r="G650" s="24">
        <f t="shared" si="32"/>
        <v>74.999999997817213</v>
      </c>
      <c r="H650" s="1" t="s">
        <v>1</v>
      </c>
      <c r="I650" s="4" t="s">
        <v>2</v>
      </c>
      <c r="J650" s="14">
        <v>0.66666666666666663</v>
      </c>
      <c r="K650" s="20" t="str">
        <f t="shared" si="31"/>
        <v>2nd Shift</v>
      </c>
    </row>
    <row r="651" spans="1:11" x14ac:dyDescent="0.25">
      <c r="A651" s="1">
        <v>650</v>
      </c>
      <c r="B651" s="1">
        <v>6</v>
      </c>
      <c r="C651" s="3">
        <v>6115271690509</v>
      </c>
      <c r="D651" s="2">
        <v>44406.666666666664</v>
      </c>
      <c r="E651" s="2">
        <v>44406.833333333336</v>
      </c>
      <c r="F651" s="23">
        <f t="shared" si="30"/>
        <v>0.16666666667151731</v>
      </c>
      <c r="G651" s="24">
        <f t="shared" si="32"/>
        <v>74.999999997817213</v>
      </c>
      <c r="H651" s="1" t="s">
        <v>1</v>
      </c>
      <c r="I651" s="4" t="s">
        <v>2</v>
      </c>
      <c r="J651" s="14">
        <v>0.66666666666666663</v>
      </c>
      <c r="K651" s="20" t="str">
        <f t="shared" si="31"/>
        <v>2nd Shift</v>
      </c>
    </row>
    <row r="652" spans="1:11" x14ac:dyDescent="0.25">
      <c r="A652" s="1">
        <v>651</v>
      </c>
      <c r="B652" s="1">
        <v>6</v>
      </c>
      <c r="C652" s="3">
        <v>6115271690505</v>
      </c>
      <c r="D652" s="2">
        <v>44406.666666666664</v>
      </c>
      <c r="E652" s="2">
        <v>44406.833333333336</v>
      </c>
      <c r="F652" s="23">
        <f t="shared" si="30"/>
        <v>0.16666666667151731</v>
      </c>
      <c r="G652" s="24">
        <f t="shared" si="32"/>
        <v>74.999999997817213</v>
      </c>
      <c r="H652" s="1" t="s">
        <v>1</v>
      </c>
      <c r="I652" s="4" t="s">
        <v>2</v>
      </c>
      <c r="J652" s="14">
        <v>0.66666666666666663</v>
      </c>
      <c r="K652" s="20" t="str">
        <f t="shared" si="31"/>
        <v>2nd Shift</v>
      </c>
    </row>
    <row r="653" spans="1:11" x14ac:dyDescent="0.25">
      <c r="A653" s="1">
        <v>652</v>
      </c>
      <c r="B653" s="1">
        <v>6</v>
      </c>
      <c r="C653" s="3">
        <v>6115271690504</v>
      </c>
      <c r="D653" s="2">
        <v>44406.666666666664</v>
      </c>
      <c r="E653" s="2">
        <v>44406.833333333336</v>
      </c>
      <c r="F653" s="23">
        <f t="shared" si="30"/>
        <v>0.16666666667151731</v>
      </c>
      <c r="G653" s="24">
        <f t="shared" si="32"/>
        <v>74.999999997817213</v>
      </c>
      <c r="H653" s="1" t="s">
        <v>1</v>
      </c>
      <c r="I653" s="4" t="s">
        <v>2</v>
      </c>
      <c r="J653" s="14">
        <v>0.66666666666666663</v>
      </c>
      <c r="K653" s="20" t="str">
        <f t="shared" si="31"/>
        <v>2nd Shift</v>
      </c>
    </row>
    <row r="654" spans="1:11" x14ac:dyDescent="0.25">
      <c r="A654" s="1">
        <v>653</v>
      </c>
      <c r="B654" s="1">
        <v>3</v>
      </c>
      <c r="C654" s="3">
        <v>3115270310905</v>
      </c>
      <c r="D654" s="2">
        <v>44406.666666666664</v>
      </c>
      <c r="E654" s="2">
        <v>44406.833333333336</v>
      </c>
      <c r="F654" s="23">
        <f t="shared" si="30"/>
        <v>0.16666666667151731</v>
      </c>
      <c r="G654" s="24">
        <f t="shared" si="32"/>
        <v>74.999999997817213</v>
      </c>
      <c r="H654" s="1" t="s">
        <v>1</v>
      </c>
      <c r="I654" s="4" t="s">
        <v>2</v>
      </c>
      <c r="J654" s="14">
        <v>0.66666666666666663</v>
      </c>
      <c r="K654" s="20" t="str">
        <f t="shared" si="31"/>
        <v>2nd Shift</v>
      </c>
    </row>
    <row r="655" spans="1:11" x14ac:dyDescent="0.25">
      <c r="A655" s="1">
        <v>654</v>
      </c>
      <c r="B655" s="1">
        <v>3</v>
      </c>
      <c r="C655" s="3">
        <v>3115270310901</v>
      </c>
      <c r="D655" s="2">
        <v>44406.666666666664</v>
      </c>
      <c r="E655" s="2">
        <v>44406.833333333336</v>
      </c>
      <c r="F655" s="23">
        <f t="shared" si="30"/>
        <v>0.16666666667151731</v>
      </c>
      <c r="G655" s="24">
        <f t="shared" si="32"/>
        <v>74.999999997817213</v>
      </c>
      <c r="H655" s="1" t="s">
        <v>1</v>
      </c>
      <c r="I655" s="4" t="s">
        <v>2</v>
      </c>
      <c r="J655" s="14">
        <v>0.66666666666666663</v>
      </c>
      <c r="K655" s="20" t="str">
        <f t="shared" si="31"/>
        <v>2nd Shift</v>
      </c>
    </row>
    <row r="656" spans="1:11" x14ac:dyDescent="0.25">
      <c r="A656" s="1">
        <v>655</v>
      </c>
      <c r="B656" s="1">
        <v>3</v>
      </c>
      <c r="C656" s="3">
        <v>3115270310900</v>
      </c>
      <c r="D656" s="2">
        <v>44406.666666666664</v>
      </c>
      <c r="E656" s="2">
        <v>44406.833333333336</v>
      </c>
      <c r="F656" s="23">
        <f t="shared" si="30"/>
        <v>0.16666666667151731</v>
      </c>
      <c r="G656" s="24">
        <f t="shared" si="32"/>
        <v>74.999999997817213</v>
      </c>
      <c r="H656" s="1" t="s">
        <v>1</v>
      </c>
      <c r="I656" s="4" t="s">
        <v>2</v>
      </c>
      <c r="J656" s="14">
        <v>0.66666666666666663</v>
      </c>
      <c r="K656" s="20" t="str">
        <f t="shared" si="31"/>
        <v>2nd Shift</v>
      </c>
    </row>
    <row r="657" spans="1:11" x14ac:dyDescent="0.25">
      <c r="A657" s="1">
        <v>656</v>
      </c>
      <c r="B657" s="1">
        <v>14</v>
      </c>
      <c r="C657" s="3">
        <v>14115271672412</v>
      </c>
      <c r="D657" s="2">
        <v>44407.4375</v>
      </c>
      <c r="E657" s="2">
        <v>44407.541666666664</v>
      </c>
      <c r="F657" s="23">
        <f t="shared" si="30"/>
        <v>0.10416666666424135</v>
      </c>
      <c r="G657" s="24">
        <f t="shared" si="32"/>
        <v>120.00000000279397</v>
      </c>
      <c r="H657" s="1" t="s">
        <v>1</v>
      </c>
      <c r="I657" s="4" t="s">
        <v>2</v>
      </c>
      <c r="J657" s="14">
        <v>0.4375</v>
      </c>
      <c r="K657" s="20" t="str">
        <f t="shared" si="31"/>
        <v>1st Shift</v>
      </c>
    </row>
    <row r="658" spans="1:11" x14ac:dyDescent="0.25">
      <c r="A658" s="1">
        <v>657</v>
      </c>
      <c r="B658" s="1">
        <v>14</v>
      </c>
      <c r="C658" s="3">
        <v>14115271672411</v>
      </c>
      <c r="D658" s="2">
        <v>44407.4375</v>
      </c>
      <c r="E658" s="2">
        <v>44407.541666666664</v>
      </c>
      <c r="F658" s="23">
        <f t="shared" si="30"/>
        <v>0.10416666666424135</v>
      </c>
      <c r="G658" s="24">
        <f t="shared" si="32"/>
        <v>120.00000000279397</v>
      </c>
      <c r="H658" s="1" t="s">
        <v>1</v>
      </c>
      <c r="I658" s="4" t="s">
        <v>3</v>
      </c>
      <c r="J658" s="14">
        <v>0.4375</v>
      </c>
      <c r="K658" s="20" t="str">
        <f t="shared" si="31"/>
        <v>1st Shift</v>
      </c>
    </row>
    <row r="659" spans="1:11" x14ac:dyDescent="0.25">
      <c r="A659" s="1">
        <v>658</v>
      </c>
      <c r="B659" s="1">
        <v>13</v>
      </c>
      <c r="C659" s="3">
        <v>13115271591108</v>
      </c>
      <c r="D659" s="2">
        <v>44407.4375</v>
      </c>
      <c r="E659" s="2">
        <v>44407.541666666664</v>
      </c>
      <c r="F659" s="23">
        <f t="shared" si="30"/>
        <v>0.10416666666424135</v>
      </c>
      <c r="G659" s="24">
        <f t="shared" si="32"/>
        <v>120.00000000279397</v>
      </c>
      <c r="H659" s="1" t="s">
        <v>1</v>
      </c>
      <c r="I659" s="4" t="s">
        <v>2</v>
      </c>
      <c r="J659" s="14">
        <v>0.4375</v>
      </c>
      <c r="K659" s="20" t="str">
        <f t="shared" si="31"/>
        <v>1st Shift</v>
      </c>
    </row>
    <row r="660" spans="1:11" x14ac:dyDescent="0.25">
      <c r="A660" s="1">
        <v>659</v>
      </c>
      <c r="B660" s="1">
        <v>13</v>
      </c>
      <c r="C660" s="3">
        <v>13115271591107</v>
      </c>
      <c r="D660" s="2">
        <v>44407.4375</v>
      </c>
      <c r="E660" s="2">
        <v>44407.541666666664</v>
      </c>
      <c r="F660" s="23">
        <f t="shared" si="30"/>
        <v>0.10416666666424135</v>
      </c>
      <c r="G660" s="24">
        <f t="shared" si="32"/>
        <v>120.00000000279397</v>
      </c>
      <c r="H660" s="1" t="s">
        <v>1</v>
      </c>
      <c r="I660" s="4" t="s">
        <v>2</v>
      </c>
      <c r="J660" s="14">
        <v>0.4375</v>
      </c>
      <c r="K660" s="20" t="str">
        <f t="shared" si="31"/>
        <v>1st Shift</v>
      </c>
    </row>
    <row r="661" spans="1:11" x14ac:dyDescent="0.25">
      <c r="A661" s="1">
        <v>660</v>
      </c>
      <c r="B661" s="1">
        <v>12</v>
      </c>
      <c r="C661" s="3">
        <v>12115271566004</v>
      </c>
      <c r="D661" s="2">
        <v>44407.4375</v>
      </c>
      <c r="E661" s="2">
        <v>44407.541666666664</v>
      </c>
      <c r="F661" s="23">
        <f t="shared" si="30"/>
        <v>0.10416666666424135</v>
      </c>
      <c r="G661" s="24">
        <f t="shared" si="32"/>
        <v>120.00000000279397</v>
      </c>
      <c r="H661" s="1" t="s">
        <v>1</v>
      </c>
      <c r="I661" s="4" t="s">
        <v>3</v>
      </c>
      <c r="J661" s="14">
        <v>0.4375</v>
      </c>
      <c r="K661" s="20" t="str">
        <f t="shared" si="31"/>
        <v>1st Shift</v>
      </c>
    </row>
    <row r="662" spans="1:11" x14ac:dyDescent="0.25">
      <c r="A662" s="1">
        <v>661</v>
      </c>
      <c r="B662" s="1">
        <v>12</v>
      </c>
      <c r="C662" s="3">
        <v>12115271566003</v>
      </c>
      <c r="D662" s="2">
        <v>44407.4375</v>
      </c>
      <c r="E662" s="2">
        <v>44407.541666666664</v>
      </c>
      <c r="F662" s="23">
        <f t="shared" si="30"/>
        <v>0.10416666666424135</v>
      </c>
      <c r="G662" s="24">
        <f t="shared" si="32"/>
        <v>120.00000000279397</v>
      </c>
      <c r="H662" s="1" t="s">
        <v>1</v>
      </c>
      <c r="I662" s="4" t="s">
        <v>2</v>
      </c>
      <c r="J662" s="14">
        <v>0.4375</v>
      </c>
      <c r="K662" s="20" t="str">
        <f t="shared" si="31"/>
        <v>1st Shift</v>
      </c>
    </row>
    <row r="663" spans="1:11" x14ac:dyDescent="0.25">
      <c r="A663" s="1">
        <v>662</v>
      </c>
      <c r="B663" s="1">
        <v>12</v>
      </c>
      <c r="C663" s="3">
        <v>12115271563003</v>
      </c>
      <c r="D663" s="2">
        <v>44407.4375</v>
      </c>
      <c r="E663" s="2">
        <v>44407.541666666664</v>
      </c>
      <c r="F663" s="23">
        <f t="shared" si="30"/>
        <v>0.10416666666424135</v>
      </c>
      <c r="G663" s="24">
        <f t="shared" si="32"/>
        <v>120.00000000279397</v>
      </c>
      <c r="H663" s="1" t="s">
        <v>1</v>
      </c>
      <c r="I663" s="4" t="s">
        <v>2</v>
      </c>
      <c r="J663" s="14">
        <v>0.4375</v>
      </c>
      <c r="K663" s="20" t="str">
        <f t="shared" si="31"/>
        <v>1st Shift</v>
      </c>
    </row>
    <row r="664" spans="1:11" x14ac:dyDescent="0.25">
      <c r="A664" s="1">
        <v>663</v>
      </c>
      <c r="B664" s="1">
        <v>12</v>
      </c>
      <c r="C664" s="3">
        <v>12115271563002</v>
      </c>
      <c r="D664" s="2">
        <v>44407.4375</v>
      </c>
      <c r="E664" s="2">
        <v>44407.541666666664</v>
      </c>
      <c r="F664" s="23">
        <f t="shared" si="30"/>
        <v>0.10416666666424135</v>
      </c>
      <c r="G664" s="24">
        <f t="shared" si="32"/>
        <v>120.00000000279397</v>
      </c>
      <c r="H664" s="1" t="s">
        <v>1</v>
      </c>
      <c r="I664" s="4" t="s">
        <v>2</v>
      </c>
      <c r="J664" s="14">
        <v>0.4375</v>
      </c>
      <c r="K664" s="20" t="str">
        <f t="shared" si="31"/>
        <v>1st Shift</v>
      </c>
    </row>
    <row r="665" spans="1:11" x14ac:dyDescent="0.25">
      <c r="A665" s="1">
        <v>664</v>
      </c>
      <c r="B665" s="1">
        <v>6</v>
      </c>
      <c r="C665" s="3">
        <v>6115271750905</v>
      </c>
      <c r="D665" s="2">
        <v>44407.708333333336</v>
      </c>
      <c r="E665" s="2">
        <v>44407.895833333336</v>
      </c>
      <c r="F665" s="23">
        <f t="shared" si="30"/>
        <v>0.1875</v>
      </c>
      <c r="G665" s="24">
        <f t="shared" si="32"/>
        <v>66.666666666666657</v>
      </c>
      <c r="H665" s="1" t="s">
        <v>1</v>
      </c>
      <c r="I665" s="4" t="s">
        <v>2</v>
      </c>
      <c r="J665" s="14">
        <v>0.70833333333333337</v>
      </c>
      <c r="K665" s="20" t="str">
        <f t="shared" si="31"/>
        <v>2nd Shift</v>
      </c>
    </row>
    <row r="666" spans="1:11" x14ac:dyDescent="0.25">
      <c r="A666" s="1">
        <v>665</v>
      </c>
      <c r="B666" s="1">
        <v>6</v>
      </c>
      <c r="C666" s="3">
        <v>6115271750904</v>
      </c>
      <c r="D666" s="2">
        <v>44407.708333333336</v>
      </c>
      <c r="E666" s="2">
        <v>44407.895833333336</v>
      </c>
      <c r="F666" s="23">
        <f t="shared" si="30"/>
        <v>0.1875</v>
      </c>
      <c r="G666" s="24">
        <f t="shared" si="32"/>
        <v>66.666666666666657</v>
      </c>
      <c r="H666" s="1" t="s">
        <v>1</v>
      </c>
      <c r="I666" s="4" t="s">
        <v>2</v>
      </c>
      <c r="J666" s="14">
        <v>0.70833333333333337</v>
      </c>
      <c r="K666" s="20" t="str">
        <f t="shared" si="31"/>
        <v>2nd Shift</v>
      </c>
    </row>
    <row r="667" spans="1:11" x14ac:dyDescent="0.25">
      <c r="A667" s="1">
        <v>666</v>
      </c>
      <c r="B667" s="1">
        <v>6</v>
      </c>
      <c r="C667" s="3">
        <v>6115271736209</v>
      </c>
      <c r="D667" s="2">
        <v>44407.708333333336</v>
      </c>
      <c r="E667" s="2">
        <v>44407.895833333336</v>
      </c>
      <c r="F667" s="23">
        <f t="shared" si="30"/>
        <v>0.1875</v>
      </c>
      <c r="G667" s="24">
        <f t="shared" si="32"/>
        <v>66.666666666666657</v>
      </c>
      <c r="H667" s="1" t="s">
        <v>1</v>
      </c>
      <c r="I667" s="4" t="s">
        <v>3</v>
      </c>
      <c r="J667" s="14">
        <v>0.70833333333333337</v>
      </c>
      <c r="K667" s="20" t="str">
        <f t="shared" si="31"/>
        <v>2nd Shift</v>
      </c>
    </row>
    <row r="668" spans="1:11" x14ac:dyDescent="0.25">
      <c r="A668" s="1">
        <v>667</v>
      </c>
      <c r="B668" s="1">
        <v>6</v>
      </c>
      <c r="C668" s="3">
        <v>6115271736208</v>
      </c>
      <c r="D668" s="2">
        <v>44407.708333333336</v>
      </c>
      <c r="E668" s="2">
        <v>44407.895833333336</v>
      </c>
      <c r="F668" s="23">
        <f t="shared" si="30"/>
        <v>0.1875</v>
      </c>
      <c r="G668" s="24">
        <f t="shared" si="32"/>
        <v>66.666666666666657</v>
      </c>
      <c r="H668" s="1" t="s">
        <v>1</v>
      </c>
      <c r="I668" s="4" t="s">
        <v>2</v>
      </c>
      <c r="J668" s="14">
        <v>0.70833333333333337</v>
      </c>
      <c r="K668" s="20" t="str">
        <f t="shared" si="31"/>
        <v>2nd Shift</v>
      </c>
    </row>
    <row r="669" spans="1:11" x14ac:dyDescent="0.25">
      <c r="A669" s="1">
        <v>668</v>
      </c>
      <c r="B669" s="1">
        <v>5</v>
      </c>
      <c r="C669" s="3">
        <v>5115271284801</v>
      </c>
      <c r="D669" s="2">
        <v>44407.708333333336</v>
      </c>
      <c r="E669" s="2">
        <v>44407.895833333336</v>
      </c>
      <c r="F669" s="23">
        <f t="shared" si="30"/>
        <v>0.1875</v>
      </c>
      <c r="G669" s="24">
        <f t="shared" si="32"/>
        <v>66.666666666666657</v>
      </c>
      <c r="H669" s="1" t="s">
        <v>1</v>
      </c>
      <c r="I669" s="4" t="s">
        <v>2</v>
      </c>
      <c r="J669" s="14">
        <v>0.70833333333333337</v>
      </c>
      <c r="K669" s="20" t="str">
        <f t="shared" si="31"/>
        <v>2nd Shift</v>
      </c>
    </row>
    <row r="670" spans="1:11" x14ac:dyDescent="0.25">
      <c r="A670" s="1">
        <v>669</v>
      </c>
      <c r="B670" s="1">
        <v>5</v>
      </c>
      <c r="C670" s="3">
        <v>5115271284800</v>
      </c>
      <c r="D670" s="2">
        <v>44407.708333333336</v>
      </c>
      <c r="E670" s="2">
        <v>44407.895833333336</v>
      </c>
      <c r="F670" s="23">
        <f t="shared" si="30"/>
        <v>0.1875</v>
      </c>
      <c r="G670" s="24">
        <f t="shared" si="32"/>
        <v>66.666666666666657</v>
      </c>
      <c r="H670" s="1" t="s">
        <v>1</v>
      </c>
      <c r="I670" s="4" t="s">
        <v>2</v>
      </c>
      <c r="J670" s="14">
        <v>0.70833333333333337</v>
      </c>
      <c r="K670" s="20" t="str">
        <f t="shared" si="31"/>
        <v>2nd Shift</v>
      </c>
    </row>
    <row r="671" spans="1:11" x14ac:dyDescent="0.25">
      <c r="A671" s="1">
        <v>670</v>
      </c>
      <c r="B671" s="1">
        <v>3</v>
      </c>
      <c r="C671" s="3">
        <v>3115270306606</v>
      </c>
      <c r="D671" s="2">
        <v>44407.708333333336</v>
      </c>
      <c r="E671" s="2">
        <v>44407.895833333336</v>
      </c>
      <c r="F671" s="23">
        <f t="shared" si="30"/>
        <v>0.1875</v>
      </c>
      <c r="G671" s="24">
        <f t="shared" si="32"/>
        <v>66.666666666666657</v>
      </c>
      <c r="H671" s="1" t="s">
        <v>1</v>
      </c>
      <c r="I671" s="4" t="s">
        <v>2</v>
      </c>
      <c r="J671" s="14">
        <v>0.70833333333333337</v>
      </c>
      <c r="K671" s="20" t="str">
        <f t="shared" si="31"/>
        <v>2nd Shift</v>
      </c>
    </row>
    <row r="672" spans="1:11" x14ac:dyDescent="0.25">
      <c r="A672" s="1">
        <v>671</v>
      </c>
      <c r="B672" s="1">
        <v>3</v>
      </c>
      <c r="C672" s="3">
        <v>3115270306605</v>
      </c>
      <c r="D672" s="2">
        <v>44407.708333333336</v>
      </c>
      <c r="E672" s="2">
        <v>44407.895833333336</v>
      </c>
      <c r="F672" s="23">
        <f t="shared" si="30"/>
        <v>0.1875</v>
      </c>
      <c r="G672" s="24">
        <f t="shared" si="32"/>
        <v>66.666666666666657</v>
      </c>
      <c r="H672" s="1" t="s">
        <v>1</v>
      </c>
      <c r="I672" s="4" t="s">
        <v>2</v>
      </c>
      <c r="J672" s="14">
        <v>0.70833333333333337</v>
      </c>
      <c r="K672" s="20" t="str">
        <f t="shared" si="31"/>
        <v>2nd Shift</v>
      </c>
    </row>
    <row r="673" spans="1:11" x14ac:dyDescent="0.25">
      <c r="A673" s="1">
        <v>672</v>
      </c>
      <c r="B673" s="1">
        <v>8</v>
      </c>
      <c r="C673" s="3">
        <v>8115271809918</v>
      </c>
      <c r="D673" s="2">
        <v>44407.958333333336</v>
      </c>
      <c r="E673" s="2">
        <v>44408.041666666664</v>
      </c>
      <c r="F673" s="23">
        <f t="shared" si="30"/>
        <v>8.3333333328482695E-2</v>
      </c>
      <c r="G673" s="24">
        <f t="shared" si="32"/>
        <v>150.00000000873115</v>
      </c>
      <c r="H673" s="1" t="s">
        <v>1</v>
      </c>
      <c r="I673" s="4" t="s">
        <v>3</v>
      </c>
      <c r="J673" s="14">
        <v>0.95833333333333337</v>
      </c>
      <c r="K673" s="20" t="str">
        <f t="shared" si="31"/>
        <v>3rd Shift</v>
      </c>
    </row>
    <row r="674" spans="1:11" x14ac:dyDescent="0.25">
      <c r="A674" s="1">
        <v>673</v>
      </c>
      <c r="B674" s="1">
        <v>8</v>
      </c>
      <c r="C674" s="3">
        <v>8115271809911</v>
      </c>
      <c r="D674" s="2">
        <v>44407.958333333336</v>
      </c>
      <c r="E674" s="2">
        <v>44408.041666666664</v>
      </c>
      <c r="F674" s="23">
        <f t="shared" si="30"/>
        <v>8.3333333328482695E-2</v>
      </c>
      <c r="G674" s="24">
        <f t="shared" si="32"/>
        <v>150.00000000873115</v>
      </c>
      <c r="H674" s="1" t="s">
        <v>1</v>
      </c>
      <c r="I674" s="4" t="s">
        <v>3</v>
      </c>
      <c r="J674" s="14">
        <v>0.95833333333333337</v>
      </c>
      <c r="K674" s="20" t="str">
        <f t="shared" si="31"/>
        <v>3rd Shift</v>
      </c>
    </row>
    <row r="675" spans="1:11" x14ac:dyDescent="0.25">
      <c r="A675" s="1">
        <v>674</v>
      </c>
      <c r="B675" s="1">
        <v>8</v>
      </c>
      <c r="C675" s="3">
        <v>8115271809910</v>
      </c>
      <c r="D675" s="2">
        <v>44407.958333333336</v>
      </c>
      <c r="E675" s="2">
        <v>44408.041666666664</v>
      </c>
      <c r="F675" s="23">
        <f t="shared" si="30"/>
        <v>8.3333333328482695E-2</v>
      </c>
      <c r="G675" s="24">
        <f t="shared" si="32"/>
        <v>150.00000000873115</v>
      </c>
      <c r="H675" s="1" t="s">
        <v>1</v>
      </c>
      <c r="I675" s="4" t="s">
        <v>2</v>
      </c>
      <c r="J675" s="14">
        <v>0.95833333333333337</v>
      </c>
      <c r="K675" s="20" t="str">
        <f t="shared" si="31"/>
        <v>3rd Shift</v>
      </c>
    </row>
    <row r="676" spans="1:11" x14ac:dyDescent="0.25">
      <c r="A676" s="1">
        <v>675</v>
      </c>
      <c r="B676" s="1">
        <v>6</v>
      </c>
      <c r="C676" s="3">
        <v>6115271741609</v>
      </c>
      <c r="D676" s="2">
        <v>44407.958333333336</v>
      </c>
      <c r="E676" s="2">
        <v>44408.041666666664</v>
      </c>
      <c r="F676" s="23">
        <f t="shared" si="30"/>
        <v>8.3333333328482695E-2</v>
      </c>
      <c r="G676" s="24">
        <f t="shared" si="32"/>
        <v>150.00000000873115</v>
      </c>
      <c r="H676" s="1" t="s">
        <v>1</v>
      </c>
      <c r="I676" s="4" t="s">
        <v>2</v>
      </c>
      <c r="J676" s="14">
        <v>0.95833333333333337</v>
      </c>
      <c r="K676" s="20" t="str">
        <f t="shared" si="31"/>
        <v>3rd Shift</v>
      </c>
    </row>
    <row r="677" spans="1:11" x14ac:dyDescent="0.25">
      <c r="A677" s="1">
        <v>676</v>
      </c>
      <c r="B677" s="1">
        <v>6</v>
      </c>
      <c r="C677" s="3">
        <v>6115271741609</v>
      </c>
      <c r="D677" s="2">
        <v>44408.958333333336</v>
      </c>
      <c r="E677" s="2">
        <v>44409.041666666664</v>
      </c>
      <c r="F677" s="23">
        <f t="shared" si="30"/>
        <v>8.3333333328482695E-2</v>
      </c>
      <c r="G677" s="24">
        <f t="shared" si="32"/>
        <v>150.00000000873115</v>
      </c>
      <c r="H677" s="1" t="s">
        <v>1</v>
      </c>
      <c r="I677" s="4" t="s">
        <v>2</v>
      </c>
      <c r="J677" s="14">
        <v>0.95833333333333337</v>
      </c>
      <c r="K677" s="20" t="str">
        <f t="shared" si="31"/>
        <v>3rd Shift</v>
      </c>
    </row>
    <row r="678" spans="1:11" x14ac:dyDescent="0.25">
      <c r="A678" s="1">
        <v>677</v>
      </c>
      <c r="B678" s="1">
        <v>6</v>
      </c>
      <c r="C678" s="3">
        <v>6115271741608</v>
      </c>
      <c r="D678" s="2">
        <v>44408.958333333336</v>
      </c>
      <c r="E678" s="2">
        <v>44409.041666666664</v>
      </c>
      <c r="F678" s="23">
        <f t="shared" si="30"/>
        <v>8.3333333328482695E-2</v>
      </c>
      <c r="G678" s="24">
        <f t="shared" si="32"/>
        <v>150.00000000873115</v>
      </c>
      <c r="H678" s="1" t="s">
        <v>1</v>
      </c>
      <c r="I678" s="4" t="s">
        <v>2</v>
      </c>
      <c r="J678" s="14">
        <v>0.95833333333333337</v>
      </c>
      <c r="K678" s="20" t="str">
        <f t="shared" si="31"/>
        <v>3rd Shift</v>
      </c>
    </row>
    <row r="679" spans="1:11" x14ac:dyDescent="0.25">
      <c r="A679" s="1">
        <v>678</v>
      </c>
      <c r="B679" s="1">
        <v>6</v>
      </c>
      <c r="C679" s="3">
        <v>6115271741607</v>
      </c>
      <c r="D679" s="2">
        <v>44408.958333333336</v>
      </c>
      <c r="E679" s="2">
        <v>44409.041666666664</v>
      </c>
      <c r="F679" s="23">
        <f t="shared" si="30"/>
        <v>8.3333333328482695E-2</v>
      </c>
      <c r="G679" s="24">
        <f t="shared" si="32"/>
        <v>150.00000000873115</v>
      </c>
      <c r="H679" s="1" t="s">
        <v>1</v>
      </c>
      <c r="I679" s="4" t="s">
        <v>2</v>
      </c>
      <c r="J679" s="14">
        <v>0.95833333333333337</v>
      </c>
      <c r="K679" s="20" t="str">
        <f t="shared" si="31"/>
        <v>3rd Shift</v>
      </c>
    </row>
    <row r="680" spans="1:11" x14ac:dyDescent="0.25">
      <c r="A680" s="1">
        <v>679</v>
      </c>
      <c r="B680" s="1">
        <v>6</v>
      </c>
      <c r="C680" s="3">
        <v>6115271741601</v>
      </c>
      <c r="D680" s="2">
        <v>44407.958333333336</v>
      </c>
      <c r="E680" s="2">
        <v>44408.041666666664</v>
      </c>
      <c r="F680" s="23">
        <f t="shared" si="30"/>
        <v>8.3333333328482695E-2</v>
      </c>
      <c r="G680" s="24">
        <f t="shared" si="32"/>
        <v>150.00000000873115</v>
      </c>
      <c r="H680" s="1" t="s">
        <v>1</v>
      </c>
      <c r="I680" s="4" t="s">
        <v>2</v>
      </c>
      <c r="J680" s="14">
        <v>0.95833333333333337</v>
      </c>
      <c r="K680" s="20" t="str">
        <f t="shared" si="31"/>
        <v>3rd Shift</v>
      </c>
    </row>
    <row r="681" spans="1:11" x14ac:dyDescent="0.25">
      <c r="A681" s="1">
        <v>680</v>
      </c>
      <c r="B681" s="1">
        <v>6</v>
      </c>
      <c r="C681" s="3">
        <v>6115271741600</v>
      </c>
      <c r="D681" s="2">
        <v>44407.958333333336</v>
      </c>
      <c r="E681" s="2">
        <v>44408.041666666664</v>
      </c>
      <c r="F681" s="23">
        <f t="shared" si="30"/>
        <v>8.3333333328482695E-2</v>
      </c>
      <c r="G681" s="24">
        <f t="shared" si="32"/>
        <v>150.00000000873115</v>
      </c>
      <c r="H681" s="1" t="s">
        <v>1</v>
      </c>
      <c r="I681" s="4" t="s">
        <v>2</v>
      </c>
      <c r="J681" s="14">
        <v>0.95833333333333337</v>
      </c>
      <c r="K681" s="20" t="str">
        <f t="shared" si="31"/>
        <v>3rd Shift</v>
      </c>
    </row>
    <row r="682" spans="1:11" x14ac:dyDescent="0.25">
      <c r="A682" s="1">
        <v>681</v>
      </c>
      <c r="B682" s="1">
        <v>8</v>
      </c>
      <c r="C682" s="3">
        <v>8115271861508</v>
      </c>
      <c r="D682" s="2">
        <v>44408.395833333336</v>
      </c>
      <c r="E682" s="2">
        <v>44408.5625</v>
      </c>
      <c r="F682" s="23">
        <f t="shared" si="30"/>
        <v>0.16666666666424135</v>
      </c>
      <c r="G682" s="24">
        <f t="shared" si="32"/>
        <v>75.000000001091394</v>
      </c>
      <c r="H682" s="1" t="s">
        <v>1</v>
      </c>
      <c r="I682" s="4" t="s">
        <v>2</v>
      </c>
      <c r="J682" s="14">
        <v>0.39583333333333331</v>
      </c>
      <c r="K682" s="20" t="str">
        <f t="shared" si="31"/>
        <v>1st Shift</v>
      </c>
    </row>
    <row r="683" spans="1:11" x14ac:dyDescent="0.25">
      <c r="A683" s="1">
        <v>682</v>
      </c>
      <c r="B683" s="1">
        <v>7</v>
      </c>
      <c r="C683" s="3">
        <v>7115271803809</v>
      </c>
      <c r="D683" s="2">
        <v>44408.395833333336</v>
      </c>
      <c r="E683" s="2">
        <v>44408.5625</v>
      </c>
      <c r="F683" s="23">
        <f t="shared" si="30"/>
        <v>0.16666666666424135</v>
      </c>
      <c r="G683" s="24">
        <f t="shared" si="32"/>
        <v>75.000000001091394</v>
      </c>
      <c r="H683" s="1" t="s">
        <v>1</v>
      </c>
      <c r="I683" s="4" t="s">
        <v>2</v>
      </c>
      <c r="J683" s="14">
        <v>0.39583333333333331</v>
      </c>
      <c r="K683" s="20" t="str">
        <f t="shared" si="31"/>
        <v>1st Shift</v>
      </c>
    </row>
    <row r="684" spans="1:11" x14ac:dyDescent="0.25">
      <c r="A684" s="1">
        <v>683</v>
      </c>
      <c r="B684" s="1">
        <v>6</v>
      </c>
      <c r="C684" s="3">
        <v>6115271733100</v>
      </c>
      <c r="D684" s="2">
        <v>44408.395833333336</v>
      </c>
      <c r="E684" s="2">
        <v>44408.5625</v>
      </c>
      <c r="F684" s="23">
        <f t="shared" si="30"/>
        <v>0.16666666666424135</v>
      </c>
      <c r="G684" s="24">
        <f t="shared" si="32"/>
        <v>75.000000001091394</v>
      </c>
      <c r="H684" s="1" t="s">
        <v>1</v>
      </c>
      <c r="I684" s="4" t="s">
        <v>2</v>
      </c>
      <c r="J684" s="14">
        <v>0.39583333333333331</v>
      </c>
      <c r="K684" s="20" t="str">
        <f t="shared" si="31"/>
        <v>1st Shift</v>
      </c>
    </row>
    <row r="685" spans="1:11" x14ac:dyDescent="0.25">
      <c r="A685" s="1">
        <v>684</v>
      </c>
      <c r="B685" s="1">
        <v>5</v>
      </c>
      <c r="C685" s="3">
        <v>5115271685900</v>
      </c>
      <c r="D685" s="2">
        <v>44408.395833333336</v>
      </c>
      <c r="E685" s="2">
        <v>44408.5625</v>
      </c>
      <c r="F685" s="23">
        <f t="shared" si="30"/>
        <v>0.16666666666424135</v>
      </c>
      <c r="G685" s="24">
        <f t="shared" si="32"/>
        <v>75.000000001091394</v>
      </c>
      <c r="H685" s="1" t="s">
        <v>1</v>
      </c>
      <c r="I685" s="4" t="s">
        <v>2</v>
      </c>
      <c r="J685" s="14">
        <v>0.39583333333333331</v>
      </c>
      <c r="K685" s="20" t="str">
        <f t="shared" si="31"/>
        <v>1st Shift</v>
      </c>
    </row>
    <row r="686" spans="1:11" x14ac:dyDescent="0.25">
      <c r="A686" s="1">
        <v>685</v>
      </c>
      <c r="B686" s="1">
        <v>5</v>
      </c>
      <c r="C686" s="3">
        <v>5115270973802</v>
      </c>
      <c r="D686" s="2">
        <v>44408.395833333336</v>
      </c>
      <c r="E686" s="2">
        <v>44408.5625</v>
      </c>
      <c r="F686" s="23">
        <f t="shared" si="30"/>
        <v>0.16666666666424135</v>
      </c>
      <c r="G686" s="24">
        <f t="shared" si="32"/>
        <v>75.000000001091394</v>
      </c>
      <c r="H686" s="1" t="s">
        <v>1</v>
      </c>
      <c r="I686" s="4" t="s">
        <v>2</v>
      </c>
      <c r="J686" s="14">
        <v>0.39583333333333331</v>
      </c>
      <c r="K686" s="20" t="str">
        <f t="shared" si="31"/>
        <v>1st Shift</v>
      </c>
    </row>
    <row r="687" spans="1:11" x14ac:dyDescent="0.25">
      <c r="A687" s="1">
        <v>686</v>
      </c>
      <c r="B687" s="1">
        <v>4</v>
      </c>
      <c r="C687" s="3">
        <v>4115270844801</v>
      </c>
      <c r="D687" s="2">
        <v>44408.395833333336</v>
      </c>
      <c r="E687" s="2">
        <v>44408.5625</v>
      </c>
      <c r="F687" s="23">
        <f t="shared" si="30"/>
        <v>0.16666666666424135</v>
      </c>
      <c r="G687" s="24">
        <f t="shared" si="32"/>
        <v>75.000000001091394</v>
      </c>
      <c r="H687" s="1" t="s">
        <v>1</v>
      </c>
      <c r="I687" s="4" t="s">
        <v>2</v>
      </c>
      <c r="J687" s="14">
        <v>0.39583333333333331</v>
      </c>
      <c r="K687" s="20" t="str">
        <f t="shared" si="31"/>
        <v>1st Shift</v>
      </c>
    </row>
    <row r="688" spans="1:11" x14ac:dyDescent="0.25">
      <c r="A688" s="1">
        <v>687</v>
      </c>
      <c r="B688" s="1">
        <v>2</v>
      </c>
      <c r="C688" s="3">
        <v>2115270185500</v>
      </c>
      <c r="D688" s="2">
        <v>44408.395833333336</v>
      </c>
      <c r="E688" s="2">
        <v>44408.5625</v>
      </c>
      <c r="F688" s="23">
        <f t="shared" si="30"/>
        <v>0.16666666666424135</v>
      </c>
      <c r="G688" s="24">
        <f t="shared" si="32"/>
        <v>75.000000001091394</v>
      </c>
      <c r="H688" s="1" t="s">
        <v>1</v>
      </c>
      <c r="I688" s="4" t="s">
        <v>2</v>
      </c>
      <c r="J688" s="14">
        <v>0.39583333333333331</v>
      </c>
      <c r="K688" s="20" t="str">
        <f t="shared" si="31"/>
        <v>1st Shift</v>
      </c>
    </row>
    <row r="689" spans="1:11" x14ac:dyDescent="0.25">
      <c r="A689" s="1">
        <v>688</v>
      </c>
      <c r="B689" s="1">
        <v>13</v>
      </c>
      <c r="C689" s="3">
        <v>13115271630002</v>
      </c>
      <c r="D689" s="2">
        <v>44408.666666666664</v>
      </c>
      <c r="E689" s="2">
        <v>44408.854166666664</v>
      </c>
      <c r="F689" s="23">
        <f t="shared" si="30"/>
        <v>0.1875</v>
      </c>
      <c r="G689" s="24">
        <f t="shared" si="32"/>
        <v>66.666666666666657</v>
      </c>
      <c r="H689" s="1" t="s">
        <v>1</v>
      </c>
      <c r="I689" s="4" t="s">
        <v>2</v>
      </c>
      <c r="J689" s="14">
        <v>0.66666666666666663</v>
      </c>
      <c r="K689" s="20" t="str">
        <f t="shared" si="31"/>
        <v>2nd Shift</v>
      </c>
    </row>
    <row r="690" spans="1:11" x14ac:dyDescent="0.25">
      <c r="A690" s="1">
        <v>689</v>
      </c>
      <c r="B690" s="1">
        <v>13</v>
      </c>
      <c r="C690" s="3">
        <v>13115271630001</v>
      </c>
      <c r="D690" s="2">
        <v>44408.666666666664</v>
      </c>
      <c r="E690" s="2">
        <v>44408.854166666664</v>
      </c>
      <c r="F690" s="23">
        <f t="shared" si="30"/>
        <v>0.1875</v>
      </c>
      <c r="G690" s="24">
        <f t="shared" si="32"/>
        <v>66.666666666666657</v>
      </c>
      <c r="H690" s="1" t="s">
        <v>1</v>
      </c>
      <c r="I690" s="4" t="s">
        <v>2</v>
      </c>
      <c r="J690" s="14">
        <v>0.66666666666666663</v>
      </c>
      <c r="K690" s="20" t="str">
        <f t="shared" si="31"/>
        <v>2nd Shift</v>
      </c>
    </row>
    <row r="691" spans="1:11" x14ac:dyDescent="0.25">
      <c r="A691" s="1">
        <v>690</v>
      </c>
      <c r="B691" s="1">
        <v>13</v>
      </c>
      <c r="C691" s="3">
        <v>13115271590906</v>
      </c>
      <c r="D691" s="2">
        <v>44408.666666666664</v>
      </c>
      <c r="E691" s="2">
        <v>44408.854166666664</v>
      </c>
      <c r="F691" s="23">
        <f t="shared" si="30"/>
        <v>0.1875</v>
      </c>
      <c r="G691" s="24">
        <f t="shared" si="32"/>
        <v>66.666666666666657</v>
      </c>
      <c r="H691" s="1" t="s">
        <v>1</v>
      </c>
      <c r="I691" s="4" t="s">
        <v>3</v>
      </c>
      <c r="J691" s="14">
        <v>0.66666666666666663</v>
      </c>
      <c r="K691" s="20" t="str">
        <f t="shared" si="31"/>
        <v>2nd Shift</v>
      </c>
    </row>
    <row r="692" spans="1:11" x14ac:dyDescent="0.25">
      <c r="A692" s="1">
        <v>691</v>
      </c>
      <c r="B692" s="1">
        <v>13</v>
      </c>
      <c r="C692" s="3">
        <v>13115271590905</v>
      </c>
      <c r="D692" s="2">
        <v>44408.666666666664</v>
      </c>
      <c r="E692" s="2">
        <v>44408.854166666664</v>
      </c>
      <c r="F692" s="23">
        <f t="shared" si="30"/>
        <v>0.1875</v>
      </c>
      <c r="G692" s="24">
        <f t="shared" si="32"/>
        <v>66.666666666666657</v>
      </c>
      <c r="H692" s="1" t="s">
        <v>1</v>
      </c>
      <c r="I692" s="4" t="s">
        <v>2</v>
      </c>
      <c r="J692" s="14">
        <v>0.66666666666666663</v>
      </c>
      <c r="K692" s="20" t="str">
        <f t="shared" si="31"/>
        <v>2nd Shift</v>
      </c>
    </row>
    <row r="693" spans="1:11" x14ac:dyDescent="0.25">
      <c r="A693" s="1">
        <v>692</v>
      </c>
      <c r="B693" s="1">
        <v>10</v>
      </c>
      <c r="C693" s="3">
        <v>10115270963404</v>
      </c>
      <c r="D693" s="2">
        <v>44408.666666666664</v>
      </c>
      <c r="E693" s="2">
        <v>44408.854166666664</v>
      </c>
      <c r="F693" s="23">
        <f t="shared" si="30"/>
        <v>0.1875</v>
      </c>
      <c r="G693" s="24">
        <f t="shared" si="32"/>
        <v>66.666666666666657</v>
      </c>
      <c r="H693" s="1" t="s">
        <v>1</v>
      </c>
      <c r="I693" s="4" t="s">
        <v>3</v>
      </c>
      <c r="J693" s="14">
        <v>0.66666666666666663</v>
      </c>
      <c r="K693" s="20" t="str">
        <f t="shared" si="31"/>
        <v>2nd Shift</v>
      </c>
    </row>
    <row r="694" spans="1:11" x14ac:dyDescent="0.25">
      <c r="A694" s="1">
        <v>693</v>
      </c>
      <c r="B694" s="1">
        <v>10</v>
      </c>
      <c r="C694" s="3">
        <v>10115270963403</v>
      </c>
      <c r="D694" s="2">
        <v>44408.666666666664</v>
      </c>
      <c r="E694" s="2">
        <v>44408.854166666664</v>
      </c>
      <c r="F694" s="23">
        <f t="shared" si="30"/>
        <v>0.1875</v>
      </c>
      <c r="G694" s="24">
        <f t="shared" si="32"/>
        <v>66.666666666666657</v>
      </c>
      <c r="H694" s="1" t="s">
        <v>1</v>
      </c>
      <c r="I694" s="4" t="s">
        <v>2</v>
      </c>
      <c r="J694" s="14">
        <v>0.66666666666666663</v>
      </c>
      <c r="K694" s="20" t="str">
        <f t="shared" si="31"/>
        <v>2nd Shift</v>
      </c>
    </row>
    <row r="695" spans="1:11" x14ac:dyDescent="0.25">
      <c r="A695" s="1">
        <v>694</v>
      </c>
      <c r="B695" s="1">
        <v>7</v>
      </c>
      <c r="C695" s="3">
        <v>7115271777213</v>
      </c>
      <c r="D695" s="2">
        <v>44408.666666666664</v>
      </c>
      <c r="E695" s="2">
        <v>44408.854166666664</v>
      </c>
      <c r="F695" s="23">
        <f t="shared" si="30"/>
        <v>0.1875</v>
      </c>
      <c r="G695" s="24">
        <f t="shared" si="32"/>
        <v>66.666666666666657</v>
      </c>
      <c r="H695" s="1" t="s">
        <v>1</v>
      </c>
      <c r="I695" s="4" t="s">
        <v>2</v>
      </c>
      <c r="J695" s="14">
        <v>0.66666666666666663</v>
      </c>
      <c r="K695" s="20" t="str">
        <f t="shared" si="31"/>
        <v>2nd Shift</v>
      </c>
    </row>
    <row r="696" spans="1:11" x14ac:dyDescent="0.25">
      <c r="A696" s="1">
        <v>695</v>
      </c>
      <c r="B696" s="1">
        <v>7</v>
      </c>
      <c r="C696" s="3">
        <v>7115271777212</v>
      </c>
      <c r="D696" s="2">
        <v>44408.666666666664</v>
      </c>
      <c r="E696" s="2">
        <v>44408.854166666664</v>
      </c>
      <c r="F696" s="23">
        <f t="shared" si="30"/>
        <v>0.1875</v>
      </c>
      <c r="G696" s="24">
        <f t="shared" si="32"/>
        <v>66.666666666666657</v>
      </c>
      <c r="H696" s="1" t="s">
        <v>1</v>
      </c>
      <c r="I696" s="4" t="s">
        <v>2</v>
      </c>
      <c r="J696" s="14">
        <v>0.66666666666666663</v>
      </c>
      <c r="K696" s="20" t="str">
        <f t="shared" si="31"/>
        <v>2nd Shift</v>
      </c>
    </row>
    <row r="697" spans="1:11" x14ac:dyDescent="0.25">
      <c r="A697" s="1">
        <v>696</v>
      </c>
      <c r="B697" s="1">
        <v>5</v>
      </c>
      <c r="C697" s="3">
        <v>5115271662400</v>
      </c>
      <c r="D697" s="2">
        <v>44408.666666666664</v>
      </c>
      <c r="E697" s="2">
        <v>44408.854166666664</v>
      </c>
      <c r="F697" s="23">
        <f t="shared" si="30"/>
        <v>0.1875</v>
      </c>
      <c r="G697" s="24">
        <f t="shared" si="32"/>
        <v>66.666666666666657</v>
      </c>
      <c r="H697" s="1" t="s">
        <v>1</v>
      </c>
      <c r="I697" s="4" t="s">
        <v>3</v>
      </c>
      <c r="J697" s="14">
        <v>0.66666666666666663</v>
      </c>
      <c r="K697" s="20" t="str">
        <f t="shared" si="31"/>
        <v>2nd Shift</v>
      </c>
    </row>
    <row r="698" spans="1:11" x14ac:dyDescent="0.25">
      <c r="A698" s="1">
        <v>697</v>
      </c>
      <c r="B698" s="1">
        <v>15</v>
      </c>
      <c r="C698" s="3">
        <v>15115271752502</v>
      </c>
      <c r="D698" s="2">
        <v>44408.979166666664</v>
      </c>
      <c r="E698" s="2">
        <v>44409.083333333336</v>
      </c>
      <c r="F698" s="23">
        <f t="shared" si="30"/>
        <v>0.10416666667151731</v>
      </c>
      <c r="G698" s="24">
        <f t="shared" si="32"/>
        <v>119.99999999441206</v>
      </c>
      <c r="H698" s="1" t="s">
        <v>1</v>
      </c>
      <c r="I698" s="4" t="s">
        <v>2</v>
      </c>
      <c r="J698" s="14">
        <v>0.97916666666666663</v>
      </c>
      <c r="K698" s="20" t="str">
        <f t="shared" si="31"/>
        <v>3rd Shift</v>
      </c>
    </row>
    <row r="699" spans="1:11" x14ac:dyDescent="0.25">
      <c r="A699" s="1">
        <v>698</v>
      </c>
      <c r="B699" s="1">
        <v>15</v>
      </c>
      <c r="C699" s="3">
        <v>15115271752501</v>
      </c>
      <c r="D699" s="2">
        <v>44408.979166666664</v>
      </c>
      <c r="E699" s="2">
        <v>44409.083333333336</v>
      </c>
      <c r="F699" s="23">
        <f t="shared" si="30"/>
        <v>0.10416666667151731</v>
      </c>
      <c r="G699" s="24">
        <f t="shared" si="32"/>
        <v>119.99999999441206</v>
      </c>
      <c r="H699" s="1" t="s">
        <v>1</v>
      </c>
      <c r="I699" s="4" t="s">
        <v>3</v>
      </c>
      <c r="J699" s="14">
        <v>0.97916666666666663</v>
      </c>
      <c r="K699" s="20" t="str">
        <f t="shared" si="31"/>
        <v>3rd Shift</v>
      </c>
    </row>
    <row r="700" spans="1:11" x14ac:dyDescent="0.25">
      <c r="A700" s="1">
        <v>699</v>
      </c>
      <c r="B700" s="1">
        <v>11</v>
      </c>
      <c r="C700" s="3">
        <v>11115271551401</v>
      </c>
      <c r="D700" s="2">
        <v>44408.979166666664</v>
      </c>
      <c r="E700" s="2">
        <v>44409.083333333336</v>
      </c>
      <c r="F700" s="23">
        <f t="shared" si="30"/>
        <v>0.10416666667151731</v>
      </c>
      <c r="G700" s="24">
        <f t="shared" si="32"/>
        <v>119.99999999441206</v>
      </c>
      <c r="H700" s="1" t="s">
        <v>1</v>
      </c>
      <c r="I700" s="4" t="s">
        <v>3</v>
      </c>
      <c r="J700" s="14">
        <v>0.97916666666666663</v>
      </c>
      <c r="K700" s="20" t="str">
        <f t="shared" si="31"/>
        <v>3rd Shift</v>
      </c>
    </row>
    <row r="701" spans="1:11" x14ac:dyDescent="0.25">
      <c r="A701" s="1">
        <v>700</v>
      </c>
      <c r="B701" s="1">
        <v>11</v>
      </c>
      <c r="C701" s="3">
        <v>11115271551400</v>
      </c>
      <c r="D701" s="2">
        <v>44408.979166666664</v>
      </c>
      <c r="E701" s="2">
        <v>44409.083333333336</v>
      </c>
      <c r="F701" s="23">
        <f t="shared" si="30"/>
        <v>0.10416666667151731</v>
      </c>
      <c r="G701" s="24">
        <f t="shared" si="32"/>
        <v>119.99999999441206</v>
      </c>
      <c r="H701" s="1" t="s">
        <v>1</v>
      </c>
      <c r="I701" s="4" t="s">
        <v>3</v>
      </c>
      <c r="J701" s="14">
        <v>0.97916666666666663</v>
      </c>
      <c r="K701" s="20" t="str">
        <f t="shared" si="31"/>
        <v>3rd Shift</v>
      </c>
    </row>
    <row r="702" spans="1:11" x14ac:dyDescent="0.25">
      <c r="A702" s="1">
        <v>701</v>
      </c>
      <c r="B702" s="1">
        <v>10</v>
      </c>
      <c r="C702" s="3">
        <v>10115271959701</v>
      </c>
      <c r="D702" s="2">
        <v>44408.979166666664</v>
      </c>
      <c r="E702" s="2">
        <v>44409.083333333336</v>
      </c>
      <c r="F702" s="23">
        <f t="shared" si="30"/>
        <v>0.10416666667151731</v>
      </c>
      <c r="G702" s="24">
        <f t="shared" si="32"/>
        <v>119.99999999441206</v>
      </c>
      <c r="H702" s="1" t="s">
        <v>1</v>
      </c>
      <c r="I702" s="4" t="s">
        <v>3</v>
      </c>
      <c r="J702" s="14">
        <v>0.97916666666666663</v>
      </c>
      <c r="K702" s="20" t="str">
        <f t="shared" si="31"/>
        <v>3rd Shift</v>
      </c>
    </row>
    <row r="703" spans="1:11" x14ac:dyDescent="0.25">
      <c r="A703" s="1">
        <v>702</v>
      </c>
      <c r="B703" s="1">
        <v>10</v>
      </c>
      <c r="C703" s="3">
        <v>10115271959700</v>
      </c>
      <c r="D703" s="2">
        <v>44408.979166666664</v>
      </c>
      <c r="E703" s="2">
        <v>44409.083333333336</v>
      </c>
      <c r="F703" s="23">
        <f t="shared" si="30"/>
        <v>0.10416666667151731</v>
      </c>
      <c r="G703" s="24">
        <f t="shared" si="32"/>
        <v>119.99999999441206</v>
      </c>
      <c r="H703" s="1" t="s">
        <v>1</v>
      </c>
      <c r="I703" s="4" t="s">
        <v>3</v>
      </c>
      <c r="J703" s="14">
        <v>0.97916666666666663</v>
      </c>
      <c r="K703" s="20" t="str">
        <f t="shared" si="31"/>
        <v>3rd Shift</v>
      </c>
    </row>
    <row r="704" spans="1:11" x14ac:dyDescent="0.25">
      <c r="A704" s="1">
        <v>703</v>
      </c>
      <c r="B704" s="1">
        <v>12</v>
      </c>
      <c r="C704" s="3">
        <v>12115271568209</v>
      </c>
      <c r="D704" s="2">
        <v>44409.375</v>
      </c>
      <c r="E704" s="2">
        <v>44409.576388888891</v>
      </c>
      <c r="F704" s="23">
        <f t="shared" si="30"/>
        <v>0.20138888889050577</v>
      </c>
      <c r="G704" s="24">
        <f t="shared" si="32"/>
        <v>62.068965516743049</v>
      </c>
      <c r="H704" s="1" t="s">
        <v>1</v>
      </c>
      <c r="I704" s="4" t="s">
        <v>3</v>
      </c>
      <c r="J704" s="14">
        <v>0.375</v>
      </c>
      <c r="K704" s="20" t="str">
        <f t="shared" si="31"/>
        <v>1st Shift</v>
      </c>
    </row>
    <row r="705" spans="1:11" x14ac:dyDescent="0.25">
      <c r="A705" s="1">
        <v>704</v>
      </c>
      <c r="B705" s="1">
        <v>11</v>
      </c>
      <c r="C705" s="3">
        <v>11115271517500</v>
      </c>
      <c r="D705" s="2">
        <v>44409.375</v>
      </c>
      <c r="E705" s="2">
        <v>44409.576388888891</v>
      </c>
      <c r="F705" s="23">
        <f t="shared" si="30"/>
        <v>0.20138888889050577</v>
      </c>
      <c r="G705" s="24">
        <f t="shared" si="32"/>
        <v>62.068965516743049</v>
      </c>
      <c r="H705" s="1" t="s">
        <v>1</v>
      </c>
      <c r="I705" s="4" t="s">
        <v>2</v>
      </c>
      <c r="J705" s="14">
        <v>0.375</v>
      </c>
      <c r="K705" s="20" t="str">
        <f t="shared" si="31"/>
        <v>1st Shift</v>
      </c>
    </row>
    <row r="706" spans="1:11" x14ac:dyDescent="0.25">
      <c r="A706" s="1">
        <v>705</v>
      </c>
      <c r="B706" s="1">
        <v>7</v>
      </c>
      <c r="C706" s="3">
        <v>7115271783101</v>
      </c>
      <c r="D706" s="2">
        <v>44409.375</v>
      </c>
      <c r="E706" s="2">
        <v>44409.576388888891</v>
      </c>
      <c r="F706" s="23">
        <f t="shared" ref="F706:F769" si="33">E706-D706</f>
        <v>0.20138888889050577</v>
      </c>
      <c r="G706" s="24">
        <f t="shared" si="32"/>
        <v>62.068965516743049</v>
      </c>
      <c r="H706" s="1" t="s">
        <v>1</v>
      </c>
      <c r="I706" s="4" t="s">
        <v>3</v>
      </c>
      <c r="J706" s="14">
        <v>0.375</v>
      </c>
      <c r="K706" s="20" t="str">
        <f t="shared" ref="K706:K769" si="34">IF(AND(J706&gt;=$M$3,J706&lt;$M$4),"1st Shift",IF(AND(J706&gt;=$M$4,J706&lt;$M$5),"2nd Shift","3rd Shift"))</f>
        <v>1st Shift</v>
      </c>
    </row>
    <row r="707" spans="1:11" x14ac:dyDescent="0.25">
      <c r="A707" s="1">
        <v>706</v>
      </c>
      <c r="B707" s="1">
        <v>4</v>
      </c>
      <c r="C707" s="3">
        <v>4115270826100</v>
      </c>
      <c r="D707" s="2">
        <v>44409.375</v>
      </c>
      <c r="E707" s="2">
        <v>44409.576388888891</v>
      </c>
      <c r="F707" s="23">
        <f t="shared" si="33"/>
        <v>0.20138888889050577</v>
      </c>
      <c r="G707" s="24">
        <f t="shared" ref="G707:G770" si="35">$M$9/F707*100</f>
        <v>62.068965516743049</v>
      </c>
      <c r="H707" s="1" t="s">
        <v>1</v>
      </c>
      <c r="I707" s="4" t="s">
        <v>3</v>
      </c>
      <c r="J707" s="14">
        <v>0.375</v>
      </c>
      <c r="K707" s="20" t="str">
        <f t="shared" si="34"/>
        <v>1st Shift</v>
      </c>
    </row>
    <row r="708" spans="1:11" x14ac:dyDescent="0.25">
      <c r="A708" s="1">
        <v>707</v>
      </c>
      <c r="B708" s="1">
        <v>3</v>
      </c>
      <c r="C708" s="3">
        <v>3115270421500</v>
      </c>
      <c r="D708" s="2">
        <v>44409.375</v>
      </c>
      <c r="E708" s="2">
        <v>44409.576388888891</v>
      </c>
      <c r="F708" s="23">
        <f t="shared" si="33"/>
        <v>0.20138888889050577</v>
      </c>
      <c r="G708" s="24">
        <f t="shared" si="35"/>
        <v>62.068965516743049</v>
      </c>
      <c r="H708" s="1" t="s">
        <v>1</v>
      </c>
      <c r="I708" s="4" t="s">
        <v>2</v>
      </c>
      <c r="J708" s="14">
        <v>0.375</v>
      </c>
      <c r="K708" s="20" t="str">
        <f t="shared" si="34"/>
        <v>1st Shift</v>
      </c>
    </row>
    <row r="709" spans="1:11" x14ac:dyDescent="0.25">
      <c r="A709" s="1">
        <v>708</v>
      </c>
      <c r="B709" s="1">
        <v>2</v>
      </c>
      <c r="C709" s="3">
        <v>2115270184400</v>
      </c>
      <c r="D709" s="2">
        <v>44409.375</v>
      </c>
      <c r="E709" s="2">
        <v>44409.576388888891</v>
      </c>
      <c r="F709" s="23">
        <f t="shared" si="33"/>
        <v>0.20138888889050577</v>
      </c>
      <c r="G709" s="24">
        <f t="shared" si="35"/>
        <v>62.068965516743049</v>
      </c>
      <c r="H709" s="1" t="s">
        <v>1</v>
      </c>
      <c r="I709" s="4" t="s">
        <v>3</v>
      </c>
      <c r="J709" s="14">
        <v>0.375</v>
      </c>
      <c r="K709" s="20" t="str">
        <f t="shared" si="34"/>
        <v>1st Shift</v>
      </c>
    </row>
    <row r="710" spans="1:11" x14ac:dyDescent="0.25">
      <c r="A710" s="1">
        <v>709</v>
      </c>
      <c r="B710" s="1">
        <v>1</v>
      </c>
      <c r="C710" s="3">
        <v>1115270041000</v>
      </c>
      <c r="D710" s="2">
        <v>44409.375</v>
      </c>
      <c r="E710" s="2">
        <v>44409.576388888891</v>
      </c>
      <c r="F710" s="23">
        <f t="shared" si="33"/>
        <v>0.20138888889050577</v>
      </c>
      <c r="G710" s="24">
        <f t="shared" si="35"/>
        <v>62.068965516743049</v>
      </c>
      <c r="H710" s="1" t="s">
        <v>1</v>
      </c>
      <c r="I710" s="4" t="s">
        <v>3</v>
      </c>
      <c r="J710" s="14">
        <v>0.375</v>
      </c>
      <c r="K710" s="20" t="str">
        <f t="shared" si="34"/>
        <v>1st Shift</v>
      </c>
    </row>
    <row r="711" spans="1:11" x14ac:dyDescent="0.25">
      <c r="A711" s="1">
        <v>710</v>
      </c>
      <c r="B711" s="1">
        <v>15</v>
      </c>
      <c r="C711" s="3">
        <v>15115271744002</v>
      </c>
      <c r="D711" s="2">
        <v>44409.625</v>
      </c>
      <c r="E711" s="2">
        <v>44409.895833333336</v>
      </c>
      <c r="F711" s="23">
        <f t="shared" si="33"/>
        <v>0.27083333333575865</v>
      </c>
      <c r="G711" s="24">
        <f t="shared" si="35"/>
        <v>46.153846153432845</v>
      </c>
      <c r="H711" s="1" t="s">
        <v>1</v>
      </c>
      <c r="I711" s="4" t="s">
        <v>2</v>
      </c>
      <c r="J711" s="14">
        <v>0.625</v>
      </c>
      <c r="K711" s="20" t="str">
        <f t="shared" si="34"/>
        <v>2nd Shift</v>
      </c>
    </row>
    <row r="712" spans="1:11" x14ac:dyDescent="0.25">
      <c r="A712" s="1">
        <v>711</v>
      </c>
      <c r="B712" s="1">
        <v>13</v>
      </c>
      <c r="C712" s="3">
        <v>13115271591503</v>
      </c>
      <c r="D712" s="2">
        <v>44409.625</v>
      </c>
      <c r="E712" s="2">
        <v>44409.895833333336</v>
      </c>
      <c r="F712" s="23">
        <f t="shared" si="33"/>
        <v>0.27083333333575865</v>
      </c>
      <c r="G712" s="24">
        <f t="shared" si="35"/>
        <v>46.153846153432845</v>
      </c>
      <c r="H712" s="1" t="s">
        <v>1</v>
      </c>
      <c r="I712" s="4" t="s">
        <v>2</v>
      </c>
      <c r="J712" s="14">
        <v>0.625</v>
      </c>
      <c r="K712" s="20" t="str">
        <f t="shared" si="34"/>
        <v>2nd Shift</v>
      </c>
    </row>
    <row r="713" spans="1:11" x14ac:dyDescent="0.25">
      <c r="A713" s="1">
        <v>712</v>
      </c>
      <c r="B713" s="1">
        <v>11</v>
      </c>
      <c r="C713" s="3">
        <v>11115271485506</v>
      </c>
      <c r="D713" s="2">
        <v>44409.625</v>
      </c>
      <c r="E713" s="2">
        <v>44409.895833333336</v>
      </c>
      <c r="F713" s="23">
        <f t="shared" si="33"/>
        <v>0.27083333333575865</v>
      </c>
      <c r="G713" s="24">
        <f t="shared" si="35"/>
        <v>46.153846153432845</v>
      </c>
      <c r="H713" s="1" t="s">
        <v>1</v>
      </c>
      <c r="I713" s="4" t="s">
        <v>5</v>
      </c>
      <c r="J713" s="14">
        <v>0.625</v>
      </c>
      <c r="K713" s="20" t="str">
        <f t="shared" si="34"/>
        <v>2nd Shift</v>
      </c>
    </row>
    <row r="714" spans="1:11" x14ac:dyDescent="0.25">
      <c r="A714" s="1">
        <v>713</v>
      </c>
      <c r="B714" s="1">
        <v>7</v>
      </c>
      <c r="C714" s="3">
        <v>7115271765616</v>
      </c>
      <c r="D714" s="2">
        <v>44409.625</v>
      </c>
      <c r="E714" s="2">
        <v>44409.895833333336</v>
      </c>
      <c r="F714" s="23">
        <f t="shared" si="33"/>
        <v>0.27083333333575865</v>
      </c>
      <c r="G714" s="24">
        <f t="shared" si="35"/>
        <v>46.153846153432845</v>
      </c>
      <c r="H714" s="1" t="s">
        <v>1</v>
      </c>
      <c r="I714" s="4" t="s">
        <v>2</v>
      </c>
      <c r="J714" s="14">
        <v>0.625</v>
      </c>
      <c r="K714" s="20" t="str">
        <f t="shared" si="34"/>
        <v>2nd Shift</v>
      </c>
    </row>
    <row r="715" spans="1:11" x14ac:dyDescent="0.25">
      <c r="A715" s="1">
        <v>714</v>
      </c>
      <c r="B715" s="1">
        <v>6</v>
      </c>
      <c r="C715" s="3">
        <v>6115271692209</v>
      </c>
      <c r="D715" s="2">
        <v>44409.625</v>
      </c>
      <c r="E715" s="2">
        <v>44409.895833333336</v>
      </c>
      <c r="F715" s="23">
        <f t="shared" si="33"/>
        <v>0.27083333333575865</v>
      </c>
      <c r="G715" s="24">
        <f t="shared" si="35"/>
        <v>46.153846153432845</v>
      </c>
      <c r="H715" s="1" t="s">
        <v>1</v>
      </c>
      <c r="I715" s="4" t="s">
        <v>3</v>
      </c>
      <c r="J715" s="14">
        <v>0.625</v>
      </c>
      <c r="K715" s="20" t="str">
        <f t="shared" si="34"/>
        <v>2nd Shift</v>
      </c>
    </row>
    <row r="716" spans="1:11" x14ac:dyDescent="0.25">
      <c r="A716" s="1">
        <v>715</v>
      </c>
      <c r="B716" s="1">
        <v>4</v>
      </c>
      <c r="C716" s="3">
        <v>4115270874602</v>
      </c>
      <c r="D716" s="2">
        <v>44409.625</v>
      </c>
      <c r="E716" s="2">
        <v>44409.895833333336</v>
      </c>
      <c r="F716" s="23">
        <f t="shared" si="33"/>
        <v>0.27083333333575865</v>
      </c>
      <c r="G716" s="24">
        <f t="shared" si="35"/>
        <v>46.153846153432845</v>
      </c>
      <c r="H716" s="1" t="s">
        <v>1</v>
      </c>
      <c r="I716" s="4" t="s">
        <v>3</v>
      </c>
      <c r="J716" s="14">
        <v>0.625</v>
      </c>
      <c r="K716" s="20" t="str">
        <f t="shared" si="34"/>
        <v>2nd Shift</v>
      </c>
    </row>
    <row r="717" spans="1:11" x14ac:dyDescent="0.25">
      <c r="A717" s="1">
        <v>716</v>
      </c>
      <c r="B717" s="1">
        <v>2</v>
      </c>
      <c r="C717" s="3">
        <v>2115270228900</v>
      </c>
      <c r="D717" s="2">
        <v>44409.625</v>
      </c>
      <c r="E717" s="2">
        <v>44409.895833333336</v>
      </c>
      <c r="F717" s="23">
        <f t="shared" si="33"/>
        <v>0.27083333333575865</v>
      </c>
      <c r="G717" s="24">
        <f t="shared" si="35"/>
        <v>46.153846153432845</v>
      </c>
      <c r="H717" s="1" t="s">
        <v>1</v>
      </c>
      <c r="I717" s="4" t="s">
        <v>5</v>
      </c>
      <c r="J717" s="14">
        <v>0.625</v>
      </c>
      <c r="K717" s="20" t="str">
        <f t="shared" si="34"/>
        <v>2nd Shift</v>
      </c>
    </row>
    <row r="718" spans="1:11" x14ac:dyDescent="0.25">
      <c r="A718" s="1">
        <v>717</v>
      </c>
      <c r="B718" s="1">
        <v>2</v>
      </c>
      <c r="C718" s="3">
        <v>2115270183300</v>
      </c>
      <c r="D718" s="2">
        <v>44409.625</v>
      </c>
      <c r="E718" s="2">
        <v>44409.895833333336</v>
      </c>
      <c r="F718" s="23">
        <f t="shared" si="33"/>
        <v>0.27083333333575865</v>
      </c>
      <c r="G718" s="24">
        <f t="shared" si="35"/>
        <v>46.153846153432845</v>
      </c>
      <c r="H718" s="1" t="s">
        <v>1</v>
      </c>
      <c r="I718" s="4" t="s">
        <v>2</v>
      </c>
      <c r="J718" s="14">
        <v>0.625</v>
      </c>
      <c r="K718" s="20" t="str">
        <f t="shared" si="34"/>
        <v>2nd Shift</v>
      </c>
    </row>
    <row r="719" spans="1:11" x14ac:dyDescent="0.25">
      <c r="A719" s="1">
        <v>718</v>
      </c>
      <c r="B719" s="1">
        <v>5</v>
      </c>
      <c r="C719" s="3">
        <v>5115271260800</v>
      </c>
      <c r="D719" s="2">
        <v>44409.9375</v>
      </c>
      <c r="E719" s="2">
        <v>44409.993055555555</v>
      </c>
      <c r="F719" s="23">
        <f t="shared" si="33"/>
        <v>5.5555555554747116E-2</v>
      </c>
      <c r="G719" s="24">
        <f t="shared" si="35"/>
        <v>225.00000000327418</v>
      </c>
      <c r="H719" s="1" t="s">
        <v>1</v>
      </c>
      <c r="I719" s="4" t="s">
        <v>3</v>
      </c>
      <c r="J719" s="14">
        <v>0.9375</v>
      </c>
      <c r="K719" s="20" t="str">
        <f t="shared" si="34"/>
        <v>3rd Shift</v>
      </c>
    </row>
    <row r="720" spans="1:11" x14ac:dyDescent="0.25">
      <c r="A720" s="1">
        <v>719</v>
      </c>
      <c r="B720" s="1">
        <v>2</v>
      </c>
      <c r="C720" s="3">
        <v>2115270229301</v>
      </c>
      <c r="D720" s="2">
        <v>44409.9375</v>
      </c>
      <c r="E720" s="2">
        <v>44409.993055555555</v>
      </c>
      <c r="F720" s="23">
        <f t="shared" si="33"/>
        <v>5.5555555554747116E-2</v>
      </c>
      <c r="G720" s="24">
        <f t="shared" si="35"/>
        <v>225.00000000327418</v>
      </c>
      <c r="H720" s="1" t="s">
        <v>1</v>
      </c>
      <c r="I720" s="4" t="s">
        <v>2</v>
      </c>
      <c r="J720" s="14">
        <v>0.9375</v>
      </c>
      <c r="K720" s="20" t="str">
        <f t="shared" si="34"/>
        <v>3rd Shift</v>
      </c>
    </row>
    <row r="721" spans="1:11" x14ac:dyDescent="0.25">
      <c r="A721" s="1">
        <v>720</v>
      </c>
      <c r="B721" s="1">
        <v>7</v>
      </c>
      <c r="C721" s="3">
        <v>7115271801100</v>
      </c>
      <c r="D721" s="2">
        <v>44410.020833333336</v>
      </c>
      <c r="E721" s="2">
        <v>44410.083333333336</v>
      </c>
      <c r="F721" s="23">
        <f t="shared" si="33"/>
        <v>6.25E-2</v>
      </c>
      <c r="G721" s="24">
        <f t="shared" si="35"/>
        <v>200</v>
      </c>
      <c r="H721" s="1" t="s">
        <v>1</v>
      </c>
      <c r="I721" s="4" t="s">
        <v>2</v>
      </c>
      <c r="J721" s="14">
        <v>2.0833333333333332E-2</v>
      </c>
      <c r="K721" s="20" t="str">
        <f t="shared" si="34"/>
        <v>3rd Shift</v>
      </c>
    </row>
    <row r="722" spans="1:11" x14ac:dyDescent="0.25">
      <c r="A722" s="1">
        <v>721</v>
      </c>
      <c r="B722" s="1">
        <v>6</v>
      </c>
      <c r="C722" s="3">
        <v>6115271748902</v>
      </c>
      <c r="D722" s="2">
        <v>44410.020833333336</v>
      </c>
      <c r="E722" s="2">
        <v>44410.083333333336</v>
      </c>
      <c r="F722" s="23">
        <f t="shared" si="33"/>
        <v>6.25E-2</v>
      </c>
      <c r="G722" s="24">
        <f t="shared" si="35"/>
        <v>200</v>
      </c>
      <c r="H722" s="1" t="s">
        <v>1</v>
      </c>
      <c r="I722" s="4" t="s">
        <v>2</v>
      </c>
      <c r="J722" s="14">
        <v>2.0833333333333332E-2</v>
      </c>
      <c r="K722" s="20" t="str">
        <f t="shared" si="34"/>
        <v>3rd Shift</v>
      </c>
    </row>
    <row r="723" spans="1:11" x14ac:dyDescent="0.25">
      <c r="A723" s="1">
        <v>722</v>
      </c>
      <c r="B723" s="1">
        <v>6</v>
      </c>
      <c r="C723" s="3">
        <v>6115271720606</v>
      </c>
      <c r="D723" s="2">
        <v>44410.020833333336</v>
      </c>
      <c r="E723" s="2">
        <v>44410.083333333336</v>
      </c>
      <c r="F723" s="23">
        <f t="shared" si="33"/>
        <v>6.25E-2</v>
      </c>
      <c r="G723" s="24">
        <f t="shared" si="35"/>
        <v>200</v>
      </c>
      <c r="H723" s="1" t="s">
        <v>1</v>
      </c>
      <c r="I723" s="4" t="s">
        <v>2</v>
      </c>
      <c r="J723" s="14">
        <v>2.0833333333333332E-2</v>
      </c>
      <c r="K723" s="20" t="str">
        <f t="shared" si="34"/>
        <v>3rd Shift</v>
      </c>
    </row>
    <row r="724" spans="1:11" x14ac:dyDescent="0.25">
      <c r="A724" s="1">
        <v>723</v>
      </c>
      <c r="B724" s="1">
        <v>13</v>
      </c>
      <c r="C724" s="3">
        <v>13115271644900</v>
      </c>
      <c r="D724" s="2">
        <v>44410.354166666664</v>
      </c>
      <c r="E724" s="2">
        <v>44410.520833333336</v>
      </c>
      <c r="F724" s="23">
        <f t="shared" si="33"/>
        <v>0.16666666667151731</v>
      </c>
      <c r="G724" s="24">
        <f t="shared" si="35"/>
        <v>74.999999997817213</v>
      </c>
      <c r="H724" s="1" t="s">
        <v>1</v>
      </c>
      <c r="I724" s="4" t="s">
        <v>3</v>
      </c>
      <c r="J724" s="14">
        <v>0.35416666666666669</v>
      </c>
      <c r="K724" s="20" t="str">
        <f t="shared" si="34"/>
        <v>1st Shift</v>
      </c>
    </row>
    <row r="725" spans="1:11" x14ac:dyDescent="0.25">
      <c r="A725" s="1">
        <v>724</v>
      </c>
      <c r="B725" s="1">
        <v>13</v>
      </c>
      <c r="C725" s="3">
        <v>13115271590905</v>
      </c>
      <c r="D725" s="2">
        <v>44410.354166666664</v>
      </c>
      <c r="E725" s="2">
        <v>44410.520833333336</v>
      </c>
      <c r="F725" s="23">
        <f t="shared" si="33"/>
        <v>0.16666666667151731</v>
      </c>
      <c r="G725" s="24">
        <f t="shared" si="35"/>
        <v>74.999999997817213</v>
      </c>
      <c r="H725" s="1" t="s">
        <v>1</v>
      </c>
      <c r="I725" s="4" t="s">
        <v>2</v>
      </c>
      <c r="J725" s="14">
        <v>0.35416666666666669</v>
      </c>
      <c r="K725" s="20" t="str">
        <f t="shared" si="34"/>
        <v>1st Shift</v>
      </c>
    </row>
    <row r="726" spans="1:11" x14ac:dyDescent="0.25">
      <c r="A726" s="1">
        <v>725</v>
      </c>
      <c r="B726" s="1">
        <v>10</v>
      </c>
      <c r="C726" s="3">
        <v>10115271959500</v>
      </c>
      <c r="D726" s="2">
        <v>44410.354166666664</v>
      </c>
      <c r="E726" s="2">
        <v>44410.520833333336</v>
      </c>
      <c r="F726" s="23">
        <f t="shared" si="33"/>
        <v>0.16666666667151731</v>
      </c>
      <c r="G726" s="24">
        <f t="shared" si="35"/>
        <v>74.999999997817213</v>
      </c>
      <c r="H726" s="1" t="s">
        <v>1</v>
      </c>
      <c r="I726" s="4" t="s">
        <v>4</v>
      </c>
      <c r="J726" s="14">
        <v>0.35416666666666669</v>
      </c>
      <c r="K726" s="20" t="str">
        <f t="shared" si="34"/>
        <v>1st Shift</v>
      </c>
    </row>
    <row r="727" spans="1:11" x14ac:dyDescent="0.25">
      <c r="A727" s="1">
        <v>726</v>
      </c>
      <c r="B727" s="1">
        <v>10</v>
      </c>
      <c r="C727" s="3">
        <v>10115270972800</v>
      </c>
      <c r="D727" s="2">
        <v>44410.354166666664</v>
      </c>
      <c r="E727" s="2">
        <v>44410.520833333336</v>
      </c>
      <c r="F727" s="23">
        <f t="shared" si="33"/>
        <v>0.16666666667151731</v>
      </c>
      <c r="G727" s="24">
        <f t="shared" si="35"/>
        <v>74.999999997817213</v>
      </c>
      <c r="H727" s="1" t="s">
        <v>1</v>
      </c>
      <c r="I727" s="4" t="s">
        <v>2</v>
      </c>
      <c r="J727" s="14">
        <v>0.35416666666666669</v>
      </c>
      <c r="K727" s="20" t="str">
        <f t="shared" si="34"/>
        <v>1st Shift</v>
      </c>
    </row>
    <row r="728" spans="1:11" x14ac:dyDescent="0.25">
      <c r="A728" s="1">
        <v>727</v>
      </c>
      <c r="B728" s="1">
        <v>9</v>
      </c>
      <c r="C728" s="3">
        <v>9115270637700</v>
      </c>
      <c r="D728" s="2">
        <v>44410.354166666664</v>
      </c>
      <c r="E728" s="2">
        <v>44410.520833333336</v>
      </c>
      <c r="F728" s="23">
        <f t="shared" si="33"/>
        <v>0.16666666667151731</v>
      </c>
      <c r="G728" s="24">
        <f t="shared" si="35"/>
        <v>74.999999997817213</v>
      </c>
      <c r="H728" s="1" t="s">
        <v>1</v>
      </c>
      <c r="I728" s="4" t="s">
        <v>3</v>
      </c>
      <c r="J728" s="14">
        <v>0.35416666666666669</v>
      </c>
      <c r="K728" s="20" t="str">
        <f t="shared" si="34"/>
        <v>1st Shift</v>
      </c>
    </row>
    <row r="729" spans="1:11" x14ac:dyDescent="0.25">
      <c r="A729" s="1">
        <v>728</v>
      </c>
      <c r="B729" s="1">
        <v>15</v>
      </c>
      <c r="C729" s="3">
        <v>15115271774204</v>
      </c>
      <c r="D729" s="2">
        <v>44410.53125</v>
      </c>
      <c r="E729" s="2">
        <v>44410.576388888891</v>
      </c>
      <c r="F729" s="23">
        <f t="shared" si="33"/>
        <v>4.5138888890505768E-2</v>
      </c>
      <c r="G729" s="24">
        <f t="shared" si="35"/>
        <v>276.9230769131575</v>
      </c>
      <c r="H729" s="1" t="s">
        <v>1</v>
      </c>
      <c r="I729" s="4" t="s">
        <v>3</v>
      </c>
      <c r="J729" s="14">
        <v>0.53125</v>
      </c>
      <c r="K729" s="20" t="str">
        <f t="shared" si="34"/>
        <v>1st Shift</v>
      </c>
    </row>
    <row r="730" spans="1:11" x14ac:dyDescent="0.25">
      <c r="A730" s="1">
        <v>729</v>
      </c>
      <c r="B730" s="1">
        <v>13</v>
      </c>
      <c r="C730" s="3">
        <v>13115271590304</v>
      </c>
      <c r="D730" s="2">
        <v>44410.53125</v>
      </c>
      <c r="E730" s="2">
        <v>44410.576388888891</v>
      </c>
      <c r="F730" s="23">
        <f t="shared" si="33"/>
        <v>4.5138888890505768E-2</v>
      </c>
      <c r="G730" s="24">
        <f t="shared" si="35"/>
        <v>276.9230769131575</v>
      </c>
      <c r="H730" s="1" t="s">
        <v>1</v>
      </c>
      <c r="I730" s="4" t="s">
        <v>2</v>
      </c>
      <c r="J730" s="14">
        <v>0.53125</v>
      </c>
      <c r="K730" s="20" t="str">
        <f t="shared" si="34"/>
        <v>1st Shift</v>
      </c>
    </row>
    <row r="731" spans="1:11" x14ac:dyDescent="0.25">
      <c r="A731" s="1">
        <v>730</v>
      </c>
      <c r="B731" s="1">
        <v>13</v>
      </c>
      <c r="C731" s="3">
        <v>13115271601500</v>
      </c>
      <c r="D731" s="2">
        <v>44410.625</v>
      </c>
      <c r="E731" s="2">
        <v>44410.666666666664</v>
      </c>
      <c r="F731" s="23">
        <f t="shared" si="33"/>
        <v>4.1666666664241347E-2</v>
      </c>
      <c r="G731" s="24">
        <f t="shared" si="35"/>
        <v>300.0000000174623</v>
      </c>
      <c r="H731" s="1" t="s">
        <v>1</v>
      </c>
      <c r="I731" s="4" t="s">
        <v>5</v>
      </c>
      <c r="J731" s="14">
        <v>0.625</v>
      </c>
      <c r="K731" s="20" t="str">
        <f t="shared" si="34"/>
        <v>2nd Shift</v>
      </c>
    </row>
    <row r="732" spans="1:11" x14ac:dyDescent="0.25">
      <c r="A732" s="1">
        <v>731</v>
      </c>
      <c r="B732" s="1">
        <v>8</v>
      </c>
      <c r="C732" s="3">
        <v>8115271872303</v>
      </c>
      <c r="D732" s="2">
        <v>44410.697916666664</v>
      </c>
      <c r="E732" s="2">
        <v>44410.895833333336</v>
      </c>
      <c r="F732" s="23">
        <f t="shared" si="33"/>
        <v>0.19791666667151731</v>
      </c>
      <c r="G732" s="24">
        <f t="shared" si="35"/>
        <v>63.157894735294192</v>
      </c>
      <c r="H732" s="1" t="s">
        <v>1</v>
      </c>
      <c r="I732" s="4" t="s">
        <v>3</v>
      </c>
      <c r="J732" s="14">
        <v>0.69791666666666663</v>
      </c>
      <c r="K732" s="20" t="str">
        <f t="shared" si="34"/>
        <v>2nd Shift</v>
      </c>
    </row>
    <row r="733" spans="1:11" x14ac:dyDescent="0.25">
      <c r="A733" s="1">
        <v>732</v>
      </c>
      <c r="B733" s="1">
        <v>8</v>
      </c>
      <c r="C733" s="3">
        <v>8115271818206</v>
      </c>
      <c r="D733" s="2">
        <v>44410.697916666664</v>
      </c>
      <c r="E733" s="2">
        <v>44410.895833333336</v>
      </c>
      <c r="F733" s="23">
        <f t="shared" si="33"/>
        <v>0.19791666667151731</v>
      </c>
      <c r="G733" s="24">
        <f t="shared" si="35"/>
        <v>63.157894735294192</v>
      </c>
      <c r="H733" s="1" t="s">
        <v>1</v>
      </c>
      <c r="I733" s="4" t="s">
        <v>3</v>
      </c>
      <c r="J733" s="14">
        <v>0.69791666666666663</v>
      </c>
      <c r="K733" s="20" t="str">
        <f t="shared" si="34"/>
        <v>2nd Shift</v>
      </c>
    </row>
    <row r="734" spans="1:11" x14ac:dyDescent="0.25">
      <c r="A734" s="1">
        <v>733</v>
      </c>
      <c r="B734" s="1">
        <v>7</v>
      </c>
      <c r="C734" s="3">
        <v>7115271782907</v>
      </c>
      <c r="D734" s="2">
        <v>44410.697916666664</v>
      </c>
      <c r="E734" s="2">
        <v>44410.895833333336</v>
      </c>
      <c r="F734" s="23">
        <f t="shared" si="33"/>
        <v>0.19791666667151731</v>
      </c>
      <c r="G734" s="24">
        <f t="shared" si="35"/>
        <v>63.157894735294192</v>
      </c>
      <c r="H734" s="1" t="s">
        <v>1</v>
      </c>
      <c r="I734" s="4" t="s">
        <v>2</v>
      </c>
      <c r="J734" s="14">
        <v>0.69791666666666663</v>
      </c>
      <c r="K734" s="20" t="str">
        <f t="shared" si="34"/>
        <v>2nd Shift</v>
      </c>
    </row>
    <row r="735" spans="1:11" x14ac:dyDescent="0.25">
      <c r="A735" s="1">
        <v>734</v>
      </c>
      <c r="B735" s="1">
        <v>6</v>
      </c>
      <c r="C735" s="3">
        <v>6115271690201</v>
      </c>
      <c r="D735" s="2">
        <v>44410.697916666664</v>
      </c>
      <c r="E735" s="2">
        <v>44410.895833333336</v>
      </c>
      <c r="F735" s="23">
        <f t="shared" si="33"/>
        <v>0.19791666667151731</v>
      </c>
      <c r="G735" s="24">
        <f t="shared" si="35"/>
        <v>63.157894735294192</v>
      </c>
      <c r="H735" s="1" t="s">
        <v>1</v>
      </c>
      <c r="I735" s="4" t="s">
        <v>2</v>
      </c>
      <c r="J735" s="14">
        <v>0.69791666666666663</v>
      </c>
      <c r="K735" s="20" t="str">
        <f t="shared" si="34"/>
        <v>2nd Shift</v>
      </c>
    </row>
    <row r="736" spans="1:11" x14ac:dyDescent="0.25">
      <c r="A736" s="1">
        <v>735</v>
      </c>
      <c r="B736" s="1">
        <v>4</v>
      </c>
      <c r="C736" s="3">
        <v>4115270825800</v>
      </c>
      <c r="D736" s="2">
        <v>44410.697916666664</v>
      </c>
      <c r="E736" s="2">
        <v>44410.895833333336</v>
      </c>
      <c r="F736" s="23">
        <f t="shared" si="33"/>
        <v>0.19791666667151731</v>
      </c>
      <c r="G736" s="24">
        <f t="shared" si="35"/>
        <v>63.157894735294192</v>
      </c>
      <c r="H736" s="1" t="s">
        <v>1</v>
      </c>
      <c r="I736" s="4" t="s">
        <v>3</v>
      </c>
      <c r="J736" s="14">
        <v>0.69791666666666663</v>
      </c>
      <c r="K736" s="20" t="str">
        <f t="shared" si="34"/>
        <v>2nd Shift</v>
      </c>
    </row>
    <row r="737" spans="1:11" x14ac:dyDescent="0.25">
      <c r="A737" s="1">
        <v>736</v>
      </c>
      <c r="B737" s="1">
        <v>2</v>
      </c>
      <c r="C737" s="3">
        <v>2115270437003</v>
      </c>
      <c r="D737" s="2">
        <v>44410.697916666664</v>
      </c>
      <c r="E737" s="2">
        <v>44410.895833333336</v>
      </c>
      <c r="F737" s="23">
        <f t="shared" si="33"/>
        <v>0.19791666667151731</v>
      </c>
      <c r="G737" s="24">
        <f t="shared" si="35"/>
        <v>63.157894735294192</v>
      </c>
      <c r="H737" s="1" t="s">
        <v>1</v>
      </c>
      <c r="I737" s="4" t="s">
        <v>3</v>
      </c>
      <c r="J737" s="14">
        <v>0.69791666666666663</v>
      </c>
      <c r="K737" s="20" t="str">
        <f t="shared" si="34"/>
        <v>2nd Shift</v>
      </c>
    </row>
    <row r="738" spans="1:11" x14ac:dyDescent="0.25">
      <c r="A738" s="1">
        <v>737</v>
      </c>
      <c r="B738" s="1">
        <v>15</v>
      </c>
      <c r="C738" s="3">
        <v>15115271785851</v>
      </c>
      <c r="D738" s="2">
        <v>44410.9375</v>
      </c>
      <c r="E738" s="2">
        <v>44411.0625</v>
      </c>
      <c r="F738" s="23">
        <f t="shared" si="33"/>
        <v>0.125</v>
      </c>
      <c r="G738" s="24">
        <f t="shared" si="35"/>
        <v>100</v>
      </c>
      <c r="H738" s="1" t="s">
        <v>1</v>
      </c>
      <c r="I738" s="4" t="s">
        <v>3</v>
      </c>
      <c r="J738" s="14">
        <v>0.9375</v>
      </c>
      <c r="K738" s="20" t="str">
        <f t="shared" si="34"/>
        <v>3rd Shift</v>
      </c>
    </row>
    <row r="739" spans="1:11" x14ac:dyDescent="0.25">
      <c r="A739" s="1">
        <v>738</v>
      </c>
      <c r="B739" s="1">
        <v>14</v>
      </c>
      <c r="C739" s="3">
        <v>14115271690418</v>
      </c>
      <c r="D739" s="2">
        <v>44410.9375</v>
      </c>
      <c r="E739" s="2">
        <v>44411.0625</v>
      </c>
      <c r="F739" s="23">
        <f t="shared" si="33"/>
        <v>0.125</v>
      </c>
      <c r="G739" s="24">
        <f t="shared" si="35"/>
        <v>100</v>
      </c>
      <c r="H739" s="1" t="s">
        <v>1</v>
      </c>
      <c r="I739" s="4" t="s">
        <v>3</v>
      </c>
      <c r="J739" s="14">
        <v>0.9375</v>
      </c>
      <c r="K739" s="20" t="str">
        <f t="shared" si="34"/>
        <v>3rd Shift</v>
      </c>
    </row>
    <row r="740" spans="1:11" x14ac:dyDescent="0.25">
      <c r="A740" s="1">
        <v>739</v>
      </c>
      <c r="B740" s="1">
        <v>12</v>
      </c>
      <c r="C740" s="3">
        <v>12115271583700</v>
      </c>
      <c r="D740" s="2">
        <v>44410.9375</v>
      </c>
      <c r="E740" s="2">
        <v>44411.0625</v>
      </c>
      <c r="F740" s="23">
        <f t="shared" si="33"/>
        <v>0.125</v>
      </c>
      <c r="G740" s="24">
        <f t="shared" si="35"/>
        <v>100</v>
      </c>
      <c r="H740" s="1" t="s">
        <v>1</v>
      </c>
      <c r="I740" s="4" t="s">
        <v>3</v>
      </c>
      <c r="J740" s="14">
        <v>0.9375</v>
      </c>
      <c r="K740" s="20" t="str">
        <f t="shared" si="34"/>
        <v>3rd Shift</v>
      </c>
    </row>
    <row r="741" spans="1:11" x14ac:dyDescent="0.25">
      <c r="A741" s="1">
        <v>740</v>
      </c>
      <c r="B741" s="1">
        <v>9</v>
      </c>
      <c r="C741" s="3">
        <v>9115271909203</v>
      </c>
      <c r="D741" s="2">
        <v>44410.9375</v>
      </c>
      <c r="E741" s="2">
        <v>44411.0625</v>
      </c>
      <c r="F741" s="23">
        <f t="shared" si="33"/>
        <v>0.125</v>
      </c>
      <c r="G741" s="24">
        <f t="shared" si="35"/>
        <v>100</v>
      </c>
      <c r="H741" s="1" t="s">
        <v>1</v>
      </c>
      <c r="I741" s="4" t="s">
        <v>3</v>
      </c>
      <c r="J741" s="14">
        <v>0.9375</v>
      </c>
      <c r="K741" s="20" t="str">
        <f t="shared" si="34"/>
        <v>3rd Shift</v>
      </c>
    </row>
    <row r="742" spans="1:11" x14ac:dyDescent="0.25">
      <c r="A742" s="1">
        <v>741</v>
      </c>
      <c r="B742" s="1">
        <v>4</v>
      </c>
      <c r="C742" s="3">
        <v>4115270874700</v>
      </c>
      <c r="D742" s="2">
        <v>44410.9375</v>
      </c>
      <c r="E742" s="2">
        <v>44411.0625</v>
      </c>
      <c r="F742" s="23">
        <f t="shared" si="33"/>
        <v>0.125</v>
      </c>
      <c r="G742" s="24">
        <f t="shared" si="35"/>
        <v>100</v>
      </c>
      <c r="H742" s="1" t="s">
        <v>1</v>
      </c>
      <c r="I742" s="4" t="s">
        <v>3</v>
      </c>
      <c r="J742" s="14">
        <v>0.9375</v>
      </c>
      <c r="K742" s="20" t="str">
        <f t="shared" si="34"/>
        <v>3rd Shift</v>
      </c>
    </row>
    <row r="743" spans="1:11" x14ac:dyDescent="0.25">
      <c r="A743" s="1">
        <v>742</v>
      </c>
      <c r="B743" s="1">
        <v>13</v>
      </c>
      <c r="C743" s="3">
        <v>13115271669402</v>
      </c>
      <c r="D743" s="2">
        <v>44411.354166666664</v>
      </c>
      <c r="E743" s="2">
        <v>44411.520833333336</v>
      </c>
      <c r="F743" s="23">
        <f t="shared" si="33"/>
        <v>0.16666666667151731</v>
      </c>
      <c r="G743" s="24">
        <f t="shared" si="35"/>
        <v>74.999999997817213</v>
      </c>
      <c r="H743" s="1" t="s">
        <v>1</v>
      </c>
      <c r="I743" s="4" t="s">
        <v>3</v>
      </c>
      <c r="J743" s="14">
        <v>0.35416666666666669</v>
      </c>
      <c r="K743" s="20" t="str">
        <f t="shared" si="34"/>
        <v>1st Shift</v>
      </c>
    </row>
    <row r="744" spans="1:11" x14ac:dyDescent="0.25">
      <c r="A744" s="1">
        <v>743</v>
      </c>
      <c r="B744" s="1">
        <v>13</v>
      </c>
      <c r="C744" s="3">
        <v>13115271669400</v>
      </c>
      <c r="D744" s="2">
        <v>44411.354166666664</v>
      </c>
      <c r="E744" s="2">
        <v>44411.520833333336</v>
      </c>
      <c r="F744" s="23">
        <f t="shared" si="33"/>
        <v>0.16666666667151731</v>
      </c>
      <c r="G744" s="24">
        <f t="shared" si="35"/>
        <v>74.999999997817213</v>
      </c>
      <c r="H744" s="1" t="s">
        <v>1</v>
      </c>
      <c r="I744" s="4" t="s">
        <v>2</v>
      </c>
      <c r="J744" s="14">
        <v>0.35416666666666669</v>
      </c>
      <c r="K744" s="20" t="str">
        <f t="shared" si="34"/>
        <v>1st Shift</v>
      </c>
    </row>
    <row r="745" spans="1:11" x14ac:dyDescent="0.25">
      <c r="A745" s="1">
        <v>744</v>
      </c>
      <c r="B745" s="1">
        <v>13</v>
      </c>
      <c r="C745" s="3">
        <v>13115271652003</v>
      </c>
      <c r="D745" s="2">
        <v>44411.354166666664</v>
      </c>
      <c r="E745" s="2">
        <v>44411.520833333336</v>
      </c>
      <c r="F745" s="23">
        <f t="shared" si="33"/>
        <v>0.16666666667151731</v>
      </c>
      <c r="G745" s="24">
        <f t="shared" si="35"/>
        <v>74.999999997817213</v>
      </c>
      <c r="H745" s="1" t="s">
        <v>1</v>
      </c>
      <c r="I745" s="4" t="s">
        <v>2</v>
      </c>
      <c r="J745" s="14">
        <v>0.35416666666666669</v>
      </c>
      <c r="K745" s="20" t="str">
        <f t="shared" si="34"/>
        <v>1st Shift</v>
      </c>
    </row>
    <row r="746" spans="1:11" x14ac:dyDescent="0.25">
      <c r="A746" s="1">
        <v>745</v>
      </c>
      <c r="B746" s="1">
        <v>13</v>
      </c>
      <c r="C746" s="3">
        <v>13115271652001</v>
      </c>
      <c r="D746" s="2">
        <v>44411.354166666664</v>
      </c>
      <c r="E746" s="2">
        <v>44411.520833333336</v>
      </c>
      <c r="F746" s="23">
        <f t="shared" si="33"/>
        <v>0.16666666667151731</v>
      </c>
      <c r="G746" s="24">
        <f t="shared" si="35"/>
        <v>74.999999997817213</v>
      </c>
      <c r="H746" s="1" t="s">
        <v>1</v>
      </c>
      <c r="I746" s="4" t="s">
        <v>2</v>
      </c>
      <c r="J746" s="14">
        <v>0.35416666666666669</v>
      </c>
      <c r="K746" s="20" t="str">
        <f t="shared" si="34"/>
        <v>1st Shift</v>
      </c>
    </row>
    <row r="747" spans="1:11" x14ac:dyDescent="0.25">
      <c r="A747" s="1">
        <v>746</v>
      </c>
      <c r="B747" s="1">
        <v>12</v>
      </c>
      <c r="C747" s="3">
        <v>12115271560117</v>
      </c>
      <c r="D747" s="2">
        <v>44411.354166666664</v>
      </c>
      <c r="E747" s="2">
        <v>44411.520833333336</v>
      </c>
      <c r="F747" s="23">
        <f t="shared" si="33"/>
        <v>0.16666666667151731</v>
      </c>
      <c r="G747" s="24">
        <f t="shared" si="35"/>
        <v>74.999999997817213</v>
      </c>
      <c r="H747" s="1" t="s">
        <v>1</v>
      </c>
      <c r="I747" s="4" t="s">
        <v>4</v>
      </c>
      <c r="J747" s="14">
        <v>0.35416666666666669</v>
      </c>
      <c r="K747" s="20" t="str">
        <f t="shared" si="34"/>
        <v>1st Shift</v>
      </c>
    </row>
    <row r="748" spans="1:11" x14ac:dyDescent="0.25">
      <c r="A748" s="1">
        <v>747</v>
      </c>
      <c r="B748" s="1">
        <v>12</v>
      </c>
      <c r="C748" s="3">
        <v>12115271560116</v>
      </c>
      <c r="D748" s="2">
        <v>44411.354166666664</v>
      </c>
      <c r="E748" s="2">
        <v>44411.520833333336</v>
      </c>
      <c r="F748" s="23">
        <f t="shared" si="33"/>
        <v>0.16666666667151731</v>
      </c>
      <c r="G748" s="24">
        <f t="shared" si="35"/>
        <v>74.999999997817213</v>
      </c>
      <c r="H748" s="1" t="s">
        <v>1</v>
      </c>
      <c r="I748" s="4" t="s">
        <v>3</v>
      </c>
      <c r="J748" s="14">
        <v>0.35416666666666669</v>
      </c>
      <c r="K748" s="20" t="str">
        <f t="shared" si="34"/>
        <v>1st Shift</v>
      </c>
    </row>
    <row r="749" spans="1:11" x14ac:dyDescent="0.25">
      <c r="A749" s="1">
        <v>748</v>
      </c>
      <c r="B749" s="1">
        <v>10</v>
      </c>
      <c r="C749" s="3">
        <v>10115271959001</v>
      </c>
      <c r="D749" s="2">
        <v>44411.354166666664</v>
      </c>
      <c r="E749" s="2">
        <v>44411.520833333336</v>
      </c>
      <c r="F749" s="23">
        <f t="shared" si="33"/>
        <v>0.16666666667151731</v>
      </c>
      <c r="G749" s="24">
        <f t="shared" si="35"/>
        <v>74.999999997817213</v>
      </c>
      <c r="H749" s="1" t="s">
        <v>1</v>
      </c>
      <c r="I749" s="4" t="s">
        <v>3</v>
      </c>
      <c r="J749" s="14">
        <v>0.35416666666666669</v>
      </c>
      <c r="K749" s="20" t="str">
        <f t="shared" si="34"/>
        <v>1st Shift</v>
      </c>
    </row>
    <row r="750" spans="1:11" x14ac:dyDescent="0.25">
      <c r="A750" s="1">
        <v>749</v>
      </c>
      <c r="B750" s="1">
        <v>10</v>
      </c>
      <c r="C750" s="3">
        <v>10115271959000</v>
      </c>
      <c r="D750" s="2">
        <v>44411.354166666664</v>
      </c>
      <c r="E750" s="2">
        <v>44411.520833333336</v>
      </c>
      <c r="F750" s="23">
        <f t="shared" si="33"/>
        <v>0.16666666667151731</v>
      </c>
      <c r="G750" s="24">
        <f t="shared" si="35"/>
        <v>74.999999997817213</v>
      </c>
      <c r="H750" s="1" t="s">
        <v>1</v>
      </c>
      <c r="I750" s="4" t="s">
        <v>3</v>
      </c>
      <c r="J750" s="14">
        <v>0.35416666666666669</v>
      </c>
      <c r="K750" s="20" t="str">
        <f t="shared" si="34"/>
        <v>1st Shift</v>
      </c>
    </row>
    <row r="751" spans="1:11" x14ac:dyDescent="0.25">
      <c r="A751" s="1">
        <v>750</v>
      </c>
      <c r="B751" s="1">
        <v>9</v>
      </c>
      <c r="C751" s="3">
        <v>9115271910015</v>
      </c>
      <c r="D751" s="2">
        <v>44411.354166666664</v>
      </c>
      <c r="E751" s="2">
        <v>44411.520833333336</v>
      </c>
      <c r="F751" s="23">
        <f t="shared" si="33"/>
        <v>0.16666666667151731</v>
      </c>
      <c r="G751" s="24">
        <f t="shared" si="35"/>
        <v>74.999999997817213</v>
      </c>
      <c r="H751" s="1" t="s">
        <v>1</v>
      </c>
      <c r="I751" s="4" t="s">
        <v>3</v>
      </c>
      <c r="J751" s="14">
        <v>0.35416666666666669</v>
      </c>
      <c r="K751" s="20" t="str">
        <f t="shared" si="34"/>
        <v>1st Shift</v>
      </c>
    </row>
    <row r="752" spans="1:11" x14ac:dyDescent="0.25">
      <c r="A752" s="1">
        <v>751</v>
      </c>
      <c r="B752" s="1">
        <v>15</v>
      </c>
      <c r="C752" s="3">
        <v>15115271786221</v>
      </c>
      <c r="D752" s="2">
        <v>44411.541666666664</v>
      </c>
      <c r="E752" s="2">
        <v>44411.572916666664</v>
      </c>
      <c r="F752" s="23">
        <f t="shared" si="33"/>
        <v>3.125E-2</v>
      </c>
      <c r="G752" s="24">
        <f t="shared" si="35"/>
        <v>400</v>
      </c>
      <c r="H752" s="1" t="s">
        <v>1</v>
      </c>
      <c r="I752" s="4" t="s">
        <v>2</v>
      </c>
      <c r="J752" s="14">
        <v>0.54166666666666663</v>
      </c>
      <c r="K752" s="20" t="str">
        <f t="shared" si="34"/>
        <v>1st Shift</v>
      </c>
    </row>
    <row r="753" spans="1:11" x14ac:dyDescent="0.25">
      <c r="A753" s="1">
        <v>752</v>
      </c>
      <c r="B753" s="1">
        <v>15</v>
      </c>
      <c r="C753" s="3">
        <v>15115271786220</v>
      </c>
      <c r="D753" s="2">
        <v>44411.541666666664</v>
      </c>
      <c r="E753" s="2">
        <v>44411.572916666664</v>
      </c>
      <c r="F753" s="23">
        <f t="shared" si="33"/>
        <v>3.125E-2</v>
      </c>
      <c r="G753" s="24">
        <f t="shared" si="35"/>
        <v>400</v>
      </c>
      <c r="H753" s="1" t="s">
        <v>1</v>
      </c>
      <c r="I753" s="4" t="s">
        <v>2</v>
      </c>
      <c r="J753" s="14">
        <v>0.54166666666666663</v>
      </c>
      <c r="K753" s="20" t="str">
        <f t="shared" si="34"/>
        <v>1st Shift</v>
      </c>
    </row>
    <row r="754" spans="1:11" x14ac:dyDescent="0.25">
      <c r="A754" s="1">
        <v>753</v>
      </c>
      <c r="B754" s="1">
        <v>8</v>
      </c>
      <c r="C754" s="3">
        <v>8115271834300</v>
      </c>
      <c r="D754" s="2">
        <v>44411.625</v>
      </c>
      <c r="E754" s="2">
        <v>44411.75</v>
      </c>
      <c r="F754" s="23">
        <f t="shared" si="33"/>
        <v>0.125</v>
      </c>
      <c r="G754" s="24">
        <f t="shared" si="35"/>
        <v>100</v>
      </c>
      <c r="H754" s="1" t="s">
        <v>1</v>
      </c>
      <c r="I754" s="4" t="s">
        <v>3</v>
      </c>
      <c r="J754" s="14">
        <v>0.625</v>
      </c>
      <c r="K754" s="20" t="str">
        <f t="shared" si="34"/>
        <v>2nd Shift</v>
      </c>
    </row>
    <row r="755" spans="1:11" x14ac:dyDescent="0.25">
      <c r="A755" s="1">
        <v>754</v>
      </c>
      <c r="B755" s="1">
        <v>6</v>
      </c>
      <c r="C755" s="3">
        <v>6115271748405</v>
      </c>
      <c r="D755" s="2">
        <v>44411.625</v>
      </c>
      <c r="E755" s="2">
        <v>44411.75</v>
      </c>
      <c r="F755" s="23">
        <f t="shared" si="33"/>
        <v>0.125</v>
      </c>
      <c r="G755" s="24">
        <f t="shared" si="35"/>
        <v>100</v>
      </c>
      <c r="H755" s="1" t="s">
        <v>1</v>
      </c>
      <c r="I755" s="4" t="s">
        <v>4</v>
      </c>
      <c r="J755" s="14">
        <v>0.625</v>
      </c>
      <c r="K755" s="20" t="str">
        <f t="shared" si="34"/>
        <v>2nd Shift</v>
      </c>
    </row>
    <row r="756" spans="1:11" x14ac:dyDescent="0.25">
      <c r="A756" s="1">
        <v>755</v>
      </c>
      <c r="B756" s="1">
        <v>6</v>
      </c>
      <c r="C756" s="3">
        <v>6115271748401</v>
      </c>
      <c r="D756" s="2">
        <v>44411.625</v>
      </c>
      <c r="E756" s="2">
        <v>44411.75</v>
      </c>
      <c r="F756" s="23">
        <f t="shared" si="33"/>
        <v>0.125</v>
      </c>
      <c r="G756" s="24">
        <f t="shared" si="35"/>
        <v>100</v>
      </c>
      <c r="H756" s="1" t="s">
        <v>1</v>
      </c>
      <c r="I756" s="4" t="s">
        <v>3</v>
      </c>
      <c r="J756" s="14">
        <v>0.625</v>
      </c>
      <c r="K756" s="20" t="str">
        <f t="shared" si="34"/>
        <v>2nd Shift</v>
      </c>
    </row>
    <row r="757" spans="1:11" x14ac:dyDescent="0.25">
      <c r="A757" s="1">
        <v>756</v>
      </c>
      <c r="B757" s="1">
        <v>3</v>
      </c>
      <c r="C757" s="3">
        <v>3115270388807</v>
      </c>
      <c r="D757" s="2">
        <v>44411.625</v>
      </c>
      <c r="E757" s="2">
        <v>44411.75</v>
      </c>
      <c r="F757" s="23">
        <f t="shared" si="33"/>
        <v>0.125</v>
      </c>
      <c r="G757" s="24">
        <f t="shared" si="35"/>
        <v>100</v>
      </c>
      <c r="H757" s="1" t="s">
        <v>1</v>
      </c>
      <c r="I757" s="4" t="s">
        <v>3</v>
      </c>
      <c r="J757" s="14">
        <v>0.625</v>
      </c>
      <c r="K757" s="20" t="str">
        <f t="shared" si="34"/>
        <v>2nd Shift</v>
      </c>
    </row>
    <row r="758" spans="1:11" x14ac:dyDescent="0.25">
      <c r="A758" s="1">
        <v>757</v>
      </c>
      <c r="B758" s="1">
        <v>3</v>
      </c>
      <c r="C758" s="3">
        <v>3115270388801</v>
      </c>
      <c r="D758" s="2">
        <v>44411.625</v>
      </c>
      <c r="E758" s="2">
        <v>44411.75</v>
      </c>
      <c r="F758" s="23">
        <f t="shared" si="33"/>
        <v>0.125</v>
      </c>
      <c r="G758" s="24">
        <f t="shared" si="35"/>
        <v>100</v>
      </c>
      <c r="H758" s="1" t="s">
        <v>1</v>
      </c>
      <c r="I758" s="4" t="s">
        <v>3</v>
      </c>
      <c r="J758" s="14">
        <v>0.625</v>
      </c>
      <c r="K758" s="20" t="str">
        <f t="shared" si="34"/>
        <v>2nd Shift</v>
      </c>
    </row>
    <row r="759" spans="1:11" x14ac:dyDescent="0.25">
      <c r="A759" s="1">
        <v>758</v>
      </c>
      <c r="B759" s="1">
        <v>3</v>
      </c>
      <c r="C759" s="3">
        <v>3115270388800</v>
      </c>
      <c r="D759" s="2">
        <v>44411.625</v>
      </c>
      <c r="E759" s="2">
        <v>44411.75</v>
      </c>
      <c r="F759" s="23">
        <f t="shared" si="33"/>
        <v>0.125</v>
      </c>
      <c r="G759" s="24">
        <f t="shared" si="35"/>
        <v>100</v>
      </c>
      <c r="H759" s="1" t="s">
        <v>1</v>
      </c>
      <c r="I759" s="4" t="s">
        <v>4</v>
      </c>
      <c r="J759" s="14">
        <v>0.625</v>
      </c>
      <c r="K759" s="20" t="str">
        <f t="shared" si="34"/>
        <v>2nd Shift</v>
      </c>
    </row>
    <row r="760" spans="1:11" x14ac:dyDescent="0.25">
      <c r="A760" s="1">
        <v>759</v>
      </c>
      <c r="B760" s="1">
        <v>1</v>
      </c>
      <c r="C760" s="3">
        <v>1115270137409</v>
      </c>
      <c r="D760" s="2">
        <v>44411.625</v>
      </c>
      <c r="E760" s="2">
        <v>44411.75</v>
      </c>
      <c r="F760" s="23">
        <f t="shared" si="33"/>
        <v>0.125</v>
      </c>
      <c r="G760" s="24">
        <f t="shared" si="35"/>
        <v>100</v>
      </c>
      <c r="H760" s="1" t="s">
        <v>1</v>
      </c>
      <c r="I760" s="4" t="s">
        <v>3</v>
      </c>
      <c r="J760" s="14">
        <v>0.625</v>
      </c>
      <c r="K760" s="20" t="str">
        <f t="shared" si="34"/>
        <v>2nd Shift</v>
      </c>
    </row>
    <row r="761" spans="1:11" x14ac:dyDescent="0.25">
      <c r="A761" s="1">
        <v>760</v>
      </c>
      <c r="B761" s="1">
        <v>1</v>
      </c>
      <c r="C761" s="3">
        <v>1115270137401</v>
      </c>
      <c r="D761" s="2">
        <v>44411.625</v>
      </c>
      <c r="E761" s="2">
        <v>44411.75</v>
      </c>
      <c r="F761" s="23">
        <f t="shared" si="33"/>
        <v>0.125</v>
      </c>
      <c r="G761" s="24">
        <f t="shared" si="35"/>
        <v>100</v>
      </c>
      <c r="H761" s="1" t="s">
        <v>1</v>
      </c>
      <c r="I761" s="4" t="s">
        <v>2</v>
      </c>
      <c r="J761" s="14">
        <v>0.625</v>
      </c>
      <c r="K761" s="20" t="str">
        <f t="shared" si="34"/>
        <v>2nd Shift</v>
      </c>
    </row>
    <row r="762" spans="1:11" x14ac:dyDescent="0.25">
      <c r="A762" s="1">
        <v>761</v>
      </c>
      <c r="B762" s="1">
        <v>1</v>
      </c>
      <c r="C762" s="3">
        <v>1115270137400</v>
      </c>
      <c r="D762" s="2">
        <v>44411.625</v>
      </c>
      <c r="E762" s="2">
        <v>44411.75</v>
      </c>
      <c r="F762" s="23">
        <f t="shared" si="33"/>
        <v>0.125</v>
      </c>
      <c r="G762" s="24">
        <f t="shared" si="35"/>
        <v>100</v>
      </c>
      <c r="H762" s="1" t="s">
        <v>1</v>
      </c>
      <c r="I762" s="4" t="s">
        <v>2</v>
      </c>
      <c r="J762" s="14">
        <v>0.625</v>
      </c>
      <c r="K762" s="20" t="str">
        <f t="shared" si="34"/>
        <v>2nd Shift</v>
      </c>
    </row>
    <row r="763" spans="1:11" x14ac:dyDescent="0.25">
      <c r="A763" s="1">
        <v>762</v>
      </c>
      <c r="B763" s="1">
        <v>14</v>
      </c>
      <c r="C763" s="3">
        <v>14115271687632</v>
      </c>
      <c r="D763" s="2">
        <v>44411.8125</v>
      </c>
      <c r="E763" s="2">
        <v>44411.895833333336</v>
      </c>
      <c r="F763" s="23">
        <f t="shared" si="33"/>
        <v>8.3333333335758653E-2</v>
      </c>
      <c r="G763" s="24">
        <f t="shared" si="35"/>
        <v>149.99999999563443</v>
      </c>
      <c r="H763" s="1" t="s">
        <v>1</v>
      </c>
      <c r="I763" s="4" t="s">
        <v>2</v>
      </c>
      <c r="J763" s="14">
        <v>0.8125</v>
      </c>
      <c r="K763" s="20" t="str">
        <f t="shared" si="34"/>
        <v>2nd Shift</v>
      </c>
    </row>
    <row r="764" spans="1:11" x14ac:dyDescent="0.25">
      <c r="A764" s="1">
        <v>763</v>
      </c>
      <c r="B764" s="1">
        <v>15</v>
      </c>
      <c r="C764" s="3">
        <v>15115271788506</v>
      </c>
      <c r="D764" s="2">
        <v>44411.8125</v>
      </c>
      <c r="E764" s="2">
        <v>44411.909722222219</v>
      </c>
      <c r="F764" s="23">
        <f t="shared" si="33"/>
        <v>9.7222222218988463E-2</v>
      </c>
      <c r="G764" s="24">
        <f t="shared" si="35"/>
        <v>128.57142857570506</v>
      </c>
      <c r="H764" s="1" t="s">
        <v>1</v>
      </c>
      <c r="I764" s="4" t="s">
        <v>4</v>
      </c>
      <c r="J764" s="14">
        <v>0.8125</v>
      </c>
      <c r="K764" s="20" t="str">
        <f t="shared" si="34"/>
        <v>2nd Shift</v>
      </c>
    </row>
    <row r="765" spans="1:11" x14ac:dyDescent="0.25">
      <c r="A765" s="1">
        <v>764</v>
      </c>
      <c r="B765" s="1">
        <v>12</v>
      </c>
      <c r="C765" s="3">
        <v>12115271567451</v>
      </c>
      <c r="D765" s="2">
        <v>44411.8125</v>
      </c>
      <c r="E765" s="2">
        <v>44411.909722222219</v>
      </c>
      <c r="F765" s="23">
        <f t="shared" si="33"/>
        <v>9.7222222218988463E-2</v>
      </c>
      <c r="G765" s="24">
        <f t="shared" si="35"/>
        <v>128.57142857570506</v>
      </c>
      <c r="H765" s="1" t="s">
        <v>1</v>
      </c>
      <c r="I765" s="4" t="s">
        <v>3</v>
      </c>
      <c r="J765" s="14">
        <v>0.8125</v>
      </c>
      <c r="K765" s="20" t="str">
        <f t="shared" si="34"/>
        <v>2nd Shift</v>
      </c>
    </row>
    <row r="766" spans="1:11" x14ac:dyDescent="0.25">
      <c r="A766" s="1">
        <v>765</v>
      </c>
      <c r="B766" s="1">
        <v>10</v>
      </c>
      <c r="C766" s="3">
        <v>10115270967501</v>
      </c>
      <c r="D766" s="2">
        <v>44411.8125</v>
      </c>
      <c r="E766" s="2">
        <v>44411.909722222219</v>
      </c>
      <c r="F766" s="23">
        <f t="shared" si="33"/>
        <v>9.7222222218988463E-2</v>
      </c>
      <c r="G766" s="24">
        <f t="shared" si="35"/>
        <v>128.57142857570506</v>
      </c>
      <c r="H766" s="1" t="s">
        <v>1</v>
      </c>
      <c r="I766" s="4" t="s">
        <v>2</v>
      </c>
      <c r="J766" s="14">
        <v>0.8125</v>
      </c>
      <c r="K766" s="20" t="str">
        <f t="shared" si="34"/>
        <v>2nd Shift</v>
      </c>
    </row>
    <row r="767" spans="1:11" x14ac:dyDescent="0.25">
      <c r="A767" s="1">
        <v>766</v>
      </c>
      <c r="B767" s="1">
        <v>10</v>
      </c>
      <c r="C767" s="3">
        <v>10115271956500</v>
      </c>
      <c r="D767" s="2">
        <v>44411.927083333336</v>
      </c>
      <c r="E767" s="2">
        <v>44411.993055555555</v>
      </c>
      <c r="F767" s="23">
        <f t="shared" si="33"/>
        <v>6.5972222218988463E-2</v>
      </c>
      <c r="G767" s="24">
        <f t="shared" si="35"/>
        <v>189.47368421981375</v>
      </c>
      <c r="H767" s="1" t="s">
        <v>1</v>
      </c>
      <c r="I767" s="4" t="s">
        <v>2</v>
      </c>
      <c r="J767" s="14">
        <v>0.92708333333333337</v>
      </c>
      <c r="K767" s="20" t="str">
        <f t="shared" si="34"/>
        <v>3rd Shift</v>
      </c>
    </row>
    <row r="768" spans="1:11" x14ac:dyDescent="0.25">
      <c r="A768" s="1">
        <v>767</v>
      </c>
      <c r="B768" s="1">
        <v>8</v>
      </c>
      <c r="C768" s="3">
        <v>8115271834300</v>
      </c>
      <c r="D768" s="2">
        <v>44411.927083333336</v>
      </c>
      <c r="E768" s="2">
        <v>44411.993055555555</v>
      </c>
      <c r="F768" s="23">
        <f t="shared" si="33"/>
        <v>6.5972222218988463E-2</v>
      </c>
      <c r="G768" s="24">
        <f t="shared" si="35"/>
        <v>189.47368421981375</v>
      </c>
      <c r="H768" s="1" t="s">
        <v>1</v>
      </c>
      <c r="I768" s="4" t="s">
        <v>2</v>
      </c>
      <c r="J768" s="14">
        <v>0.92708333333333337</v>
      </c>
      <c r="K768" s="20" t="str">
        <f t="shared" si="34"/>
        <v>3rd Shift</v>
      </c>
    </row>
    <row r="769" spans="1:11" x14ac:dyDescent="0.25">
      <c r="A769" s="1">
        <v>768</v>
      </c>
      <c r="B769" s="1">
        <v>7</v>
      </c>
      <c r="C769" s="3">
        <v>7115271753878</v>
      </c>
      <c r="D769" s="2">
        <v>44412.020833333336</v>
      </c>
      <c r="E769" s="2">
        <v>44412.145833333336</v>
      </c>
      <c r="F769" s="23">
        <f t="shared" si="33"/>
        <v>0.125</v>
      </c>
      <c r="G769" s="24">
        <f t="shared" si="35"/>
        <v>100</v>
      </c>
      <c r="H769" s="1" t="s">
        <v>1</v>
      </c>
      <c r="I769" s="4" t="s">
        <v>8</v>
      </c>
      <c r="J769" s="14">
        <v>2.0833333333333332E-2</v>
      </c>
      <c r="K769" s="20" t="str">
        <f t="shared" si="34"/>
        <v>3rd Shift</v>
      </c>
    </row>
    <row r="770" spans="1:11" x14ac:dyDescent="0.25">
      <c r="A770" s="1">
        <v>769</v>
      </c>
      <c r="B770" s="1">
        <v>7</v>
      </c>
      <c r="C770" s="3">
        <v>7115271753872</v>
      </c>
      <c r="D770" s="2">
        <v>44412.020833333336</v>
      </c>
      <c r="E770" s="2">
        <v>44412.145833333336</v>
      </c>
      <c r="F770" s="23">
        <f t="shared" ref="F770:F833" si="36">E770-D770</f>
        <v>0.125</v>
      </c>
      <c r="G770" s="24">
        <f t="shared" si="35"/>
        <v>100</v>
      </c>
      <c r="H770" s="1" t="s">
        <v>1</v>
      </c>
      <c r="I770" s="4" t="s">
        <v>3</v>
      </c>
      <c r="J770" s="14">
        <v>2.0833333333333332E-2</v>
      </c>
      <c r="K770" s="20" t="str">
        <f t="shared" ref="K770:K833" si="37">IF(AND(J770&gt;=$M$3,J770&lt;$M$4),"1st Shift",IF(AND(J770&gt;=$M$4,J770&lt;$M$5),"2nd Shift","3rd Shift"))</f>
        <v>3rd Shift</v>
      </c>
    </row>
    <row r="771" spans="1:11" x14ac:dyDescent="0.25">
      <c r="A771" s="1">
        <v>770</v>
      </c>
      <c r="B771" s="1">
        <v>5</v>
      </c>
      <c r="C771" s="3">
        <v>5115271269909</v>
      </c>
      <c r="D771" s="2">
        <v>44412.020833333336</v>
      </c>
      <c r="E771" s="2">
        <v>44412.145833333336</v>
      </c>
      <c r="F771" s="23">
        <f t="shared" si="36"/>
        <v>0.125</v>
      </c>
      <c r="G771" s="24">
        <f t="shared" ref="G771:G834" si="38">$M$9/F771*100</f>
        <v>100</v>
      </c>
      <c r="H771" s="1" t="s">
        <v>1</v>
      </c>
      <c r="I771" s="4" t="s">
        <v>4</v>
      </c>
      <c r="J771" s="14">
        <v>2.0833333333333332E-2</v>
      </c>
      <c r="K771" s="20" t="str">
        <f t="shared" si="37"/>
        <v>3rd Shift</v>
      </c>
    </row>
    <row r="772" spans="1:11" x14ac:dyDescent="0.25">
      <c r="A772" s="1">
        <v>771</v>
      </c>
      <c r="B772" s="1">
        <v>5</v>
      </c>
      <c r="C772" s="3">
        <v>5115271269900</v>
      </c>
      <c r="D772" s="2">
        <v>44412.020833333336</v>
      </c>
      <c r="E772" s="2">
        <v>44412.145833333336</v>
      </c>
      <c r="F772" s="23">
        <f t="shared" si="36"/>
        <v>0.125</v>
      </c>
      <c r="G772" s="24">
        <f t="shared" si="38"/>
        <v>100</v>
      </c>
      <c r="H772" s="1" t="s">
        <v>1</v>
      </c>
      <c r="I772" s="4" t="s">
        <v>2</v>
      </c>
      <c r="J772" s="14">
        <v>2.0833333333333332E-2</v>
      </c>
      <c r="K772" s="20" t="str">
        <f t="shared" si="37"/>
        <v>3rd Shift</v>
      </c>
    </row>
    <row r="773" spans="1:11" x14ac:dyDescent="0.25">
      <c r="A773" s="1">
        <v>772</v>
      </c>
      <c r="B773" s="1">
        <v>5</v>
      </c>
      <c r="C773" s="3">
        <v>5115270973905</v>
      </c>
      <c r="D773" s="2">
        <v>44412.020833333336</v>
      </c>
      <c r="E773" s="2">
        <v>44412.145833333336</v>
      </c>
      <c r="F773" s="23">
        <f t="shared" si="36"/>
        <v>0.125</v>
      </c>
      <c r="G773" s="24">
        <f t="shared" si="38"/>
        <v>100</v>
      </c>
      <c r="H773" s="1" t="s">
        <v>1</v>
      </c>
      <c r="I773" s="4" t="s">
        <v>2</v>
      </c>
      <c r="J773" s="14">
        <v>2.0833333333333332E-2</v>
      </c>
      <c r="K773" s="20" t="str">
        <f t="shared" si="37"/>
        <v>3rd Shift</v>
      </c>
    </row>
    <row r="774" spans="1:11" x14ac:dyDescent="0.25">
      <c r="A774" s="1">
        <v>773</v>
      </c>
      <c r="B774" s="1">
        <v>5</v>
      </c>
      <c r="C774" s="3">
        <v>5115270973901</v>
      </c>
      <c r="D774" s="2">
        <v>44412.020833333336</v>
      </c>
      <c r="E774" s="2">
        <v>44412.145833333336</v>
      </c>
      <c r="F774" s="23">
        <f t="shared" si="36"/>
        <v>0.125</v>
      </c>
      <c r="G774" s="24">
        <f t="shared" si="38"/>
        <v>100</v>
      </c>
      <c r="H774" s="1" t="s">
        <v>1</v>
      </c>
      <c r="I774" s="4" t="s">
        <v>5</v>
      </c>
      <c r="J774" s="14">
        <v>2.0833333333333332E-2</v>
      </c>
      <c r="K774" s="20" t="str">
        <f t="shared" si="37"/>
        <v>3rd Shift</v>
      </c>
    </row>
    <row r="775" spans="1:11" x14ac:dyDescent="0.25">
      <c r="A775" s="1">
        <v>774</v>
      </c>
      <c r="B775" s="1">
        <v>3</v>
      </c>
      <c r="C775" s="3">
        <v>3115270306609</v>
      </c>
      <c r="D775" s="2">
        <v>44412.020833333336</v>
      </c>
      <c r="E775" s="2">
        <v>44412.145833333336</v>
      </c>
      <c r="F775" s="23">
        <f t="shared" si="36"/>
        <v>0.125</v>
      </c>
      <c r="G775" s="24">
        <f t="shared" si="38"/>
        <v>100</v>
      </c>
      <c r="H775" s="1" t="s">
        <v>1</v>
      </c>
      <c r="I775" s="4" t="s">
        <v>2</v>
      </c>
      <c r="J775" s="14">
        <v>2.0833333333333332E-2</v>
      </c>
      <c r="K775" s="20" t="str">
        <f t="shared" si="37"/>
        <v>3rd Shift</v>
      </c>
    </row>
    <row r="776" spans="1:11" x14ac:dyDescent="0.25">
      <c r="A776" s="1">
        <v>775</v>
      </c>
      <c r="B776" s="1">
        <v>3</v>
      </c>
      <c r="C776" s="3">
        <v>3115270306603</v>
      </c>
      <c r="D776" s="2">
        <v>44412.020833333336</v>
      </c>
      <c r="E776" s="2">
        <v>44412.145833333336</v>
      </c>
      <c r="F776" s="23">
        <f t="shared" si="36"/>
        <v>0.125</v>
      </c>
      <c r="G776" s="24">
        <f t="shared" si="38"/>
        <v>100</v>
      </c>
      <c r="H776" s="1" t="s">
        <v>1</v>
      </c>
      <c r="I776" s="4" t="s">
        <v>2</v>
      </c>
      <c r="J776" s="14">
        <v>2.0833333333333332E-2</v>
      </c>
      <c r="K776" s="20" t="str">
        <f t="shared" si="37"/>
        <v>3rd Shift</v>
      </c>
    </row>
    <row r="777" spans="1:11" x14ac:dyDescent="0.25">
      <c r="A777" s="1">
        <v>776</v>
      </c>
      <c r="B777" s="1">
        <v>1</v>
      </c>
      <c r="C777" s="3">
        <v>1115270058107</v>
      </c>
      <c r="D777" s="2">
        <v>44412.020833333336</v>
      </c>
      <c r="E777" s="2">
        <v>44412.145833333336</v>
      </c>
      <c r="F777" s="23">
        <f t="shared" si="36"/>
        <v>0.125</v>
      </c>
      <c r="G777" s="24">
        <f t="shared" si="38"/>
        <v>100</v>
      </c>
      <c r="H777" s="1" t="s">
        <v>1</v>
      </c>
      <c r="I777" s="4" t="s">
        <v>3</v>
      </c>
      <c r="J777" s="14">
        <v>2.0833333333333332E-2</v>
      </c>
      <c r="K777" s="20" t="str">
        <f t="shared" si="37"/>
        <v>3rd Shift</v>
      </c>
    </row>
    <row r="778" spans="1:11" x14ac:dyDescent="0.25">
      <c r="A778" s="1">
        <v>777</v>
      </c>
      <c r="B778" s="1">
        <v>1</v>
      </c>
      <c r="C778" s="3">
        <v>1115270058100</v>
      </c>
      <c r="D778" s="2">
        <v>44412.020833333336</v>
      </c>
      <c r="E778" s="2">
        <v>44412.145833333336</v>
      </c>
      <c r="F778" s="23">
        <f t="shared" si="36"/>
        <v>0.125</v>
      </c>
      <c r="G778" s="24">
        <f t="shared" si="38"/>
        <v>100</v>
      </c>
      <c r="H778" s="1" t="s">
        <v>1</v>
      </c>
      <c r="I778" s="4" t="s">
        <v>2</v>
      </c>
      <c r="J778" s="14">
        <v>2.0833333333333332E-2</v>
      </c>
      <c r="K778" s="20" t="str">
        <f t="shared" si="37"/>
        <v>3rd Shift</v>
      </c>
    </row>
    <row r="779" spans="1:11" x14ac:dyDescent="0.25">
      <c r="A779" s="1">
        <v>778</v>
      </c>
      <c r="B779" s="1">
        <v>15</v>
      </c>
      <c r="C779" s="3">
        <v>15115271744002</v>
      </c>
      <c r="D779" s="2">
        <v>44412.333333333336</v>
      </c>
      <c r="E779" s="2">
        <v>44412.569444444445</v>
      </c>
      <c r="F779" s="23">
        <f t="shared" si="36"/>
        <v>0.23611111110949423</v>
      </c>
      <c r="G779" s="24">
        <f t="shared" si="38"/>
        <v>52.941176470950779</v>
      </c>
      <c r="H779" s="1" t="s">
        <v>1</v>
      </c>
      <c r="I779" s="4" t="s">
        <v>2</v>
      </c>
      <c r="J779" s="14">
        <v>0.33333333333333331</v>
      </c>
      <c r="K779" s="20" t="str">
        <f t="shared" si="37"/>
        <v>1st Shift</v>
      </c>
    </row>
    <row r="780" spans="1:11" x14ac:dyDescent="0.25">
      <c r="A780" s="1">
        <v>779</v>
      </c>
      <c r="B780" s="1">
        <v>13</v>
      </c>
      <c r="C780" s="3">
        <v>13115271650701</v>
      </c>
      <c r="D780" s="2">
        <v>44412.333333333336</v>
      </c>
      <c r="E780" s="2">
        <v>44412.569444444445</v>
      </c>
      <c r="F780" s="23">
        <f t="shared" si="36"/>
        <v>0.23611111110949423</v>
      </c>
      <c r="G780" s="24">
        <f t="shared" si="38"/>
        <v>52.941176470950779</v>
      </c>
      <c r="H780" s="1" t="s">
        <v>1</v>
      </c>
      <c r="I780" s="4" t="s">
        <v>2</v>
      </c>
      <c r="J780" s="14">
        <v>0.33333333333333331</v>
      </c>
      <c r="K780" s="20" t="str">
        <f t="shared" si="37"/>
        <v>1st Shift</v>
      </c>
    </row>
    <row r="781" spans="1:11" x14ac:dyDescent="0.25">
      <c r="A781" s="1">
        <v>780</v>
      </c>
      <c r="B781" s="1">
        <v>11</v>
      </c>
      <c r="C781" s="3">
        <v>11115271559107</v>
      </c>
      <c r="D781" s="2">
        <v>44412.333333333336</v>
      </c>
      <c r="E781" s="2">
        <v>44412.569444444445</v>
      </c>
      <c r="F781" s="23">
        <f t="shared" si="36"/>
        <v>0.23611111110949423</v>
      </c>
      <c r="G781" s="24">
        <f t="shared" si="38"/>
        <v>52.941176470950779</v>
      </c>
      <c r="H781" s="1" t="s">
        <v>1</v>
      </c>
      <c r="I781" s="4" t="s">
        <v>2</v>
      </c>
      <c r="J781" s="14">
        <v>0.33333333333333331</v>
      </c>
      <c r="K781" s="20" t="str">
        <f t="shared" si="37"/>
        <v>1st Shift</v>
      </c>
    </row>
    <row r="782" spans="1:11" x14ac:dyDescent="0.25">
      <c r="A782" s="1">
        <v>781</v>
      </c>
      <c r="B782" s="1">
        <v>9</v>
      </c>
      <c r="C782" s="3">
        <v>9115271909001</v>
      </c>
      <c r="D782" s="2">
        <v>44412.333333333336</v>
      </c>
      <c r="E782" s="2">
        <v>44412.569444444445</v>
      </c>
      <c r="F782" s="23">
        <f t="shared" si="36"/>
        <v>0.23611111110949423</v>
      </c>
      <c r="G782" s="24">
        <f t="shared" si="38"/>
        <v>52.941176470950779</v>
      </c>
      <c r="H782" s="1" t="s">
        <v>1</v>
      </c>
      <c r="I782" s="4" t="s">
        <v>2</v>
      </c>
      <c r="J782" s="14">
        <v>0.33333333333333331</v>
      </c>
      <c r="K782" s="20" t="str">
        <f t="shared" si="37"/>
        <v>1st Shift</v>
      </c>
    </row>
    <row r="783" spans="1:11" x14ac:dyDescent="0.25">
      <c r="A783" s="1">
        <v>782</v>
      </c>
      <c r="B783" s="1">
        <v>9</v>
      </c>
      <c r="C783" s="3">
        <v>9115270643301</v>
      </c>
      <c r="D783" s="2">
        <v>44412.333333333336</v>
      </c>
      <c r="E783" s="2">
        <v>44412.569444444445</v>
      </c>
      <c r="F783" s="23">
        <f t="shared" si="36"/>
        <v>0.23611111110949423</v>
      </c>
      <c r="G783" s="24">
        <f t="shared" si="38"/>
        <v>52.941176470950779</v>
      </c>
      <c r="H783" s="1" t="s">
        <v>1</v>
      </c>
      <c r="I783" s="4" t="s">
        <v>4</v>
      </c>
      <c r="J783" s="14">
        <v>0.33333333333333331</v>
      </c>
      <c r="K783" s="20" t="str">
        <f t="shared" si="37"/>
        <v>1st Shift</v>
      </c>
    </row>
    <row r="784" spans="1:11" x14ac:dyDescent="0.25">
      <c r="A784" s="1">
        <v>783</v>
      </c>
      <c r="B784" s="1">
        <v>8</v>
      </c>
      <c r="C784" s="3">
        <v>8115271838506</v>
      </c>
      <c r="D784" s="2">
        <v>44412.333333333336</v>
      </c>
      <c r="E784" s="2">
        <v>44412.569444444445</v>
      </c>
      <c r="F784" s="23">
        <f t="shared" si="36"/>
        <v>0.23611111110949423</v>
      </c>
      <c r="G784" s="24">
        <f t="shared" si="38"/>
        <v>52.941176470950779</v>
      </c>
      <c r="H784" s="1" t="s">
        <v>1</v>
      </c>
      <c r="I784" s="4" t="s">
        <v>2</v>
      </c>
      <c r="J784" s="14">
        <v>0.33333333333333331</v>
      </c>
      <c r="K784" s="20" t="str">
        <f t="shared" si="37"/>
        <v>1st Shift</v>
      </c>
    </row>
    <row r="785" spans="1:11" x14ac:dyDescent="0.25">
      <c r="A785" s="1">
        <v>784</v>
      </c>
      <c r="B785" s="1">
        <v>3</v>
      </c>
      <c r="C785" s="3">
        <v>3115270360701</v>
      </c>
      <c r="D785" s="2">
        <v>44412.333333333336</v>
      </c>
      <c r="E785" s="2">
        <v>44412.569444444445</v>
      </c>
      <c r="F785" s="23">
        <f t="shared" si="36"/>
        <v>0.23611111110949423</v>
      </c>
      <c r="G785" s="24">
        <f t="shared" si="38"/>
        <v>52.941176470950779</v>
      </c>
      <c r="H785" s="1" t="s">
        <v>1</v>
      </c>
      <c r="I785" s="4" t="s">
        <v>2</v>
      </c>
      <c r="J785" s="14">
        <v>0.33333333333333331</v>
      </c>
      <c r="K785" s="20" t="str">
        <f t="shared" si="37"/>
        <v>1st Shift</v>
      </c>
    </row>
    <row r="786" spans="1:11" x14ac:dyDescent="0.25">
      <c r="A786" s="1">
        <v>785</v>
      </c>
      <c r="B786" s="1">
        <v>12</v>
      </c>
      <c r="C786" s="3">
        <v>12115271560193</v>
      </c>
      <c r="D786" s="2">
        <v>44412.6875</v>
      </c>
      <c r="E786" s="2">
        <v>44412.909722222219</v>
      </c>
      <c r="F786" s="23">
        <f t="shared" si="36"/>
        <v>0.22222222221898846</v>
      </c>
      <c r="G786" s="24">
        <f t="shared" si="38"/>
        <v>56.250000000818545</v>
      </c>
      <c r="H786" s="1" t="s">
        <v>1</v>
      </c>
      <c r="I786" s="4" t="s">
        <v>2</v>
      </c>
      <c r="J786" s="14">
        <v>0.6875</v>
      </c>
      <c r="K786" s="20" t="str">
        <f t="shared" si="37"/>
        <v>2nd Shift</v>
      </c>
    </row>
    <row r="787" spans="1:11" x14ac:dyDescent="0.25">
      <c r="A787" s="1">
        <v>786</v>
      </c>
      <c r="B787" s="1">
        <v>12</v>
      </c>
      <c r="C787" s="3">
        <v>12115271560192</v>
      </c>
      <c r="D787" s="2">
        <v>44412.6875</v>
      </c>
      <c r="E787" s="2">
        <v>44412.909722222219</v>
      </c>
      <c r="F787" s="23">
        <f t="shared" si="36"/>
        <v>0.22222222221898846</v>
      </c>
      <c r="G787" s="24">
        <f t="shared" si="38"/>
        <v>56.250000000818545</v>
      </c>
      <c r="H787" s="1" t="s">
        <v>1</v>
      </c>
      <c r="I787" s="4" t="s">
        <v>2</v>
      </c>
      <c r="J787" s="14">
        <v>0.6875</v>
      </c>
      <c r="K787" s="20" t="str">
        <f t="shared" si="37"/>
        <v>2nd Shift</v>
      </c>
    </row>
    <row r="788" spans="1:11" x14ac:dyDescent="0.25">
      <c r="A788" s="1">
        <v>787</v>
      </c>
      <c r="B788" s="1">
        <v>5</v>
      </c>
      <c r="C788" s="3">
        <v>5115271685508</v>
      </c>
      <c r="D788" s="2">
        <v>44412.6875</v>
      </c>
      <c r="E788" s="2">
        <v>44412.909722222219</v>
      </c>
      <c r="F788" s="23">
        <f t="shared" si="36"/>
        <v>0.22222222221898846</v>
      </c>
      <c r="G788" s="24">
        <f t="shared" si="38"/>
        <v>56.250000000818545</v>
      </c>
      <c r="H788" s="1" t="s">
        <v>1</v>
      </c>
      <c r="I788" s="4" t="s">
        <v>2</v>
      </c>
      <c r="J788" s="14">
        <v>0.6875</v>
      </c>
      <c r="K788" s="20" t="str">
        <f t="shared" si="37"/>
        <v>2nd Shift</v>
      </c>
    </row>
    <row r="789" spans="1:11" x14ac:dyDescent="0.25">
      <c r="A789" s="1">
        <v>788</v>
      </c>
      <c r="B789" s="1">
        <v>5</v>
      </c>
      <c r="C789" s="3">
        <v>5115271685507</v>
      </c>
      <c r="D789" s="2">
        <v>44412.6875</v>
      </c>
      <c r="E789" s="2">
        <v>44412.909722222219</v>
      </c>
      <c r="F789" s="23">
        <f t="shared" si="36"/>
        <v>0.22222222221898846</v>
      </c>
      <c r="G789" s="24">
        <f t="shared" si="38"/>
        <v>56.250000000818545</v>
      </c>
      <c r="H789" s="1" t="s">
        <v>1</v>
      </c>
      <c r="I789" s="4" t="s">
        <v>4</v>
      </c>
      <c r="J789" s="14">
        <v>0.6875</v>
      </c>
      <c r="K789" s="20" t="str">
        <f t="shared" si="37"/>
        <v>2nd Shift</v>
      </c>
    </row>
    <row r="790" spans="1:11" x14ac:dyDescent="0.25">
      <c r="A790" s="1">
        <v>789</v>
      </c>
      <c r="B790" s="1">
        <v>5</v>
      </c>
      <c r="C790" s="3">
        <v>5115271677907</v>
      </c>
      <c r="D790" s="2">
        <v>44412.6875</v>
      </c>
      <c r="E790" s="2">
        <v>44412.909722222219</v>
      </c>
      <c r="F790" s="23">
        <f t="shared" si="36"/>
        <v>0.22222222221898846</v>
      </c>
      <c r="G790" s="24">
        <f t="shared" si="38"/>
        <v>56.250000000818545</v>
      </c>
      <c r="H790" s="1" t="s">
        <v>1</v>
      </c>
      <c r="I790" s="4" t="s">
        <v>3</v>
      </c>
      <c r="J790" s="14">
        <v>0.6875</v>
      </c>
      <c r="K790" s="20" t="str">
        <f t="shared" si="37"/>
        <v>2nd Shift</v>
      </c>
    </row>
    <row r="791" spans="1:11" x14ac:dyDescent="0.25">
      <c r="A791" s="1">
        <v>790</v>
      </c>
      <c r="B791" s="1">
        <v>5</v>
      </c>
      <c r="C791" s="3">
        <v>5115271677900</v>
      </c>
      <c r="D791" s="2">
        <v>44412.6875</v>
      </c>
      <c r="E791" s="2">
        <v>44412.909722222219</v>
      </c>
      <c r="F791" s="23">
        <f t="shared" si="36"/>
        <v>0.22222222221898846</v>
      </c>
      <c r="G791" s="24">
        <f t="shared" si="38"/>
        <v>56.250000000818545</v>
      </c>
      <c r="H791" s="1" t="s">
        <v>1</v>
      </c>
      <c r="I791" s="4" t="s">
        <v>3</v>
      </c>
      <c r="J791" s="14">
        <v>0.6875</v>
      </c>
      <c r="K791" s="20" t="str">
        <f t="shared" si="37"/>
        <v>2nd Shift</v>
      </c>
    </row>
    <row r="792" spans="1:11" x14ac:dyDescent="0.25">
      <c r="A792" s="1">
        <v>791</v>
      </c>
      <c r="B792" s="1">
        <v>2</v>
      </c>
      <c r="C792" s="3">
        <v>2115270229300</v>
      </c>
      <c r="D792" s="2">
        <v>44412.6875</v>
      </c>
      <c r="E792" s="2">
        <v>44412.909722222219</v>
      </c>
      <c r="F792" s="23">
        <f t="shared" si="36"/>
        <v>0.22222222221898846</v>
      </c>
      <c r="G792" s="24">
        <f t="shared" si="38"/>
        <v>56.250000000818545</v>
      </c>
      <c r="H792" s="1" t="s">
        <v>1</v>
      </c>
      <c r="I792" s="4" t="s">
        <v>2</v>
      </c>
      <c r="J792" s="14">
        <v>0.6875</v>
      </c>
      <c r="K792" s="20" t="str">
        <f t="shared" si="37"/>
        <v>2nd Shift</v>
      </c>
    </row>
    <row r="793" spans="1:11" x14ac:dyDescent="0.25">
      <c r="A793" s="1">
        <v>792</v>
      </c>
      <c r="B793" s="1">
        <v>1</v>
      </c>
      <c r="C793" s="3">
        <v>1115270047801</v>
      </c>
      <c r="D793" s="2">
        <v>44412.6875</v>
      </c>
      <c r="E793" s="2">
        <v>44412.909722222219</v>
      </c>
      <c r="F793" s="23">
        <f t="shared" si="36"/>
        <v>0.22222222221898846</v>
      </c>
      <c r="G793" s="24">
        <f t="shared" si="38"/>
        <v>56.250000000818545</v>
      </c>
      <c r="H793" s="1" t="s">
        <v>1</v>
      </c>
      <c r="I793" s="4" t="s">
        <v>2</v>
      </c>
      <c r="J793" s="14">
        <v>0.6875</v>
      </c>
      <c r="K793" s="20" t="str">
        <f t="shared" si="37"/>
        <v>2nd Shift</v>
      </c>
    </row>
    <row r="794" spans="1:11" x14ac:dyDescent="0.25">
      <c r="A794" s="1">
        <v>793</v>
      </c>
      <c r="B794" s="1">
        <v>9</v>
      </c>
      <c r="C794" s="3">
        <v>9115271925002</v>
      </c>
      <c r="D794" s="2">
        <v>44412.9375</v>
      </c>
      <c r="E794" s="2">
        <v>44412.979166666664</v>
      </c>
      <c r="F794" s="23">
        <f t="shared" si="36"/>
        <v>4.1666666664241347E-2</v>
      </c>
      <c r="G794" s="24">
        <f t="shared" si="38"/>
        <v>300.0000000174623</v>
      </c>
      <c r="H794" s="1" t="s">
        <v>1</v>
      </c>
      <c r="I794" s="4" t="s">
        <v>2</v>
      </c>
      <c r="J794" s="14">
        <v>0.9375</v>
      </c>
      <c r="K794" s="20" t="str">
        <f t="shared" si="37"/>
        <v>3rd Shift</v>
      </c>
    </row>
    <row r="795" spans="1:11" x14ac:dyDescent="0.25">
      <c r="A795" s="1">
        <v>794</v>
      </c>
      <c r="B795" s="1">
        <v>9</v>
      </c>
      <c r="C795" s="3">
        <v>9115271925000</v>
      </c>
      <c r="D795" s="2">
        <v>44412.9375</v>
      </c>
      <c r="E795" s="2">
        <v>44412.979166666664</v>
      </c>
      <c r="F795" s="23">
        <f t="shared" si="36"/>
        <v>4.1666666664241347E-2</v>
      </c>
      <c r="G795" s="24">
        <f t="shared" si="38"/>
        <v>300.0000000174623</v>
      </c>
      <c r="H795" s="1" t="s">
        <v>1</v>
      </c>
      <c r="I795" s="4" t="s">
        <v>3</v>
      </c>
      <c r="J795" s="14">
        <v>0.9375</v>
      </c>
      <c r="K795" s="20" t="str">
        <f t="shared" si="37"/>
        <v>3rd Shift</v>
      </c>
    </row>
    <row r="796" spans="1:11" x14ac:dyDescent="0.25">
      <c r="A796" s="1">
        <v>795</v>
      </c>
      <c r="B796" s="1">
        <v>9</v>
      </c>
      <c r="C796" s="3">
        <v>9115271923601</v>
      </c>
      <c r="D796" s="2">
        <v>44412.9375</v>
      </c>
      <c r="E796" s="2">
        <v>44412.979166666664</v>
      </c>
      <c r="F796" s="23">
        <f t="shared" si="36"/>
        <v>4.1666666664241347E-2</v>
      </c>
      <c r="G796" s="24">
        <f t="shared" si="38"/>
        <v>300.0000000174623</v>
      </c>
      <c r="H796" s="1" t="s">
        <v>1</v>
      </c>
      <c r="I796" s="4" t="s">
        <v>2</v>
      </c>
      <c r="J796" s="14">
        <v>0.9375</v>
      </c>
      <c r="K796" s="20" t="str">
        <f t="shared" si="37"/>
        <v>3rd Shift</v>
      </c>
    </row>
    <row r="797" spans="1:11" x14ac:dyDescent="0.25">
      <c r="A797" s="1">
        <v>796</v>
      </c>
      <c r="B797" s="1">
        <v>9</v>
      </c>
      <c r="C797" s="3">
        <v>9115271923600</v>
      </c>
      <c r="D797" s="2">
        <v>44412.9375</v>
      </c>
      <c r="E797" s="2">
        <v>44412.979166666664</v>
      </c>
      <c r="F797" s="23">
        <f t="shared" si="36"/>
        <v>4.1666666664241347E-2</v>
      </c>
      <c r="G797" s="24">
        <f t="shared" si="38"/>
        <v>300.0000000174623</v>
      </c>
      <c r="H797" s="1" t="s">
        <v>1</v>
      </c>
      <c r="I797" s="4" t="s">
        <v>2</v>
      </c>
      <c r="J797" s="14">
        <v>0.9375</v>
      </c>
      <c r="K797" s="20" t="str">
        <f t="shared" si="37"/>
        <v>3rd Shift</v>
      </c>
    </row>
    <row r="798" spans="1:11" x14ac:dyDescent="0.25">
      <c r="A798" s="1">
        <v>797</v>
      </c>
      <c r="B798" s="1">
        <v>15</v>
      </c>
      <c r="C798" s="3">
        <v>15115271791105</v>
      </c>
      <c r="D798" s="2">
        <v>44413.041666666664</v>
      </c>
      <c r="E798" s="2">
        <v>44413.145833333336</v>
      </c>
      <c r="F798" s="23">
        <f t="shared" si="36"/>
        <v>0.10416666667151731</v>
      </c>
      <c r="G798" s="24">
        <f t="shared" si="38"/>
        <v>119.99999999441206</v>
      </c>
      <c r="H798" s="1" t="s">
        <v>1</v>
      </c>
      <c r="I798" s="4" t="s">
        <v>2</v>
      </c>
      <c r="J798" s="14">
        <v>4.1666666666666664E-2</v>
      </c>
      <c r="K798" s="20" t="str">
        <f t="shared" si="37"/>
        <v>3rd Shift</v>
      </c>
    </row>
    <row r="799" spans="1:11" x14ac:dyDescent="0.25">
      <c r="A799" s="1">
        <v>798</v>
      </c>
      <c r="B799" s="1">
        <v>15</v>
      </c>
      <c r="C799" s="3">
        <v>15115271791103</v>
      </c>
      <c r="D799" s="2">
        <v>44413.041666666664</v>
      </c>
      <c r="E799" s="2">
        <v>44413.145833333336</v>
      </c>
      <c r="F799" s="23">
        <f t="shared" si="36"/>
        <v>0.10416666667151731</v>
      </c>
      <c r="G799" s="24">
        <f t="shared" si="38"/>
        <v>119.99999999441206</v>
      </c>
      <c r="H799" s="1" t="s">
        <v>1</v>
      </c>
      <c r="I799" s="4" t="s">
        <v>2</v>
      </c>
      <c r="J799" s="14">
        <v>4.1666666666666664E-2</v>
      </c>
      <c r="K799" s="20" t="str">
        <f t="shared" si="37"/>
        <v>3rd Shift</v>
      </c>
    </row>
    <row r="800" spans="1:11" x14ac:dyDescent="0.25">
      <c r="A800" s="1">
        <v>799</v>
      </c>
      <c r="B800" s="1">
        <v>13</v>
      </c>
      <c r="C800" s="3">
        <v>13115271651102</v>
      </c>
      <c r="D800" s="2">
        <v>44413.041666666664</v>
      </c>
      <c r="E800" s="2">
        <v>44413.145833333336</v>
      </c>
      <c r="F800" s="23">
        <f t="shared" si="36"/>
        <v>0.10416666667151731</v>
      </c>
      <c r="G800" s="24">
        <f t="shared" si="38"/>
        <v>119.99999999441206</v>
      </c>
      <c r="H800" s="1" t="s">
        <v>1</v>
      </c>
      <c r="I800" s="4" t="s">
        <v>2</v>
      </c>
      <c r="J800" s="14">
        <v>4.1666666666666664E-2</v>
      </c>
      <c r="K800" s="20" t="str">
        <f t="shared" si="37"/>
        <v>3rd Shift</v>
      </c>
    </row>
    <row r="801" spans="1:11" x14ac:dyDescent="0.25">
      <c r="A801" s="1">
        <v>800</v>
      </c>
      <c r="B801" s="1">
        <v>13</v>
      </c>
      <c r="C801" s="3">
        <v>13115271651101</v>
      </c>
      <c r="D801" s="2">
        <v>44413.041666666664</v>
      </c>
      <c r="E801" s="2">
        <v>44413.145833333336</v>
      </c>
      <c r="F801" s="23">
        <f t="shared" si="36"/>
        <v>0.10416666667151731</v>
      </c>
      <c r="G801" s="24">
        <f t="shared" si="38"/>
        <v>119.99999999441206</v>
      </c>
      <c r="H801" s="1" t="s">
        <v>1</v>
      </c>
      <c r="I801" s="4" t="s">
        <v>2</v>
      </c>
      <c r="J801" s="14">
        <v>4.1666666666666664E-2</v>
      </c>
      <c r="K801" s="20" t="str">
        <f t="shared" si="37"/>
        <v>3rd Shift</v>
      </c>
    </row>
    <row r="802" spans="1:11" x14ac:dyDescent="0.25">
      <c r="A802" s="1">
        <v>801</v>
      </c>
      <c r="B802" s="1">
        <v>13</v>
      </c>
      <c r="C802" s="3">
        <v>13115271590709</v>
      </c>
      <c r="D802" s="2">
        <v>44413.333333333336</v>
      </c>
      <c r="E802" s="2">
        <v>44413.5</v>
      </c>
      <c r="F802" s="23">
        <f t="shared" si="36"/>
        <v>0.16666666666424135</v>
      </c>
      <c r="G802" s="24">
        <f t="shared" si="38"/>
        <v>75.000000001091394</v>
      </c>
      <c r="H802" s="1" t="s">
        <v>1</v>
      </c>
      <c r="I802" s="4" t="s">
        <v>2</v>
      </c>
      <c r="J802" s="14">
        <v>0.33333333333333331</v>
      </c>
      <c r="K802" s="20" t="str">
        <f t="shared" si="37"/>
        <v>1st Shift</v>
      </c>
    </row>
    <row r="803" spans="1:11" x14ac:dyDescent="0.25">
      <c r="A803" s="1">
        <v>802</v>
      </c>
      <c r="B803" s="1">
        <v>13</v>
      </c>
      <c r="C803" s="3">
        <v>13115271590704</v>
      </c>
      <c r="D803" s="2">
        <v>44413.333333333336</v>
      </c>
      <c r="E803" s="2">
        <v>44413.5</v>
      </c>
      <c r="F803" s="23">
        <f t="shared" si="36"/>
        <v>0.16666666666424135</v>
      </c>
      <c r="G803" s="24">
        <f t="shared" si="38"/>
        <v>75.000000001091394</v>
      </c>
      <c r="H803" s="1" t="s">
        <v>1</v>
      </c>
      <c r="I803" s="4" t="s">
        <v>2</v>
      </c>
      <c r="J803" s="14">
        <v>0.33333333333333331</v>
      </c>
      <c r="K803" s="20" t="str">
        <f t="shared" si="37"/>
        <v>1st Shift</v>
      </c>
    </row>
    <row r="804" spans="1:11" x14ac:dyDescent="0.25">
      <c r="A804" s="1">
        <v>803</v>
      </c>
      <c r="B804" s="1">
        <v>13</v>
      </c>
      <c r="C804" s="3">
        <v>13115271590701</v>
      </c>
      <c r="D804" s="2">
        <v>44413.333333333336</v>
      </c>
      <c r="E804" s="2">
        <v>44413.5</v>
      </c>
      <c r="F804" s="23">
        <f t="shared" si="36"/>
        <v>0.16666666666424135</v>
      </c>
      <c r="G804" s="24">
        <f t="shared" si="38"/>
        <v>75.000000001091394</v>
      </c>
      <c r="H804" s="1" t="s">
        <v>1</v>
      </c>
      <c r="I804" s="4" t="s">
        <v>2</v>
      </c>
      <c r="J804" s="14">
        <v>0.33333333333333331</v>
      </c>
      <c r="K804" s="20" t="str">
        <f t="shared" si="37"/>
        <v>1st Shift</v>
      </c>
    </row>
    <row r="805" spans="1:11" x14ac:dyDescent="0.25">
      <c r="A805" s="1">
        <v>804</v>
      </c>
      <c r="B805" s="1">
        <v>12</v>
      </c>
      <c r="C805" s="3">
        <v>12115271560223</v>
      </c>
      <c r="D805" s="2">
        <v>44413.333333333336</v>
      </c>
      <c r="E805" s="2">
        <v>44413.5</v>
      </c>
      <c r="F805" s="23">
        <f t="shared" si="36"/>
        <v>0.16666666666424135</v>
      </c>
      <c r="G805" s="24">
        <f t="shared" si="38"/>
        <v>75.000000001091394</v>
      </c>
      <c r="H805" s="1" t="s">
        <v>1</v>
      </c>
      <c r="I805" s="4" t="s">
        <v>2</v>
      </c>
      <c r="J805" s="14">
        <v>0.33333333333333331</v>
      </c>
      <c r="K805" s="20" t="str">
        <f t="shared" si="37"/>
        <v>1st Shift</v>
      </c>
    </row>
    <row r="806" spans="1:11" x14ac:dyDescent="0.25">
      <c r="A806" s="1">
        <v>805</v>
      </c>
      <c r="B806" s="1">
        <v>12</v>
      </c>
      <c r="C806" s="3">
        <v>12115271560222</v>
      </c>
      <c r="D806" s="2">
        <v>44413.333333333336</v>
      </c>
      <c r="E806" s="2">
        <v>44413.5</v>
      </c>
      <c r="F806" s="23">
        <f t="shared" si="36"/>
        <v>0.16666666666424135</v>
      </c>
      <c r="G806" s="24">
        <f t="shared" si="38"/>
        <v>75.000000001091394</v>
      </c>
      <c r="H806" s="1" t="s">
        <v>1</v>
      </c>
      <c r="I806" s="4" t="s">
        <v>2</v>
      </c>
      <c r="J806" s="14">
        <v>0.33333333333333331</v>
      </c>
      <c r="K806" s="20" t="str">
        <f t="shared" si="37"/>
        <v>1st Shift</v>
      </c>
    </row>
    <row r="807" spans="1:11" x14ac:dyDescent="0.25">
      <c r="A807" s="1">
        <v>806</v>
      </c>
      <c r="B807" s="1">
        <v>8</v>
      </c>
      <c r="C807" s="3">
        <v>8115270613707</v>
      </c>
      <c r="D807" s="2">
        <v>44413.333333333336</v>
      </c>
      <c r="E807" s="2">
        <v>44413.5</v>
      </c>
      <c r="F807" s="23">
        <f t="shared" si="36"/>
        <v>0.16666666666424135</v>
      </c>
      <c r="G807" s="24">
        <f t="shared" si="38"/>
        <v>75.000000001091394</v>
      </c>
      <c r="H807" s="1" t="s">
        <v>1</v>
      </c>
      <c r="I807" s="4" t="s">
        <v>2</v>
      </c>
      <c r="J807" s="14">
        <v>0.33333333333333331</v>
      </c>
      <c r="K807" s="20" t="str">
        <f t="shared" si="37"/>
        <v>1st Shift</v>
      </c>
    </row>
    <row r="808" spans="1:11" x14ac:dyDescent="0.25">
      <c r="A808" s="1">
        <v>807</v>
      </c>
      <c r="B808" s="1">
        <v>8</v>
      </c>
      <c r="C808" s="3">
        <v>8115270613701</v>
      </c>
      <c r="D808" s="2">
        <v>44413.333333333336</v>
      </c>
      <c r="E808" s="2">
        <v>44413.5</v>
      </c>
      <c r="F808" s="23">
        <f t="shared" si="36"/>
        <v>0.16666666666424135</v>
      </c>
      <c r="G808" s="24">
        <f t="shared" si="38"/>
        <v>75.000000001091394</v>
      </c>
      <c r="H808" s="1" t="s">
        <v>1</v>
      </c>
      <c r="I808" s="4" t="s">
        <v>2</v>
      </c>
      <c r="J808" s="14">
        <v>0.33333333333333331</v>
      </c>
      <c r="K808" s="20" t="str">
        <f t="shared" si="37"/>
        <v>1st Shift</v>
      </c>
    </row>
    <row r="809" spans="1:11" x14ac:dyDescent="0.25">
      <c r="A809" s="1">
        <v>808</v>
      </c>
      <c r="B809" s="1">
        <v>2</v>
      </c>
      <c r="C809" s="3">
        <v>2115270302701</v>
      </c>
      <c r="D809" s="2">
        <v>44413.333333333336</v>
      </c>
      <c r="E809" s="2">
        <v>44413.5</v>
      </c>
      <c r="F809" s="23">
        <f t="shared" si="36"/>
        <v>0.16666666666424135</v>
      </c>
      <c r="G809" s="24">
        <f t="shared" si="38"/>
        <v>75.000000001091394</v>
      </c>
      <c r="H809" s="1" t="s">
        <v>1</v>
      </c>
      <c r="I809" s="4" t="s">
        <v>5</v>
      </c>
      <c r="J809" s="14">
        <v>0.33333333333333331</v>
      </c>
      <c r="K809" s="20" t="str">
        <f t="shared" si="37"/>
        <v>1st Shift</v>
      </c>
    </row>
    <row r="810" spans="1:11" x14ac:dyDescent="0.25">
      <c r="A810" s="1">
        <v>809</v>
      </c>
      <c r="B810" s="1">
        <v>2</v>
      </c>
      <c r="C810" s="3">
        <v>2115270302700</v>
      </c>
      <c r="D810" s="2">
        <v>44413.333333333336</v>
      </c>
      <c r="E810" s="2">
        <v>44413.5</v>
      </c>
      <c r="F810" s="23">
        <f t="shared" si="36"/>
        <v>0.16666666666424135</v>
      </c>
      <c r="G810" s="24">
        <f t="shared" si="38"/>
        <v>75.000000001091394</v>
      </c>
      <c r="H810" s="1" t="s">
        <v>1</v>
      </c>
      <c r="I810" s="4" t="s">
        <v>3</v>
      </c>
      <c r="J810" s="14">
        <v>0.33333333333333331</v>
      </c>
      <c r="K810" s="20" t="str">
        <f t="shared" si="37"/>
        <v>1st Shift</v>
      </c>
    </row>
    <row r="811" spans="1:11" x14ac:dyDescent="0.25">
      <c r="A811" s="1">
        <v>810</v>
      </c>
      <c r="B811" s="1">
        <v>7</v>
      </c>
      <c r="C811" s="3">
        <v>7115271791101</v>
      </c>
      <c r="D811" s="2">
        <v>44413.604166666664</v>
      </c>
      <c r="E811" s="2">
        <v>44413.8125</v>
      </c>
      <c r="F811" s="23">
        <f t="shared" si="36"/>
        <v>0.20833333333575865</v>
      </c>
      <c r="G811" s="24">
        <f t="shared" si="38"/>
        <v>59.999999999301515</v>
      </c>
      <c r="H811" s="1" t="s">
        <v>1</v>
      </c>
      <c r="I811" s="4" t="s">
        <v>2</v>
      </c>
      <c r="J811" s="14">
        <v>0.60416666666666663</v>
      </c>
      <c r="K811" s="20" t="str">
        <f t="shared" si="37"/>
        <v>2nd Shift</v>
      </c>
    </row>
    <row r="812" spans="1:11" x14ac:dyDescent="0.25">
      <c r="A812" s="1">
        <v>811</v>
      </c>
      <c r="B812" s="1">
        <v>6</v>
      </c>
      <c r="C812" s="3">
        <v>6115271726500</v>
      </c>
      <c r="D812" s="2">
        <v>44413.604166666664</v>
      </c>
      <c r="E812" s="2">
        <v>44413.8125</v>
      </c>
      <c r="F812" s="23">
        <f t="shared" si="36"/>
        <v>0.20833333333575865</v>
      </c>
      <c r="G812" s="24">
        <f t="shared" si="38"/>
        <v>59.999999999301515</v>
      </c>
      <c r="H812" s="1" t="s">
        <v>1</v>
      </c>
      <c r="I812" s="4" t="s">
        <v>2</v>
      </c>
      <c r="J812" s="14">
        <v>0.60416666666666663</v>
      </c>
      <c r="K812" s="20" t="str">
        <f t="shared" si="37"/>
        <v>2nd Shift</v>
      </c>
    </row>
    <row r="813" spans="1:11" x14ac:dyDescent="0.25">
      <c r="A813" s="1">
        <v>812</v>
      </c>
      <c r="B813" s="1">
        <v>6</v>
      </c>
      <c r="C813" s="3">
        <v>6115271690504</v>
      </c>
      <c r="D813" s="2">
        <v>44413.604166666664</v>
      </c>
      <c r="E813" s="2">
        <v>44413.8125</v>
      </c>
      <c r="F813" s="23">
        <f t="shared" si="36"/>
        <v>0.20833333333575865</v>
      </c>
      <c r="G813" s="24">
        <f t="shared" si="38"/>
        <v>59.999999999301515</v>
      </c>
      <c r="H813" s="1" t="s">
        <v>1</v>
      </c>
      <c r="I813" s="4" t="s">
        <v>2</v>
      </c>
      <c r="J813" s="14">
        <v>0.60416666666666663</v>
      </c>
      <c r="K813" s="20" t="str">
        <f t="shared" si="37"/>
        <v>2nd Shift</v>
      </c>
    </row>
    <row r="814" spans="1:11" x14ac:dyDescent="0.25">
      <c r="A814" s="1">
        <v>813</v>
      </c>
      <c r="B814" s="1">
        <v>2</v>
      </c>
      <c r="C814" s="3">
        <v>2115270228900</v>
      </c>
      <c r="D814" s="2">
        <v>44413.604166666664</v>
      </c>
      <c r="E814" s="2">
        <v>44413.8125</v>
      </c>
      <c r="F814" s="23">
        <f t="shared" si="36"/>
        <v>0.20833333333575865</v>
      </c>
      <c r="G814" s="24">
        <f t="shared" si="38"/>
        <v>59.999999999301515</v>
      </c>
      <c r="H814" s="1" t="s">
        <v>1</v>
      </c>
      <c r="I814" s="4" t="s">
        <v>3</v>
      </c>
      <c r="J814" s="14">
        <v>0.60416666666666663</v>
      </c>
      <c r="K814" s="20" t="str">
        <f t="shared" si="37"/>
        <v>2nd Shift</v>
      </c>
    </row>
    <row r="815" spans="1:11" x14ac:dyDescent="0.25">
      <c r="A815" s="1">
        <v>814</v>
      </c>
      <c r="B815" s="1">
        <v>1</v>
      </c>
      <c r="C815" s="3">
        <v>1115270027001</v>
      </c>
      <c r="D815" s="2">
        <v>44413.604166666664</v>
      </c>
      <c r="E815" s="2">
        <v>44413.8125</v>
      </c>
      <c r="F815" s="23">
        <f t="shared" si="36"/>
        <v>0.20833333333575865</v>
      </c>
      <c r="G815" s="24">
        <f t="shared" si="38"/>
        <v>59.999999999301515</v>
      </c>
      <c r="H815" s="1" t="s">
        <v>1</v>
      </c>
      <c r="I815" s="4" t="s">
        <v>2</v>
      </c>
      <c r="J815" s="14">
        <v>0.60416666666666663</v>
      </c>
      <c r="K815" s="20" t="str">
        <f t="shared" si="37"/>
        <v>2nd Shift</v>
      </c>
    </row>
    <row r="816" spans="1:11" x14ac:dyDescent="0.25">
      <c r="A816" s="1">
        <v>815</v>
      </c>
      <c r="B816" s="1">
        <v>1</v>
      </c>
      <c r="C816" s="3">
        <v>1115270027000</v>
      </c>
      <c r="D816" s="2">
        <v>44413.604166666664</v>
      </c>
      <c r="E816" s="2">
        <v>44413.8125</v>
      </c>
      <c r="F816" s="23">
        <f t="shared" si="36"/>
        <v>0.20833333333575865</v>
      </c>
      <c r="G816" s="24">
        <f t="shared" si="38"/>
        <v>59.999999999301515</v>
      </c>
      <c r="H816" s="1" t="s">
        <v>1</v>
      </c>
      <c r="I816" s="4" t="s">
        <v>2</v>
      </c>
      <c r="J816" s="14">
        <v>0.60416666666666663</v>
      </c>
      <c r="K816" s="20" t="str">
        <f t="shared" si="37"/>
        <v>2nd Shift</v>
      </c>
    </row>
    <row r="817" spans="1:11" x14ac:dyDescent="0.25">
      <c r="A817" s="1">
        <v>816</v>
      </c>
      <c r="B817" s="1">
        <v>7</v>
      </c>
      <c r="C817" s="3">
        <v>7115271760308</v>
      </c>
      <c r="D817" s="2">
        <v>44413.958333333336</v>
      </c>
      <c r="E817" s="2">
        <v>44414.083333333336</v>
      </c>
      <c r="F817" s="23">
        <f t="shared" si="36"/>
        <v>0.125</v>
      </c>
      <c r="G817" s="24">
        <f t="shared" si="38"/>
        <v>100</v>
      </c>
      <c r="H817" s="1" t="s">
        <v>1</v>
      </c>
      <c r="I817" s="4" t="s">
        <v>2</v>
      </c>
      <c r="J817" s="14">
        <v>0.95833333333333337</v>
      </c>
      <c r="K817" s="20" t="str">
        <f t="shared" si="37"/>
        <v>3rd Shift</v>
      </c>
    </row>
    <row r="818" spans="1:11" x14ac:dyDescent="0.25">
      <c r="A818" s="1">
        <v>817</v>
      </c>
      <c r="B818" s="1">
        <v>5</v>
      </c>
      <c r="C818" s="3">
        <v>5115270982402</v>
      </c>
      <c r="D818" s="2">
        <v>44413.958333333336</v>
      </c>
      <c r="E818" s="2">
        <v>44414.083333333336</v>
      </c>
      <c r="F818" s="23">
        <f t="shared" si="36"/>
        <v>0.125</v>
      </c>
      <c r="G818" s="24">
        <f t="shared" si="38"/>
        <v>100</v>
      </c>
      <c r="H818" s="1" t="s">
        <v>1</v>
      </c>
      <c r="I818" s="4" t="s">
        <v>2</v>
      </c>
      <c r="J818" s="14">
        <v>0.95833333333333337</v>
      </c>
      <c r="K818" s="20" t="str">
        <f t="shared" si="37"/>
        <v>3rd Shift</v>
      </c>
    </row>
    <row r="819" spans="1:11" x14ac:dyDescent="0.25">
      <c r="A819" s="1">
        <v>818</v>
      </c>
      <c r="B819" s="1">
        <v>1</v>
      </c>
      <c r="C819" s="3">
        <v>1115270075701</v>
      </c>
      <c r="D819" s="2">
        <v>44413.958333333336</v>
      </c>
      <c r="E819" s="2">
        <v>44414.083333333336</v>
      </c>
      <c r="F819" s="23">
        <f t="shared" si="36"/>
        <v>0.125</v>
      </c>
      <c r="G819" s="24">
        <f t="shared" si="38"/>
        <v>100</v>
      </c>
      <c r="H819" s="1" t="s">
        <v>1</v>
      </c>
      <c r="I819" s="4" t="s">
        <v>2</v>
      </c>
      <c r="J819" s="14">
        <v>0.95833333333333337</v>
      </c>
      <c r="K819" s="20" t="str">
        <f t="shared" si="37"/>
        <v>3rd Shift</v>
      </c>
    </row>
    <row r="820" spans="1:11" x14ac:dyDescent="0.25">
      <c r="A820" s="1">
        <v>819</v>
      </c>
      <c r="B820" s="1">
        <v>1</v>
      </c>
      <c r="C820" s="3">
        <v>1115270146002</v>
      </c>
      <c r="D820" s="2">
        <v>44414.993055555555</v>
      </c>
      <c r="E820" s="2">
        <v>44415.125</v>
      </c>
      <c r="F820" s="23">
        <f t="shared" si="36"/>
        <v>0.13194444444525288</v>
      </c>
      <c r="G820" s="24">
        <f t="shared" si="38"/>
        <v>94.736842104682694</v>
      </c>
      <c r="H820" s="1" t="s">
        <v>1</v>
      </c>
      <c r="I820" s="4" t="s">
        <v>2</v>
      </c>
      <c r="J820" s="14">
        <v>0.99305555555555558</v>
      </c>
      <c r="K820" s="20" t="str">
        <f t="shared" si="37"/>
        <v>3rd Shift</v>
      </c>
    </row>
    <row r="821" spans="1:11" x14ac:dyDescent="0.25">
      <c r="A821" s="1">
        <v>820</v>
      </c>
      <c r="B821" s="1">
        <v>1</v>
      </c>
      <c r="C821" s="3">
        <v>1115270146000</v>
      </c>
      <c r="D821" s="2">
        <v>44414.993055555555</v>
      </c>
      <c r="E821" s="2">
        <v>44415.125</v>
      </c>
      <c r="F821" s="23">
        <f t="shared" si="36"/>
        <v>0.13194444444525288</v>
      </c>
      <c r="G821" s="24">
        <f t="shared" si="38"/>
        <v>94.736842104682694</v>
      </c>
      <c r="H821" s="1" t="s">
        <v>1</v>
      </c>
      <c r="I821" s="4" t="s">
        <v>2</v>
      </c>
      <c r="J821" s="14">
        <v>0.99305555555555558</v>
      </c>
      <c r="K821" s="20" t="str">
        <f t="shared" si="37"/>
        <v>3rd Shift</v>
      </c>
    </row>
    <row r="822" spans="1:11" x14ac:dyDescent="0.25">
      <c r="A822" s="1">
        <v>821</v>
      </c>
      <c r="B822" s="1">
        <v>14</v>
      </c>
      <c r="C822" s="3">
        <v>14115271680709</v>
      </c>
      <c r="D822" s="2">
        <v>44414.395833333336</v>
      </c>
      <c r="E822" s="2">
        <v>44414.576388888891</v>
      </c>
      <c r="F822" s="23">
        <f t="shared" si="36"/>
        <v>0.18055555555474712</v>
      </c>
      <c r="G822" s="24">
        <f t="shared" si="38"/>
        <v>69.230769231079208</v>
      </c>
      <c r="H822" s="1" t="s">
        <v>1</v>
      </c>
      <c r="I822" s="4" t="s">
        <v>2</v>
      </c>
      <c r="J822" s="14">
        <v>0.39583333333333331</v>
      </c>
      <c r="K822" s="20" t="str">
        <f t="shared" si="37"/>
        <v>1st Shift</v>
      </c>
    </row>
    <row r="823" spans="1:11" x14ac:dyDescent="0.25">
      <c r="A823" s="1">
        <v>822</v>
      </c>
      <c r="B823" s="1">
        <v>14</v>
      </c>
      <c r="C823" s="3">
        <v>14115271680708</v>
      </c>
      <c r="D823" s="2">
        <v>44414.395833333336</v>
      </c>
      <c r="E823" s="2">
        <v>44414.576388888891</v>
      </c>
      <c r="F823" s="23">
        <f t="shared" si="36"/>
        <v>0.18055555555474712</v>
      </c>
      <c r="G823" s="24">
        <f t="shared" si="38"/>
        <v>69.230769231079208</v>
      </c>
      <c r="H823" s="1" t="s">
        <v>1</v>
      </c>
      <c r="I823" s="4" t="s">
        <v>2</v>
      </c>
      <c r="J823" s="14">
        <v>0.39583333333333331</v>
      </c>
      <c r="K823" s="20" t="str">
        <f t="shared" si="37"/>
        <v>1st Shift</v>
      </c>
    </row>
    <row r="824" spans="1:11" x14ac:dyDescent="0.25">
      <c r="A824" s="1">
        <v>823</v>
      </c>
      <c r="B824" s="1">
        <v>13</v>
      </c>
      <c r="C824" s="3">
        <v>13115271591501</v>
      </c>
      <c r="D824" s="2">
        <v>44414.395833333336</v>
      </c>
      <c r="E824" s="2">
        <v>44414.576388888891</v>
      </c>
      <c r="F824" s="23">
        <f t="shared" si="36"/>
        <v>0.18055555555474712</v>
      </c>
      <c r="G824" s="24">
        <f t="shared" si="38"/>
        <v>69.230769231079208</v>
      </c>
      <c r="H824" s="1" t="s">
        <v>1</v>
      </c>
      <c r="I824" s="4" t="s">
        <v>3</v>
      </c>
      <c r="J824" s="14">
        <v>0.39583333333333331</v>
      </c>
      <c r="K824" s="20" t="str">
        <f t="shared" si="37"/>
        <v>1st Shift</v>
      </c>
    </row>
    <row r="825" spans="1:11" x14ac:dyDescent="0.25">
      <c r="A825" s="1">
        <v>824</v>
      </c>
      <c r="B825" s="1">
        <v>13</v>
      </c>
      <c r="C825" s="3">
        <v>13115271591500</v>
      </c>
      <c r="D825" s="2">
        <v>44414.395833333336</v>
      </c>
      <c r="E825" s="2">
        <v>44414.576388888891</v>
      </c>
      <c r="F825" s="23">
        <f t="shared" si="36"/>
        <v>0.18055555555474712</v>
      </c>
      <c r="G825" s="24">
        <f t="shared" si="38"/>
        <v>69.230769231079208</v>
      </c>
      <c r="H825" s="1" t="s">
        <v>1</v>
      </c>
      <c r="I825" s="4" t="s">
        <v>2</v>
      </c>
      <c r="J825" s="14">
        <v>0.39583333333333331</v>
      </c>
      <c r="K825" s="20" t="str">
        <f t="shared" si="37"/>
        <v>1st Shift</v>
      </c>
    </row>
    <row r="826" spans="1:11" x14ac:dyDescent="0.25">
      <c r="A826" s="1">
        <v>825</v>
      </c>
      <c r="B826" s="1">
        <v>11</v>
      </c>
      <c r="C826" s="3">
        <v>11115271502301</v>
      </c>
      <c r="D826" s="2">
        <v>44414.395833333336</v>
      </c>
      <c r="E826" s="2">
        <v>44414.576388888891</v>
      </c>
      <c r="F826" s="23">
        <f t="shared" si="36"/>
        <v>0.18055555555474712</v>
      </c>
      <c r="G826" s="24">
        <f t="shared" si="38"/>
        <v>69.230769231079208</v>
      </c>
      <c r="H826" s="1" t="s">
        <v>1</v>
      </c>
      <c r="I826" s="4" t="s">
        <v>2</v>
      </c>
      <c r="J826" s="14">
        <v>0.39583333333333331</v>
      </c>
      <c r="K826" s="20" t="str">
        <f t="shared" si="37"/>
        <v>1st Shift</v>
      </c>
    </row>
    <row r="827" spans="1:11" x14ac:dyDescent="0.25">
      <c r="A827" s="1">
        <v>826</v>
      </c>
      <c r="B827" s="1">
        <v>11</v>
      </c>
      <c r="C827" s="3">
        <v>11115271502300</v>
      </c>
      <c r="D827" s="2">
        <v>44414.395833333336</v>
      </c>
      <c r="E827" s="2">
        <v>44414.576388888891</v>
      </c>
      <c r="F827" s="23">
        <f t="shared" si="36"/>
        <v>0.18055555555474712</v>
      </c>
      <c r="G827" s="24">
        <f t="shared" si="38"/>
        <v>69.230769231079208</v>
      </c>
      <c r="H827" s="1" t="s">
        <v>1</v>
      </c>
      <c r="I827" s="4" t="s">
        <v>8</v>
      </c>
      <c r="J827" s="14">
        <v>0.39583333333333331</v>
      </c>
      <c r="K827" s="20" t="str">
        <f t="shared" si="37"/>
        <v>1st Shift</v>
      </c>
    </row>
    <row r="828" spans="1:11" x14ac:dyDescent="0.25">
      <c r="A828" s="1">
        <v>827</v>
      </c>
      <c r="B828" s="1">
        <v>9</v>
      </c>
      <c r="C828" s="3">
        <v>9115270638306</v>
      </c>
      <c r="D828" s="2">
        <v>44414.395833333336</v>
      </c>
      <c r="E828" s="2">
        <v>44414.576388888891</v>
      </c>
      <c r="F828" s="23">
        <f t="shared" si="36"/>
        <v>0.18055555555474712</v>
      </c>
      <c r="G828" s="24">
        <f t="shared" si="38"/>
        <v>69.230769231079208</v>
      </c>
      <c r="H828" s="1" t="s">
        <v>1</v>
      </c>
      <c r="I828" s="4" t="s">
        <v>3</v>
      </c>
      <c r="J828" s="14">
        <v>0.39583333333333331</v>
      </c>
      <c r="K828" s="20" t="str">
        <f t="shared" si="37"/>
        <v>1st Shift</v>
      </c>
    </row>
    <row r="829" spans="1:11" x14ac:dyDescent="0.25">
      <c r="A829" s="1">
        <v>828</v>
      </c>
      <c r="B829" s="1">
        <v>9</v>
      </c>
      <c r="C829" s="3">
        <v>9115270638305</v>
      </c>
      <c r="D829" s="2">
        <v>44414.395833333336</v>
      </c>
      <c r="E829" s="2">
        <v>44414.576388888891</v>
      </c>
      <c r="F829" s="23">
        <f t="shared" si="36"/>
        <v>0.18055555555474712</v>
      </c>
      <c r="G829" s="24">
        <f t="shared" si="38"/>
        <v>69.230769231079208</v>
      </c>
      <c r="H829" s="1" t="s">
        <v>1</v>
      </c>
      <c r="I829" s="4" t="s">
        <v>3</v>
      </c>
      <c r="J829" s="14">
        <v>0.39583333333333331</v>
      </c>
      <c r="K829" s="20" t="str">
        <f t="shared" si="37"/>
        <v>1st Shift</v>
      </c>
    </row>
    <row r="830" spans="1:11" x14ac:dyDescent="0.25">
      <c r="A830" s="1">
        <v>829</v>
      </c>
      <c r="B830" s="1">
        <v>5</v>
      </c>
      <c r="C830" s="3">
        <v>5115271661601</v>
      </c>
      <c r="D830" s="2">
        <v>44414.395833333336</v>
      </c>
      <c r="E830" s="2">
        <v>44414.576388888891</v>
      </c>
      <c r="F830" s="23">
        <f t="shared" si="36"/>
        <v>0.18055555555474712</v>
      </c>
      <c r="G830" s="24">
        <f t="shared" si="38"/>
        <v>69.230769231079208</v>
      </c>
      <c r="H830" s="1" t="s">
        <v>1</v>
      </c>
      <c r="I830" s="4" t="s">
        <v>2</v>
      </c>
      <c r="J830" s="14">
        <v>0.39583333333333331</v>
      </c>
      <c r="K830" s="20" t="str">
        <f t="shared" si="37"/>
        <v>1st Shift</v>
      </c>
    </row>
    <row r="831" spans="1:11" x14ac:dyDescent="0.25">
      <c r="A831" s="1">
        <v>830</v>
      </c>
      <c r="B831" s="1">
        <v>5</v>
      </c>
      <c r="C831" s="3">
        <v>5115271661600</v>
      </c>
      <c r="D831" s="2">
        <v>44414.395833333336</v>
      </c>
      <c r="E831" s="2">
        <v>44414.576388888891</v>
      </c>
      <c r="F831" s="23">
        <f t="shared" si="36"/>
        <v>0.18055555555474712</v>
      </c>
      <c r="G831" s="24">
        <f t="shared" si="38"/>
        <v>69.230769231079208</v>
      </c>
      <c r="H831" s="1" t="s">
        <v>1</v>
      </c>
      <c r="I831" s="4" t="s">
        <v>3</v>
      </c>
      <c r="J831" s="14">
        <v>0.39583333333333331</v>
      </c>
      <c r="K831" s="20" t="str">
        <f t="shared" si="37"/>
        <v>1st Shift</v>
      </c>
    </row>
    <row r="832" spans="1:11" x14ac:dyDescent="0.25">
      <c r="A832" s="1">
        <v>831</v>
      </c>
      <c r="B832" s="1">
        <v>4</v>
      </c>
      <c r="C832" s="3">
        <v>4115270827104</v>
      </c>
      <c r="D832" s="2">
        <v>44414.395833333336</v>
      </c>
      <c r="E832" s="2">
        <v>44414.576388888891</v>
      </c>
      <c r="F832" s="23">
        <f t="shared" si="36"/>
        <v>0.18055555555474712</v>
      </c>
      <c r="G832" s="24">
        <f t="shared" si="38"/>
        <v>69.230769231079208</v>
      </c>
      <c r="H832" s="1" t="s">
        <v>1</v>
      </c>
      <c r="I832" s="4" t="s">
        <v>4</v>
      </c>
      <c r="J832" s="14">
        <v>0.39583333333333331</v>
      </c>
      <c r="K832" s="20" t="str">
        <f t="shared" si="37"/>
        <v>1st Shift</v>
      </c>
    </row>
    <row r="833" spans="1:11" x14ac:dyDescent="0.25">
      <c r="A833" s="1">
        <v>832</v>
      </c>
      <c r="B833" s="1">
        <v>4</v>
      </c>
      <c r="C833" s="3">
        <v>4115270827103</v>
      </c>
      <c r="D833" s="2">
        <v>44414.395833333336</v>
      </c>
      <c r="E833" s="2">
        <v>44414.576388888891</v>
      </c>
      <c r="F833" s="23">
        <f t="shared" si="36"/>
        <v>0.18055555555474712</v>
      </c>
      <c r="G833" s="24">
        <f t="shared" si="38"/>
        <v>69.230769231079208</v>
      </c>
      <c r="H833" s="1" t="s">
        <v>1</v>
      </c>
      <c r="I833" s="4" t="s">
        <v>2</v>
      </c>
      <c r="J833" s="14">
        <v>0.39583333333333331</v>
      </c>
      <c r="K833" s="20" t="str">
        <f t="shared" si="37"/>
        <v>1st Shift</v>
      </c>
    </row>
    <row r="834" spans="1:11" x14ac:dyDescent="0.25">
      <c r="A834" s="1">
        <v>833</v>
      </c>
      <c r="B834" s="1">
        <v>12</v>
      </c>
      <c r="C834" s="3">
        <v>12115271560306</v>
      </c>
      <c r="D834" s="2">
        <v>44414.625</v>
      </c>
      <c r="E834" s="2">
        <v>44414.875</v>
      </c>
      <c r="F834" s="23">
        <f t="shared" ref="F834:F897" si="39">E834-D834</f>
        <v>0.25</v>
      </c>
      <c r="G834" s="24">
        <f t="shared" si="38"/>
        <v>50</v>
      </c>
      <c r="H834" s="1" t="s">
        <v>1</v>
      </c>
      <c r="I834" s="4" t="s">
        <v>2</v>
      </c>
      <c r="J834" s="14">
        <v>0.625</v>
      </c>
      <c r="K834" s="20" t="str">
        <f t="shared" ref="K834:K897" si="40">IF(AND(J834&gt;=$M$3,J834&lt;$M$4),"1st Shift",IF(AND(J834&gt;=$M$4,J834&lt;$M$5),"2nd Shift","3rd Shift"))</f>
        <v>2nd Shift</v>
      </c>
    </row>
    <row r="835" spans="1:11" x14ac:dyDescent="0.25">
      <c r="A835" s="1">
        <v>834</v>
      </c>
      <c r="B835" s="1">
        <v>12</v>
      </c>
      <c r="C835" s="3">
        <v>12115271560117</v>
      </c>
      <c r="D835" s="2">
        <v>44414.625</v>
      </c>
      <c r="E835" s="2">
        <v>44414.875</v>
      </c>
      <c r="F835" s="23">
        <f t="shared" si="39"/>
        <v>0.25</v>
      </c>
      <c r="G835" s="24">
        <f t="shared" ref="G835:G898" si="41">$M$9/F835*100</f>
        <v>50</v>
      </c>
      <c r="H835" s="1" t="s">
        <v>1</v>
      </c>
      <c r="I835" s="4" t="s">
        <v>2</v>
      </c>
      <c r="J835" s="14">
        <v>0.625</v>
      </c>
      <c r="K835" s="20" t="str">
        <f t="shared" si="40"/>
        <v>2nd Shift</v>
      </c>
    </row>
    <row r="836" spans="1:11" x14ac:dyDescent="0.25">
      <c r="A836" s="1">
        <v>835</v>
      </c>
      <c r="B836" s="1">
        <v>10</v>
      </c>
      <c r="C836" s="3">
        <v>10115270972800</v>
      </c>
      <c r="D836" s="2">
        <v>44414.625</v>
      </c>
      <c r="E836" s="2">
        <v>44414.875</v>
      </c>
      <c r="F836" s="23">
        <f t="shared" si="39"/>
        <v>0.25</v>
      </c>
      <c r="G836" s="24">
        <f t="shared" si="41"/>
        <v>50</v>
      </c>
      <c r="H836" s="1" t="s">
        <v>1</v>
      </c>
      <c r="I836" s="4" t="s">
        <v>2</v>
      </c>
      <c r="J836" s="14">
        <v>0.625</v>
      </c>
      <c r="K836" s="20" t="str">
        <f t="shared" si="40"/>
        <v>2nd Shift</v>
      </c>
    </row>
    <row r="837" spans="1:11" x14ac:dyDescent="0.25">
      <c r="A837" s="1">
        <v>836</v>
      </c>
      <c r="B837" s="1">
        <v>9</v>
      </c>
      <c r="C837" s="3">
        <v>9115271970809</v>
      </c>
      <c r="D837" s="2">
        <v>44414.625</v>
      </c>
      <c r="E837" s="2">
        <v>44414.875</v>
      </c>
      <c r="F837" s="23">
        <f t="shared" si="39"/>
        <v>0.25</v>
      </c>
      <c r="G837" s="24">
        <f t="shared" si="41"/>
        <v>50</v>
      </c>
      <c r="H837" s="1" t="s">
        <v>1</v>
      </c>
      <c r="I837" s="4" t="s">
        <v>2</v>
      </c>
      <c r="J837" s="14">
        <v>0.625</v>
      </c>
      <c r="K837" s="20" t="str">
        <f t="shared" si="40"/>
        <v>2nd Shift</v>
      </c>
    </row>
    <row r="838" spans="1:11" x14ac:dyDescent="0.25">
      <c r="A838" s="1">
        <v>837</v>
      </c>
      <c r="B838" s="1">
        <v>9</v>
      </c>
      <c r="C838" s="3">
        <v>9115271970808</v>
      </c>
      <c r="D838" s="2">
        <v>44414.625</v>
      </c>
      <c r="E838" s="2">
        <v>44414.875</v>
      </c>
      <c r="F838" s="23">
        <f t="shared" si="39"/>
        <v>0.25</v>
      </c>
      <c r="G838" s="24">
        <f t="shared" si="41"/>
        <v>50</v>
      </c>
      <c r="H838" s="1" t="s">
        <v>1</v>
      </c>
      <c r="I838" s="4" t="s">
        <v>4</v>
      </c>
      <c r="J838" s="14">
        <v>0.625</v>
      </c>
      <c r="K838" s="20" t="str">
        <f t="shared" si="40"/>
        <v>2nd Shift</v>
      </c>
    </row>
    <row r="839" spans="1:11" x14ac:dyDescent="0.25">
      <c r="A839" s="1">
        <v>838</v>
      </c>
      <c r="B839" s="1">
        <v>9</v>
      </c>
      <c r="C839" s="3">
        <v>9115271910017</v>
      </c>
      <c r="D839" s="2">
        <v>44414.625</v>
      </c>
      <c r="E839" s="2">
        <v>44414.875</v>
      </c>
      <c r="F839" s="23">
        <f t="shared" si="39"/>
        <v>0.25</v>
      </c>
      <c r="G839" s="24">
        <f t="shared" si="41"/>
        <v>50</v>
      </c>
      <c r="H839" s="1" t="s">
        <v>1</v>
      </c>
      <c r="I839" s="4" t="s">
        <v>4</v>
      </c>
      <c r="J839" s="14">
        <v>0.625</v>
      </c>
      <c r="K839" s="20" t="str">
        <f t="shared" si="40"/>
        <v>2nd Shift</v>
      </c>
    </row>
    <row r="840" spans="1:11" x14ac:dyDescent="0.25">
      <c r="A840" s="1">
        <v>839</v>
      </c>
      <c r="B840" s="1">
        <v>9</v>
      </c>
      <c r="C840" s="3">
        <v>9115271910016</v>
      </c>
      <c r="D840" s="2">
        <v>44414.625</v>
      </c>
      <c r="E840" s="2">
        <v>44414.875</v>
      </c>
      <c r="F840" s="23">
        <f t="shared" si="39"/>
        <v>0.25</v>
      </c>
      <c r="G840" s="24">
        <f t="shared" si="41"/>
        <v>50</v>
      </c>
      <c r="H840" s="1" t="s">
        <v>1</v>
      </c>
      <c r="I840" s="4" t="s">
        <v>3</v>
      </c>
      <c r="J840" s="14">
        <v>0.625</v>
      </c>
      <c r="K840" s="20" t="str">
        <f t="shared" si="40"/>
        <v>2nd Shift</v>
      </c>
    </row>
    <row r="841" spans="1:11" x14ac:dyDescent="0.25">
      <c r="A841" s="1">
        <v>840</v>
      </c>
      <c r="B841" s="1">
        <v>8</v>
      </c>
      <c r="C841" s="3">
        <v>8115271809902</v>
      </c>
      <c r="D841" s="2">
        <v>44414.993055555555</v>
      </c>
      <c r="E841" s="2">
        <v>44415.125</v>
      </c>
      <c r="F841" s="23">
        <f t="shared" si="39"/>
        <v>0.13194444444525288</v>
      </c>
      <c r="G841" s="24">
        <f t="shared" si="41"/>
        <v>94.736842104682694</v>
      </c>
      <c r="H841" s="1" t="s">
        <v>1</v>
      </c>
      <c r="I841" s="4" t="s">
        <v>2</v>
      </c>
      <c r="J841" s="14">
        <v>0.99305555555555558</v>
      </c>
      <c r="K841" s="20" t="str">
        <f t="shared" si="40"/>
        <v>3rd Shift</v>
      </c>
    </row>
    <row r="842" spans="1:11" x14ac:dyDescent="0.25">
      <c r="A842" s="1">
        <v>841</v>
      </c>
      <c r="B842" s="1">
        <v>6</v>
      </c>
      <c r="C842" s="3">
        <v>6115271717229</v>
      </c>
      <c r="D842" s="2">
        <v>44414.993055555555</v>
      </c>
      <c r="E842" s="2">
        <v>44415.125</v>
      </c>
      <c r="F842" s="23">
        <f t="shared" si="39"/>
        <v>0.13194444444525288</v>
      </c>
      <c r="G842" s="24">
        <f t="shared" si="41"/>
        <v>94.736842104682694</v>
      </c>
      <c r="H842" s="1" t="s">
        <v>1</v>
      </c>
      <c r="I842" s="4" t="s">
        <v>2</v>
      </c>
      <c r="J842" s="14">
        <v>0.99305555555555558</v>
      </c>
      <c r="K842" s="20" t="str">
        <f t="shared" si="40"/>
        <v>3rd Shift</v>
      </c>
    </row>
    <row r="843" spans="1:11" x14ac:dyDescent="0.25">
      <c r="A843" s="1">
        <v>842</v>
      </c>
      <c r="B843" s="1">
        <v>6</v>
      </c>
      <c r="C843" s="3">
        <v>6115271717228</v>
      </c>
      <c r="D843" s="2">
        <v>44415.993055555555</v>
      </c>
      <c r="E843" s="2">
        <v>44416.125</v>
      </c>
      <c r="F843" s="23">
        <f t="shared" si="39"/>
        <v>0.13194444444525288</v>
      </c>
      <c r="G843" s="24">
        <f t="shared" si="41"/>
        <v>94.736842104682694</v>
      </c>
      <c r="H843" s="1" t="s">
        <v>1</v>
      </c>
      <c r="I843" s="4" t="s">
        <v>3</v>
      </c>
      <c r="J843" s="14">
        <v>0.99305555555555558</v>
      </c>
      <c r="K843" s="20" t="str">
        <f t="shared" si="40"/>
        <v>3rd Shift</v>
      </c>
    </row>
    <row r="844" spans="1:11" x14ac:dyDescent="0.25">
      <c r="A844" s="1">
        <v>843</v>
      </c>
      <c r="B844" s="1">
        <v>6</v>
      </c>
      <c r="C844" s="3">
        <v>6115271717224</v>
      </c>
      <c r="D844" s="2">
        <v>44414.993055555555</v>
      </c>
      <c r="E844" s="2">
        <v>44415.125</v>
      </c>
      <c r="F844" s="23">
        <f t="shared" si="39"/>
        <v>0.13194444444525288</v>
      </c>
      <c r="G844" s="24">
        <f t="shared" si="41"/>
        <v>94.736842104682694</v>
      </c>
      <c r="H844" s="1" t="s">
        <v>1</v>
      </c>
      <c r="I844" s="4" t="s">
        <v>2</v>
      </c>
      <c r="J844" s="14">
        <v>0.99305555555555558</v>
      </c>
      <c r="K844" s="20" t="str">
        <f t="shared" si="40"/>
        <v>3rd Shift</v>
      </c>
    </row>
    <row r="845" spans="1:11" x14ac:dyDescent="0.25">
      <c r="A845" s="1">
        <v>844</v>
      </c>
      <c r="B845" s="1">
        <v>1</v>
      </c>
      <c r="C845" s="3">
        <v>1115270073806</v>
      </c>
      <c r="D845" s="2">
        <v>44414.993055555555</v>
      </c>
      <c r="E845" s="2">
        <v>44415.125</v>
      </c>
      <c r="F845" s="23">
        <f t="shared" si="39"/>
        <v>0.13194444444525288</v>
      </c>
      <c r="G845" s="24">
        <f t="shared" si="41"/>
        <v>94.736842104682694</v>
      </c>
      <c r="H845" s="1" t="s">
        <v>1</v>
      </c>
      <c r="I845" s="4" t="s">
        <v>2</v>
      </c>
      <c r="J845" s="14">
        <v>0.99305555555555558</v>
      </c>
      <c r="K845" s="20" t="str">
        <f t="shared" si="40"/>
        <v>3rd Shift</v>
      </c>
    </row>
    <row r="846" spans="1:11" x14ac:dyDescent="0.25">
      <c r="A846" s="1">
        <v>845</v>
      </c>
      <c r="B846" s="1">
        <v>1</v>
      </c>
      <c r="C846" s="3">
        <v>1115270073800</v>
      </c>
      <c r="D846" s="2">
        <v>44414.993055555555</v>
      </c>
      <c r="E846" s="2">
        <v>44415.125</v>
      </c>
      <c r="F846" s="23">
        <f t="shared" si="39"/>
        <v>0.13194444444525288</v>
      </c>
      <c r="G846" s="24">
        <f t="shared" si="41"/>
        <v>94.736842104682694</v>
      </c>
      <c r="H846" s="1" t="s">
        <v>1</v>
      </c>
      <c r="I846" s="4" t="s">
        <v>2</v>
      </c>
      <c r="J846" s="14">
        <v>0.99305555555555558</v>
      </c>
      <c r="K846" s="20" t="str">
        <f t="shared" si="40"/>
        <v>3rd Shift</v>
      </c>
    </row>
    <row r="847" spans="1:11" x14ac:dyDescent="0.25">
      <c r="A847" s="1">
        <v>846</v>
      </c>
      <c r="B847" s="1">
        <v>5</v>
      </c>
      <c r="C847" s="3">
        <v>5115271285201</v>
      </c>
      <c r="D847" s="2">
        <v>44415.333333333336</v>
      </c>
      <c r="E847" s="2">
        <v>44415.4375</v>
      </c>
      <c r="F847" s="23">
        <f t="shared" si="39"/>
        <v>0.10416666666424135</v>
      </c>
      <c r="G847" s="24">
        <f t="shared" si="41"/>
        <v>120.00000000279397</v>
      </c>
      <c r="H847" s="1" t="s">
        <v>1</v>
      </c>
      <c r="I847" s="4" t="s">
        <v>2</v>
      </c>
      <c r="J847" s="14">
        <v>0.33333333333333331</v>
      </c>
      <c r="K847" s="20" t="str">
        <f t="shared" si="40"/>
        <v>1st Shift</v>
      </c>
    </row>
    <row r="848" spans="1:11" x14ac:dyDescent="0.25">
      <c r="A848" s="1">
        <v>847</v>
      </c>
      <c r="B848" s="1">
        <v>5</v>
      </c>
      <c r="C848" s="3">
        <v>5115271285200</v>
      </c>
      <c r="D848" s="2">
        <v>44415.333333333336</v>
      </c>
      <c r="E848" s="2">
        <v>44415.4375</v>
      </c>
      <c r="F848" s="23">
        <f t="shared" si="39"/>
        <v>0.10416666666424135</v>
      </c>
      <c r="G848" s="24">
        <f t="shared" si="41"/>
        <v>120.00000000279397</v>
      </c>
      <c r="H848" s="1" t="s">
        <v>1</v>
      </c>
      <c r="I848" s="4" t="s">
        <v>2</v>
      </c>
      <c r="J848" s="14">
        <v>0.33333333333333331</v>
      </c>
      <c r="K848" s="20" t="str">
        <f t="shared" si="40"/>
        <v>1st Shift</v>
      </c>
    </row>
    <row r="849" spans="1:11" x14ac:dyDescent="0.25">
      <c r="A849" s="1">
        <v>848</v>
      </c>
      <c r="B849" s="1">
        <v>4</v>
      </c>
      <c r="C849" s="3">
        <v>4115270826203</v>
      </c>
      <c r="D849" s="2">
        <v>44415.333333333336</v>
      </c>
      <c r="E849" s="2">
        <v>44415.4375</v>
      </c>
      <c r="F849" s="23">
        <f t="shared" si="39"/>
        <v>0.10416666666424135</v>
      </c>
      <c r="G849" s="24">
        <f t="shared" si="41"/>
        <v>120.00000000279397</v>
      </c>
      <c r="H849" s="1" t="s">
        <v>1</v>
      </c>
      <c r="I849" s="4" t="s">
        <v>3</v>
      </c>
      <c r="J849" s="14">
        <v>0.33333333333333331</v>
      </c>
      <c r="K849" s="20" t="str">
        <f t="shared" si="40"/>
        <v>1st Shift</v>
      </c>
    </row>
    <row r="850" spans="1:11" x14ac:dyDescent="0.25">
      <c r="A850" s="1">
        <v>849</v>
      </c>
      <c r="B850" s="1">
        <v>4</v>
      </c>
      <c r="C850" s="3">
        <v>4115270826202</v>
      </c>
      <c r="D850" s="2">
        <v>44415.333333333336</v>
      </c>
      <c r="E850" s="2">
        <v>44415.4375</v>
      </c>
      <c r="F850" s="23">
        <f t="shared" si="39"/>
        <v>0.10416666666424135</v>
      </c>
      <c r="G850" s="24">
        <f t="shared" si="41"/>
        <v>120.00000000279397</v>
      </c>
      <c r="H850" s="1" t="s">
        <v>1</v>
      </c>
      <c r="I850" s="4" t="s">
        <v>3</v>
      </c>
      <c r="J850" s="14">
        <v>0.33333333333333331</v>
      </c>
      <c r="K850" s="20" t="str">
        <f t="shared" si="40"/>
        <v>1st Shift</v>
      </c>
    </row>
    <row r="851" spans="1:11" x14ac:dyDescent="0.25">
      <c r="A851" s="1">
        <v>850</v>
      </c>
      <c r="B851" s="1">
        <v>7</v>
      </c>
      <c r="C851" s="3">
        <v>7115271791003</v>
      </c>
      <c r="D851" s="2">
        <v>44415.479166666664</v>
      </c>
      <c r="E851" s="2">
        <v>44415.576388888891</v>
      </c>
      <c r="F851" s="23">
        <f t="shared" si="39"/>
        <v>9.7222222226264421E-2</v>
      </c>
      <c r="G851" s="24">
        <f t="shared" si="41"/>
        <v>128.57142856608297</v>
      </c>
      <c r="H851" s="1" t="s">
        <v>1</v>
      </c>
      <c r="I851" s="4" t="s">
        <v>2</v>
      </c>
      <c r="J851" s="14">
        <v>0.47916666666666669</v>
      </c>
      <c r="K851" s="20" t="str">
        <f t="shared" si="40"/>
        <v>1st Shift</v>
      </c>
    </row>
    <row r="852" spans="1:11" x14ac:dyDescent="0.25">
      <c r="A852" s="1">
        <v>851</v>
      </c>
      <c r="B852" s="1">
        <v>7</v>
      </c>
      <c r="C852" s="3">
        <v>7115271791002</v>
      </c>
      <c r="D852" s="2">
        <v>44415.479166666664</v>
      </c>
      <c r="E852" s="2">
        <v>44415.576388888891</v>
      </c>
      <c r="F852" s="23">
        <f t="shared" si="39"/>
        <v>9.7222222226264421E-2</v>
      </c>
      <c r="G852" s="24">
        <f t="shared" si="41"/>
        <v>128.57142856608297</v>
      </c>
      <c r="H852" s="1" t="s">
        <v>1</v>
      </c>
      <c r="I852" s="4" t="s">
        <v>2</v>
      </c>
      <c r="J852" s="14">
        <v>0.47916666666666669</v>
      </c>
      <c r="K852" s="20" t="str">
        <f t="shared" si="40"/>
        <v>1st Shift</v>
      </c>
    </row>
    <row r="853" spans="1:11" x14ac:dyDescent="0.25">
      <c r="A853" s="1">
        <v>852</v>
      </c>
      <c r="B853" s="1">
        <v>4</v>
      </c>
      <c r="C853" s="3">
        <v>4115270867501</v>
      </c>
      <c r="D853" s="2">
        <v>44415.479166666664</v>
      </c>
      <c r="E853" s="2">
        <v>44415.576388888891</v>
      </c>
      <c r="F853" s="23">
        <f t="shared" si="39"/>
        <v>9.7222222226264421E-2</v>
      </c>
      <c r="G853" s="24">
        <f t="shared" si="41"/>
        <v>128.57142856608297</v>
      </c>
      <c r="H853" s="1" t="s">
        <v>1</v>
      </c>
      <c r="I853" s="4" t="s">
        <v>2</v>
      </c>
      <c r="J853" s="14">
        <v>0.47916666666666669</v>
      </c>
      <c r="K853" s="20" t="str">
        <f t="shared" si="40"/>
        <v>1st Shift</v>
      </c>
    </row>
    <row r="854" spans="1:11" x14ac:dyDescent="0.25">
      <c r="A854" s="1">
        <v>853</v>
      </c>
      <c r="B854" s="1">
        <v>4</v>
      </c>
      <c r="C854" s="3">
        <v>4115270867500</v>
      </c>
      <c r="D854" s="2">
        <v>44415.479166666664</v>
      </c>
      <c r="E854" s="2">
        <v>44415.576388888891</v>
      </c>
      <c r="F854" s="23">
        <f t="shared" si="39"/>
        <v>9.7222222226264421E-2</v>
      </c>
      <c r="G854" s="24">
        <f t="shared" si="41"/>
        <v>128.57142856608297</v>
      </c>
      <c r="H854" s="1" t="s">
        <v>1</v>
      </c>
      <c r="I854" s="4" t="s">
        <v>2</v>
      </c>
      <c r="J854" s="14">
        <v>0.47916666666666669</v>
      </c>
      <c r="K854" s="20" t="str">
        <f t="shared" si="40"/>
        <v>1st Shift</v>
      </c>
    </row>
    <row r="855" spans="1:11" x14ac:dyDescent="0.25">
      <c r="A855" s="1">
        <v>854</v>
      </c>
      <c r="B855" s="1">
        <v>2</v>
      </c>
      <c r="C855" s="3">
        <v>2115270155402</v>
      </c>
      <c r="D855" s="2">
        <v>44415.479166666664</v>
      </c>
      <c r="E855" s="2">
        <v>44415.576388888891</v>
      </c>
      <c r="F855" s="23">
        <f t="shared" si="39"/>
        <v>9.7222222226264421E-2</v>
      </c>
      <c r="G855" s="24">
        <f t="shared" si="41"/>
        <v>128.57142856608297</v>
      </c>
      <c r="H855" s="1" t="s">
        <v>1</v>
      </c>
      <c r="I855" s="4" t="s">
        <v>2</v>
      </c>
      <c r="J855" s="14">
        <v>0.47916666666666669</v>
      </c>
      <c r="K855" s="20" t="str">
        <f t="shared" si="40"/>
        <v>1st Shift</v>
      </c>
    </row>
    <row r="856" spans="1:11" x14ac:dyDescent="0.25">
      <c r="A856" s="1">
        <v>855</v>
      </c>
      <c r="B856" s="1">
        <v>2</v>
      </c>
      <c r="C856" s="3">
        <v>2115270155401</v>
      </c>
      <c r="D856" s="2">
        <v>44415.479166666664</v>
      </c>
      <c r="E856" s="2">
        <v>44415.576388888891</v>
      </c>
      <c r="F856" s="23">
        <f t="shared" si="39"/>
        <v>9.7222222226264421E-2</v>
      </c>
      <c r="G856" s="24">
        <f t="shared" si="41"/>
        <v>128.57142856608297</v>
      </c>
      <c r="H856" s="1" t="s">
        <v>1</v>
      </c>
      <c r="I856" s="4" t="s">
        <v>2</v>
      </c>
      <c r="J856" s="14">
        <v>0.47916666666666669</v>
      </c>
      <c r="K856" s="20" t="str">
        <f t="shared" si="40"/>
        <v>1st Shift</v>
      </c>
    </row>
    <row r="857" spans="1:11" x14ac:dyDescent="0.25">
      <c r="A857" s="1">
        <v>856</v>
      </c>
      <c r="B857" s="1">
        <v>14</v>
      </c>
      <c r="C857" s="3">
        <v>14115271672508</v>
      </c>
      <c r="D857" s="2">
        <v>44415.666666666664</v>
      </c>
      <c r="E857" s="2">
        <v>44415.770833333336</v>
      </c>
      <c r="F857" s="23">
        <f t="shared" si="39"/>
        <v>0.10416666667151731</v>
      </c>
      <c r="G857" s="24">
        <f t="shared" si="41"/>
        <v>119.99999999441206</v>
      </c>
      <c r="H857" s="1" t="s">
        <v>1</v>
      </c>
      <c r="I857" s="4" t="s">
        <v>2</v>
      </c>
      <c r="J857" s="14">
        <v>0.66666666666666663</v>
      </c>
      <c r="K857" s="20" t="str">
        <f t="shared" si="40"/>
        <v>2nd Shift</v>
      </c>
    </row>
    <row r="858" spans="1:11" x14ac:dyDescent="0.25">
      <c r="A858" s="1">
        <v>857</v>
      </c>
      <c r="B858" s="1">
        <v>14</v>
      </c>
      <c r="C858" s="3">
        <v>14115271672502</v>
      </c>
      <c r="D858" s="2">
        <v>44415.666666666664</v>
      </c>
      <c r="E858" s="2">
        <v>44415.770833333336</v>
      </c>
      <c r="F858" s="23">
        <f t="shared" si="39"/>
        <v>0.10416666667151731</v>
      </c>
      <c r="G858" s="24">
        <f t="shared" si="41"/>
        <v>119.99999999441206</v>
      </c>
      <c r="H858" s="1" t="s">
        <v>1</v>
      </c>
      <c r="I858" s="4" t="s">
        <v>3</v>
      </c>
      <c r="J858" s="14">
        <v>0.66666666666666663</v>
      </c>
      <c r="K858" s="20" t="str">
        <f t="shared" si="40"/>
        <v>2nd Shift</v>
      </c>
    </row>
    <row r="859" spans="1:11" x14ac:dyDescent="0.25">
      <c r="A859" s="1">
        <v>858</v>
      </c>
      <c r="B859" s="1">
        <v>14</v>
      </c>
      <c r="C859" s="3">
        <v>14115271672501</v>
      </c>
      <c r="D859" s="2">
        <v>44415.666666666664</v>
      </c>
      <c r="E859" s="2">
        <v>44415.770833333336</v>
      </c>
      <c r="F859" s="23">
        <f t="shared" si="39"/>
        <v>0.10416666667151731</v>
      </c>
      <c r="G859" s="24">
        <f t="shared" si="41"/>
        <v>119.99999999441206</v>
      </c>
      <c r="H859" s="1" t="s">
        <v>1</v>
      </c>
      <c r="I859" s="4" t="s">
        <v>3</v>
      </c>
      <c r="J859" s="14">
        <v>0.66666666666666663</v>
      </c>
      <c r="K859" s="20" t="str">
        <f t="shared" si="40"/>
        <v>2nd Shift</v>
      </c>
    </row>
    <row r="860" spans="1:11" x14ac:dyDescent="0.25">
      <c r="A860" s="1">
        <v>859</v>
      </c>
      <c r="B860" s="1">
        <v>13</v>
      </c>
      <c r="C860" s="3">
        <v>13115271591209</v>
      </c>
      <c r="D860" s="2">
        <v>44415.666666666664</v>
      </c>
      <c r="E860" s="2">
        <v>44415.770833333336</v>
      </c>
      <c r="F860" s="23">
        <f t="shared" si="39"/>
        <v>0.10416666667151731</v>
      </c>
      <c r="G860" s="24">
        <f t="shared" si="41"/>
        <v>119.99999999441206</v>
      </c>
      <c r="H860" s="1" t="s">
        <v>1</v>
      </c>
      <c r="I860" s="4" t="s">
        <v>2</v>
      </c>
      <c r="J860" s="14">
        <v>0.66666666666666663</v>
      </c>
      <c r="K860" s="20" t="str">
        <f t="shared" si="40"/>
        <v>2nd Shift</v>
      </c>
    </row>
    <row r="861" spans="1:11" x14ac:dyDescent="0.25">
      <c r="A861" s="1">
        <v>860</v>
      </c>
      <c r="B861" s="1">
        <v>13</v>
      </c>
      <c r="C861" s="3">
        <v>13115271591205</v>
      </c>
      <c r="D861" s="2">
        <v>44415.666666666664</v>
      </c>
      <c r="E861" s="2">
        <v>44415.770833333336</v>
      </c>
      <c r="F861" s="23">
        <f t="shared" si="39"/>
        <v>0.10416666667151731</v>
      </c>
      <c r="G861" s="24">
        <f t="shared" si="41"/>
        <v>119.99999999441206</v>
      </c>
      <c r="H861" s="1" t="s">
        <v>1</v>
      </c>
      <c r="I861" s="4" t="s">
        <v>2</v>
      </c>
      <c r="J861" s="14">
        <v>0.66666666666666663</v>
      </c>
      <c r="K861" s="20" t="str">
        <f t="shared" si="40"/>
        <v>2nd Shift</v>
      </c>
    </row>
    <row r="862" spans="1:11" x14ac:dyDescent="0.25">
      <c r="A862" s="1">
        <v>861</v>
      </c>
      <c r="B862" s="1">
        <v>13</v>
      </c>
      <c r="C862" s="3">
        <v>13115271591204</v>
      </c>
      <c r="D862" s="2">
        <v>44415.666666666664</v>
      </c>
      <c r="E862" s="2">
        <v>44415.770833333336</v>
      </c>
      <c r="F862" s="23">
        <f t="shared" si="39"/>
        <v>0.10416666667151731</v>
      </c>
      <c r="G862" s="24">
        <f t="shared" si="41"/>
        <v>119.99999999441206</v>
      </c>
      <c r="H862" s="1" t="s">
        <v>1</v>
      </c>
      <c r="I862" s="4" t="s">
        <v>3</v>
      </c>
      <c r="J862" s="14">
        <v>0.66666666666666663</v>
      </c>
      <c r="K862" s="20" t="str">
        <f t="shared" si="40"/>
        <v>2nd Shift</v>
      </c>
    </row>
    <row r="863" spans="1:11" x14ac:dyDescent="0.25">
      <c r="A863" s="1">
        <v>862</v>
      </c>
      <c r="B863" s="1">
        <v>12</v>
      </c>
      <c r="C863" s="3">
        <v>12115271567449</v>
      </c>
      <c r="D863" s="2">
        <v>44415.666666666664</v>
      </c>
      <c r="E863" s="2">
        <v>44415.770833333336</v>
      </c>
      <c r="F863" s="23">
        <f t="shared" si="39"/>
        <v>0.10416666667151731</v>
      </c>
      <c r="G863" s="24">
        <f t="shared" si="41"/>
        <v>119.99999999441206</v>
      </c>
      <c r="H863" s="1" t="s">
        <v>1</v>
      </c>
      <c r="I863" s="4" t="s">
        <v>2</v>
      </c>
      <c r="J863" s="14">
        <v>0.66666666666666663</v>
      </c>
      <c r="K863" s="20" t="str">
        <f t="shared" si="40"/>
        <v>2nd Shift</v>
      </c>
    </row>
    <row r="864" spans="1:11" x14ac:dyDescent="0.25">
      <c r="A864" s="1">
        <v>863</v>
      </c>
      <c r="B864" s="1">
        <v>12</v>
      </c>
      <c r="C864" s="3">
        <v>12115271567448</v>
      </c>
      <c r="D864" s="2">
        <v>44415.666666666664</v>
      </c>
      <c r="E864" s="2">
        <v>44415.770833333336</v>
      </c>
      <c r="F864" s="23">
        <f t="shared" si="39"/>
        <v>0.10416666667151731</v>
      </c>
      <c r="G864" s="24">
        <f t="shared" si="41"/>
        <v>119.99999999441206</v>
      </c>
      <c r="H864" s="1" t="s">
        <v>1</v>
      </c>
      <c r="I864" s="4" t="s">
        <v>2</v>
      </c>
      <c r="J864" s="14">
        <v>0.66666666666666663</v>
      </c>
      <c r="K864" s="20" t="str">
        <f t="shared" si="40"/>
        <v>2nd Shift</v>
      </c>
    </row>
    <row r="865" spans="1:11" x14ac:dyDescent="0.25">
      <c r="A865" s="1">
        <v>864</v>
      </c>
      <c r="B865" s="1">
        <v>15</v>
      </c>
      <c r="C865" s="3">
        <v>15115271790901</v>
      </c>
      <c r="D865" s="2">
        <v>44415.802083333336</v>
      </c>
      <c r="E865" s="2">
        <v>44415.909722222219</v>
      </c>
      <c r="F865" s="23">
        <f t="shared" si="39"/>
        <v>0.10763888888322981</v>
      </c>
      <c r="G865" s="24">
        <f t="shared" si="41"/>
        <v>116.12903226416995</v>
      </c>
      <c r="H865" s="1" t="s">
        <v>1</v>
      </c>
      <c r="I865" s="4" t="s">
        <v>3</v>
      </c>
      <c r="J865" s="14">
        <v>0.80208333333333337</v>
      </c>
      <c r="K865" s="20" t="str">
        <f t="shared" si="40"/>
        <v>2nd Shift</v>
      </c>
    </row>
    <row r="866" spans="1:11" x14ac:dyDescent="0.25">
      <c r="A866" s="1">
        <v>865</v>
      </c>
      <c r="B866" s="1">
        <v>13</v>
      </c>
      <c r="C866" s="3">
        <v>13115271661702</v>
      </c>
      <c r="D866" s="2">
        <v>44415.802083333336</v>
      </c>
      <c r="E866" s="2">
        <v>44415.909722222219</v>
      </c>
      <c r="F866" s="23">
        <f t="shared" si="39"/>
        <v>0.10763888888322981</v>
      </c>
      <c r="G866" s="24">
        <f t="shared" si="41"/>
        <v>116.12903226416995</v>
      </c>
      <c r="H866" s="1" t="s">
        <v>1</v>
      </c>
      <c r="I866" s="4" t="s">
        <v>3</v>
      </c>
      <c r="J866" s="14">
        <v>0.80208333333333337</v>
      </c>
      <c r="K866" s="20" t="str">
        <f t="shared" si="40"/>
        <v>2nd Shift</v>
      </c>
    </row>
    <row r="867" spans="1:11" x14ac:dyDescent="0.25">
      <c r="A867" s="1">
        <v>866</v>
      </c>
      <c r="B867" s="1">
        <v>10</v>
      </c>
      <c r="C867" s="3">
        <v>10115270954201</v>
      </c>
      <c r="D867" s="2">
        <v>44415.802083333336</v>
      </c>
      <c r="E867" s="2">
        <v>44415.909722222219</v>
      </c>
      <c r="F867" s="23">
        <f t="shared" si="39"/>
        <v>0.10763888888322981</v>
      </c>
      <c r="G867" s="24">
        <f t="shared" si="41"/>
        <v>116.12903226416995</v>
      </c>
      <c r="H867" s="1" t="s">
        <v>1</v>
      </c>
      <c r="I867" s="4" t="s">
        <v>2</v>
      </c>
      <c r="J867" s="14">
        <v>0.80208333333333337</v>
      </c>
      <c r="K867" s="20" t="str">
        <f t="shared" si="40"/>
        <v>2nd Shift</v>
      </c>
    </row>
    <row r="868" spans="1:11" x14ac:dyDescent="0.25">
      <c r="A868" s="1">
        <v>867</v>
      </c>
      <c r="B868" s="1">
        <v>10</v>
      </c>
      <c r="C868" s="3">
        <v>10115270954200</v>
      </c>
      <c r="D868" s="2">
        <v>44415.802083333336</v>
      </c>
      <c r="E868" s="2">
        <v>44415.909722222219</v>
      </c>
      <c r="F868" s="23">
        <f t="shared" si="39"/>
        <v>0.10763888888322981</v>
      </c>
      <c r="G868" s="24">
        <f t="shared" si="41"/>
        <v>116.12903226416995</v>
      </c>
      <c r="H868" s="1" t="s">
        <v>1</v>
      </c>
      <c r="I868" s="4" t="s">
        <v>3</v>
      </c>
      <c r="J868" s="14">
        <v>0.80208333333333337</v>
      </c>
      <c r="K868" s="20" t="str">
        <f t="shared" si="40"/>
        <v>2nd Shift</v>
      </c>
    </row>
    <row r="869" spans="1:11" x14ac:dyDescent="0.25">
      <c r="A869" s="1">
        <v>868</v>
      </c>
      <c r="B869" s="1">
        <v>7</v>
      </c>
      <c r="C869" s="3">
        <v>7115271766604</v>
      </c>
      <c r="D869" s="2">
        <v>44415.9375</v>
      </c>
      <c r="E869" s="2">
        <v>44415.996527777781</v>
      </c>
      <c r="F869" s="23">
        <f t="shared" si="39"/>
        <v>5.9027777781011537E-2</v>
      </c>
      <c r="G869" s="24">
        <f t="shared" si="41"/>
        <v>211.7647058707517</v>
      </c>
      <c r="H869" s="1" t="s">
        <v>1</v>
      </c>
      <c r="I869" s="4" t="s">
        <v>2</v>
      </c>
      <c r="J869" s="14">
        <v>0.9375</v>
      </c>
      <c r="K869" s="20" t="str">
        <f t="shared" si="40"/>
        <v>3rd Shift</v>
      </c>
    </row>
    <row r="870" spans="1:11" x14ac:dyDescent="0.25">
      <c r="A870" s="1">
        <v>869</v>
      </c>
      <c r="B870" s="1">
        <v>5</v>
      </c>
      <c r="C870" s="3">
        <v>5115270974400</v>
      </c>
      <c r="D870" s="2">
        <v>44415.9375</v>
      </c>
      <c r="E870" s="2">
        <v>44415.996527777781</v>
      </c>
      <c r="F870" s="23">
        <f t="shared" si="39"/>
        <v>5.9027777781011537E-2</v>
      </c>
      <c r="G870" s="24">
        <f t="shared" si="41"/>
        <v>211.7647058707517</v>
      </c>
      <c r="H870" s="1" t="s">
        <v>1</v>
      </c>
      <c r="I870" s="4" t="s">
        <v>3</v>
      </c>
      <c r="J870" s="14">
        <v>0.9375</v>
      </c>
      <c r="K870" s="20" t="str">
        <f t="shared" si="40"/>
        <v>3rd Shift</v>
      </c>
    </row>
    <row r="871" spans="1:11" x14ac:dyDescent="0.25">
      <c r="A871" s="1">
        <v>870</v>
      </c>
      <c r="B871" s="1">
        <v>7</v>
      </c>
      <c r="C871" s="3">
        <v>7115271795003</v>
      </c>
      <c r="D871" s="2">
        <v>44416.020833333336</v>
      </c>
      <c r="E871" s="2">
        <v>44416.083333333336</v>
      </c>
      <c r="F871" s="23">
        <f t="shared" si="39"/>
        <v>6.25E-2</v>
      </c>
      <c r="G871" s="24">
        <f t="shared" si="41"/>
        <v>200</v>
      </c>
      <c r="H871" s="1" t="s">
        <v>1</v>
      </c>
      <c r="I871" s="4" t="s">
        <v>2</v>
      </c>
      <c r="J871" s="14">
        <v>2.0833333333333332E-2</v>
      </c>
      <c r="K871" s="20" t="str">
        <f t="shared" si="40"/>
        <v>3rd Shift</v>
      </c>
    </row>
    <row r="872" spans="1:11" x14ac:dyDescent="0.25">
      <c r="A872" s="1">
        <v>871</v>
      </c>
      <c r="B872" s="1">
        <v>6</v>
      </c>
      <c r="C872" s="3">
        <v>6115271720707</v>
      </c>
      <c r="D872" s="2">
        <v>44416.020833333336</v>
      </c>
      <c r="E872" s="2">
        <v>44416.083333333336</v>
      </c>
      <c r="F872" s="23">
        <f t="shared" si="39"/>
        <v>6.25E-2</v>
      </c>
      <c r="G872" s="24">
        <f t="shared" si="41"/>
        <v>200</v>
      </c>
      <c r="H872" s="1" t="s">
        <v>1</v>
      </c>
      <c r="I872" s="4" t="s">
        <v>2</v>
      </c>
      <c r="J872" s="14">
        <v>2.0833333333333332E-2</v>
      </c>
      <c r="K872" s="20" t="str">
        <f t="shared" si="40"/>
        <v>3rd Shift</v>
      </c>
    </row>
    <row r="873" spans="1:11" x14ac:dyDescent="0.25">
      <c r="A873" s="1">
        <v>872</v>
      </c>
      <c r="B873" s="1">
        <v>1</v>
      </c>
      <c r="C873" s="3">
        <v>1115270099400</v>
      </c>
      <c r="D873" s="2">
        <v>44416.020833333336</v>
      </c>
      <c r="E873" s="2">
        <v>44416.083333333336</v>
      </c>
      <c r="F873" s="23">
        <f t="shared" si="39"/>
        <v>6.25E-2</v>
      </c>
      <c r="G873" s="24">
        <f t="shared" si="41"/>
        <v>200</v>
      </c>
      <c r="H873" s="1" t="s">
        <v>1</v>
      </c>
      <c r="I873" s="4" t="s">
        <v>3</v>
      </c>
      <c r="J873" s="14">
        <v>2.0833333333333332E-2</v>
      </c>
      <c r="K873" s="20" t="str">
        <f t="shared" si="40"/>
        <v>3rd Shift</v>
      </c>
    </row>
    <row r="874" spans="1:11" x14ac:dyDescent="0.25">
      <c r="A874" s="1">
        <v>873</v>
      </c>
      <c r="B874" s="1">
        <v>14</v>
      </c>
      <c r="C874" s="3">
        <v>14115271728305</v>
      </c>
      <c r="D874" s="2">
        <v>44416.375</v>
      </c>
      <c r="E874" s="2">
        <v>44416.541666666664</v>
      </c>
      <c r="F874" s="23">
        <f t="shared" si="39"/>
        <v>0.16666666666424135</v>
      </c>
      <c r="G874" s="24">
        <f t="shared" si="41"/>
        <v>75.000000001091394</v>
      </c>
      <c r="H874" s="1" t="s">
        <v>1</v>
      </c>
      <c r="I874" s="4" t="s">
        <v>2</v>
      </c>
      <c r="J874" s="14">
        <v>0.375</v>
      </c>
      <c r="K874" s="20" t="str">
        <f t="shared" si="40"/>
        <v>1st Shift</v>
      </c>
    </row>
    <row r="875" spans="1:11" x14ac:dyDescent="0.25">
      <c r="A875" s="1">
        <v>874</v>
      </c>
      <c r="B875" s="1">
        <v>13</v>
      </c>
      <c r="C875" s="3">
        <v>13115271610300</v>
      </c>
      <c r="D875" s="2">
        <v>44416.375</v>
      </c>
      <c r="E875" s="2">
        <v>44416.541666666664</v>
      </c>
      <c r="F875" s="23">
        <f t="shared" si="39"/>
        <v>0.16666666666424135</v>
      </c>
      <c r="G875" s="24">
        <f t="shared" si="41"/>
        <v>75.000000001091394</v>
      </c>
      <c r="H875" s="1" t="s">
        <v>1</v>
      </c>
      <c r="I875" s="4" t="s">
        <v>2</v>
      </c>
      <c r="J875" s="14">
        <v>0.375</v>
      </c>
      <c r="K875" s="20" t="str">
        <f t="shared" si="40"/>
        <v>1st Shift</v>
      </c>
    </row>
    <row r="876" spans="1:11" x14ac:dyDescent="0.25">
      <c r="A876" s="1">
        <v>875</v>
      </c>
      <c r="B876" s="1">
        <v>13</v>
      </c>
      <c r="C876" s="3">
        <v>13115271592414</v>
      </c>
      <c r="D876" s="2">
        <v>44416.375</v>
      </c>
      <c r="E876" s="2">
        <v>44416.541666666664</v>
      </c>
      <c r="F876" s="23">
        <f t="shared" si="39"/>
        <v>0.16666666666424135</v>
      </c>
      <c r="G876" s="24">
        <f t="shared" si="41"/>
        <v>75.000000001091394</v>
      </c>
      <c r="H876" s="1" t="s">
        <v>1</v>
      </c>
      <c r="I876" s="4" t="s">
        <v>3</v>
      </c>
      <c r="J876" s="14">
        <v>0.375</v>
      </c>
      <c r="K876" s="20" t="str">
        <f t="shared" si="40"/>
        <v>1st Shift</v>
      </c>
    </row>
    <row r="877" spans="1:11" x14ac:dyDescent="0.25">
      <c r="A877" s="1">
        <v>876</v>
      </c>
      <c r="B877" s="1">
        <v>11</v>
      </c>
      <c r="C877" s="3">
        <v>11115271545301</v>
      </c>
      <c r="D877" s="2">
        <v>44416.375</v>
      </c>
      <c r="E877" s="2">
        <v>44416.541666666664</v>
      </c>
      <c r="F877" s="23">
        <f t="shared" si="39"/>
        <v>0.16666666666424135</v>
      </c>
      <c r="G877" s="24">
        <f t="shared" si="41"/>
        <v>75.000000001091394</v>
      </c>
      <c r="H877" s="1" t="s">
        <v>1</v>
      </c>
      <c r="I877" s="4" t="s">
        <v>2</v>
      </c>
      <c r="J877" s="14">
        <v>0.375</v>
      </c>
      <c r="K877" s="20" t="str">
        <f t="shared" si="40"/>
        <v>1st Shift</v>
      </c>
    </row>
    <row r="878" spans="1:11" x14ac:dyDescent="0.25">
      <c r="A878" s="1">
        <v>877</v>
      </c>
      <c r="B878" s="1">
        <v>9</v>
      </c>
      <c r="C878" s="3">
        <v>9115271909204</v>
      </c>
      <c r="D878" s="2">
        <v>44416.375</v>
      </c>
      <c r="E878" s="2">
        <v>44416.541666666664</v>
      </c>
      <c r="F878" s="23">
        <f t="shared" si="39"/>
        <v>0.16666666666424135</v>
      </c>
      <c r="G878" s="24">
        <f t="shared" si="41"/>
        <v>75.000000001091394</v>
      </c>
      <c r="H878" s="1" t="s">
        <v>1</v>
      </c>
      <c r="I878" s="4" t="s">
        <v>2</v>
      </c>
      <c r="J878" s="14">
        <v>0.375</v>
      </c>
      <c r="K878" s="20" t="str">
        <f t="shared" si="40"/>
        <v>1st Shift</v>
      </c>
    </row>
    <row r="879" spans="1:11" x14ac:dyDescent="0.25">
      <c r="A879" s="1">
        <v>878</v>
      </c>
      <c r="B879" s="1">
        <v>6</v>
      </c>
      <c r="C879" s="3">
        <v>6115271734900</v>
      </c>
      <c r="D879" s="2">
        <v>44416.375</v>
      </c>
      <c r="E879" s="2">
        <v>44416.541666666664</v>
      </c>
      <c r="F879" s="23">
        <f t="shared" si="39"/>
        <v>0.16666666666424135</v>
      </c>
      <c r="G879" s="24">
        <f t="shared" si="41"/>
        <v>75.000000001091394</v>
      </c>
      <c r="H879" s="1" t="s">
        <v>1</v>
      </c>
      <c r="I879" s="4" t="s">
        <v>2</v>
      </c>
      <c r="J879" s="14">
        <v>0.375</v>
      </c>
      <c r="K879" s="20" t="str">
        <f t="shared" si="40"/>
        <v>1st Shift</v>
      </c>
    </row>
    <row r="880" spans="1:11" x14ac:dyDescent="0.25">
      <c r="A880" s="1">
        <v>879</v>
      </c>
      <c r="B880" s="1">
        <v>5</v>
      </c>
      <c r="C880" s="3">
        <v>5115271296108</v>
      </c>
      <c r="D880" s="2">
        <v>44416.375</v>
      </c>
      <c r="E880" s="2">
        <v>44416.541666666664</v>
      </c>
      <c r="F880" s="23">
        <f t="shared" si="39"/>
        <v>0.16666666666424135</v>
      </c>
      <c r="G880" s="24">
        <f t="shared" si="41"/>
        <v>75.000000001091394</v>
      </c>
      <c r="H880" s="1" t="s">
        <v>1</v>
      </c>
      <c r="I880" s="4" t="s">
        <v>2</v>
      </c>
      <c r="J880" s="14">
        <v>0.375</v>
      </c>
      <c r="K880" s="20" t="str">
        <f t="shared" si="40"/>
        <v>1st Shift</v>
      </c>
    </row>
    <row r="881" spans="1:11" x14ac:dyDescent="0.25">
      <c r="A881" s="1">
        <v>880</v>
      </c>
      <c r="B881" s="1">
        <v>7</v>
      </c>
      <c r="C881" s="3">
        <v>7115271783206</v>
      </c>
      <c r="D881" s="2">
        <v>44416.625</v>
      </c>
      <c r="E881" s="2">
        <v>44416.770833333336</v>
      </c>
      <c r="F881" s="23">
        <f t="shared" si="39"/>
        <v>0.14583333333575865</v>
      </c>
      <c r="G881" s="24">
        <f t="shared" si="41"/>
        <v>85.714285712860217</v>
      </c>
      <c r="H881" s="1" t="s">
        <v>1</v>
      </c>
      <c r="I881" s="4" t="s">
        <v>2</v>
      </c>
      <c r="J881" s="14">
        <v>0.625</v>
      </c>
      <c r="K881" s="20" t="str">
        <f t="shared" si="40"/>
        <v>2nd Shift</v>
      </c>
    </row>
    <row r="882" spans="1:11" x14ac:dyDescent="0.25">
      <c r="A882" s="1">
        <v>881</v>
      </c>
      <c r="B882" s="1">
        <v>6</v>
      </c>
      <c r="C882" s="3">
        <v>6115271720625</v>
      </c>
      <c r="D882" s="2">
        <v>44416.625</v>
      </c>
      <c r="E882" s="2">
        <v>44416.770833333336</v>
      </c>
      <c r="F882" s="23">
        <f t="shared" si="39"/>
        <v>0.14583333333575865</v>
      </c>
      <c r="G882" s="24">
        <f t="shared" si="41"/>
        <v>85.714285712860217</v>
      </c>
      <c r="H882" s="1" t="s">
        <v>1</v>
      </c>
      <c r="I882" s="4" t="s">
        <v>2</v>
      </c>
      <c r="J882" s="14">
        <v>0.625</v>
      </c>
      <c r="K882" s="20" t="str">
        <f t="shared" si="40"/>
        <v>2nd Shift</v>
      </c>
    </row>
    <row r="883" spans="1:11" x14ac:dyDescent="0.25">
      <c r="A883" s="1">
        <v>882</v>
      </c>
      <c r="B883" s="1">
        <v>3</v>
      </c>
      <c r="C883" s="3">
        <v>3115270395806</v>
      </c>
      <c r="D883" s="2">
        <v>44416.625</v>
      </c>
      <c r="E883" s="2">
        <v>44416.770833333336</v>
      </c>
      <c r="F883" s="23">
        <f t="shared" si="39"/>
        <v>0.14583333333575865</v>
      </c>
      <c r="G883" s="24">
        <f t="shared" si="41"/>
        <v>85.714285712860217</v>
      </c>
      <c r="H883" s="1" t="s">
        <v>1</v>
      </c>
      <c r="I883" s="4" t="s">
        <v>3</v>
      </c>
      <c r="J883" s="14">
        <v>0.625</v>
      </c>
      <c r="K883" s="20" t="str">
        <f t="shared" si="40"/>
        <v>2nd Shift</v>
      </c>
    </row>
    <row r="884" spans="1:11" x14ac:dyDescent="0.25">
      <c r="A884" s="1">
        <v>883</v>
      </c>
      <c r="B884" s="1">
        <v>2</v>
      </c>
      <c r="C884" s="3">
        <v>2115270497005</v>
      </c>
      <c r="D884" s="2">
        <v>44416.625</v>
      </c>
      <c r="E884" s="2">
        <v>44416.770833333336</v>
      </c>
      <c r="F884" s="23">
        <f t="shared" si="39"/>
        <v>0.14583333333575865</v>
      </c>
      <c r="G884" s="24">
        <f t="shared" si="41"/>
        <v>85.714285712860217</v>
      </c>
      <c r="H884" s="1" t="s">
        <v>1</v>
      </c>
      <c r="I884" s="4" t="s">
        <v>2</v>
      </c>
      <c r="J884" s="14">
        <v>0.625</v>
      </c>
      <c r="K884" s="20" t="str">
        <f t="shared" si="40"/>
        <v>2nd Shift</v>
      </c>
    </row>
    <row r="885" spans="1:11" x14ac:dyDescent="0.25">
      <c r="A885" s="1">
        <v>884</v>
      </c>
      <c r="B885" s="1">
        <v>5</v>
      </c>
      <c r="C885" s="3">
        <v>5115271678309</v>
      </c>
      <c r="D885" s="2">
        <v>44416.8125</v>
      </c>
      <c r="E885" s="2">
        <v>44416.895833333336</v>
      </c>
      <c r="F885" s="23">
        <f t="shared" si="39"/>
        <v>8.3333333335758653E-2</v>
      </c>
      <c r="G885" s="24">
        <f t="shared" si="41"/>
        <v>149.99999999563443</v>
      </c>
      <c r="H885" s="1" t="s">
        <v>1</v>
      </c>
      <c r="I885" s="4" t="s">
        <v>2</v>
      </c>
      <c r="J885" s="14">
        <v>0.8125</v>
      </c>
      <c r="K885" s="20" t="str">
        <f t="shared" si="40"/>
        <v>2nd Shift</v>
      </c>
    </row>
    <row r="886" spans="1:11" x14ac:dyDescent="0.25">
      <c r="A886" s="1">
        <v>885</v>
      </c>
      <c r="B886" s="1">
        <v>3</v>
      </c>
      <c r="C886" s="3">
        <v>3115270439907</v>
      </c>
      <c r="D886" s="2">
        <v>44416.8125</v>
      </c>
      <c r="E886" s="2">
        <v>44416.895833333336</v>
      </c>
      <c r="F886" s="23">
        <f t="shared" si="39"/>
        <v>8.3333333335758653E-2</v>
      </c>
      <c r="G886" s="24">
        <f t="shared" si="41"/>
        <v>149.99999999563443</v>
      </c>
      <c r="H886" s="1" t="s">
        <v>1</v>
      </c>
      <c r="I886" s="4" t="s">
        <v>2</v>
      </c>
      <c r="J886" s="14">
        <v>0.8125</v>
      </c>
      <c r="K886" s="20" t="str">
        <f t="shared" si="40"/>
        <v>2nd Shift</v>
      </c>
    </row>
    <row r="887" spans="1:11" x14ac:dyDescent="0.25">
      <c r="A887" s="1">
        <v>886</v>
      </c>
      <c r="B887" s="1">
        <v>1</v>
      </c>
      <c r="C887" s="3">
        <v>1115270096000</v>
      </c>
      <c r="D887" s="2">
        <v>44416.8125</v>
      </c>
      <c r="E887" s="2">
        <v>44416.895833333336</v>
      </c>
      <c r="F887" s="23">
        <f t="shared" si="39"/>
        <v>8.3333333335758653E-2</v>
      </c>
      <c r="G887" s="24">
        <f t="shared" si="41"/>
        <v>149.99999999563443</v>
      </c>
      <c r="H887" s="1" t="s">
        <v>1</v>
      </c>
      <c r="I887" s="4" t="s">
        <v>4</v>
      </c>
      <c r="J887" s="14">
        <v>0.8125</v>
      </c>
      <c r="K887" s="20" t="str">
        <f t="shared" si="40"/>
        <v>2nd Shift</v>
      </c>
    </row>
    <row r="888" spans="1:11" x14ac:dyDescent="0.25">
      <c r="A888" s="1">
        <v>887</v>
      </c>
      <c r="B888" s="1">
        <v>15</v>
      </c>
      <c r="C888" s="3">
        <v>15115271788410</v>
      </c>
      <c r="D888" s="2">
        <v>44416.993055555555</v>
      </c>
      <c r="E888" s="2">
        <v>44417.15625</v>
      </c>
      <c r="F888" s="23">
        <f t="shared" si="39"/>
        <v>0.16319444444525288</v>
      </c>
      <c r="G888" s="24">
        <f t="shared" si="41"/>
        <v>76.595744680471626</v>
      </c>
      <c r="H888" s="1" t="s">
        <v>1</v>
      </c>
      <c r="I888" s="4" t="s">
        <v>3</v>
      </c>
      <c r="J888" s="14">
        <v>0.99305555555555558</v>
      </c>
      <c r="K888" s="20" t="str">
        <f t="shared" si="40"/>
        <v>3rd Shift</v>
      </c>
    </row>
    <row r="889" spans="1:11" x14ac:dyDescent="0.25">
      <c r="A889" s="1">
        <v>888</v>
      </c>
      <c r="B889" s="1">
        <v>14</v>
      </c>
      <c r="C889" s="3">
        <v>14115271722905</v>
      </c>
      <c r="D889" s="2">
        <v>44416.993055555555</v>
      </c>
      <c r="E889" s="2">
        <v>44417.15625</v>
      </c>
      <c r="F889" s="23">
        <f t="shared" si="39"/>
        <v>0.16319444444525288</v>
      </c>
      <c r="G889" s="24">
        <f t="shared" si="41"/>
        <v>76.595744680471626</v>
      </c>
      <c r="H889" s="1" t="s">
        <v>1</v>
      </c>
      <c r="I889" s="4" t="s">
        <v>2</v>
      </c>
      <c r="J889" s="14">
        <v>0.99305555555555558</v>
      </c>
      <c r="K889" s="20" t="str">
        <f t="shared" si="40"/>
        <v>3rd Shift</v>
      </c>
    </row>
    <row r="890" spans="1:11" x14ac:dyDescent="0.25">
      <c r="A890" s="1">
        <v>889</v>
      </c>
      <c r="B890" s="1">
        <v>12</v>
      </c>
      <c r="C890" s="3">
        <v>12115271566212</v>
      </c>
      <c r="D890" s="2">
        <v>44416.993055555555</v>
      </c>
      <c r="E890" s="2">
        <v>44417.15625</v>
      </c>
      <c r="F890" s="23">
        <f t="shared" si="39"/>
        <v>0.16319444444525288</v>
      </c>
      <c r="G890" s="24">
        <f t="shared" si="41"/>
        <v>76.595744680471626</v>
      </c>
      <c r="H890" s="1" t="s">
        <v>1</v>
      </c>
      <c r="I890" s="4" t="s">
        <v>2</v>
      </c>
      <c r="J890" s="14">
        <v>0.99305555555555558</v>
      </c>
      <c r="K890" s="20" t="str">
        <f t="shared" si="40"/>
        <v>3rd Shift</v>
      </c>
    </row>
    <row r="891" spans="1:11" x14ac:dyDescent="0.25">
      <c r="A891" s="1">
        <v>890</v>
      </c>
      <c r="B891" s="1">
        <v>12</v>
      </c>
      <c r="C891" s="3">
        <v>12115271560174</v>
      </c>
      <c r="D891" s="2">
        <v>44416.993055555555</v>
      </c>
      <c r="E891" s="2">
        <v>44417.15625</v>
      </c>
      <c r="F891" s="23">
        <f t="shared" si="39"/>
        <v>0.16319444444525288</v>
      </c>
      <c r="G891" s="24">
        <f t="shared" si="41"/>
        <v>76.595744680471626</v>
      </c>
      <c r="H891" s="1" t="s">
        <v>1</v>
      </c>
      <c r="I891" s="4" t="s">
        <v>2</v>
      </c>
      <c r="J891" s="14">
        <v>0.99305555555555558</v>
      </c>
      <c r="K891" s="20" t="str">
        <f t="shared" si="40"/>
        <v>3rd Shift</v>
      </c>
    </row>
    <row r="892" spans="1:11" x14ac:dyDescent="0.25">
      <c r="A892" s="1">
        <v>891</v>
      </c>
      <c r="B892" s="1">
        <v>10</v>
      </c>
      <c r="C892" s="3">
        <v>10115271430900</v>
      </c>
      <c r="D892" s="2">
        <v>44416.993055555555</v>
      </c>
      <c r="E892" s="2">
        <v>44417.15625</v>
      </c>
      <c r="F892" s="23">
        <f t="shared" si="39"/>
        <v>0.16319444444525288</v>
      </c>
      <c r="G892" s="24">
        <f t="shared" si="41"/>
        <v>76.595744680471626</v>
      </c>
      <c r="H892" s="1" t="s">
        <v>1</v>
      </c>
      <c r="I892" s="4" t="s">
        <v>2</v>
      </c>
      <c r="J892" s="14">
        <v>0.99305555555555558</v>
      </c>
      <c r="K892" s="20" t="str">
        <f t="shared" si="40"/>
        <v>3rd Shift</v>
      </c>
    </row>
    <row r="893" spans="1:11" x14ac:dyDescent="0.25">
      <c r="A893" s="1">
        <v>892</v>
      </c>
      <c r="B893" s="1">
        <v>9</v>
      </c>
      <c r="C893" s="3">
        <v>9115271935000</v>
      </c>
      <c r="D893" s="2">
        <v>44416.993055555555</v>
      </c>
      <c r="E893" s="2">
        <v>44417.15625</v>
      </c>
      <c r="F893" s="23">
        <f t="shared" si="39"/>
        <v>0.16319444444525288</v>
      </c>
      <c r="G893" s="24">
        <f t="shared" si="41"/>
        <v>76.595744680471626</v>
      </c>
      <c r="H893" s="1" t="s">
        <v>1</v>
      </c>
      <c r="I893" s="4" t="s">
        <v>3</v>
      </c>
      <c r="J893" s="14">
        <v>0.99305555555555558</v>
      </c>
      <c r="K893" s="20" t="str">
        <f t="shared" si="40"/>
        <v>3rd Shift</v>
      </c>
    </row>
    <row r="894" spans="1:11" x14ac:dyDescent="0.25">
      <c r="A894" s="1">
        <v>893</v>
      </c>
      <c r="B894" s="1">
        <v>15</v>
      </c>
      <c r="C894" s="3">
        <v>15115271786205</v>
      </c>
      <c r="D894" s="2">
        <v>44417.375</v>
      </c>
      <c r="E894" s="2">
        <v>44417.5</v>
      </c>
      <c r="F894" s="23">
        <f t="shared" si="39"/>
        <v>0.125</v>
      </c>
      <c r="G894" s="24">
        <f t="shared" si="41"/>
        <v>100</v>
      </c>
      <c r="H894" s="1" t="s">
        <v>1</v>
      </c>
      <c r="I894" s="4" t="s">
        <v>2</v>
      </c>
      <c r="J894" s="14">
        <v>0.375</v>
      </c>
      <c r="K894" s="20" t="str">
        <f t="shared" si="40"/>
        <v>1st Shift</v>
      </c>
    </row>
    <row r="895" spans="1:11" x14ac:dyDescent="0.25">
      <c r="A895" s="1">
        <v>894</v>
      </c>
      <c r="B895" s="1">
        <v>15</v>
      </c>
      <c r="C895" s="3">
        <v>15115271786204</v>
      </c>
      <c r="D895" s="2">
        <v>44417.375</v>
      </c>
      <c r="E895" s="2">
        <v>44417.5</v>
      </c>
      <c r="F895" s="23">
        <f t="shared" si="39"/>
        <v>0.125</v>
      </c>
      <c r="G895" s="24">
        <f t="shared" si="41"/>
        <v>100</v>
      </c>
      <c r="H895" s="1" t="s">
        <v>1</v>
      </c>
      <c r="I895" s="4" t="s">
        <v>2</v>
      </c>
      <c r="J895" s="14">
        <v>0.375</v>
      </c>
      <c r="K895" s="20" t="str">
        <f t="shared" si="40"/>
        <v>1st Shift</v>
      </c>
    </row>
    <row r="896" spans="1:11" x14ac:dyDescent="0.25">
      <c r="A896" s="1">
        <v>895</v>
      </c>
      <c r="B896" s="1">
        <v>14</v>
      </c>
      <c r="C896" s="3">
        <v>14115271687703</v>
      </c>
      <c r="D896" s="2">
        <v>44417.375</v>
      </c>
      <c r="E896" s="2">
        <v>44417.5</v>
      </c>
      <c r="F896" s="23">
        <f t="shared" si="39"/>
        <v>0.125</v>
      </c>
      <c r="G896" s="24">
        <f t="shared" si="41"/>
        <v>100</v>
      </c>
      <c r="H896" s="1" t="s">
        <v>1</v>
      </c>
      <c r="I896" s="4" t="s">
        <v>2</v>
      </c>
      <c r="J896" s="14">
        <v>0.375</v>
      </c>
      <c r="K896" s="20" t="str">
        <f t="shared" si="40"/>
        <v>1st Shift</v>
      </c>
    </row>
    <row r="897" spans="1:11" x14ac:dyDescent="0.25">
      <c r="A897" s="1">
        <v>896</v>
      </c>
      <c r="B897" s="1">
        <v>14</v>
      </c>
      <c r="C897" s="3">
        <v>14115271687702</v>
      </c>
      <c r="D897" s="2">
        <v>44417.375</v>
      </c>
      <c r="E897" s="2">
        <v>44417.5</v>
      </c>
      <c r="F897" s="23">
        <f t="shared" si="39"/>
        <v>0.125</v>
      </c>
      <c r="G897" s="24">
        <f t="shared" si="41"/>
        <v>100</v>
      </c>
      <c r="H897" s="1" t="s">
        <v>1</v>
      </c>
      <c r="I897" s="4" t="s">
        <v>3</v>
      </c>
      <c r="J897" s="14">
        <v>0.375</v>
      </c>
      <c r="K897" s="20" t="str">
        <f t="shared" si="40"/>
        <v>1st Shift</v>
      </c>
    </row>
    <row r="898" spans="1:11" x14ac:dyDescent="0.25">
      <c r="A898" s="1">
        <v>897</v>
      </c>
      <c r="B898" s="1">
        <v>10</v>
      </c>
      <c r="C898" s="3">
        <v>10115270967801</v>
      </c>
      <c r="D898" s="2">
        <v>44417.375</v>
      </c>
      <c r="E898" s="2">
        <v>44417.5</v>
      </c>
      <c r="F898" s="23">
        <f t="shared" ref="F898:F961" si="42">E898-D898</f>
        <v>0.125</v>
      </c>
      <c r="G898" s="24">
        <f t="shared" si="41"/>
        <v>100</v>
      </c>
      <c r="H898" s="1" t="s">
        <v>1</v>
      </c>
      <c r="I898" s="4" t="s">
        <v>3</v>
      </c>
      <c r="J898" s="14">
        <v>0.375</v>
      </c>
      <c r="K898" s="20" t="str">
        <f t="shared" ref="K898:K961" si="43">IF(AND(J898&gt;=$M$3,J898&lt;$M$4),"1st Shift",IF(AND(J898&gt;=$M$4,J898&lt;$M$5),"2nd Shift","3rd Shift"))</f>
        <v>1st Shift</v>
      </c>
    </row>
    <row r="899" spans="1:11" x14ac:dyDescent="0.25">
      <c r="A899" s="1">
        <v>898</v>
      </c>
      <c r="B899" s="1">
        <v>10</v>
      </c>
      <c r="C899" s="3">
        <v>10115270967800</v>
      </c>
      <c r="D899" s="2">
        <v>44417.375</v>
      </c>
      <c r="E899" s="2">
        <v>44417.5</v>
      </c>
      <c r="F899" s="23">
        <f t="shared" si="42"/>
        <v>0.125</v>
      </c>
      <c r="G899" s="24">
        <f t="shared" ref="G899:G962" si="44">$M$9/F899*100</f>
        <v>100</v>
      </c>
      <c r="H899" s="1" t="s">
        <v>1</v>
      </c>
      <c r="I899" s="4" t="s">
        <v>3</v>
      </c>
      <c r="J899" s="14">
        <v>0.375</v>
      </c>
      <c r="K899" s="20" t="str">
        <f t="shared" si="43"/>
        <v>1st Shift</v>
      </c>
    </row>
    <row r="900" spans="1:11" x14ac:dyDescent="0.25">
      <c r="A900" s="1">
        <v>899</v>
      </c>
      <c r="B900" s="1">
        <v>9</v>
      </c>
      <c r="C900" s="3">
        <v>9115271898904</v>
      </c>
      <c r="D900" s="2">
        <v>44417.375</v>
      </c>
      <c r="E900" s="2">
        <v>44417.5</v>
      </c>
      <c r="F900" s="23">
        <f t="shared" si="42"/>
        <v>0.125</v>
      </c>
      <c r="G900" s="24">
        <f t="shared" si="44"/>
        <v>100</v>
      </c>
      <c r="H900" s="1" t="s">
        <v>1</v>
      </c>
      <c r="I900" s="4" t="s">
        <v>3</v>
      </c>
      <c r="J900" s="14">
        <v>0.375</v>
      </c>
      <c r="K900" s="20" t="str">
        <f t="shared" si="43"/>
        <v>1st Shift</v>
      </c>
    </row>
    <row r="901" spans="1:11" x14ac:dyDescent="0.25">
      <c r="A901" s="1">
        <v>900</v>
      </c>
      <c r="B901" s="1">
        <v>9</v>
      </c>
      <c r="C901" s="3">
        <v>9115271898900</v>
      </c>
      <c r="D901" s="2">
        <v>44417.375</v>
      </c>
      <c r="E901" s="2">
        <v>44417.5</v>
      </c>
      <c r="F901" s="23">
        <f t="shared" si="42"/>
        <v>0.125</v>
      </c>
      <c r="G901" s="24">
        <f t="shared" si="44"/>
        <v>100</v>
      </c>
      <c r="H901" s="1" t="s">
        <v>1</v>
      </c>
      <c r="I901" s="4" t="s">
        <v>3</v>
      </c>
      <c r="J901" s="14">
        <v>0.375</v>
      </c>
      <c r="K901" s="20" t="str">
        <f t="shared" si="43"/>
        <v>1st Shift</v>
      </c>
    </row>
    <row r="902" spans="1:11" x14ac:dyDescent="0.25">
      <c r="A902" s="1">
        <v>901</v>
      </c>
      <c r="B902" s="1">
        <v>7</v>
      </c>
      <c r="C902" s="3">
        <v>7115271765615</v>
      </c>
      <c r="D902" s="2">
        <v>44417.375</v>
      </c>
      <c r="E902" s="2">
        <v>44417.5</v>
      </c>
      <c r="F902" s="23">
        <f t="shared" si="42"/>
        <v>0.125</v>
      </c>
      <c r="G902" s="24">
        <f t="shared" si="44"/>
        <v>100</v>
      </c>
      <c r="H902" s="1" t="s">
        <v>1</v>
      </c>
      <c r="I902" s="4" t="s">
        <v>3</v>
      </c>
      <c r="J902" s="14">
        <v>0.375</v>
      </c>
      <c r="K902" s="20" t="str">
        <f t="shared" si="43"/>
        <v>1st Shift</v>
      </c>
    </row>
    <row r="903" spans="1:11" x14ac:dyDescent="0.25">
      <c r="A903" s="1">
        <v>902</v>
      </c>
      <c r="B903" s="1">
        <v>7</v>
      </c>
      <c r="C903" s="3">
        <v>7115271765614</v>
      </c>
      <c r="D903" s="2">
        <v>44417.375</v>
      </c>
      <c r="E903" s="2">
        <v>44417.5</v>
      </c>
      <c r="F903" s="23">
        <f t="shared" si="42"/>
        <v>0.125</v>
      </c>
      <c r="G903" s="24">
        <f t="shared" si="44"/>
        <v>100</v>
      </c>
      <c r="H903" s="1" t="s">
        <v>1</v>
      </c>
      <c r="I903" s="4" t="s">
        <v>2</v>
      </c>
      <c r="J903" s="14">
        <v>0.375</v>
      </c>
      <c r="K903" s="20" t="str">
        <f t="shared" si="43"/>
        <v>1st Shift</v>
      </c>
    </row>
    <row r="904" spans="1:11" x14ac:dyDescent="0.25">
      <c r="A904" s="1">
        <v>903</v>
      </c>
      <c r="B904" s="1">
        <v>5</v>
      </c>
      <c r="C904" s="3">
        <v>5115271675905</v>
      </c>
      <c r="D904" s="2">
        <v>44417.53125</v>
      </c>
      <c r="E904" s="2">
        <v>44417.583333333336</v>
      </c>
      <c r="F904" s="23">
        <f t="shared" si="42"/>
        <v>5.2083333335758653E-2</v>
      </c>
      <c r="G904" s="24">
        <f t="shared" si="44"/>
        <v>239.99999998882413</v>
      </c>
      <c r="H904" s="1" t="s">
        <v>1</v>
      </c>
      <c r="I904" s="4" t="s">
        <v>2</v>
      </c>
      <c r="J904" s="14">
        <v>0.53125</v>
      </c>
      <c r="K904" s="20" t="str">
        <f t="shared" si="43"/>
        <v>1st Shift</v>
      </c>
    </row>
    <row r="905" spans="1:11" x14ac:dyDescent="0.25">
      <c r="A905" s="1">
        <v>904</v>
      </c>
      <c r="B905" s="1">
        <v>5</v>
      </c>
      <c r="C905" s="3">
        <v>5115271675904</v>
      </c>
      <c r="D905" s="2">
        <v>44417.53125</v>
      </c>
      <c r="E905" s="2">
        <v>44417.583333333336</v>
      </c>
      <c r="F905" s="23">
        <f t="shared" si="42"/>
        <v>5.2083333335758653E-2</v>
      </c>
      <c r="G905" s="24">
        <f t="shared" si="44"/>
        <v>239.99999998882413</v>
      </c>
      <c r="H905" s="1" t="s">
        <v>1</v>
      </c>
      <c r="I905" s="4" t="s">
        <v>2</v>
      </c>
      <c r="J905" s="14">
        <v>0.53125</v>
      </c>
      <c r="K905" s="20" t="str">
        <f t="shared" si="43"/>
        <v>1st Shift</v>
      </c>
    </row>
    <row r="906" spans="1:11" x14ac:dyDescent="0.25">
      <c r="A906" s="1">
        <v>905</v>
      </c>
      <c r="B906" s="1">
        <v>4</v>
      </c>
      <c r="C906" s="3">
        <v>4115270825603</v>
      </c>
      <c r="D906" s="2">
        <v>44417.53125</v>
      </c>
      <c r="E906" s="2">
        <v>44417.583333333336</v>
      </c>
      <c r="F906" s="23">
        <f t="shared" si="42"/>
        <v>5.2083333335758653E-2</v>
      </c>
      <c r="G906" s="24">
        <f t="shared" si="44"/>
        <v>239.99999998882413</v>
      </c>
      <c r="H906" s="1" t="s">
        <v>1</v>
      </c>
      <c r="I906" s="4" t="s">
        <v>2</v>
      </c>
      <c r="J906" s="14">
        <v>0.53125</v>
      </c>
      <c r="K906" s="20" t="str">
        <f t="shared" si="43"/>
        <v>1st Shift</v>
      </c>
    </row>
    <row r="907" spans="1:11" x14ac:dyDescent="0.25">
      <c r="A907" s="1">
        <v>906</v>
      </c>
      <c r="B907" s="1">
        <v>4</v>
      </c>
      <c r="C907" s="3">
        <v>4115270825602</v>
      </c>
      <c r="D907" s="2">
        <v>44417.53125</v>
      </c>
      <c r="E907" s="2">
        <v>44417.583333333336</v>
      </c>
      <c r="F907" s="23">
        <f t="shared" si="42"/>
        <v>5.2083333335758653E-2</v>
      </c>
      <c r="G907" s="24">
        <f t="shared" si="44"/>
        <v>239.99999998882413</v>
      </c>
      <c r="H907" s="1" t="s">
        <v>1</v>
      </c>
      <c r="I907" s="4" t="s">
        <v>3</v>
      </c>
      <c r="J907" s="14">
        <v>0.53125</v>
      </c>
      <c r="K907" s="20" t="str">
        <f t="shared" si="43"/>
        <v>1st Shift</v>
      </c>
    </row>
    <row r="908" spans="1:11" x14ac:dyDescent="0.25">
      <c r="A908" s="1">
        <v>907</v>
      </c>
      <c r="B908" s="1">
        <v>15</v>
      </c>
      <c r="C908" s="3">
        <v>15115271778716</v>
      </c>
      <c r="D908" s="2">
        <v>44417.6875</v>
      </c>
      <c r="E908" s="2">
        <v>44417.895833333336</v>
      </c>
      <c r="F908" s="23">
        <f t="shared" si="42"/>
        <v>0.20833333333575865</v>
      </c>
      <c r="G908" s="24">
        <f t="shared" si="44"/>
        <v>59.999999999301515</v>
      </c>
      <c r="H908" s="1" t="s">
        <v>1</v>
      </c>
      <c r="I908" s="4" t="s">
        <v>2</v>
      </c>
      <c r="J908" s="14">
        <v>0.6875</v>
      </c>
      <c r="K908" s="20" t="str">
        <f t="shared" si="43"/>
        <v>2nd Shift</v>
      </c>
    </row>
    <row r="909" spans="1:11" x14ac:dyDescent="0.25">
      <c r="A909" s="1">
        <v>908</v>
      </c>
      <c r="B909" s="1">
        <v>14</v>
      </c>
      <c r="C909" s="3">
        <v>14115271690106</v>
      </c>
      <c r="D909" s="2">
        <v>44417.6875</v>
      </c>
      <c r="E909" s="2">
        <v>44417.895833333336</v>
      </c>
      <c r="F909" s="23">
        <f t="shared" si="42"/>
        <v>0.20833333333575865</v>
      </c>
      <c r="G909" s="24">
        <f t="shared" si="44"/>
        <v>59.999999999301515</v>
      </c>
      <c r="H909" s="1" t="s">
        <v>1</v>
      </c>
      <c r="I909" s="4" t="s">
        <v>2</v>
      </c>
      <c r="J909" s="14">
        <v>0.6875</v>
      </c>
      <c r="K909" s="20" t="str">
        <f t="shared" si="43"/>
        <v>2nd Shift</v>
      </c>
    </row>
    <row r="910" spans="1:11" x14ac:dyDescent="0.25">
      <c r="A910" s="1">
        <v>909</v>
      </c>
      <c r="B910" s="1">
        <v>14</v>
      </c>
      <c r="C910" s="3">
        <v>14115271672605</v>
      </c>
      <c r="D910" s="2">
        <v>44417.6875</v>
      </c>
      <c r="E910" s="2">
        <v>44417.895833333336</v>
      </c>
      <c r="F910" s="23">
        <f t="shared" si="42"/>
        <v>0.20833333333575865</v>
      </c>
      <c r="G910" s="24">
        <f t="shared" si="44"/>
        <v>59.999999999301515</v>
      </c>
      <c r="H910" s="1" t="s">
        <v>1</v>
      </c>
      <c r="I910" s="4" t="s">
        <v>2</v>
      </c>
      <c r="J910" s="14">
        <v>0.6875</v>
      </c>
      <c r="K910" s="20" t="str">
        <f t="shared" si="43"/>
        <v>2nd Shift</v>
      </c>
    </row>
    <row r="911" spans="1:11" x14ac:dyDescent="0.25">
      <c r="A911" s="1">
        <v>910</v>
      </c>
      <c r="B911" s="1">
        <v>13</v>
      </c>
      <c r="C911" s="3">
        <v>13115271591204</v>
      </c>
      <c r="D911" s="2">
        <v>44417.6875</v>
      </c>
      <c r="E911" s="2">
        <v>44417.895833333336</v>
      </c>
      <c r="F911" s="23">
        <f t="shared" si="42"/>
        <v>0.20833333333575865</v>
      </c>
      <c r="G911" s="24">
        <f t="shared" si="44"/>
        <v>59.999999999301515</v>
      </c>
      <c r="H911" s="1" t="s">
        <v>1</v>
      </c>
      <c r="I911" s="4" t="s">
        <v>2</v>
      </c>
      <c r="J911" s="14">
        <v>0.6875</v>
      </c>
      <c r="K911" s="20" t="str">
        <f t="shared" si="43"/>
        <v>2nd Shift</v>
      </c>
    </row>
    <row r="912" spans="1:11" x14ac:dyDescent="0.25">
      <c r="A912" s="1">
        <v>911</v>
      </c>
      <c r="B912" s="1">
        <v>13</v>
      </c>
      <c r="C912" s="3">
        <v>13115271590800</v>
      </c>
      <c r="D912" s="2">
        <v>44417.6875</v>
      </c>
      <c r="E912" s="2">
        <v>44417.895833333336</v>
      </c>
      <c r="F912" s="23">
        <f t="shared" si="42"/>
        <v>0.20833333333575865</v>
      </c>
      <c r="G912" s="24">
        <f t="shared" si="44"/>
        <v>59.999999999301515</v>
      </c>
      <c r="H912" s="1" t="s">
        <v>1</v>
      </c>
      <c r="I912" s="4" t="s">
        <v>3</v>
      </c>
      <c r="J912" s="14">
        <v>0.6875</v>
      </c>
      <c r="K912" s="20" t="str">
        <f t="shared" si="43"/>
        <v>2nd Shift</v>
      </c>
    </row>
    <row r="913" spans="1:11" x14ac:dyDescent="0.25">
      <c r="A913" s="1">
        <v>912</v>
      </c>
      <c r="B913" s="1">
        <v>10</v>
      </c>
      <c r="C913" s="3">
        <v>10115270954000</v>
      </c>
      <c r="D913" s="2">
        <v>44417.6875</v>
      </c>
      <c r="E913" s="2">
        <v>44417.895833333336</v>
      </c>
      <c r="F913" s="23">
        <f t="shared" si="42"/>
        <v>0.20833333333575865</v>
      </c>
      <c r="G913" s="24">
        <f t="shared" si="44"/>
        <v>59.999999999301515</v>
      </c>
      <c r="H913" s="1" t="s">
        <v>1</v>
      </c>
      <c r="I913" s="4" t="s">
        <v>3</v>
      </c>
      <c r="J913" s="14">
        <v>0.6875</v>
      </c>
      <c r="K913" s="20" t="str">
        <f t="shared" si="43"/>
        <v>2nd Shift</v>
      </c>
    </row>
    <row r="914" spans="1:11" x14ac:dyDescent="0.25">
      <c r="A914" s="1">
        <v>913</v>
      </c>
      <c r="B914" s="1">
        <v>3</v>
      </c>
      <c r="C914" s="3">
        <v>3115270360200</v>
      </c>
      <c r="D914" s="2">
        <v>44417.6875</v>
      </c>
      <c r="E914" s="2">
        <v>44417.895833333336</v>
      </c>
      <c r="F914" s="23">
        <f t="shared" si="42"/>
        <v>0.20833333333575865</v>
      </c>
      <c r="G914" s="24">
        <f t="shared" si="44"/>
        <v>59.999999999301515</v>
      </c>
      <c r="H914" s="1" t="s">
        <v>1</v>
      </c>
      <c r="I914" s="4" t="s">
        <v>3</v>
      </c>
      <c r="J914" s="14">
        <v>0.6875</v>
      </c>
      <c r="K914" s="20" t="str">
        <f t="shared" si="43"/>
        <v>2nd Shift</v>
      </c>
    </row>
    <row r="915" spans="1:11" x14ac:dyDescent="0.25">
      <c r="A915" s="1">
        <v>914</v>
      </c>
      <c r="B915" s="1">
        <v>1</v>
      </c>
      <c r="C915" s="3">
        <v>1115270095307</v>
      </c>
      <c r="D915" s="2">
        <v>44417.6875</v>
      </c>
      <c r="E915" s="2">
        <v>44417.895833333336</v>
      </c>
      <c r="F915" s="23">
        <f t="shared" si="42"/>
        <v>0.20833333333575865</v>
      </c>
      <c r="G915" s="24">
        <f t="shared" si="44"/>
        <v>59.999999999301515</v>
      </c>
      <c r="H915" s="1" t="s">
        <v>1</v>
      </c>
      <c r="I915" s="4" t="s">
        <v>3</v>
      </c>
      <c r="J915" s="14">
        <v>0.6875</v>
      </c>
      <c r="K915" s="20" t="str">
        <f t="shared" si="43"/>
        <v>2nd Shift</v>
      </c>
    </row>
    <row r="916" spans="1:11" x14ac:dyDescent="0.25">
      <c r="A916" s="1">
        <v>915</v>
      </c>
      <c r="B916" s="1">
        <v>1</v>
      </c>
      <c r="C916" s="3">
        <v>1115270095300</v>
      </c>
      <c r="D916" s="2">
        <v>44417.6875</v>
      </c>
      <c r="E916" s="2">
        <v>44417.895833333336</v>
      </c>
      <c r="F916" s="23">
        <f t="shared" si="42"/>
        <v>0.20833333333575865</v>
      </c>
      <c r="G916" s="24">
        <f t="shared" si="44"/>
        <v>59.999999999301515</v>
      </c>
      <c r="H916" s="1" t="s">
        <v>1</v>
      </c>
      <c r="I916" s="4" t="s">
        <v>2</v>
      </c>
      <c r="J916" s="14">
        <v>0.6875</v>
      </c>
      <c r="K916" s="20" t="str">
        <f t="shared" si="43"/>
        <v>2nd Shift</v>
      </c>
    </row>
    <row r="917" spans="1:11" x14ac:dyDescent="0.25">
      <c r="A917" s="1">
        <v>916</v>
      </c>
      <c r="B917" s="1">
        <v>14</v>
      </c>
      <c r="C917" s="3">
        <v>14115271672905</v>
      </c>
      <c r="D917" s="2">
        <v>44418.024305555555</v>
      </c>
      <c r="E917" s="2">
        <v>44418.173611111109</v>
      </c>
      <c r="F917" s="23">
        <f t="shared" si="42"/>
        <v>0.14930555555474712</v>
      </c>
      <c r="G917" s="24">
        <f t="shared" si="44"/>
        <v>83.720930233011458</v>
      </c>
      <c r="H917" s="1" t="s">
        <v>1</v>
      </c>
      <c r="I917" s="4" t="s">
        <v>2</v>
      </c>
      <c r="J917" s="14">
        <v>2.4305555555555556E-2</v>
      </c>
      <c r="K917" s="20" t="str">
        <f t="shared" si="43"/>
        <v>3rd Shift</v>
      </c>
    </row>
    <row r="918" spans="1:11" x14ac:dyDescent="0.25">
      <c r="A918" s="1">
        <v>917</v>
      </c>
      <c r="B918" s="1">
        <v>8</v>
      </c>
      <c r="C918" s="3">
        <v>8115271877500</v>
      </c>
      <c r="D918" s="2">
        <v>44418.024305555555</v>
      </c>
      <c r="E918" s="2">
        <v>44418.173611111109</v>
      </c>
      <c r="F918" s="23">
        <f t="shared" si="42"/>
        <v>0.14930555555474712</v>
      </c>
      <c r="G918" s="24">
        <f t="shared" si="44"/>
        <v>83.720930233011458</v>
      </c>
      <c r="H918" s="1" t="s">
        <v>1</v>
      </c>
      <c r="I918" s="4" t="s">
        <v>3</v>
      </c>
      <c r="J918" s="14">
        <v>2.4305555555555556E-2</v>
      </c>
      <c r="K918" s="20" t="str">
        <f t="shared" si="43"/>
        <v>3rd Shift</v>
      </c>
    </row>
    <row r="919" spans="1:11" x14ac:dyDescent="0.25">
      <c r="A919" s="1">
        <v>918</v>
      </c>
      <c r="B919" s="1">
        <v>6</v>
      </c>
      <c r="C919" s="3">
        <v>6115271720702</v>
      </c>
      <c r="D919" s="2">
        <v>44418.024305555555</v>
      </c>
      <c r="E919" s="2">
        <v>44418.173611111109</v>
      </c>
      <c r="F919" s="23">
        <f t="shared" si="42"/>
        <v>0.14930555555474712</v>
      </c>
      <c r="G919" s="24">
        <f t="shared" si="44"/>
        <v>83.720930233011458</v>
      </c>
      <c r="H919" s="1" t="s">
        <v>1</v>
      </c>
      <c r="I919" s="4" t="s">
        <v>3</v>
      </c>
      <c r="J919" s="14">
        <v>2.4305555555555556E-2</v>
      </c>
      <c r="K919" s="20" t="str">
        <f t="shared" si="43"/>
        <v>3rd Shift</v>
      </c>
    </row>
    <row r="920" spans="1:11" x14ac:dyDescent="0.25">
      <c r="A920" s="1">
        <v>919</v>
      </c>
      <c r="B920" s="1">
        <v>3</v>
      </c>
      <c r="C920" s="3">
        <v>3115270306902</v>
      </c>
      <c r="D920" s="2">
        <v>44418.024305555555</v>
      </c>
      <c r="E920" s="2">
        <v>44418.173611111109</v>
      </c>
      <c r="F920" s="23">
        <f t="shared" si="42"/>
        <v>0.14930555555474712</v>
      </c>
      <c r="G920" s="24">
        <f t="shared" si="44"/>
        <v>83.720930233011458</v>
      </c>
      <c r="H920" s="1" t="s">
        <v>1</v>
      </c>
      <c r="I920" s="4" t="s">
        <v>2</v>
      </c>
      <c r="J920" s="14">
        <v>2.4305555555555556E-2</v>
      </c>
      <c r="K920" s="20" t="str">
        <f t="shared" si="43"/>
        <v>3rd Shift</v>
      </c>
    </row>
    <row r="921" spans="1:11" x14ac:dyDescent="0.25">
      <c r="A921" s="1">
        <v>920</v>
      </c>
      <c r="B921" s="1">
        <v>1</v>
      </c>
      <c r="C921" s="3">
        <v>1115270029200</v>
      </c>
      <c r="D921" s="2">
        <v>44418.024305555555</v>
      </c>
      <c r="E921" s="2">
        <v>44418.173611111109</v>
      </c>
      <c r="F921" s="23">
        <f t="shared" si="42"/>
        <v>0.14930555555474712</v>
      </c>
      <c r="G921" s="24">
        <f t="shared" si="44"/>
        <v>83.720930233011458</v>
      </c>
      <c r="H921" s="1" t="s">
        <v>1</v>
      </c>
      <c r="I921" s="4" t="s">
        <v>2</v>
      </c>
      <c r="J921" s="14">
        <v>2.4305555555555556E-2</v>
      </c>
      <c r="K921" s="20" t="str">
        <f t="shared" si="43"/>
        <v>3rd Shift</v>
      </c>
    </row>
    <row r="922" spans="1:11" x14ac:dyDescent="0.25">
      <c r="A922" s="1">
        <v>921</v>
      </c>
      <c r="B922" s="1">
        <v>14</v>
      </c>
      <c r="C922" s="3">
        <v>14115271672500</v>
      </c>
      <c r="D922" s="2">
        <v>44418.416666666664</v>
      </c>
      <c r="E922" s="2">
        <v>44418.569444444445</v>
      </c>
      <c r="F922" s="23">
        <f t="shared" si="42"/>
        <v>0.15277777778101154</v>
      </c>
      <c r="G922" s="24">
        <f t="shared" si="44"/>
        <v>81.818181816450021</v>
      </c>
      <c r="H922" s="1" t="s">
        <v>1</v>
      </c>
      <c r="I922" s="4" t="s">
        <v>2</v>
      </c>
      <c r="J922" s="14">
        <v>0.41666666666666669</v>
      </c>
      <c r="K922" s="20" t="str">
        <f t="shared" si="43"/>
        <v>1st Shift</v>
      </c>
    </row>
    <row r="923" spans="1:11" x14ac:dyDescent="0.25">
      <c r="A923" s="1">
        <v>922</v>
      </c>
      <c r="B923" s="1">
        <v>10</v>
      </c>
      <c r="C923" s="3">
        <v>10115271969300</v>
      </c>
      <c r="D923" s="2">
        <v>44418.416666666664</v>
      </c>
      <c r="E923" s="2">
        <v>44418.569444444445</v>
      </c>
      <c r="F923" s="23">
        <f t="shared" si="42"/>
        <v>0.15277777778101154</v>
      </c>
      <c r="G923" s="24">
        <f t="shared" si="44"/>
        <v>81.818181816450021</v>
      </c>
      <c r="H923" s="1" t="s">
        <v>1</v>
      </c>
      <c r="I923" s="4" t="s">
        <v>2</v>
      </c>
      <c r="J923" s="14">
        <v>0.41666666666666669</v>
      </c>
      <c r="K923" s="20" t="str">
        <f t="shared" si="43"/>
        <v>1st Shift</v>
      </c>
    </row>
    <row r="924" spans="1:11" x14ac:dyDescent="0.25">
      <c r="A924" s="1">
        <v>923</v>
      </c>
      <c r="B924" s="1">
        <v>10</v>
      </c>
      <c r="C924" s="3">
        <v>10115270981000</v>
      </c>
      <c r="D924" s="2">
        <v>44418.416666666664</v>
      </c>
      <c r="E924" s="2">
        <v>44418.569444444445</v>
      </c>
      <c r="F924" s="23">
        <f t="shared" si="42"/>
        <v>0.15277777778101154</v>
      </c>
      <c r="G924" s="24">
        <f t="shared" si="44"/>
        <v>81.818181816450021</v>
      </c>
      <c r="H924" s="1" t="s">
        <v>1</v>
      </c>
      <c r="I924" s="4" t="s">
        <v>3</v>
      </c>
      <c r="J924" s="14">
        <v>0.41666666666666669</v>
      </c>
      <c r="K924" s="20" t="str">
        <f t="shared" si="43"/>
        <v>1st Shift</v>
      </c>
    </row>
    <row r="925" spans="1:11" x14ac:dyDescent="0.25">
      <c r="A925" s="1">
        <v>924</v>
      </c>
      <c r="B925" s="1">
        <v>7</v>
      </c>
      <c r="C925" s="3">
        <v>7115271771006</v>
      </c>
      <c r="D925" s="2">
        <v>44418.416666666664</v>
      </c>
      <c r="E925" s="2">
        <v>44418.569444444445</v>
      </c>
      <c r="F925" s="23">
        <f t="shared" si="42"/>
        <v>0.15277777778101154</v>
      </c>
      <c r="G925" s="24">
        <f t="shared" si="44"/>
        <v>81.818181816450021</v>
      </c>
      <c r="H925" s="1" t="s">
        <v>1</v>
      </c>
      <c r="I925" s="4" t="s">
        <v>3</v>
      </c>
      <c r="J925" s="14">
        <v>0.41666666666666669</v>
      </c>
      <c r="K925" s="20" t="str">
        <f t="shared" si="43"/>
        <v>1st Shift</v>
      </c>
    </row>
    <row r="926" spans="1:11" x14ac:dyDescent="0.25">
      <c r="A926" s="1">
        <v>925</v>
      </c>
      <c r="B926" s="1">
        <v>6</v>
      </c>
      <c r="C926" s="3">
        <v>6115271707001</v>
      </c>
      <c r="D926" s="2">
        <v>44418.416666666664</v>
      </c>
      <c r="E926" s="2">
        <v>44418.569444444445</v>
      </c>
      <c r="F926" s="23">
        <f t="shared" si="42"/>
        <v>0.15277777778101154</v>
      </c>
      <c r="G926" s="24">
        <f t="shared" si="44"/>
        <v>81.818181816450021</v>
      </c>
      <c r="H926" s="1" t="s">
        <v>1</v>
      </c>
      <c r="I926" s="4" t="s">
        <v>2</v>
      </c>
      <c r="J926" s="14">
        <v>0.41666666666666669</v>
      </c>
      <c r="K926" s="20" t="str">
        <f t="shared" si="43"/>
        <v>1st Shift</v>
      </c>
    </row>
    <row r="927" spans="1:11" x14ac:dyDescent="0.25">
      <c r="A927" s="1">
        <v>926</v>
      </c>
      <c r="B927" s="1">
        <v>3</v>
      </c>
      <c r="C927" s="3">
        <v>3115270395900</v>
      </c>
      <c r="D927" s="2">
        <v>44418.416666666664</v>
      </c>
      <c r="E927" s="2">
        <v>44418.569444444445</v>
      </c>
      <c r="F927" s="23">
        <f t="shared" si="42"/>
        <v>0.15277777778101154</v>
      </c>
      <c r="G927" s="24">
        <f t="shared" si="44"/>
        <v>81.818181816450021</v>
      </c>
      <c r="H927" s="1" t="s">
        <v>1</v>
      </c>
      <c r="I927" s="4" t="s">
        <v>2</v>
      </c>
      <c r="J927" s="14">
        <v>0.41666666666666669</v>
      </c>
      <c r="K927" s="20" t="str">
        <f t="shared" si="43"/>
        <v>1st Shift</v>
      </c>
    </row>
    <row r="928" spans="1:11" x14ac:dyDescent="0.25">
      <c r="A928" s="1">
        <v>927</v>
      </c>
      <c r="B928" s="1">
        <v>1</v>
      </c>
      <c r="C928" s="3">
        <v>1115270139401</v>
      </c>
      <c r="D928" s="2">
        <v>44418.416666666664</v>
      </c>
      <c r="E928" s="2">
        <v>44418.569444444445</v>
      </c>
      <c r="F928" s="23">
        <f t="shared" si="42"/>
        <v>0.15277777778101154</v>
      </c>
      <c r="G928" s="24">
        <f t="shared" si="44"/>
        <v>81.818181816450021</v>
      </c>
      <c r="H928" s="1" t="s">
        <v>1</v>
      </c>
      <c r="I928" s="4" t="s">
        <v>2</v>
      </c>
      <c r="J928" s="14">
        <v>0.41666666666666669</v>
      </c>
      <c r="K928" s="20" t="str">
        <f t="shared" si="43"/>
        <v>1st Shift</v>
      </c>
    </row>
    <row r="929" spans="1:11" x14ac:dyDescent="0.25">
      <c r="A929" s="1">
        <v>928</v>
      </c>
      <c r="B929" s="1">
        <v>7</v>
      </c>
      <c r="C929" s="3">
        <v>7115271804405</v>
      </c>
      <c r="D929" s="2">
        <v>44418.625</v>
      </c>
      <c r="E929" s="2">
        <v>44418.708333333336</v>
      </c>
      <c r="F929" s="23">
        <f t="shared" si="42"/>
        <v>8.3333333335758653E-2</v>
      </c>
      <c r="G929" s="24">
        <f t="shared" si="44"/>
        <v>149.99999999563443</v>
      </c>
      <c r="H929" s="1" t="s">
        <v>1</v>
      </c>
      <c r="I929" s="4" t="s">
        <v>2</v>
      </c>
      <c r="J929" s="14">
        <v>0.625</v>
      </c>
      <c r="K929" s="20" t="str">
        <f t="shared" si="43"/>
        <v>2nd Shift</v>
      </c>
    </row>
    <row r="930" spans="1:11" x14ac:dyDescent="0.25">
      <c r="A930" s="1">
        <v>929</v>
      </c>
      <c r="B930" s="1">
        <v>13</v>
      </c>
      <c r="C930" s="3">
        <v>13115271645000</v>
      </c>
      <c r="D930" s="2">
        <v>44418.729166666664</v>
      </c>
      <c r="E930" s="2">
        <v>44418.916666666664</v>
      </c>
      <c r="F930" s="23">
        <f t="shared" si="42"/>
        <v>0.1875</v>
      </c>
      <c r="G930" s="24">
        <f t="shared" si="44"/>
        <v>66.666666666666657</v>
      </c>
      <c r="H930" s="1" t="s">
        <v>1</v>
      </c>
      <c r="I930" s="4" t="s">
        <v>2</v>
      </c>
      <c r="J930" s="14">
        <v>0.72916666666666663</v>
      </c>
      <c r="K930" s="20" t="str">
        <f t="shared" si="43"/>
        <v>2nd Shift</v>
      </c>
    </row>
    <row r="931" spans="1:11" x14ac:dyDescent="0.25">
      <c r="A931" s="1">
        <v>930</v>
      </c>
      <c r="B931" s="1">
        <v>10</v>
      </c>
      <c r="C931" s="3">
        <v>10115271459900</v>
      </c>
      <c r="D931" s="2">
        <v>44418.729166666664</v>
      </c>
      <c r="E931" s="2">
        <v>44418.916666666664</v>
      </c>
      <c r="F931" s="23">
        <f t="shared" si="42"/>
        <v>0.1875</v>
      </c>
      <c r="G931" s="24">
        <f t="shared" si="44"/>
        <v>66.666666666666657</v>
      </c>
      <c r="H931" s="1" t="s">
        <v>1</v>
      </c>
      <c r="I931" s="4" t="s">
        <v>3</v>
      </c>
      <c r="J931" s="14">
        <v>0.72916666666666663</v>
      </c>
      <c r="K931" s="20" t="str">
        <f t="shared" si="43"/>
        <v>2nd Shift</v>
      </c>
    </row>
    <row r="932" spans="1:11" x14ac:dyDescent="0.25">
      <c r="A932" s="1">
        <v>931</v>
      </c>
      <c r="B932" s="1">
        <v>10</v>
      </c>
      <c r="C932" s="3">
        <v>10115270141080</v>
      </c>
      <c r="D932" s="2">
        <v>44418.729166666664</v>
      </c>
      <c r="E932" s="2">
        <v>44418.916666666664</v>
      </c>
      <c r="F932" s="23">
        <f t="shared" si="42"/>
        <v>0.1875</v>
      </c>
      <c r="G932" s="24">
        <f t="shared" si="44"/>
        <v>66.666666666666657</v>
      </c>
      <c r="H932" s="1" t="s">
        <v>1</v>
      </c>
      <c r="I932" s="4" t="s">
        <v>2</v>
      </c>
      <c r="J932" s="14">
        <v>0.72916666666666663</v>
      </c>
      <c r="K932" s="20" t="str">
        <f t="shared" si="43"/>
        <v>2nd Shift</v>
      </c>
    </row>
    <row r="933" spans="1:11" x14ac:dyDescent="0.25">
      <c r="A933" s="1">
        <v>932</v>
      </c>
      <c r="B933" s="1">
        <v>3</v>
      </c>
      <c r="C933" s="3">
        <v>3115270400400</v>
      </c>
      <c r="D933" s="2">
        <v>44418.729166666664</v>
      </c>
      <c r="E933" s="2">
        <v>44418.916666666664</v>
      </c>
      <c r="F933" s="23">
        <f t="shared" si="42"/>
        <v>0.1875</v>
      </c>
      <c r="G933" s="24">
        <f t="shared" si="44"/>
        <v>66.666666666666657</v>
      </c>
      <c r="H933" s="1" t="s">
        <v>1</v>
      </c>
      <c r="I933" s="4" t="s">
        <v>2</v>
      </c>
      <c r="J933" s="14">
        <v>0.72916666666666663</v>
      </c>
      <c r="K933" s="20" t="str">
        <f t="shared" si="43"/>
        <v>2nd Shift</v>
      </c>
    </row>
    <row r="934" spans="1:11" x14ac:dyDescent="0.25">
      <c r="A934" s="1">
        <v>933</v>
      </c>
      <c r="B934" s="1">
        <v>1</v>
      </c>
      <c r="C934" s="3">
        <v>1115270120800</v>
      </c>
      <c r="D934" s="2">
        <v>44418.729166666664</v>
      </c>
      <c r="E934" s="2">
        <v>44418.916666666664</v>
      </c>
      <c r="F934" s="23">
        <f t="shared" si="42"/>
        <v>0.1875</v>
      </c>
      <c r="G934" s="24">
        <f t="shared" si="44"/>
        <v>66.666666666666657</v>
      </c>
      <c r="H934" s="1" t="s">
        <v>1</v>
      </c>
      <c r="I934" s="4" t="s">
        <v>2</v>
      </c>
      <c r="J934" s="14">
        <v>0.72916666666666663</v>
      </c>
      <c r="K934" s="20" t="str">
        <f t="shared" si="43"/>
        <v>2nd Shift</v>
      </c>
    </row>
    <row r="935" spans="1:11" x14ac:dyDescent="0.25">
      <c r="A935" s="1">
        <v>934</v>
      </c>
      <c r="B935" s="1">
        <v>1</v>
      </c>
      <c r="C935" s="3">
        <v>1115270055600</v>
      </c>
      <c r="D935" s="2">
        <v>44418.729166666664</v>
      </c>
      <c r="E935" s="2">
        <v>44418.916666666664</v>
      </c>
      <c r="F935" s="23">
        <f t="shared" si="42"/>
        <v>0.1875</v>
      </c>
      <c r="G935" s="24">
        <f t="shared" si="44"/>
        <v>66.666666666666657</v>
      </c>
      <c r="H935" s="1" t="s">
        <v>1</v>
      </c>
      <c r="I935" s="4" t="s">
        <v>3</v>
      </c>
      <c r="J935" s="14">
        <v>0.72916666666666663</v>
      </c>
      <c r="K935" s="20" t="str">
        <f t="shared" si="43"/>
        <v>2nd Shift</v>
      </c>
    </row>
    <row r="936" spans="1:11" x14ac:dyDescent="0.25">
      <c r="A936" s="1">
        <v>935</v>
      </c>
      <c r="B936" s="1">
        <v>7</v>
      </c>
      <c r="C936" s="3">
        <v>7115271766341</v>
      </c>
      <c r="D936" s="2">
        <v>44418.944444444445</v>
      </c>
      <c r="E936" s="2">
        <v>44419.03125</v>
      </c>
      <c r="F936" s="23">
        <f t="shared" si="42"/>
        <v>8.6805555554747116E-2</v>
      </c>
      <c r="G936" s="24">
        <f t="shared" si="44"/>
        <v>144.00000000134111</v>
      </c>
      <c r="H936" s="1" t="s">
        <v>1</v>
      </c>
      <c r="I936" s="4" t="s">
        <v>2</v>
      </c>
      <c r="J936" s="14">
        <v>0.94444444444444442</v>
      </c>
      <c r="K936" s="20" t="str">
        <f t="shared" si="43"/>
        <v>3rd Shift</v>
      </c>
    </row>
    <row r="937" spans="1:11" x14ac:dyDescent="0.25">
      <c r="A937" s="1">
        <v>936</v>
      </c>
      <c r="B937" s="1">
        <v>3</v>
      </c>
      <c r="C937" s="3">
        <v>3115270311200</v>
      </c>
      <c r="D937" s="2">
        <v>44418.944444444445</v>
      </c>
      <c r="E937" s="2">
        <v>44419.03125</v>
      </c>
      <c r="F937" s="23">
        <f t="shared" si="42"/>
        <v>8.6805555554747116E-2</v>
      </c>
      <c r="G937" s="24">
        <f t="shared" si="44"/>
        <v>144.00000000134111</v>
      </c>
      <c r="H937" s="1" t="s">
        <v>1</v>
      </c>
      <c r="I937" s="4" t="s">
        <v>2</v>
      </c>
      <c r="J937" s="14">
        <v>0.94444444444444442</v>
      </c>
      <c r="K937" s="20" t="str">
        <f t="shared" si="43"/>
        <v>3rd Shift</v>
      </c>
    </row>
    <row r="938" spans="1:11" x14ac:dyDescent="0.25">
      <c r="A938" s="1">
        <v>937</v>
      </c>
      <c r="B938" s="1">
        <v>3</v>
      </c>
      <c r="C938" s="3">
        <v>3115270406600</v>
      </c>
      <c r="D938" s="2">
        <v>44419.041666666664</v>
      </c>
      <c r="E938" s="2">
        <v>44419.125</v>
      </c>
      <c r="F938" s="23">
        <f>E938-D938</f>
        <v>8.3333333335758653E-2</v>
      </c>
      <c r="G938" s="24">
        <f t="shared" si="44"/>
        <v>149.99999999563443</v>
      </c>
      <c r="H938" s="1" t="s">
        <v>1</v>
      </c>
      <c r="I938" s="4" t="s">
        <v>3</v>
      </c>
      <c r="J938" s="14">
        <v>4.1666666666666664E-2</v>
      </c>
      <c r="K938" s="20" t="str">
        <f t="shared" si="43"/>
        <v>3rd Shift</v>
      </c>
    </row>
    <row r="939" spans="1:11" x14ac:dyDescent="0.25">
      <c r="A939" s="1">
        <v>938</v>
      </c>
      <c r="B939" s="1">
        <v>9</v>
      </c>
      <c r="C939" s="3">
        <v>9115270647702</v>
      </c>
      <c r="D939" s="2">
        <v>44419.041666666664</v>
      </c>
      <c r="E939" s="2">
        <v>44419.145833333336</v>
      </c>
      <c r="F939" s="23">
        <f t="shared" si="42"/>
        <v>0.10416666667151731</v>
      </c>
      <c r="G939" s="24">
        <f t="shared" si="44"/>
        <v>119.99999999441206</v>
      </c>
      <c r="H939" s="1" t="s">
        <v>1</v>
      </c>
      <c r="I939" s="4" t="s">
        <v>3</v>
      </c>
      <c r="J939" s="14">
        <v>4.1666666666666664E-2</v>
      </c>
      <c r="K939" s="20" t="str">
        <f t="shared" si="43"/>
        <v>3rd Shift</v>
      </c>
    </row>
    <row r="940" spans="1:11" x14ac:dyDescent="0.25">
      <c r="A940" s="1">
        <v>939</v>
      </c>
      <c r="B940" s="1">
        <v>14</v>
      </c>
      <c r="C940" s="3">
        <v>14115271672412</v>
      </c>
      <c r="D940" s="2">
        <v>44419.34375</v>
      </c>
      <c r="E940" s="2">
        <v>44419.576388888891</v>
      </c>
      <c r="F940" s="23">
        <f t="shared" si="42"/>
        <v>0.23263888889050577</v>
      </c>
      <c r="G940" s="24">
        <f t="shared" si="44"/>
        <v>53.731343283208645</v>
      </c>
      <c r="H940" s="1" t="s">
        <v>1</v>
      </c>
      <c r="I940" s="4" t="s">
        <v>2</v>
      </c>
      <c r="J940" s="14">
        <v>0.34375</v>
      </c>
      <c r="K940" s="20" t="str">
        <f t="shared" si="43"/>
        <v>1st Shift</v>
      </c>
    </row>
    <row r="941" spans="1:11" x14ac:dyDescent="0.25">
      <c r="A941" s="1">
        <v>940</v>
      </c>
      <c r="B941" s="1">
        <v>12</v>
      </c>
      <c r="C941" s="3">
        <v>12115271567380</v>
      </c>
      <c r="D941" s="2">
        <v>44419.34375</v>
      </c>
      <c r="E941" s="2">
        <v>44419.576388888891</v>
      </c>
      <c r="F941" s="23">
        <f t="shared" si="42"/>
        <v>0.23263888889050577</v>
      </c>
      <c r="G941" s="24">
        <f t="shared" si="44"/>
        <v>53.731343283208645</v>
      </c>
      <c r="H941" s="1" t="s">
        <v>1</v>
      </c>
      <c r="I941" s="4" t="s">
        <v>3</v>
      </c>
      <c r="J941" s="14">
        <v>0.34375</v>
      </c>
      <c r="K941" s="20" t="str">
        <f t="shared" si="43"/>
        <v>1st Shift</v>
      </c>
    </row>
    <row r="942" spans="1:11" x14ac:dyDescent="0.25">
      <c r="A942" s="1">
        <v>941</v>
      </c>
      <c r="B942" s="1">
        <v>10</v>
      </c>
      <c r="C942" s="3">
        <v>10115271415602</v>
      </c>
      <c r="D942" s="2">
        <v>44419.34375</v>
      </c>
      <c r="E942" s="2">
        <v>44419.576388888891</v>
      </c>
      <c r="F942" s="23">
        <f t="shared" si="42"/>
        <v>0.23263888889050577</v>
      </c>
      <c r="G942" s="24">
        <f t="shared" si="44"/>
        <v>53.731343283208645</v>
      </c>
      <c r="H942" s="1" t="s">
        <v>1</v>
      </c>
      <c r="I942" s="4" t="s">
        <v>3</v>
      </c>
      <c r="J942" s="14">
        <v>0.34375</v>
      </c>
      <c r="K942" s="20" t="str">
        <f t="shared" si="43"/>
        <v>1st Shift</v>
      </c>
    </row>
    <row r="943" spans="1:11" x14ac:dyDescent="0.25">
      <c r="A943" s="1">
        <v>942</v>
      </c>
      <c r="B943" s="1">
        <v>7</v>
      </c>
      <c r="C943" s="3">
        <v>7115271798004</v>
      </c>
      <c r="D943" s="2">
        <v>44419.34375</v>
      </c>
      <c r="E943" s="2">
        <v>44419.576388888891</v>
      </c>
      <c r="F943" s="23">
        <f t="shared" si="42"/>
        <v>0.23263888889050577</v>
      </c>
      <c r="G943" s="24">
        <f t="shared" si="44"/>
        <v>53.731343283208645</v>
      </c>
      <c r="H943" s="1" t="s">
        <v>1</v>
      </c>
      <c r="I943" s="4" t="s">
        <v>2</v>
      </c>
      <c r="J943" s="14">
        <v>0.34375</v>
      </c>
      <c r="K943" s="20" t="str">
        <f t="shared" si="43"/>
        <v>1st Shift</v>
      </c>
    </row>
    <row r="944" spans="1:11" x14ac:dyDescent="0.25">
      <c r="A944" s="1">
        <v>943</v>
      </c>
      <c r="B944" s="1">
        <v>7</v>
      </c>
      <c r="C944" s="3">
        <v>7115271792500</v>
      </c>
      <c r="D944" s="2">
        <v>44419.34375</v>
      </c>
      <c r="E944" s="2">
        <v>44419.576388888891</v>
      </c>
      <c r="F944" s="23">
        <f t="shared" si="42"/>
        <v>0.23263888889050577</v>
      </c>
      <c r="G944" s="24">
        <f t="shared" si="44"/>
        <v>53.731343283208645</v>
      </c>
      <c r="H944" s="1" t="s">
        <v>1</v>
      </c>
      <c r="I944" s="4" t="s">
        <v>2</v>
      </c>
      <c r="J944" s="14">
        <v>0.34375</v>
      </c>
      <c r="K944" s="20" t="str">
        <f t="shared" si="43"/>
        <v>1st Shift</v>
      </c>
    </row>
    <row r="945" spans="1:11" x14ac:dyDescent="0.25">
      <c r="A945" s="1">
        <v>944</v>
      </c>
      <c r="B945" s="1">
        <v>3</v>
      </c>
      <c r="C945" s="3">
        <v>3115270306702</v>
      </c>
      <c r="D945" s="2">
        <v>44419.34375</v>
      </c>
      <c r="E945" s="2">
        <v>44419.576388888891</v>
      </c>
      <c r="F945" s="23">
        <f t="shared" si="42"/>
        <v>0.23263888889050577</v>
      </c>
      <c r="G945" s="24">
        <f t="shared" si="44"/>
        <v>53.731343283208645</v>
      </c>
      <c r="H945" s="1" t="s">
        <v>1</v>
      </c>
      <c r="I945" s="4" t="s">
        <v>3</v>
      </c>
      <c r="J945" s="14">
        <v>0.34375</v>
      </c>
      <c r="K945" s="20" t="str">
        <f t="shared" si="43"/>
        <v>1st Shift</v>
      </c>
    </row>
    <row r="946" spans="1:11" x14ac:dyDescent="0.25">
      <c r="A946" s="1">
        <v>945</v>
      </c>
      <c r="B946" s="1">
        <v>1</v>
      </c>
      <c r="C946" s="3">
        <v>1115270073400</v>
      </c>
      <c r="D946" s="2">
        <v>44419.34375</v>
      </c>
      <c r="E946" s="2">
        <v>44419.576388888891</v>
      </c>
      <c r="F946" s="23">
        <f t="shared" si="42"/>
        <v>0.23263888889050577</v>
      </c>
      <c r="G946" s="24">
        <f t="shared" si="44"/>
        <v>53.731343283208645</v>
      </c>
      <c r="H946" s="1" t="s">
        <v>1</v>
      </c>
      <c r="I946" s="4" t="s">
        <v>3</v>
      </c>
      <c r="J946" s="14">
        <v>0.34375</v>
      </c>
      <c r="K946" s="20" t="str">
        <f t="shared" si="43"/>
        <v>1st Shift</v>
      </c>
    </row>
    <row r="947" spans="1:11" x14ac:dyDescent="0.25">
      <c r="A947" s="1">
        <v>946</v>
      </c>
      <c r="B947" s="1">
        <v>3</v>
      </c>
      <c r="C947" s="3">
        <v>3115270448600</v>
      </c>
      <c r="D947" s="2">
        <v>44419.822916666664</v>
      </c>
      <c r="E947" s="2">
        <v>44419.857638888891</v>
      </c>
      <c r="F947" s="23">
        <f t="shared" si="42"/>
        <v>3.4722222226264421E-2</v>
      </c>
      <c r="G947" s="24">
        <f t="shared" si="44"/>
        <v>359.99999995809048</v>
      </c>
      <c r="H947" s="1" t="s">
        <v>1</v>
      </c>
      <c r="I947" s="4" t="s">
        <v>4</v>
      </c>
      <c r="J947" s="14">
        <v>0.82291666666666663</v>
      </c>
      <c r="K947" s="20" t="str">
        <f t="shared" si="43"/>
        <v>2nd Shift</v>
      </c>
    </row>
    <row r="948" spans="1:11" x14ac:dyDescent="0.25">
      <c r="A948" s="1">
        <v>947</v>
      </c>
      <c r="B948" s="1">
        <v>6</v>
      </c>
      <c r="C948" s="3">
        <v>6115271770300</v>
      </c>
      <c r="D948" s="2">
        <v>44419.868055555555</v>
      </c>
      <c r="E948" s="2">
        <v>44419.947916666664</v>
      </c>
      <c r="F948" s="23">
        <f t="shared" si="42"/>
        <v>7.9861111109494232E-2</v>
      </c>
      <c r="G948" s="24">
        <f t="shared" si="44"/>
        <v>156.52173913360375</v>
      </c>
      <c r="H948" s="1" t="s">
        <v>1</v>
      </c>
      <c r="I948" s="4" t="s">
        <v>3</v>
      </c>
      <c r="J948" s="14">
        <v>0.86805555555555558</v>
      </c>
      <c r="K948" s="20" t="str">
        <f t="shared" si="43"/>
        <v>2nd Shift</v>
      </c>
    </row>
    <row r="949" spans="1:11" x14ac:dyDescent="0.25">
      <c r="A949" s="1">
        <v>948</v>
      </c>
      <c r="B949" s="1">
        <v>3</v>
      </c>
      <c r="C949" s="3">
        <v>3115270305700</v>
      </c>
      <c r="D949" s="2">
        <v>44419.868055555555</v>
      </c>
      <c r="E949" s="2">
        <v>44419.947916666664</v>
      </c>
      <c r="F949" s="23">
        <f t="shared" si="42"/>
        <v>7.9861111109494232E-2</v>
      </c>
      <c r="G949" s="24">
        <f t="shared" si="44"/>
        <v>156.52173913360375</v>
      </c>
      <c r="H949" s="1" t="s">
        <v>1</v>
      </c>
      <c r="I949" s="4" t="s">
        <v>8</v>
      </c>
      <c r="J949" s="14">
        <v>0.86805555555555558</v>
      </c>
      <c r="K949" s="20" t="str">
        <f t="shared" si="43"/>
        <v>2nd Shift</v>
      </c>
    </row>
    <row r="950" spans="1:11" x14ac:dyDescent="0.25">
      <c r="A950" s="1">
        <v>949</v>
      </c>
      <c r="B950" s="1">
        <v>2</v>
      </c>
      <c r="C950" s="3">
        <v>2115270260500</v>
      </c>
      <c r="D950" s="2">
        <v>44419.868055555555</v>
      </c>
      <c r="E950" s="2">
        <v>44419.947916666664</v>
      </c>
      <c r="F950" s="23">
        <f t="shared" si="42"/>
        <v>7.9861111109494232E-2</v>
      </c>
      <c r="G950" s="24">
        <f t="shared" si="44"/>
        <v>156.52173913360375</v>
      </c>
      <c r="H950" s="1" t="s">
        <v>1</v>
      </c>
      <c r="I950" s="4" t="s">
        <v>3</v>
      </c>
      <c r="J950" s="14">
        <v>0.86805555555555558</v>
      </c>
      <c r="K950" s="20" t="str">
        <f t="shared" si="43"/>
        <v>2nd Shift</v>
      </c>
    </row>
    <row r="951" spans="1:11" x14ac:dyDescent="0.25">
      <c r="A951" s="1">
        <v>950</v>
      </c>
      <c r="B951" s="1">
        <v>14</v>
      </c>
      <c r="C951" s="3">
        <v>14115271672405</v>
      </c>
      <c r="D951" s="2">
        <v>44419.986111111109</v>
      </c>
      <c r="E951" s="2">
        <v>44420.15625</v>
      </c>
      <c r="F951" s="23">
        <f t="shared" si="42"/>
        <v>0.17013888889050577</v>
      </c>
      <c r="G951" s="24">
        <f t="shared" si="44"/>
        <v>73.46938775440384</v>
      </c>
      <c r="H951" s="1" t="s">
        <v>1</v>
      </c>
      <c r="I951" s="4" t="s">
        <v>2</v>
      </c>
      <c r="J951" s="14">
        <v>0.98611111111111116</v>
      </c>
      <c r="K951" s="20" t="str">
        <f t="shared" si="43"/>
        <v>3rd Shift</v>
      </c>
    </row>
    <row r="952" spans="1:11" x14ac:dyDescent="0.25">
      <c r="A952" s="1">
        <v>951</v>
      </c>
      <c r="B952" s="1">
        <v>7</v>
      </c>
      <c r="C952" s="3">
        <v>7115271765614</v>
      </c>
      <c r="D952" s="2">
        <v>44419.986111111109</v>
      </c>
      <c r="E952" s="2">
        <v>44420.15625</v>
      </c>
      <c r="F952" s="23">
        <f t="shared" si="42"/>
        <v>0.17013888889050577</v>
      </c>
      <c r="G952" s="24">
        <f t="shared" si="44"/>
        <v>73.46938775440384</v>
      </c>
      <c r="H952" s="1" t="s">
        <v>1</v>
      </c>
      <c r="I952" s="4" t="s">
        <v>5</v>
      </c>
      <c r="J952" s="14">
        <v>0.98611111111111116</v>
      </c>
      <c r="K952" s="20" t="str">
        <f t="shared" si="43"/>
        <v>3rd Shift</v>
      </c>
    </row>
    <row r="953" spans="1:11" x14ac:dyDescent="0.25">
      <c r="A953" s="1">
        <v>952</v>
      </c>
      <c r="B953" s="1">
        <v>3</v>
      </c>
      <c r="C953" s="3">
        <v>3115270394500</v>
      </c>
      <c r="D953" s="2">
        <v>44419.986111111109</v>
      </c>
      <c r="E953" s="2">
        <v>44420.15625</v>
      </c>
      <c r="F953" s="23">
        <f t="shared" si="42"/>
        <v>0.17013888889050577</v>
      </c>
      <c r="G953" s="24">
        <f t="shared" si="44"/>
        <v>73.46938775440384</v>
      </c>
      <c r="H953" s="1" t="s">
        <v>1</v>
      </c>
      <c r="I953" s="4" t="s">
        <v>2</v>
      </c>
      <c r="J953" s="14">
        <v>0.98611111111111116</v>
      </c>
      <c r="K953" s="20" t="str">
        <f t="shared" si="43"/>
        <v>3rd Shift</v>
      </c>
    </row>
    <row r="954" spans="1:11" x14ac:dyDescent="0.25">
      <c r="A954" s="1">
        <v>953</v>
      </c>
      <c r="B954" s="1">
        <v>1</v>
      </c>
      <c r="C954" s="3">
        <v>1115270137700</v>
      </c>
      <c r="D954" s="2">
        <v>44419.986111111109</v>
      </c>
      <c r="E954" s="2">
        <v>44420.15625</v>
      </c>
      <c r="F954" s="23">
        <f t="shared" si="42"/>
        <v>0.17013888889050577</v>
      </c>
      <c r="G954" s="24">
        <f t="shared" si="44"/>
        <v>73.46938775440384</v>
      </c>
      <c r="H954" s="1" t="s">
        <v>1</v>
      </c>
      <c r="I954" s="4" t="s">
        <v>2</v>
      </c>
      <c r="J954" s="14">
        <v>0.98611111111111116</v>
      </c>
      <c r="K954" s="20" t="str">
        <f t="shared" si="43"/>
        <v>3rd Shift</v>
      </c>
    </row>
    <row r="955" spans="1:11" x14ac:dyDescent="0.25">
      <c r="A955" s="1">
        <v>954</v>
      </c>
      <c r="B955" s="1">
        <v>1</v>
      </c>
      <c r="C955" s="3">
        <v>1115270020400</v>
      </c>
      <c r="D955" s="2">
        <v>44419.986111111109</v>
      </c>
      <c r="E955" s="2">
        <v>44420.15625</v>
      </c>
      <c r="F955" s="23">
        <f t="shared" si="42"/>
        <v>0.17013888889050577</v>
      </c>
      <c r="G955" s="24">
        <f t="shared" si="44"/>
        <v>73.46938775440384</v>
      </c>
      <c r="H955" s="1" t="s">
        <v>1</v>
      </c>
      <c r="I955" s="4" t="s">
        <v>3</v>
      </c>
      <c r="J955" s="14">
        <v>0.98611111111111116</v>
      </c>
      <c r="K955" s="20" t="str">
        <f t="shared" si="43"/>
        <v>3rd Shift</v>
      </c>
    </row>
    <row r="956" spans="1:11" x14ac:dyDescent="0.25">
      <c r="A956" s="1">
        <v>955</v>
      </c>
      <c r="B956" s="1">
        <v>3</v>
      </c>
      <c r="C956" s="3">
        <v>3115270413201</v>
      </c>
      <c r="D956" s="2">
        <v>44420.5</v>
      </c>
      <c r="E956" s="2">
        <v>44420.5625</v>
      </c>
      <c r="F956" s="23">
        <f t="shared" si="42"/>
        <v>6.25E-2</v>
      </c>
      <c r="G956" s="24">
        <f t="shared" si="44"/>
        <v>200</v>
      </c>
      <c r="H956" s="1" t="s">
        <v>1</v>
      </c>
      <c r="I956" s="4" t="s">
        <v>8</v>
      </c>
      <c r="J956" s="14">
        <v>0.5</v>
      </c>
      <c r="K956" s="20" t="str">
        <f t="shared" si="43"/>
        <v>1st Shift</v>
      </c>
    </row>
    <row r="957" spans="1:11" x14ac:dyDescent="0.25">
      <c r="A957" s="1">
        <v>956</v>
      </c>
      <c r="B957" s="1">
        <v>3</v>
      </c>
      <c r="C957" s="3">
        <v>3115270413200</v>
      </c>
      <c r="D957" s="2">
        <v>44420.5</v>
      </c>
      <c r="E957" s="2">
        <v>44420.5625</v>
      </c>
      <c r="F957" s="23">
        <f t="shared" si="42"/>
        <v>6.25E-2</v>
      </c>
      <c r="G957" s="24">
        <f t="shared" si="44"/>
        <v>200</v>
      </c>
      <c r="H957" s="1" t="s">
        <v>1</v>
      </c>
      <c r="I957" s="4" t="s">
        <v>2</v>
      </c>
      <c r="J957" s="14">
        <v>0.5</v>
      </c>
      <c r="K957" s="20" t="str">
        <f t="shared" si="43"/>
        <v>1st Shift</v>
      </c>
    </row>
    <row r="958" spans="1:11" x14ac:dyDescent="0.25">
      <c r="A958" s="1">
        <v>957</v>
      </c>
      <c r="B958" s="1">
        <v>3</v>
      </c>
      <c r="C958" s="3">
        <v>3115270349101</v>
      </c>
      <c r="D958" s="2">
        <v>44420.5</v>
      </c>
      <c r="E958" s="2">
        <v>44420.5625</v>
      </c>
      <c r="F958" s="23">
        <f t="shared" si="42"/>
        <v>6.25E-2</v>
      </c>
      <c r="G958" s="24">
        <f t="shared" si="44"/>
        <v>200</v>
      </c>
      <c r="H958" s="1" t="s">
        <v>1</v>
      </c>
      <c r="I958" s="4" t="s">
        <v>2</v>
      </c>
      <c r="J958" s="14">
        <v>0.5</v>
      </c>
      <c r="K958" s="20" t="str">
        <f t="shared" si="43"/>
        <v>1st Shift</v>
      </c>
    </row>
    <row r="959" spans="1:11" x14ac:dyDescent="0.25">
      <c r="A959" s="1">
        <v>958</v>
      </c>
      <c r="B959" s="1">
        <v>3</v>
      </c>
      <c r="C959" s="3">
        <v>3115270349100</v>
      </c>
      <c r="D959" s="2">
        <v>44420.5</v>
      </c>
      <c r="E959" s="2">
        <v>44420.5625</v>
      </c>
      <c r="F959" s="23">
        <f t="shared" si="42"/>
        <v>6.25E-2</v>
      </c>
      <c r="G959" s="24">
        <f t="shared" si="44"/>
        <v>200</v>
      </c>
      <c r="H959" s="1" t="s">
        <v>1</v>
      </c>
      <c r="I959" s="4" t="s">
        <v>2</v>
      </c>
      <c r="J959" s="14">
        <v>0.5</v>
      </c>
      <c r="K959" s="20" t="str">
        <f t="shared" si="43"/>
        <v>1st Shift</v>
      </c>
    </row>
    <row r="960" spans="1:11" x14ac:dyDescent="0.25">
      <c r="A960" s="1">
        <v>959</v>
      </c>
      <c r="B960" s="1">
        <v>13</v>
      </c>
      <c r="C960" s="3">
        <v>13115271630402</v>
      </c>
      <c r="D960" s="2">
        <v>44420.777777777781</v>
      </c>
      <c r="E960" s="2">
        <v>44420.916666666664</v>
      </c>
      <c r="F960" s="23">
        <f t="shared" si="42"/>
        <v>0.13888888888322981</v>
      </c>
      <c r="G960" s="24">
        <f t="shared" si="44"/>
        <v>90.000000003667083</v>
      </c>
      <c r="H960" s="1" t="s">
        <v>1</v>
      </c>
      <c r="I960" s="4" t="s">
        <v>2</v>
      </c>
      <c r="J960" s="14">
        <v>0.77777777777777779</v>
      </c>
      <c r="K960" s="20" t="str">
        <f t="shared" si="43"/>
        <v>2nd Shift</v>
      </c>
    </row>
    <row r="961" spans="1:11" x14ac:dyDescent="0.25">
      <c r="A961" s="1">
        <v>960</v>
      </c>
      <c r="B961" s="1">
        <v>13</v>
      </c>
      <c r="C961" s="3">
        <v>13115271630401</v>
      </c>
      <c r="D961" s="2">
        <v>44420.777777777781</v>
      </c>
      <c r="E961" s="2">
        <v>44420.916666666664</v>
      </c>
      <c r="F961" s="23">
        <f t="shared" si="42"/>
        <v>0.13888888888322981</v>
      </c>
      <c r="G961" s="24">
        <f t="shared" si="44"/>
        <v>90.000000003667083</v>
      </c>
      <c r="H961" s="1" t="s">
        <v>1</v>
      </c>
      <c r="I961" s="4" t="s">
        <v>3</v>
      </c>
      <c r="J961" s="14">
        <v>0.77777777777777779</v>
      </c>
      <c r="K961" s="20" t="str">
        <f t="shared" si="43"/>
        <v>2nd Shift</v>
      </c>
    </row>
    <row r="962" spans="1:11" x14ac:dyDescent="0.25">
      <c r="A962" s="1">
        <v>961</v>
      </c>
      <c r="B962" s="1">
        <v>13</v>
      </c>
      <c r="C962" s="3">
        <v>13115271612607</v>
      </c>
      <c r="D962" s="2">
        <v>44420.777777777781</v>
      </c>
      <c r="E962" s="2">
        <v>44420.916666666664</v>
      </c>
      <c r="F962" s="23">
        <f t="shared" ref="F962:F1025" si="45">E962-D962</f>
        <v>0.13888888888322981</v>
      </c>
      <c r="G962" s="24">
        <f t="shared" si="44"/>
        <v>90.000000003667083</v>
      </c>
      <c r="H962" s="1" t="s">
        <v>1</v>
      </c>
      <c r="I962" s="4" t="s">
        <v>2</v>
      </c>
      <c r="J962" s="14">
        <v>0.77777777777777779</v>
      </c>
      <c r="K962" s="20" t="str">
        <f t="shared" ref="K962:K1025" si="46">IF(AND(J962&gt;=$M$3,J962&lt;$M$4),"1st Shift",IF(AND(J962&gt;=$M$4,J962&lt;$M$5),"2nd Shift","3rd Shift"))</f>
        <v>2nd Shift</v>
      </c>
    </row>
    <row r="963" spans="1:11" x14ac:dyDescent="0.25">
      <c r="A963" s="1">
        <v>962</v>
      </c>
      <c r="B963" s="1">
        <v>13</v>
      </c>
      <c r="C963" s="3">
        <v>13115271612606</v>
      </c>
      <c r="D963" s="2">
        <v>44420.777777777781</v>
      </c>
      <c r="E963" s="2">
        <v>44420.916666666664</v>
      </c>
      <c r="F963" s="23">
        <f t="shared" si="45"/>
        <v>0.13888888888322981</v>
      </c>
      <c r="G963" s="24">
        <f t="shared" ref="G963:G1026" si="47">$M$9/F963*100</f>
        <v>90.000000003667083</v>
      </c>
      <c r="H963" s="1" t="s">
        <v>1</v>
      </c>
      <c r="I963" s="4" t="s">
        <v>3</v>
      </c>
      <c r="J963" s="14">
        <v>0.77777777777777779</v>
      </c>
      <c r="K963" s="20" t="str">
        <f t="shared" si="46"/>
        <v>2nd Shift</v>
      </c>
    </row>
    <row r="964" spans="1:11" x14ac:dyDescent="0.25">
      <c r="A964" s="1">
        <v>963</v>
      </c>
      <c r="B964" s="1">
        <v>7</v>
      </c>
      <c r="C964" s="3">
        <v>7115271761102</v>
      </c>
      <c r="D964" s="2">
        <v>44420.777777777781</v>
      </c>
      <c r="E964" s="2">
        <v>44420.916666666664</v>
      </c>
      <c r="F964" s="23">
        <f t="shared" si="45"/>
        <v>0.13888888888322981</v>
      </c>
      <c r="G964" s="24">
        <f t="shared" si="47"/>
        <v>90.000000003667083</v>
      </c>
      <c r="H964" s="1" t="s">
        <v>1</v>
      </c>
      <c r="I964" s="4" t="s">
        <v>3</v>
      </c>
      <c r="J964" s="14">
        <v>0.77777777777777779</v>
      </c>
      <c r="K964" s="20" t="str">
        <f t="shared" si="46"/>
        <v>2nd Shift</v>
      </c>
    </row>
    <row r="965" spans="1:11" x14ac:dyDescent="0.25">
      <c r="A965" s="1">
        <v>964</v>
      </c>
      <c r="B965" s="1">
        <v>7</v>
      </c>
      <c r="C965" s="3">
        <v>7115271761101</v>
      </c>
      <c r="D965" s="2">
        <v>44420.777777777781</v>
      </c>
      <c r="E965" s="2">
        <v>44420.916666666664</v>
      </c>
      <c r="F965" s="23">
        <f t="shared" si="45"/>
        <v>0.13888888888322981</v>
      </c>
      <c r="G965" s="24">
        <f t="shared" si="47"/>
        <v>90.000000003667083</v>
      </c>
      <c r="H965" s="1" t="s">
        <v>1</v>
      </c>
      <c r="I965" s="4" t="s">
        <v>3</v>
      </c>
      <c r="J965" s="14">
        <v>0.77777777777777779</v>
      </c>
      <c r="K965" s="20" t="str">
        <f t="shared" si="46"/>
        <v>2nd Shift</v>
      </c>
    </row>
    <row r="966" spans="1:11" x14ac:dyDescent="0.25">
      <c r="A966" s="1">
        <v>965</v>
      </c>
      <c r="B966" s="1">
        <v>3</v>
      </c>
      <c r="C966" s="3">
        <v>3115270317206</v>
      </c>
      <c r="D966" s="2">
        <v>44420.777777777781</v>
      </c>
      <c r="E966" s="2">
        <v>44420.916666666664</v>
      </c>
      <c r="F966" s="23">
        <f t="shared" si="45"/>
        <v>0.13888888888322981</v>
      </c>
      <c r="G966" s="24">
        <f t="shared" si="47"/>
        <v>90.000000003667083</v>
      </c>
      <c r="H966" s="1" t="s">
        <v>1</v>
      </c>
      <c r="I966" s="4" t="s">
        <v>2</v>
      </c>
      <c r="J966" s="14">
        <v>0.77777777777777779</v>
      </c>
      <c r="K966" s="20" t="str">
        <f t="shared" si="46"/>
        <v>2nd Shift</v>
      </c>
    </row>
    <row r="967" spans="1:11" x14ac:dyDescent="0.25">
      <c r="A967" s="1">
        <v>966</v>
      </c>
      <c r="B967" s="1">
        <v>3</v>
      </c>
      <c r="C967" s="3">
        <v>3115270317200</v>
      </c>
      <c r="D967" s="2">
        <v>44420.777777777781</v>
      </c>
      <c r="E967" s="2">
        <v>44420.916666666664</v>
      </c>
      <c r="F967" s="23">
        <f t="shared" si="45"/>
        <v>0.13888888888322981</v>
      </c>
      <c r="G967" s="24">
        <f t="shared" si="47"/>
        <v>90.000000003667083</v>
      </c>
      <c r="H967" s="1" t="s">
        <v>1</v>
      </c>
      <c r="I967" s="4" t="s">
        <v>2</v>
      </c>
      <c r="J967" s="14">
        <v>0.77777777777777779</v>
      </c>
      <c r="K967" s="20" t="str">
        <f t="shared" si="46"/>
        <v>2nd Shift</v>
      </c>
    </row>
    <row r="968" spans="1:11" x14ac:dyDescent="0.25">
      <c r="A968" s="1">
        <v>967</v>
      </c>
      <c r="B968" s="1">
        <v>1</v>
      </c>
      <c r="C968" s="3">
        <v>1115270131307</v>
      </c>
      <c r="D968" s="2">
        <v>44420.777777777781</v>
      </c>
      <c r="E968" s="2">
        <v>44420.916666666664</v>
      </c>
      <c r="F968" s="23">
        <f t="shared" si="45"/>
        <v>0.13888888888322981</v>
      </c>
      <c r="G968" s="24">
        <f t="shared" si="47"/>
        <v>90.000000003667083</v>
      </c>
      <c r="H968" s="1" t="s">
        <v>1</v>
      </c>
      <c r="I968" s="4" t="s">
        <v>3</v>
      </c>
      <c r="J968" s="14">
        <v>0.77777777777777779</v>
      </c>
      <c r="K968" s="20" t="str">
        <f t="shared" si="46"/>
        <v>2nd Shift</v>
      </c>
    </row>
    <row r="969" spans="1:11" x14ac:dyDescent="0.25">
      <c r="A969" s="1">
        <v>968</v>
      </c>
      <c r="B969" s="1">
        <v>1</v>
      </c>
      <c r="C969" s="3">
        <v>1115270131300</v>
      </c>
      <c r="D969" s="2">
        <v>44420.777777777781</v>
      </c>
      <c r="E969" s="2">
        <v>44420.916666666664</v>
      </c>
      <c r="F969" s="23">
        <f t="shared" si="45"/>
        <v>0.13888888888322981</v>
      </c>
      <c r="G969" s="24">
        <f t="shared" si="47"/>
        <v>90.000000003667083</v>
      </c>
      <c r="H969" s="1" t="s">
        <v>1</v>
      </c>
      <c r="I969" s="4" t="s">
        <v>2</v>
      </c>
      <c r="J969" s="14">
        <v>0.77777777777777779</v>
      </c>
      <c r="K969" s="20" t="str">
        <f t="shared" si="46"/>
        <v>2nd Shift</v>
      </c>
    </row>
    <row r="970" spans="1:11" x14ac:dyDescent="0.25">
      <c r="A970" s="1">
        <v>969</v>
      </c>
      <c r="B970" s="1">
        <v>1</v>
      </c>
      <c r="C970" s="3">
        <v>1115270104401</v>
      </c>
      <c r="D970" s="2">
        <v>44420.777777777781</v>
      </c>
      <c r="E970" s="2">
        <v>44420.916666666664</v>
      </c>
      <c r="F970" s="23">
        <f t="shared" si="45"/>
        <v>0.13888888888322981</v>
      </c>
      <c r="G970" s="24">
        <f t="shared" si="47"/>
        <v>90.000000003667083</v>
      </c>
      <c r="H970" s="1" t="s">
        <v>1</v>
      </c>
      <c r="I970" s="4" t="s">
        <v>3</v>
      </c>
      <c r="J970" s="14">
        <v>0.77777777777777779</v>
      </c>
      <c r="K970" s="20" t="str">
        <f t="shared" si="46"/>
        <v>2nd Shift</v>
      </c>
    </row>
    <row r="971" spans="1:11" x14ac:dyDescent="0.25">
      <c r="A971" s="1">
        <v>970</v>
      </c>
      <c r="B971" s="1">
        <v>1</v>
      </c>
      <c r="C971" s="3">
        <v>1115270104400</v>
      </c>
      <c r="D971" s="2">
        <v>44420.777777777781</v>
      </c>
      <c r="E971" s="2">
        <v>44420.916666666664</v>
      </c>
      <c r="F971" s="23">
        <f t="shared" si="45"/>
        <v>0.13888888888322981</v>
      </c>
      <c r="G971" s="24">
        <f t="shared" si="47"/>
        <v>90.000000003667083</v>
      </c>
      <c r="H971" s="1" t="s">
        <v>1</v>
      </c>
      <c r="I971" s="4" t="s">
        <v>2</v>
      </c>
      <c r="J971" s="14">
        <v>0.77777777777777779</v>
      </c>
      <c r="K971" s="20" t="str">
        <f t="shared" si="46"/>
        <v>2nd Shift</v>
      </c>
    </row>
    <row r="972" spans="1:11" x14ac:dyDescent="0.25">
      <c r="A972" s="1">
        <v>971</v>
      </c>
      <c r="B972" s="1">
        <v>3</v>
      </c>
      <c r="C972" s="3">
        <v>3115270426900</v>
      </c>
      <c r="D972" s="2">
        <v>44420.9375</v>
      </c>
      <c r="E972" s="2">
        <v>44420.975694444445</v>
      </c>
      <c r="F972" s="23">
        <f t="shared" si="45"/>
        <v>3.8194444445252884E-2</v>
      </c>
      <c r="G972" s="24">
        <f t="shared" si="47"/>
        <v>327.27272726580009</v>
      </c>
      <c r="H972" s="1" t="s">
        <v>1</v>
      </c>
      <c r="I972" s="4" t="s">
        <v>2</v>
      </c>
      <c r="J972" s="14">
        <v>0.9375</v>
      </c>
      <c r="K972" s="20" t="str">
        <f t="shared" si="46"/>
        <v>3rd Shift</v>
      </c>
    </row>
    <row r="973" spans="1:11" x14ac:dyDescent="0.25">
      <c r="A973" s="1">
        <v>972</v>
      </c>
      <c r="B973" s="1">
        <v>3</v>
      </c>
      <c r="C973" s="3">
        <v>3115270340100</v>
      </c>
      <c r="D973" s="2">
        <v>44420.9375</v>
      </c>
      <c r="E973" s="2">
        <v>44421.020833333336</v>
      </c>
      <c r="F973" s="23">
        <f t="shared" si="45"/>
        <v>8.3333333335758653E-2</v>
      </c>
      <c r="G973" s="24">
        <f t="shared" si="47"/>
        <v>149.99999999563443</v>
      </c>
      <c r="H973" s="1" t="s">
        <v>1</v>
      </c>
      <c r="I973" s="4" t="s">
        <v>4</v>
      </c>
      <c r="J973" s="14">
        <v>0.9375</v>
      </c>
      <c r="K973" s="20" t="str">
        <f t="shared" si="46"/>
        <v>3rd Shift</v>
      </c>
    </row>
    <row r="974" spans="1:11" x14ac:dyDescent="0.25">
      <c r="A974" s="1">
        <v>973</v>
      </c>
      <c r="B974" s="1">
        <v>2</v>
      </c>
      <c r="C974" s="3">
        <v>2115270156504</v>
      </c>
      <c r="D974" s="2">
        <v>44420.9375</v>
      </c>
      <c r="E974" s="2">
        <v>44421.020833333336</v>
      </c>
      <c r="F974" s="23">
        <f t="shared" si="45"/>
        <v>8.3333333335758653E-2</v>
      </c>
      <c r="G974" s="24">
        <f t="shared" si="47"/>
        <v>149.99999999563443</v>
      </c>
      <c r="H974" s="1" t="s">
        <v>1</v>
      </c>
      <c r="I974" s="4" t="s">
        <v>2</v>
      </c>
      <c r="J974" s="14">
        <v>0.9375</v>
      </c>
      <c r="K974" s="20" t="str">
        <f t="shared" si="46"/>
        <v>3rd Shift</v>
      </c>
    </row>
    <row r="975" spans="1:11" x14ac:dyDescent="0.25">
      <c r="A975" s="1">
        <v>974</v>
      </c>
      <c r="B975" s="1">
        <v>2</v>
      </c>
      <c r="C975" s="3">
        <v>2115270156500</v>
      </c>
      <c r="D975" s="2">
        <v>44420.9375</v>
      </c>
      <c r="E975" s="2">
        <v>44421.020833333336</v>
      </c>
      <c r="F975" s="23">
        <f t="shared" si="45"/>
        <v>8.3333333335758653E-2</v>
      </c>
      <c r="G975" s="24">
        <f t="shared" si="47"/>
        <v>149.99999999563443</v>
      </c>
      <c r="H975" s="1" t="s">
        <v>1</v>
      </c>
      <c r="I975" s="4" t="s">
        <v>3</v>
      </c>
      <c r="J975" s="14">
        <v>0.9375</v>
      </c>
      <c r="K975" s="20" t="str">
        <f t="shared" si="46"/>
        <v>3rd Shift</v>
      </c>
    </row>
    <row r="976" spans="1:11" x14ac:dyDescent="0.25">
      <c r="A976" s="1">
        <v>975</v>
      </c>
      <c r="B976" s="1">
        <v>10</v>
      </c>
      <c r="C976" s="3">
        <v>10115270972600</v>
      </c>
      <c r="D976" s="2">
        <v>44421.0625</v>
      </c>
      <c r="E976" s="2">
        <v>44421.229166666664</v>
      </c>
      <c r="F976" s="23">
        <f t="shared" si="45"/>
        <v>0.16666666666424135</v>
      </c>
      <c r="G976" s="24">
        <f t="shared" si="47"/>
        <v>75.000000001091394</v>
      </c>
      <c r="H976" s="1" t="s">
        <v>1</v>
      </c>
      <c r="I976" s="4" t="s">
        <v>2</v>
      </c>
      <c r="J976" s="14">
        <v>6.25E-2</v>
      </c>
      <c r="K976" s="20" t="str">
        <f t="shared" si="46"/>
        <v>3rd Shift</v>
      </c>
    </row>
    <row r="977" spans="1:11" x14ac:dyDescent="0.25">
      <c r="A977" s="1">
        <v>976</v>
      </c>
      <c r="B977" s="1">
        <v>7</v>
      </c>
      <c r="C977" s="3">
        <v>7115271804520</v>
      </c>
      <c r="D977" s="2">
        <v>44421.0625</v>
      </c>
      <c r="E977" s="2">
        <v>44421.229166666664</v>
      </c>
      <c r="F977" s="23">
        <f t="shared" si="45"/>
        <v>0.16666666666424135</v>
      </c>
      <c r="G977" s="24">
        <f t="shared" si="47"/>
        <v>75.000000001091394</v>
      </c>
      <c r="H977" s="1" t="s">
        <v>1</v>
      </c>
      <c r="I977" s="4" t="s">
        <v>2</v>
      </c>
      <c r="J977" s="14">
        <v>6.25E-2</v>
      </c>
      <c r="K977" s="20" t="str">
        <f t="shared" si="46"/>
        <v>3rd Shift</v>
      </c>
    </row>
    <row r="978" spans="1:11" x14ac:dyDescent="0.25">
      <c r="A978" s="1">
        <v>977</v>
      </c>
      <c r="B978" s="1">
        <v>7</v>
      </c>
      <c r="C978" s="3">
        <v>7115271759901</v>
      </c>
      <c r="D978" s="2">
        <v>44421.0625</v>
      </c>
      <c r="E978" s="2">
        <v>44421.229166666664</v>
      </c>
      <c r="F978" s="23">
        <f t="shared" si="45"/>
        <v>0.16666666666424135</v>
      </c>
      <c r="G978" s="24">
        <f t="shared" si="47"/>
        <v>75.000000001091394</v>
      </c>
      <c r="H978" s="1" t="s">
        <v>1</v>
      </c>
      <c r="I978" s="4" t="s">
        <v>2</v>
      </c>
      <c r="J978" s="14">
        <v>6.25E-2</v>
      </c>
      <c r="K978" s="20" t="str">
        <f t="shared" si="46"/>
        <v>3rd Shift</v>
      </c>
    </row>
    <row r="979" spans="1:11" x14ac:dyDescent="0.25">
      <c r="A979" s="1">
        <v>978</v>
      </c>
      <c r="B979" s="1">
        <v>6</v>
      </c>
      <c r="C979" s="3">
        <v>6115271720606</v>
      </c>
      <c r="D979" s="2">
        <v>44421.0625</v>
      </c>
      <c r="E979" s="2">
        <v>44421.229166666664</v>
      </c>
      <c r="F979" s="23">
        <f t="shared" si="45"/>
        <v>0.16666666666424135</v>
      </c>
      <c r="G979" s="24">
        <f t="shared" si="47"/>
        <v>75.000000001091394</v>
      </c>
      <c r="H979" s="1" t="s">
        <v>1</v>
      </c>
      <c r="I979" s="4" t="s">
        <v>2</v>
      </c>
      <c r="J979" s="14">
        <v>6.25E-2</v>
      </c>
      <c r="K979" s="20" t="str">
        <f t="shared" si="46"/>
        <v>3rd Shift</v>
      </c>
    </row>
    <row r="980" spans="1:11" x14ac:dyDescent="0.25">
      <c r="A980" s="1">
        <v>979</v>
      </c>
      <c r="B980" s="1">
        <v>3</v>
      </c>
      <c r="C980" s="3">
        <v>3115270319301</v>
      </c>
      <c r="D980" s="2">
        <v>44421.0625</v>
      </c>
      <c r="E980" s="2">
        <v>44421.229166666664</v>
      </c>
      <c r="F980" s="23">
        <f t="shared" si="45"/>
        <v>0.16666666666424135</v>
      </c>
      <c r="G980" s="24">
        <f t="shared" si="47"/>
        <v>75.000000001091394</v>
      </c>
      <c r="H980" s="1" t="s">
        <v>1</v>
      </c>
      <c r="I980" s="4" t="s">
        <v>2</v>
      </c>
      <c r="J980" s="14">
        <v>6.25E-2</v>
      </c>
      <c r="K980" s="20" t="str">
        <f t="shared" si="46"/>
        <v>3rd Shift</v>
      </c>
    </row>
    <row r="981" spans="1:11" x14ac:dyDescent="0.25">
      <c r="A981" s="1">
        <v>980</v>
      </c>
      <c r="B981" s="1">
        <v>2</v>
      </c>
      <c r="C981" s="3">
        <v>2115270192400</v>
      </c>
      <c r="D981" s="2">
        <v>44421.0625</v>
      </c>
      <c r="E981" s="2">
        <v>44421.229166666664</v>
      </c>
      <c r="F981" s="23">
        <f t="shared" si="45"/>
        <v>0.16666666666424135</v>
      </c>
      <c r="G981" s="24">
        <f t="shared" si="47"/>
        <v>75.000000001091394</v>
      </c>
      <c r="H981" s="1" t="s">
        <v>1</v>
      </c>
      <c r="I981" s="4" t="s">
        <v>2</v>
      </c>
      <c r="J981" s="14">
        <v>6.25E-2</v>
      </c>
      <c r="K981" s="20" t="str">
        <f t="shared" si="46"/>
        <v>3rd Shift</v>
      </c>
    </row>
    <row r="982" spans="1:11" x14ac:dyDescent="0.25">
      <c r="A982" s="1">
        <v>981</v>
      </c>
      <c r="B982" s="1">
        <v>1</v>
      </c>
      <c r="C982" s="3">
        <v>1115270105800</v>
      </c>
      <c r="D982" s="2">
        <v>44421.0625</v>
      </c>
      <c r="E982" s="2">
        <v>44421.229166666664</v>
      </c>
      <c r="F982" s="23">
        <f t="shared" si="45"/>
        <v>0.16666666666424135</v>
      </c>
      <c r="G982" s="24">
        <f t="shared" si="47"/>
        <v>75.000000001091394</v>
      </c>
      <c r="H982" s="1" t="s">
        <v>1</v>
      </c>
      <c r="I982" s="4" t="s">
        <v>2</v>
      </c>
      <c r="J982" s="14">
        <v>6.25E-2</v>
      </c>
      <c r="K982" s="20" t="str">
        <f t="shared" si="46"/>
        <v>3rd Shift</v>
      </c>
    </row>
    <row r="983" spans="1:11" x14ac:dyDescent="0.25">
      <c r="A983" s="1">
        <v>982</v>
      </c>
      <c r="B983" s="1">
        <v>14</v>
      </c>
      <c r="C983" s="3">
        <v>14115271724207</v>
      </c>
      <c r="D983" s="2">
        <v>44421.284722222219</v>
      </c>
      <c r="E983" s="2">
        <v>44421.576388888891</v>
      </c>
      <c r="F983" s="23">
        <f t="shared" si="45"/>
        <v>0.29166666667151731</v>
      </c>
      <c r="G983" s="24">
        <f t="shared" si="47"/>
        <v>42.857142856430109</v>
      </c>
      <c r="H983" s="1" t="s">
        <v>1</v>
      </c>
      <c r="I983" s="4" t="s">
        <v>2</v>
      </c>
      <c r="J983" s="14">
        <v>0.28472222222222221</v>
      </c>
      <c r="K983" s="20" t="str">
        <f t="shared" si="46"/>
        <v>1st Shift</v>
      </c>
    </row>
    <row r="984" spans="1:11" x14ac:dyDescent="0.25">
      <c r="A984" s="1">
        <v>983</v>
      </c>
      <c r="B984" s="1">
        <v>14</v>
      </c>
      <c r="C984" s="3">
        <v>14115271723805</v>
      </c>
      <c r="D984" s="2">
        <v>44421.284722222219</v>
      </c>
      <c r="E984" s="2">
        <v>44421.576388888891</v>
      </c>
      <c r="F984" s="23">
        <f t="shared" si="45"/>
        <v>0.29166666667151731</v>
      </c>
      <c r="G984" s="24">
        <f t="shared" si="47"/>
        <v>42.857142856430109</v>
      </c>
      <c r="H984" s="1" t="s">
        <v>1</v>
      </c>
      <c r="I984" s="4" t="s">
        <v>2</v>
      </c>
      <c r="J984" s="14">
        <v>0.28472222222222221</v>
      </c>
      <c r="K984" s="20" t="str">
        <f t="shared" si="46"/>
        <v>1st Shift</v>
      </c>
    </row>
    <row r="985" spans="1:11" x14ac:dyDescent="0.25">
      <c r="A985" s="1">
        <v>984</v>
      </c>
      <c r="B985" s="1">
        <v>14</v>
      </c>
      <c r="C985" s="3">
        <v>14115271691029</v>
      </c>
      <c r="D985" s="2">
        <v>44421.284722222219</v>
      </c>
      <c r="E985" s="2">
        <v>44421.576388888891</v>
      </c>
      <c r="F985" s="23">
        <f t="shared" si="45"/>
        <v>0.29166666667151731</v>
      </c>
      <c r="G985" s="24">
        <f t="shared" si="47"/>
        <v>42.857142856430109</v>
      </c>
      <c r="H985" s="1" t="s">
        <v>1</v>
      </c>
      <c r="I985" s="4" t="s">
        <v>2</v>
      </c>
      <c r="J985" s="14">
        <v>0.28472222222222221</v>
      </c>
      <c r="K985" s="20" t="str">
        <f t="shared" si="46"/>
        <v>1st Shift</v>
      </c>
    </row>
    <row r="986" spans="1:11" x14ac:dyDescent="0.25">
      <c r="A986" s="1">
        <v>985</v>
      </c>
      <c r="B986" s="1">
        <v>14</v>
      </c>
      <c r="C986" s="3">
        <v>14115271691011</v>
      </c>
      <c r="D986" s="2">
        <v>44421.284722222219</v>
      </c>
      <c r="E986" s="2">
        <v>44421.576388888891</v>
      </c>
      <c r="F986" s="23">
        <f t="shared" si="45"/>
        <v>0.29166666667151731</v>
      </c>
      <c r="G986" s="24">
        <f t="shared" si="47"/>
        <v>42.857142856430109</v>
      </c>
      <c r="H986" s="1" t="s">
        <v>1</v>
      </c>
      <c r="I986" s="4" t="s">
        <v>4</v>
      </c>
      <c r="J986" s="14">
        <v>0.28472222222222221</v>
      </c>
      <c r="K986" s="20" t="str">
        <f t="shared" si="46"/>
        <v>1st Shift</v>
      </c>
    </row>
    <row r="987" spans="1:11" x14ac:dyDescent="0.25">
      <c r="A987" s="1">
        <v>986</v>
      </c>
      <c r="B987" s="1">
        <v>13</v>
      </c>
      <c r="C987" s="3">
        <v>13115271638608</v>
      </c>
      <c r="D987" s="2">
        <v>44421.284722222219</v>
      </c>
      <c r="E987" s="2">
        <v>44421.576388888891</v>
      </c>
      <c r="F987" s="23">
        <f t="shared" si="45"/>
        <v>0.29166666667151731</v>
      </c>
      <c r="G987" s="24">
        <f t="shared" si="47"/>
        <v>42.857142856430109</v>
      </c>
      <c r="H987" s="1" t="s">
        <v>1</v>
      </c>
      <c r="I987" s="4" t="s">
        <v>2</v>
      </c>
      <c r="J987" s="14">
        <v>0.28472222222222221</v>
      </c>
      <c r="K987" s="20" t="str">
        <f t="shared" si="46"/>
        <v>1st Shift</v>
      </c>
    </row>
    <row r="988" spans="1:11" x14ac:dyDescent="0.25">
      <c r="A988" s="1">
        <v>987</v>
      </c>
      <c r="B988" s="1">
        <v>12</v>
      </c>
      <c r="C988" s="3">
        <v>12115271573208</v>
      </c>
      <c r="D988" s="2">
        <v>44421.284722222219</v>
      </c>
      <c r="E988" s="2">
        <v>44421.576388888891</v>
      </c>
      <c r="F988" s="23">
        <f t="shared" si="45"/>
        <v>0.29166666667151731</v>
      </c>
      <c r="G988" s="24">
        <f t="shared" si="47"/>
        <v>42.857142856430109</v>
      </c>
      <c r="H988" s="1" t="s">
        <v>1</v>
      </c>
      <c r="I988" s="4" t="s">
        <v>2</v>
      </c>
      <c r="J988" s="14">
        <v>0.28472222222222221</v>
      </c>
      <c r="K988" s="20" t="str">
        <f t="shared" si="46"/>
        <v>1st Shift</v>
      </c>
    </row>
    <row r="989" spans="1:11" x14ac:dyDescent="0.25">
      <c r="A989" s="1">
        <v>988</v>
      </c>
      <c r="B989" s="1">
        <v>10</v>
      </c>
      <c r="C989" s="3">
        <v>10115271959400</v>
      </c>
      <c r="D989" s="2">
        <v>44421.284722222219</v>
      </c>
      <c r="E989" s="2">
        <v>44421.576388888891</v>
      </c>
      <c r="F989" s="23">
        <f t="shared" si="45"/>
        <v>0.29166666667151731</v>
      </c>
      <c r="G989" s="24">
        <f t="shared" si="47"/>
        <v>42.857142856430109</v>
      </c>
      <c r="H989" s="1" t="s">
        <v>1</v>
      </c>
      <c r="I989" s="4" t="s">
        <v>2</v>
      </c>
      <c r="J989" s="14">
        <v>0.28472222222222221</v>
      </c>
      <c r="K989" s="20" t="str">
        <f t="shared" si="46"/>
        <v>1st Shift</v>
      </c>
    </row>
    <row r="990" spans="1:11" x14ac:dyDescent="0.25">
      <c r="A990" s="1">
        <v>989</v>
      </c>
      <c r="B990" s="1">
        <v>9</v>
      </c>
      <c r="C990" s="3">
        <v>9115271909000</v>
      </c>
      <c r="D990" s="2">
        <v>44421.284722222219</v>
      </c>
      <c r="E990" s="2">
        <v>44421.576388888891</v>
      </c>
      <c r="F990" s="23">
        <f t="shared" si="45"/>
        <v>0.29166666667151731</v>
      </c>
      <c r="G990" s="24">
        <f t="shared" si="47"/>
        <v>42.857142856430109</v>
      </c>
      <c r="H990" s="1" t="s">
        <v>1</v>
      </c>
      <c r="I990" s="4" t="s">
        <v>2</v>
      </c>
      <c r="J990" s="14">
        <v>0.28472222222222221</v>
      </c>
      <c r="K990" s="20" t="str">
        <f t="shared" si="46"/>
        <v>1st Shift</v>
      </c>
    </row>
    <row r="991" spans="1:11" x14ac:dyDescent="0.25">
      <c r="A991" s="1">
        <v>990</v>
      </c>
      <c r="B991" s="1">
        <v>7</v>
      </c>
      <c r="C991" s="3">
        <v>7115271766515</v>
      </c>
      <c r="D991" s="2">
        <v>44421.284722222219</v>
      </c>
      <c r="E991" s="2">
        <v>44421.576388888891</v>
      </c>
      <c r="F991" s="23">
        <f t="shared" si="45"/>
        <v>0.29166666667151731</v>
      </c>
      <c r="G991" s="24">
        <f t="shared" si="47"/>
        <v>42.857142856430109</v>
      </c>
      <c r="H991" s="1" t="s">
        <v>1</v>
      </c>
      <c r="I991" s="4" t="s">
        <v>2</v>
      </c>
      <c r="J991" s="14">
        <v>0.28472222222222221</v>
      </c>
      <c r="K991" s="20" t="str">
        <f t="shared" si="46"/>
        <v>1st Shift</v>
      </c>
    </row>
    <row r="992" spans="1:11" x14ac:dyDescent="0.25">
      <c r="A992" s="1">
        <v>991</v>
      </c>
      <c r="B992" s="1">
        <v>7</v>
      </c>
      <c r="C992" s="3">
        <v>7115271759701</v>
      </c>
      <c r="D992" s="2">
        <v>44421.284722222219</v>
      </c>
      <c r="E992" s="2">
        <v>44421.576388888891</v>
      </c>
      <c r="F992" s="23">
        <f t="shared" si="45"/>
        <v>0.29166666667151731</v>
      </c>
      <c r="G992" s="24">
        <f t="shared" si="47"/>
        <v>42.857142856430109</v>
      </c>
      <c r="H992" s="1" t="s">
        <v>1</v>
      </c>
      <c r="I992" s="4" t="s">
        <v>2</v>
      </c>
      <c r="J992" s="14">
        <v>0.28472222222222221</v>
      </c>
      <c r="K992" s="20" t="str">
        <f t="shared" si="46"/>
        <v>1st Shift</v>
      </c>
    </row>
    <row r="993" spans="1:11" x14ac:dyDescent="0.25">
      <c r="A993" s="1">
        <v>992</v>
      </c>
      <c r="B993" s="1">
        <v>7</v>
      </c>
      <c r="C993" s="3">
        <v>7115271759600</v>
      </c>
      <c r="D993" s="2">
        <v>44421.284722222219</v>
      </c>
      <c r="E993" s="2">
        <v>44421.576388888891</v>
      </c>
      <c r="F993" s="23">
        <f t="shared" si="45"/>
        <v>0.29166666667151731</v>
      </c>
      <c r="G993" s="24">
        <f t="shared" si="47"/>
        <v>42.857142856430109</v>
      </c>
      <c r="H993" s="1" t="s">
        <v>1</v>
      </c>
      <c r="I993" s="4" t="s">
        <v>2</v>
      </c>
      <c r="J993" s="14">
        <v>0.28472222222222221</v>
      </c>
      <c r="K993" s="20" t="str">
        <f t="shared" si="46"/>
        <v>1st Shift</v>
      </c>
    </row>
    <row r="994" spans="1:11" x14ac:dyDescent="0.25">
      <c r="A994" s="1">
        <v>993</v>
      </c>
      <c r="B994" s="1">
        <v>6</v>
      </c>
      <c r="C994" s="3">
        <v>6115271726400</v>
      </c>
      <c r="D994" s="2">
        <v>44421.284722222219</v>
      </c>
      <c r="E994" s="2">
        <v>44421.576388888891</v>
      </c>
      <c r="F994" s="23">
        <f t="shared" si="45"/>
        <v>0.29166666667151731</v>
      </c>
      <c r="G994" s="24">
        <f t="shared" si="47"/>
        <v>42.857142856430109</v>
      </c>
      <c r="H994" s="1" t="s">
        <v>1</v>
      </c>
      <c r="I994" s="4" t="s">
        <v>2</v>
      </c>
      <c r="J994" s="14">
        <v>0.28472222222222221</v>
      </c>
      <c r="K994" s="20" t="str">
        <f t="shared" si="46"/>
        <v>1st Shift</v>
      </c>
    </row>
    <row r="995" spans="1:11" x14ac:dyDescent="0.25">
      <c r="A995" s="1">
        <v>994</v>
      </c>
      <c r="B995" s="1">
        <v>3</v>
      </c>
      <c r="C995" s="3">
        <v>3115270306604</v>
      </c>
      <c r="D995" s="2">
        <v>44421.284722222219</v>
      </c>
      <c r="E995" s="2">
        <v>44421.576388888891</v>
      </c>
      <c r="F995" s="23">
        <f t="shared" si="45"/>
        <v>0.29166666667151731</v>
      </c>
      <c r="G995" s="24">
        <f t="shared" si="47"/>
        <v>42.857142856430109</v>
      </c>
      <c r="H995" s="1" t="s">
        <v>1</v>
      </c>
      <c r="I995" s="4" t="s">
        <v>2</v>
      </c>
      <c r="J995" s="14">
        <v>0.28472222222222221</v>
      </c>
      <c r="K995" s="20" t="str">
        <f t="shared" si="46"/>
        <v>1st Shift</v>
      </c>
    </row>
    <row r="996" spans="1:11" x14ac:dyDescent="0.25">
      <c r="A996" s="1">
        <v>995</v>
      </c>
      <c r="B996" s="1">
        <v>15</v>
      </c>
      <c r="C996" s="3">
        <v>15115271795600</v>
      </c>
      <c r="D996" s="2">
        <v>44421.666666666664</v>
      </c>
      <c r="E996" s="2">
        <v>44421.805555555555</v>
      </c>
      <c r="F996" s="23">
        <f t="shared" si="45"/>
        <v>0.13888888889050577</v>
      </c>
      <c r="G996" s="24">
        <f t="shared" si="47"/>
        <v>89.999999998952262</v>
      </c>
      <c r="H996" s="1" t="s">
        <v>1</v>
      </c>
      <c r="I996" s="4" t="s">
        <v>2</v>
      </c>
      <c r="J996" s="14">
        <v>0.66666666666666663</v>
      </c>
      <c r="K996" s="20" t="str">
        <f t="shared" si="46"/>
        <v>2nd Shift</v>
      </c>
    </row>
    <row r="997" spans="1:11" x14ac:dyDescent="0.25">
      <c r="A997" s="1">
        <v>996</v>
      </c>
      <c r="B997" s="1">
        <v>14</v>
      </c>
      <c r="C997" s="3">
        <v>14115271672356</v>
      </c>
      <c r="D997" s="2">
        <v>44421.666666666664</v>
      </c>
      <c r="E997" s="2">
        <v>44421.805555555555</v>
      </c>
      <c r="F997" s="23">
        <f t="shared" si="45"/>
        <v>0.13888888889050577</v>
      </c>
      <c r="G997" s="24">
        <f t="shared" si="47"/>
        <v>89.999999998952262</v>
      </c>
      <c r="H997" s="1" t="s">
        <v>1</v>
      </c>
      <c r="I997" s="4" t="s">
        <v>2</v>
      </c>
      <c r="J997" s="14">
        <v>0.66666666666666663</v>
      </c>
      <c r="K997" s="20" t="str">
        <f t="shared" si="46"/>
        <v>2nd Shift</v>
      </c>
    </row>
    <row r="998" spans="1:11" x14ac:dyDescent="0.25">
      <c r="A998" s="1">
        <v>997</v>
      </c>
      <c r="B998" s="1">
        <v>12</v>
      </c>
      <c r="C998" s="3">
        <v>12115271573412</v>
      </c>
      <c r="D998" s="2">
        <v>44421.666666666664</v>
      </c>
      <c r="E998" s="2">
        <v>44421.805555555555</v>
      </c>
      <c r="F998" s="23">
        <f t="shared" si="45"/>
        <v>0.13888888889050577</v>
      </c>
      <c r="G998" s="24">
        <f t="shared" si="47"/>
        <v>89.999999998952262</v>
      </c>
      <c r="H998" s="1" t="s">
        <v>1</v>
      </c>
      <c r="I998" s="4" t="s">
        <v>2</v>
      </c>
      <c r="J998" s="14">
        <v>0.66666666666666663</v>
      </c>
      <c r="K998" s="20" t="str">
        <f t="shared" si="46"/>
        <v>2nd Shift</v>
      </c>
    </row>
    <row r="999" spans="1:11" x14ac:dyDescent="0.25">
      <c r="A999" s="1">
        <v>998</v>
      </c>
      <c r="B999" s="1">
        <v>10</v>
      </c>
      <c r="C999" s="3">
        <v>10115271466200</v>
      </c>
      <c r="D999" s="2">
        <v>44421.666666666664</v>
      </c>
      <c r="E999" s="2">
        <v>44421.805555555555</v>
      </c>
      <c r="F999" s="23">
        <f t="shared" si="45"/>
        <v>0.13888888889050577</v>
      </c>
      <c r="G999" s="24">
        <f t="shared" si="47"/>
        <v>89.999999998952262</v>
      </c>
      <c r="H999" s="1" t="s">
        <v>1</v>
      </c>
      <c r="I999" s="4" t="s">
        <v>3</v>
      </c>
      <c r="J999" s="14">
        <v>0.66666666666666663</v>
      </c>
      <c r="K999" s="20" t="str">
        <f t="shared" si="46"/>
        <v>2nd Shift</v>
      </c>
    </row>
    <row r="1000" spans="1:11" x14ac:dyDescent="0.25">
      <c r="A1000" s="1">
        <v>999</v>
      </c>
      <c r="B1000" s="1">
        <v>10</v>
      </c>
      <c r="C1000" s="3">
        <v>10115271459901</v>
      </c>
      <c r="D1000" s="2">
        <v>44421.666666666664</v>
      </c>
      <c r="E1000" s="2">
        <v>44421.805555555555</v>
      </c>
      <c r="F1000" s="23">
        <f t="shared" si="45"/>
        <v>0.13888888889050577</v>
      </c>
      <c r="G1000" s="24">
        <f t="shared" si="47"/>
        <v>89.999999998952262</v>
      </c>
      <c r="H1000" s="1" t="s">
        <v>1</v>
      </c>
      <c r="I1000" s="4" t="s">
        <v>3</v>
      </c>
      <c r="J1000" s="14">
        <v>0.66666666666666663</v>
      </c>
      <c r="K1000" s="20" t="str">
        <f t="shared" si="46"/>
        <v>2nd Shift</v>
      </c>
    </row>
    <row r="1001" spans="1:11" x14ac:dyDescent="0.25">
      <c r="A1001" s="1">
        <v>1000</v>
      </c>
      <c r="B1001" s="1">
        <v>7</v>
      </c>
      <c r="C1001" s="3">
        <v>7115271804407</v>
      </c>
      <c r="D1001" s="2">
        <v>44421.666666666664</v>
      </c>
      <c r="E1001" s="2">
        <v>44421.805555555555</v>
      </c>
      <c r="F1001" s="23">
        <f t="shared" si="45"/>
        <v>0.13888888889050577</v>
      </c>
      <c r="G1001" s="24">
        <f t="shared" si="47"/>
        <v>89.999999998952262</v>
      </c>
      <c r="H1001" s="1" t="s">
        <v>1</v>
      </c>
      <c r="I1001" s="4" t="s">
        <v>2</v>
      </c>
      <c r="J1001" s="14">
        <v>0.66666666666666663</v>
      </c>
      <c r="K1001" s="20" t="str">
        <f t="shared" si="46"/>
        <v>2nd Shift</v>
      </c>
    </row>
    <row r="1002" spans="1:11" x14ac:dyDescent="0.25">
      <c r="A1002" s="1">
        <v>1001</v>
      </c>
      <c r="B1002" s="1">
        <v>5</v>
      </c>
      <c r="C1002" s="3">
        <v>5115271683504</v>
      </c>
      <c r="D1002" s="2">
        <v>44421.666666666664</v>
      </c>
      <c r="E1002" s="2">
        <v>44421.805555555555</v>
      </c>
      <c r="F1002" s="23">
        <f t="shared" si="45"/>
        <v>0.13888888889050577</v>
      </c>
      <c r="G1002" s="24">
        <f t="shared" si="47"/>
        <v>89.999999998952262</v>
      </c>
      <c r="H1002" s="1" t="s">
        <v>1</v>
      </c>
      <c r="I1002" s="4" t="s">
        <v>2</v>
      </c>
      <c r="J1002" s="14">
        <v>0.66666666666666663</v>
      </c>
      <c r="K1002" s="20" t="str">
        <f t="shared" si="46"/>
        <v>2nd Shift</v>
      </c>
    </row>
    <row r="1003" spans="1:11" x14ac:dyDescent="0.25">
      <c r="A1003" s="1">
        <v>1002</v>
      </c>
      <c r="B1003" s="1">
        <v>11</v>
      </c>
      <c r="C1003" s="3">
        <v>11115271553300</v>
      </c>
      <c r="D1003" s="2">
        <v>44421.986111111109</v>
      </c>
      <c r="E1003" s="2">
        <v>44422.020833333336</v>
      </c>
      <c r="F1003" s="23">
        <f t="shared" si="45"/>
        <v>3.4722222226264421E-2</v>
      </c>
      <c r="G1003" s="24">
        <f t="shared" si="47"/>
        <v>359.99999995809048</v>
      </c>
      <c r="H1003" s="1" t="s">
        <v>1</v>
      </c>
      <c r="I1003" s="4" t="s">
        <v>2</v>
      </c>
      <c r="J1003" s="14">
        <v>0.98611111111111116</v>
      </c>
      <c r="K1003" s="20" t="str">
        <f t="shared" si="46"/>
        <v>3rd Shift</v>
      </c>
    </row>
    <row r="1004" spans="1:11" x14ac:dyDescent="0.25">
      <c r="A1004" s="1">
        <v>1003</v>
      </c>
      <c r="B1004" s="1">
        <v>13</v>
      </c>
      <c r="C1004" s="3">
        <v>13115271590700</v>
      </c>
      <c r="D1004" s="2">
        <v>44422.975694444445</v>
      </c>
      <c r="E1004" s="2">
        <v>44423.041666666664</v>
      </c>
      <c r="F1004" s="23">
        <f t="shared" si="45"/>
        <v>6.5972222218988463E-2</v>
      </c>
      <c r="G1004" s="24">
        <f t="shared" si="47"/>
        <v>189.47368421981375</v>
      </c>
      <c r="H1004" s="1" t="s">
        <v>1</v>
      </c>
      <c r="I1004" s="4" t="s">
        <v>2</v>
      </c>
      <c r="J1004" s="14">
        <v>0.97569444444444442</v>
      </c>
      <c r="K1004" s="20" t="str">
        <f t="shared" si="46"/>
        <v>3rd Shift</v>
      </c>
    </row>
    <row r="1005" spans="1:11" x14ac:dyDescent="0.25">
      <c r="A1005" s="1">
        <v>1004</v>
      </c>
      <c r="B1005" s="1">
        <v>7</v>
      </c>
      <c r="C1005" s="3">
        <v>7115271798202</v>
      </c>
      <c r="D1005" s="2">
        <v>44422.368055555555</v>
      </c>
      <c r="E1005" s="2">
        <v>44422.423611111109</v>
      </c>
      <c r="F1005" s="23">
        <f t="shared" si="45"/>
        <v>5.5555555554747116E-2</v>
      </c>
      <c r="G1005" s="24">
        <f t="shared" si="47"/>
        <v>225.00000000327418</v>
      </c>
      <c r="H1005" s="1" t="s">
        <v>1</v>
      </c>
      <c r="I1005" s="4" t="s">
        <v>2</v>
      </c>
      <c r="J1005" s="14">
        <v>0.36805555555555558</v>
      </c>
      <c r="K1005" s="20" t="str">
        <f t="shared" si="46"/>
        <v>1st Shift</v>
      </c>
    </row>
    <row r="1006" spans="1:11" x14ac:dyDescent="0.25">
      <c r="A1006" s="1">
        <v>1005</v>
      </c>
      <c r="B1006" s="1">
        <v>7</v>
      </c>
      <c r="C1006" s="3">
        <v>7115271798201</v>
      </c>
      <c r="D1006" s="2">
        <v>44422.368055555555</v>
      </c>
      <c r="E1006" s="2">
        <v>44422.423611111109</v>
      </c>
      <c r="F1006" s="23">
        <f t="shared" si="45"/>
        <v>5.5555555554747116E-2</v>
      </c>
      <c r="G1006" s="24">
        <f t="shared" si="47"/>
        <v>225.00000000327418</v>
      </c>
      <c r="H1006" s="1" t="s">
        <v>1</v>
      </c>
      <c r="I1006" s="4" t="s">
        <v>2</v>
      </c>
      <c r="J1006" s="14">
        <v>0.36805555555555558</v>
      </c>
      <c r="K1006" s="20" t="str">
        <f t="shared" si="46"/>
        <v>1st Shift</v>
      </c>
    </row>
    <row r="1007" spans="1:11" x14ac:dyDescent="0.25">
      <c r="A1007" s="1">
        <v>1006</v>
      </c>
      <c r="B1007" s="1">
        <v>11</v>
      </c>
      <c r="C1007" s="3">
        <v>11115271554307</v>
      </c>
      <c r="D1007" s="2">
        <v>44422.368055555555</v>
      </c>
      <c r="E1007" s="2">
        <v>44422.479166666664</v>
      </c>
      <c r="F1007" s="23">
        <f t="shared" si="45"/>
        <v>0.11111111110949423</v>
      </c>
      <c r="G1007" s="24">
        <f t="shared" si="47"/>
        <v>112.50000000163709</v>
      </c>
      <c r="H1007" s="1" t="s">
        <v>1</v>
      </c>
      <c r="I1007" s="4" t="s">
        <v>4</v>
      </c>
      <c r="J1007" s="14">
        <v>0.36805555555555558</v>
      </c>
      <c r="K1007" s="20" t="str">
        <f t="shared" si="46"/>
        <v>1st Shift</v>
      </c>
    </row>
    <row r="1008" spans="1:11" x14ac:dyDescent="0.25">
      <c r="A1008" s="1">
        <v>1007</v>
      </c>
      <c r="B1008" s="1">
        <v>11</v>
      </c>
      <c r="C1008" s="3">
        <v>11115271554306</v>
      </c>
      <c r="D1008" s="2">
        <v>44422.368055555555</v>
      </c>
      <c r="E1008" s="2">
        <v>44422.479166666664</v>
      </c>
      <c r="F1008" s="23">
        <f t="shared" si="45"/>
        <v>0.11111111110949423</v>
      </c>
      <c r="G1008" s="24">
        <f t="shared" si="47"/>
        <v>112.50000000163709</v>
      </c>
      <c r="H1008" s="1" t="s">
        <v>1</v>
      </c>
      <c r="I1008" s="4" t="s">
        <v>2</v>
      </c>
      <c r="J1008" s="14">
        <v>0.36805555555555558</v>
      </c>
      <c r="K1008" s="20" t="str">
        <f t="shared" si="46"/>
        <v>1st Shift</v>
      </c>
    </row>
    <row r="1009" spans="1:11" x14ac:dyDescent="0.25">
      <c r="A1009" s="1">
        <v>1008</v>
      </c>
      <c r="B1009" s="1">
        <v>3</v>
      </c>
      <c r="C1009" s="3">
        <v>3115270287609</v>
      </c>
      <c r="D1009" s="2">
        <v>44422.368055555555</v>
      </c>
      <c r="E1009" s="2">
        <v>44422.479166666664</v>
      </c>
      <c r="F1009" s="23">
        <f t="shared" si="45"/>
        <v>0.11111111110949423</v>
      </c>
      <c r="G1009" s="24">
        <f t="shared" si="47"/>
        <v>112.50000000163709</v>
      </c>
      <c r="H1009" s="1" t="s">
        <v>1</v>
      </c>
      <c r="I1009" s="4" t="s">
        <v>2</v>
      </c>
      <c r="J1009" s="14">
        <v>0.36805555555555558</v>
      </c>
      <c r="K1009" s="20" t="str">
        <f t="shared" si="46"/>
        <v>1st Shift</v>
      </c>
    </row>
    <row r="1010" spans="1:11" x14ac:dyDescent="0.25">
      <c r="A1010" s="1">
        <v>1009</v>
      </c>
      <c r="B1010" s="1">
        <v>3</v>
      </c>
      <c r="C1010" s="3">
        <v>3115270287600</v>
      </c>
      <c r="D1010" s="2">
        <v>44422.368055555555</v>
      </c>
      <c r="E1010" s="2">
        <v>44422.479166666664</v>
      </c>
      <c r="F1010" s="23">
        <f t="shared" si="45"/>
        <v>0.11111111110949423</v>
      </c>
      <c r="G1010" s="24">
        <f t="shared" si="47"/>
        <v>112.50000000163709</v>
      </c>
      <c r="H1010" s="1" t="s">
        <v>1</v>
      </c>
      <c r="I1010" s="4" t="s">
        <v>2</v>
      </c>
      <c r="J1010" s="14">
        <v>0.36805555555555558</v>
      </c>
      <c r="K1010" s="20" t="str">
        <f t="shared" si="46"/>
        <v>1st Shift</v>
      </c>
    </row>
    <row r="1011" spans="1:11" x14ac:dyDescent="0.25">
      <c r="A1011" s="1">
        <v>1010</v>
      </c>
      <c r="B1011" s="1">
        <v>14</v>
      </c>
      <c r="C1011" s="3">
        <v>14115271674913</v>
      </c>
      <c r="D1011" s="2">
        <v>44422.496527777781</v>
      </c>
      <c r="E1011" s="2">
        <v>44422.569444444445</v>
      </c>
      <c r="F1011" s="23">
        <f t="shared" si="45"/>
        <v>7.2916666664241347E-2</v>
      </c>
      <c r="G1011" s="24">
        <f t="shared" si="47"/>
        <v>171.42857143427341</v>
      </c>
      <c r="H1011" s="1" t="s">
        <v>1</v>
      </c>
      <c r="I1011" s="4" t="s">
        <v>2</v>
      </c>
      <c r="J1011" s="14">
        <v>0.49652777777777779</v>
      </c>
      <c r="K1011" s="20" t="str">
        <f t="shared" si="46"/>
        <v>1st Shift</v>
      </c>
    </row>
    <row r="1012" spans="1:11" x14ac:dyDescent="0.25">
      <c r="A1012" s="1">
        <v>1011</v>
      </c>
      <c r="B1012" s="1">
        <v>14</v>
      </c>
      <c r="C1012" s="3">
        <v>14115271674912</v>
      </c>
      <c r="D1012" s="2">
        <v>44422.496527777781</v>
      </c>
      <c r="E1012" s="2">
        <v>44422.569444444445</v>
      </c>
      <c r="F1012" s="23">
        <f t="shared" si="45"/>
        <v>7.2916666664241347E-2</v>
      </c>
      <c r="G1012" s="24">
        <f t="shared" si="47"/>
        <v>171.42857143427341</v>
      </c>
      <c r="H1012" s="1" t="s">
        <v>1</v>
      </c>
      <c r="I1012" s="4" t="s">
        <v>3</v>
      </c>
      <c r="J1012" s="14">
        <v>0.49652777777777779</v>
      </c>
      <c r="K1012" s="20" t="str">
        <f t="shared" si="46"/>
        <v>1st Shift</v>
      </c>
    </row>
    <row r="1013" spans="1:11" x14ac:dyDescent="0.25">
      <c r="A1013" s="1">
        <v>1012</v>
      </c>
      <c r="B1013" s="1">
        <v>6</v>
      </c>
      <c r="C1013" s="3">
        <v>6115271716101</v>
      </c>
      <c r="D1013" s="2">
        <v>44422.496527777781</v>
      </c>
      <c r="E1013" s="2">
        <v>44422.569444444445</v>
      </c>
      <c r="F1013" s="23">
        <f t="shared" si="45"/>
        <v>7.2916666664241347E-2</v>
      </c>
      <c r="G1013" s="24">
        <f t="shared" si="47"/>
        <v>171.42857143427341</v>
      </c>
      <c r="H1013" s="1" t="s">
        <v>1</v>
      </c>
      <c r="I1013" s="4" t="s">
        <v>2</v>
      </c>
      <c r="J1013" s="14">
        <v>0.49652777777777779</v>
      </c>
      <c r="K1013" s="20" t="str">
        <f t="shared" si="46"/>
        <v>1st Shift</v>
      </c>
    </row>
    <row r="1014" spans="1:11" x14ac:dyDescent="0.25">
      <c r="A1014" s="1">
        <v>1013</v>
      </c>
      <c r="B1014" s="1">
        <v>6</v>
      </c>
      <c r="C1014" s="3">
        <v>6115271716100</v>
      </c>
      <c r="D1014" s="2">
        <v>44422.496527777781</v>
      </c>
      <c r="E1014" s="2">
        <v>44422.569444444445</v>
      </c>
      <c r="F1014" s="23">
        <f t="shared" si="45"/>
        <v>7.2916666664241347E-2</v>
      </c>
      <c r="G1014" s="24">
        <f t="shared" si="47"/>
        <v>171.42857143427341</v>
      </c>
      <c r="H1014" s="1" t="s">
        <v>1</v>
      </c>
      <c r="I1014" s="4" t="s">
        <v>5</v>
      </c>
      <c r="J1014" s="14">
        <v>0.49652777777777779</v>
      </c>
      <c r="K1014" s="20" t="str">
        <f t="shared" si="46"/>
        <v>1st Shift</v>
      </c>
    </row>
    <row r="1015" spans="1:11" x14ac:dyDescent="0.25">
      <c r="A1015" s="1">
        <v>1014</v>
      </c>
      <c r="B1015" s="1">
        <v>3</v>
      </c>
      <c r="C1015" s="3">
        <v>3115270319302</v>
      </c>
      <c r="D1015" s="2">
        <v>44422.496527777781</v>
      </c>
      <c r="E1015" s="2">
        <v>44422.569444444445</v>
      </c>
      <c r="F1015" s="23">
        <f t="shared" si="45"/>
        <v>7.2916666664241347E-2</v>
      </c>
      <c r="G1015" s="24">
        <f t="shared" si="47"/>
        <v>171.42857143427341</v>
      </c>
      <c r="H1015" s="1" t="s">
        <v>1</v>
      </c>
      <c r="I1015" s="4" t="s">
        <v>2</v>
      </c>
      <c r="J1015" s="14">
        <v>0.49652777777777779</v>
      </c>
      <c r="K1015" s="20" t="str">
        <f t="shared" si="46"/>
        <v>1st Shift</v>
      </c>
    </row>
    <row r="1016" spans="1:11" x14ac:dyDescent="0.25">
      <c r="A1016" s="1">
        <v>1015</v>
      </c>
      <c r="B1016" s="1">
        <v>3</v>
      </c>
      <c r="C1016" s="3">
        <v>3115270319301</v>
      </c>
      <c r="D1016" s="2">
        <v>44422.496527777781</v>
      </c>
      <c r="E1016" s="2">
        <v>44422.569444444445</v>
      </c>
      <c r="F1016" s="23">
        <f t="shared" si="45"/>
        <v>7.2916666664241347E-2</v>
      </c>
      <c r="G1016" s="24">
        <f t="shared" si="47"/>
        <v>171.42857143427341</v>
      </c>
      <c r="H1016" s="1" t="s">
        <v>1</v>
      </c>
      <c r="I1016" s="4" t="s">
        <v>2</v>
      </c>
      <c r="J1016" s="14">
        <v>0.49652777777777779</v>
      </c>
      <c r="K1016" s="20" t="str">
        <f t="shared" si="46"/>
        <v>1st Shift</v>
      </c>
    </row>
    <row r="1017" spans="1:11" x14ac:dyDescent="0.25">
      <c r="A1017" s="1">
        <v>1016</v>
      </c>
      <c r="B1017" s="1">
        <v>3</v>
      </c>
      <c r="C1017" s="3">
        <v>3115270310801</v>
      </c>
      <c r="D1017" s="2">
        <v>44422.496527777781</v>
      </c>
      <c r="E1017" s="2">
        <v>44422.569444444445</v>
      </c>
      <c r="F1017" s="23">
        <f t="shared" si="45"/>
        <v>7.2916666664241347E-2</v>
      </c>
      <c r="G1017" s="24">
        <f t="shared" si="47"/>
        <v>171.42857143427341</v>
      </c>
      <c r="H1017" s="1" t="s">
        <v>1</v>
      </c>
      <c r="I1017" s="4" t="s">
        <v>2</v>
      </c>
      <c r="J1017" s="14">
        <v>0.49652777777777779</v>
      </c>
      <c r="K1017" s="20" t="str">
        <f t="shared" si="46"/>
        <v>1st Shift</v>
      </c>
    </row>
    <row r="1018" spans="1:11" x14ac:dyDescent="0.25">
      <c r="A1018" s="1">
        <v>1017</v>
      </c>
      <c r="B1018" s="1">
        <v>3</v>
      </c>
      <c r="C1018" s="3">
        <v>3115270310800</v>
      </c>
      <c r="D1018" s="2">
        <v>44422.496527777781</v>
      </c>
      <c r="E1018" s="2">
        <v>44422.569444444445</v>
      </c>
      <c r="F1018" s="23">
        <f t="shared" si="45"/>
        <v>7.2916666664241347E-2</v>
      </c>
      <c r="G1018" s="24">
        <f t="shared" si="47"/>
        <v>171.42857143427341</v>
      </c>
      <c r="H1018" s="1" t="s">
        <v>1</v>
      </c>
      <c r="I1018" s="4" t="s">
        <v>2</v>
      </c>
      <c r="J1018" s="14">
        <v>0.49652777777777779</v>
      </c>
      <c r="K1018" s="20" t="str">
        <f t="shared" si="46"/>
        <v>1st Shift</v>
      </c>
    </row>
    <row r="1019" spans="1:11" x14ac:dyDescent="0.25">
      <c r="A1019" s="1">
        <v>1018</v>
      </c>
      <c r="B1019" s="1">
        <v>14</v>
      </c>
      <c r="C1019" s="3">
        <v>14115271710000</v>
      </c>
      <c r="D1019" s="2">
        <v>44422.659722222219</v>
      </c>
      <c r="E1019" s="2">
        <v>44422.784722222219</v>
      </c>
      <c r="F1019" s="23">
        <f t="shared" si="45"/>
        <v>0.125</v>
      </c>
      <c r="G1019" s="24">
        <f t="shared" si="47"/>
        <v>100</v>
      </c>
      <c r="H1019" s="1" t="s">
        <v>1</v>
      </c>
      <c r="I1019" s="4" t="s">
        <v>3</v>
      </c>
      <c r="J1019" s="14">
        <v>0.65972222222222221</v>
      </c>
      <c r="K1019" s="20" t="str">
        <f t="shared" si="46"/>
        <v>2nd Shift</v>
      </c>
    </row>
    <row r="1020" spans="1:11" x14ac:dyDescent="0.25">
      <c r="A1020" s="1">
        <v>1019</v>
      </c>
      <c r="B1020" s="1">
        <v>12</v>
      </c>
      <c r="C1020" s="3">
        <v>12115271571022</v>
      </c>
      <c r="D1020" s="2">
        <v>44422.659722222219</v>
      </c>
      <c r="E1020" s="2">
        <v>44422.784722222219</v>
      </c>
      <c r="F1020" s="23">
        <f t="shared" si="45"/>
        <v>0.125</v>
      </c>
      <c r="G1020" s="24">
        <f t="shared" si="47"/>
        <v>100</v>
      </c>
      <c r="H1020" s="1" t="s">
        <v>1</v>
      </c>
      <c r="I1020" s="4" t="s">
        <v>2</v>
      </c>
      <c r="J1020" s="14">
        <v>0.65972222222222221</v>
      </c>
      <c r="K1020" s="20" t="str">
        <f t="shared" si="46"/>
        <v>2nd Shift</v>
      </c>
    </row>
    <row r="1021" spans="1:11" x14ac:dyDescent="0.25">
      <c r="A1021" s="1">
        <v>1020</v>
      </c>
      <c r="B1021" s="1">
        <v>11</v>
      </c>
      <c r="C1021" s="3">
        <v>11115271489600</v>
      </c>
      <c r="D1021" s="2">
        <v>44422.659722222219</v>
      </c>
      <c r="E1021" s="2">
        <v>44422.784722222219</v>
      </c>
      <c r="F1021" s="23">
        <f t="shared" si="45"/>
        <v>0.125</v>
      </c>
      <c r="G1021" s="24">
        <f t="shared" si="47"/>
        <v>100</v>
      </c>
      <c r="H1021" s="1" t="s">
        <v>1</v>
      </c>
      <c r="I1021" s="4" t="s">
        <v>2</v>
      </c>
      <c r="J1021" s="14">
        <v>0.65972222222222221</v>
      </c>
      <c r="K1021" s="20" t="str">
        <f t="shared" si="46"/>
        <v>2nd Shift</v>
      </c>
    </row>
    <row r="1022" spans="1:11" x14ac:dyDescent="0.25">
      <c r="A1022" s="1">
        <v>1021</v>
      </c>
      <c r="B1022" s="1">
        <v>3</v>
      </c>
      <c r="C1022" s="3">
        <v>3115270367100</v>
      </c>
      <c r="D1022" s="2">
        <v>44422.659722222219</v>
      </c>
      <c r="E1022" s="2">
        <v>44422.784722222219</v>
      </c>
      <c r="F1022" s="23">
        <f t="shared" si="45"/>
        <v>0.125</v>
      </c>
      <c r="G1022" s="24">
        <f t="shared" si="47"/>
        <v>100</v>
      </c>
      <c r="H1022" s="1" t="s">
        <v>1</v>
      </c>
      <c r="I1022" s="4" t="s">
        <v>3</v>
      </c>
      <c r="J1022" s="14">
        <v>0.65972222222222221</v>
      </c>
      <c r="K1022" s="20" t="str">
        <f t="shared" si="46"/>
        <v>2nd Shift</v>
      </c>
    </row>
    <row r="1023" spans="1:11" x14ac:dyDescent="0.25">
      <c r="A1023" s="1">
        <v>1022</v>
      </c>
      <c r="B1023" s="1">
        <v>3</v>
      </c>
      <c r="C1023" s="3">
        <v>3115270321901</v>
      </c>
      <c r="D1023" s="2">
        <v>44422.659722222219</v>
      </c>
      <c r="E1023" s="2">
        <v>44422.784722222219</v>
      </c>
      <c r="F1023" s="23">
        <f t="shared" si="45"/>
        <v>0.125</v>
      </c>
      <c r="G1023" s="24">
        <f t="shared" si="47"/>
        <v>100</v>
      </c>
      <c r="H1023" s="1" t="s">
        <v>1</v>
      </c>
      <c r="I1023" s="4" t="s">
        <v>5</v>
      </c>
      <c r="J1023" s="14">
        <v>0.65972222222222221</v>
      </c>
      <c r="K1023" s="20" t="str">
        <f t="shared" si="46"/>
        <v>2nd Shift</v>
      </c>
    </row>
    <row r="1024" spans="1:11" x14ac:dyDescent="0.25">
      <c r="A1024" s="1">
        <v>1023</v>
      </c>
      <c r="B1024" s="1">
        <v>3</v>
      </c>
      <c r="C1024" s="3">
        <v>3115270321900</v>
      </c>
      <c r="D1024" s="2">
        <v>44422.659722222219</v>
      </c>
      <c r="E1024" s="2">
        <v>44422.784722222219</v>
      </c>
      <c r="F1024" s="23">
        <f t="shared" si="45"/>
        <v>0.125</v>
      </c>
      <c r="G1024" s="24">
        <f t="shared" si="47"/>
        <v>100</v>
      </c>
      <c r="H1024" s="1" t="s">
        <v>1</v>
      </c>
      <c r="I1024" s="4" t="s">
        <v>8</v>
      </c>
      <c r="J1024" s="14">
        <v>0.65972222222222221</v>
      </c>
      <c r="K1024" s="20" t="str">
        <f t="shared" si="46"/>
        <v>2nd Shift</v>
      </c>
    </row>
    <row r="1025" spans="1:11" x14ac:dyDescent="0.25">
      <c r="A1025" s="1">
        <v>1024</v>
      </c>
      <c r="B1025" s="1">
        <v>3</v>
      </c>
      <c r="C1025" s="3">
        <v>3115270306804</v>
      </c>
      <c r="D1025" s="2">
        <v>44422.659722222219</v>
      </c>
      <c r="E1025" s="2">
        <v>44422.784722222219</v>
      </c>
      <c r="F1025" s="23">
        <f t="shared" si="45"/>
        <v>0.125</v>
      </c>
      <c r="G1025" s="24">
        <f t="shared" si="47"/>
        <v>100</v>
      </c>
      <c r="H1025" s="1" t="s">
        <v>1</v>
      </c>
      <c r="I1025" s="4" t="s">
        <v>2</v>
      </c>
      <c r="J1025" s="14">
        <v>0.65972222222222221</v>
      </c>
      <c r="K1025" s="20" t="str">
        <f t="shared" si="46"/>
        <v>2nd Shift</v>
      </c>
    </row>
    <row r="1026" spans="1:11" x14ac:dyDescent="0.25">
      <c r="A1026" s="1">
        <v>1025</v>
      </c>
      <c r="B1026" s="1">
        <v>3</v>
      </c>
      <c r="C1026" s="3">
        <v>3115270306803</v>
      </c>
      <c r="D1026" s="2">
        <v>44422.659722222219</v>
      </c>
      <c r="E1026" s="2">
        <v>44422.784722222219</v>
      </c>
      <c r="F1026" s="23">
        <f t="shared" ref="F1026:F1089" si="48">E1026-D1026</f>
        <v>0.125</v>
      </c>
      <c r="G1026" s="24">
        <f t="shared" si="47"/>
        <v>100</v>
      </c>
      <c r="H1026" s="1" t="s">
        <v>1</v>
      </c>
      <c r="I1026" s="4" t="s">
        <v>2</v>
      </c>
      <c r="J1026" s="14">
        <v>0.65972222222222221</v>
      </c>
      <c r="K1026" s="20" t="str">
        <f t="shared" ref="K1026:K1089" si="49">IF(AND(J1026&gt;=$M$3,J1026&lt;$M$4),"1st Shift",IF(AND(J1026&gt;=$M$4,J1026&lt;$M$5),"2nd Shift","3rd Shift"))</f>
        <v>2nd Shift</v>
      </c>
    </row>
    <row r="1027" spans="1:11" x14ac:dyDescent="0.25">
      <c r="A1027" s="1">
        <v>1026</v>
      </c>
      <c r="B1027" s="1">
        <v>13</v>
      </c>
      <c r="C1027" s="3">
        <v>13115271590606</v>
      </c>
      <c r="D1027" s="2">
        <v>44423.409722222219</v>
      </c>
      <c r="E1027" s="2">
        <v>44423.434027777781</v>
      </c>
      <c r="F1027" s="23">
        <f t="shared" si="48"/>
        <v>2.4305555562023073E-2</v>
      </c>
      <c r="G1027" s="24">
        <f t="shared" ref="G1027:G1090" si="50">$M$9/F1027*100</f>
        <v>514.28571414886687</v>
      </c>
      <c r="H1027" s="1" t="s">
        <v>1</v>
      </c>
      <c r="I1027" s="4" t="s">
        <v>2</v>
      </c>
      <c r="J1027" s="14">
        <v>0.40972222222222221</v>
      </c>
      <c r="K1027" s="20" t="str">
        <f t="shared" si="49"/>
        <v>1st Shift</v>
      </c>
    </row>
    <row r="1028" spans="1:11" x14ac:dyDescent="0.25">
      <c r="A1028" s="1">
        <v>1027</v>
      </c>
      <c r="B1028" s="1">
        <v>13</v>
      </c>
      <c r="C1028" s="3">
        <v>13115271590601</v>
      </c>
      <c r="D1028" s="2">
        <v>44423.409722222219</v>
      </c>
      <c r="E1028" s="2">
        <v>44423.434027777781</v>
      </c>
      <c r="F1028" s="23">
        <f t="shared" si="48"/>
        <v>2.4305555562023073E-2</v>
      </c>
      <c r="G1028" s="24">
        <f t="shared" si="50"/>
        <v>514.28571414886687</v>
      </c>
      <c r="H1028" s="1" t="s">
        <v>1</v>
      </c>
      <c r="I1028" s="4" t="s">
        <v>2</v>
      </c>
      <c r="J1028" s="14">
        <v>0.40972222222222221</v>
      </c>
      <c r="K1028" s="20" t="str">
        <f t="shared" si="49"/>
        <v>1st Shift</v>
      </c>
    </row>
    <row r="1029" spans="1:11" x14ac:dyDescent="0.25">
      <c r="A1029" s="1">
        <v>1028</v>
      </c>
      <c r="B1029" s="1">
        <v>13</v>
      </c>
      <c r="C1029" s="3">
        <v>13115271591400</v>
      </c>
      <c r="D1029" s="2">
        <v>44423.451388888891</v>
      </c>
      <c r="E1029" s="2">
        <v>44423.513888888891</v>
      </c>
      <c r="F1029" s="23">
        <f t="shared" si="48"/>
        <v>6.25E-2</v>
      </c>
      <c r="G1029" s="24">
        <f t="shared" si="50"/>
        <v>200</v>
      </c>
      <c r="H1029" s="1" t="s">
        <v>1</v>
      </c>
      <c r="I1029" s="4" t="s">
        <v>2</v>
      </c>
      <c r="J1029" s="14">
        <v>0.4513888888888889</v>
      </c>
      <c r="K1029" s="20" t="str">
        <f t="shared" si="49"/>
        <v>1st Shift</v>
      </c>
    </row>
    <row r="1030" spans="1:11" x14ac:dyDescent="0.25">
      <c r="A1030" s="1">
        <v>1029</v>
      </c>
      <c r="B1030" s="1">
        <v>12</v>
      </c>
      <c r="C1030" s="3">
        <v>12115271572315</v>
      </c>
      <c r="D1030" s="2">
        <v>44423.451388888891</v>
      </c>
      <c r="E1030" s="2">
        <v>44423.513888888891</v>
      </c>
      <c r="F1030" s="23">
        <f t="shared" si="48"/>
        <v>6.25E-2</v>
      </c>
      <c r="G1030" s="24">
        <f t="shared" si="50"/>
        <v>200</v>
      </c>
      <c r="H1030" s="1" t="s">
        <v>1</v>
      </c>
      <c r="I1030" s="4" t="s">
        <v>2</v>
      </c>
      <c r="J1030" s="14">
        <v>0.4513888888888889</v>
      </c>
      <c r="K1030" s="20" t="str">
        <f t="shared" si="49"/>
        <v>1st Shift</v>
      </c>
    </row>
    <row r="1031" spans="1:11" x14ac:dyDescent="0.25">
      <c r="A1031" s="1">
        <v>1030</v>
      </c>
      <c r="B1031" s="1">
        <v>12</v>
      </c>
      <c r="C1031" s="3">
        <v>12115271572312</v>
      </c>
      <c r="D1031" s="2">
        <v>44423.451388888891</v>
      </c>
      <c r="E1031" s="2">
        <v>44423.513888888891</v>
      </c>
      <c r="F1031" s="23">
        <f t="shared" si="48"/>
        <v>6.25E-2</v>
      </c>
      <c r="G1031" s="24">
        <f t="shared" si="50"/>
        <v>200</v>
      </c>
      <c r="H1031" s="1" t="s">
        <v>1</v>
      </c>
      <c r="I1031" s="4" t="s">
        <v>3</v>
      </c>
      <c r="J1031" s="14">
        <v>0.4513888888888889</v>
      </c>
      <c r="K1031" s="20" t="str">
        <f t="shared" si="49"/>
        <v>1st Shift</v>
      </c>
    </row>
    <row r="1032" spans="1:11" x14ac:dyDescent="0.25">
      <c r="A1032" s="1">
        <v>1031</v>
      </c>
      <c r="B1032" s="1">
        <v>10</v>
      </c>
      <c r="C1032" s="3">
        <v>10115271417203</v>
      </c>
      <c r="D1032" s="2">
        <v>44423.451388888891</v>
      </c>
      <c r="E1032" s="2">
        <v>44423.513888888891</v>
      </c>
      <c r="F1032" s="23">
        <f t="shared" si="48"/>
        <v>6.25E-2</v>
      </c>
      <c r="G1032" s="24">
        <f t="shared" si="50"/>
        <v>200</v>
      </c>
      <c r="H1032" s="1" t="s">
        <v>1</v>
      </c>
      <c r="I1032" s="4" t="s">
        <v>8</v>
      </c>
      <c r="J1032" s="14">
        <v>0.4513888888888889</v>
      </c>
      <c r="K1032" s="20" t="str">
        <f t="shared" si="49"/>
        <v>1st Shift</v>
      </c>
    </row>
    <row r="1033" spans="1:11" x14ac:dyDescent="0.25">
      <c r="A1033" s="1">
        <v>1032</v>
      </c>
      <c r="B1033" s="1">
        <v>10</v>
      </c>
      <c r="C1033" s="3">
        <v>10115271417201</v>
      </c>
      <c r="D1033" s="2">
        <v>44423.451388888891</v>
      </c>
      <c r="E1033" s="2">
        <v>44423.513888888891</v>
      </c>
      <c r="F1033" s="23">
        <f t="shared" si="48"/>
        <v>6.25E-2</v>
      </c>
      <c r="G1033" s="24">
        <f t="shared" si="50"/>
        <v>200</v>
      </c>
      <c r="H1033" s="1" t="s">
        <v>1</v>
      </c>
      <c r="I1033" s="4" t="s">
        <v>2</v>
      </c>
      <c r="J1033" s="14">
        <v>0.4513888888888889</v>
      </c>
      <c r="K1033" s="20" t="str">
        <f t="shared" si="49"/>
        <v>1st Shift</v>
      </c>
    </row>
    <row r="1034" spans="1:11" x14ac:dyDescent="0.25">
      <c r="A1034" s="1">
        <v>1033</v>
      </c>
      <c r="B1034" s="1">
        <v>10</v>
      </c>
      <c r="C1034" s="3">
        <v>10115271965107</v>
      </c>
      <c r="D1034" s="2">
        <v>44423.520833333336</v>
      </c>
      <c r="E1034" s="2">
        <v>44423.604166666664</v>
      </c>
      <c r="F1034" s="23">
        <f t="shared" si="48"/>
        <v>8.3333333328482695E-2</v>
      </c>
      <c r="G1034" s="24">
        <f t="shared" si="50"/>
        <v>150.00000000873115</v>
      </c>
      <c r="H1034" s="1" t="s">
        <v>1</v>
      </c>
      <c r="I1034" s="4" t="s">
        <v>3</v>
      </c>
      <c r="J1034" s="14">
        <v>0.52083333333333337</v>
      </c>
      <c r="K1034" s="20" t="str">
        <f t="shared" si="49"/>
        <v>1st Shift</v>
      </c>
    </row>
    <row r="1035" spans="1:11" x14ac:dyDescent="0.25">
      <c r="A1035" s="1">
        <v>1034</v>
      </c>
      <c r="B1035" s="1">
        <v>10</v>
      </c>
      <c r="C1035" s="3">
        <v>10115271965100</v>
      </c>
      <c r="D1035" s="2">
        <v>44423.520833333336</v>
      </c>
      <c r="E1035" s="2">
        <v>44423.604166666664</v>
      </c>
      <c r="F1035" s="23">
        <f t="shared" si="48"/>
        <v>8.3333333328482695E-2</v>
      </c>
      <c r="G1035" s="24">
        <f t="shared" si="50"/>
        <v>150.00000000873115</v>
      </c>
      <c r="H1035" s="1" t="s">
        <v>1</v>
      </c>
      <c r="I1035" s="4" t="s">
        <v>2</v>
      </c>
      <c r="J1035" s="14">
        <v>0.52083333333333337</v>
      </c>
      <c r="K1035" s="20" t="str">
        <f t="shared" si="49"/>
        <v>1st Shift</v>
      </c>
    </row>
    <row r="1036" spans="1:11" x14ac:dyDescent="0.25">
      <c r="A1036" s="1">
        <v>1035</v>
      </c>
      <c r="B1036" s="1">
        <v>8</v>
      </c>
      <c r="C1036" s="3">
        <v>8115271835809</v>
      </c>
      <c r="D1036" s="2">
        <v>44423.520833333336</v>
      </c>
      <c r="E1036" s="2">
        <v>44423.604166666664</v>
      </c>
      <c r="F1036" s="23">
        <f t="shared" si="48"/>
        <v>8.3333333328482695E-2</v>
      </c>
      <c r="G1036" s="24">
        <f t="shared" si="50"/>
        <v>150.00000000873115</v>
      </c>
      <c r="H1036" s="1" t="s">
        <v>1</v>
      </c>
      <c r="I1036" s="4" t="s">
        <v>3</v>
      </c>
      <c r="J1036" s="14">
        <v>0.52083333333333337</v>
      </c>
      <c r="K1036" s="20" t="str">
        <f t="shared" si="49"/>
        <v>1st Shift</v>
      </c>
    </row>
    <row r="1037" spans="1:11" x14ac:dyDescent="0.25">
      <c r="A1037" s="1">
        <v>1036</v>
      </c>
      <c r="B1037" s="1">
        <v>8</v>
      </c>
      <c r="C1037" s="3">
        <v>8115271835800</v>
      </c>
      <c r="D1037" s="2">
        <v>44423.520833333336</v>
      </c>
      <c r="E1037" s="2">
        <v>44423.604166666664</v>
      </c>
      <c r="F1037" s="23">
        <f t="shared" si="48"/>
        <v>8.3333333328482695E-2</v>
      </c>
      <c r="G1037" s="24">
        <f t="shared" si="50"/>
        <v>150.00000000873115</v>
      </c>
      <c r="H1037" s="1" t="s">
        <v>1</v>
      </c>
      <c r="I1037" s="4" t="s">
        <v>2</v>
      </c>
      <c r="J1037" s="14">
        <v>0.52083333333333337</v>
      </c>
      <c r="K1037" s="20" t="str">
        <f t="shared" si="49"/>
        <v>1st Shift</v>
      </c>
    </row>
    <row r="1038" spans="1:11" x14ac:dyDescent="0.25">
      <c r="A1038" s="1">
        <v>1037</v>
      </c>
      <c r="B1038" s="1">
        <v>3</v>
      </c>
      <c r="C1038" s="3">
        <v>3115270351401</v>
      </c>
      <c r="D1038" s="2">
        <v>44423.520833333336</v>
      </c>
      <c r="E1038" s="2">
        <v>44423.604166666664</v>
      </c>
      <c r="F1038" s="23">
        <f t="shared" si="48"/>
        <v>8.3333333328482695E-2</v>
      </c>
      <c r="G1038" s="24">
        <f t="shared" si="50"/>
        <v>150.00000000873115</v>
      </c>
      <c r="H1038" s="1" t="s">
        <v>1</v>
      </c>
      <c r="I1038" s="4" t="s">
        <v>2</v>
      </c>
      <c r="J1038" s="14">
        <v>0.52083333333333337</v>
      </c>
      <c r="K1038" s="20" t="str">
        <f t="shared" si="49"/>
        <v>1st Shift</v>
      </c>
    </row>
    <row r="1039" spans="1:11" x14ac:dyDescent="0.25">
      <c r="A1039" s="1">
        <v>1038</v>
      </c>
      <c r="B1039" s="1">
        <v>3</v>
      </c>
      <c r="C1039" s="3">
        <v>3115270351400</v>
      </c>
      <c r="D1039" s="2">
        <v>44423.520833333336</v>
      </c>
      <c r="E1039" s="2">
        <v>44423.604166666664</v>
      </c>
      <c r="F1039" s="23">
        <f t="shared" si="48"/>
        <v>8.3333333328482695E-2</v>
      </c>
      <c r="G1039" s="24">
        <f t="shared" si="50"/>
        <v>150.00000000873115</v>
      </c>
      <c r="H1039" s="1" t="s">
        <v>1</v>
      </c>
      <c r="I1039" s="4" t="s">
        <v>2</v>
      </c>
      <c r="J1039" s="14">
        <v>0.52083333333333337</v>
      </c>
      <c r="K1039" s="20" t="str">
        <f t="shared" si="49"/>
        <v>1st Shift</v>
      </c>
    </row>
    <row r="1040" spans="1:11" x14ac:dyDescent="0.25">
      <c r="A1040" s="1">
        <v>1039</v>
      </c>
      <c r="B1040" s="1">
        <v>14</v>
      </c>
      <c r="C1040" s="3">
        <v>14115271674707</v>
      </c>
      <c r="D1040" s="2">
        <v>44423.746527777781</v>
      </c>
      <c r="E1040" s="2">
        <v>44423.916666666664</v>
      </c>
      <c r="F1040" s="23">
        <f t="shared" si="48"/>
        <v>0.17013888888322981</v>
      </c>
      <c r="G1040" s="24">
        <f t="shared" si="50"/>
        <v>73.469387757545746</v>
      </c>
      <c r="H1040" s="1" t="s">
        <v>1</v>
      </c>
      <c r="I1040" s="4" t="s">
        <v>2</v>
      </c>
      <c r="J1040" s="14">
        <v>0.74652777777777779</v>
      </c>
      <c r="K1040" s="20" t="str">
        <f t="shared" si="49"/>
        <v>2nd Shift</v>
      </c>
    </row>
    <row r="1041" spans="1:11" x14ac:dyDescent="0.25">
      <c r="A1041" s="1">
        <v>1040</v>
      </c>
      <c r="B1041" s="1">
        <v>14</v>
      </c>
      <c r="C1041" s="3">
        <v>14115271674706</v>
      </c>
      <c r="D1041" s="2">
        <v>44423.746527777781</v>
      </c>
      <c r="E1041" s="2">
        <v>44423.916666666664</v>
      </c>
      <c r="F1041" s="23">
        <f t="shared" si="48"/>
        <v>0.17013888888322981</v>
      </c>
      <c r="G1041" s="24">
        <f t="shared" si="50"/>
        <v>73.469387757545746</v>
      </c>
      <c r="H1041" s="1" t="s">
        <v>1</v>
      </c>
      <c r="I1041" s="4" t="s">
        <v>2</v>
      </c>
      <c r="J1041" s="14">
        <v>0.74652777777777779</v>
      </c>
      <c r="K1041" s="20" t="str">
        <f t="shared" si="49"/>
        <v>2nd Shift</v>
      </c>
    </row>
    <row r="1042" spans="1:11" x14ac:dyDescent="0.25">
      <c r="A1042" s="1">
        <v>1041</v>
      </c>
      <c r="B1042" s="1">
        <v>14</v>
      </c>
      <c r="C1042" s="3">
        <v>14115271672408</v>
      </c>
      <c r="D1042" s="2">
        <v>44423.746527777781</v>
      </c>
      <c r="E1042" s="2">
        <v>44423.916666666664</v>
      </c>
      <c r="F1042" s="23">
        <f t="shared" si="48"/>
        <v>0.17013888888322981</v>
      </c>
      <c r="G1042" s="24">
        <f t="shared" si="50"/>
        <v>73.469387757545746</v>
      </c>
      <c r="H1042" s="1" t="s">
        <v>1</v>
      </c>
      <c r="I1042" s="4" t="s">
        <v>2</v>
      </c>
      <c r="J1042" s="14">
        <v>0.74652777777777779</v>
      </c>
      <c r="K1042" s="20" t="str">
        <f t="shared" si="49"/>
        <v>2nd Shift</v>
      </c>
    </row>
    <row r="1043" spans="1:11" x14ac:dyDescent="0.25">
      <c r="A1043" s="1">
        <v>1042</v>
      </c>
      <c r="B1043" s="1">
        <v>14</v>
      </c>
      <c r="C1043" s="3">
        <v>14115271672400</v>
      </c>
      <c r="D1043" s="2">
        <v>44423.746527777781</v>
      </c>
      <c r="E1043" s="2">
        <v>44423.916666666664</v>
      </c>
      <c r="F1043" s="23">
        <f t="shared" si="48"/>
        <v>0.17013888888322981</v>
      </c>
      <c r="G1043" s="24">
        <f t="shared" si="50"/>
        <v>73.469387757545746</v>
      </c>
      <c r="H1043" s="1" t="s">
        <v>1</v>
      </c>
      <c r="I1043" s="4" t="s">
        <v>2</v>
      </c>
      <c r="J1043" s="14">
        <v>0.74652777777777779</v>
      </c>
      <c r="K1043" s="20" t="str">
        <f t="shared" si="49"/>
        <v>2nd Shift</v>
      </c>
    </row>
    <row r="1044" spans="1:11" x14ac:dyDescent="0.25">
      <c r="A1044" s="1">
        <v>1043</v>
      </c>
      <c r="B1044" s="1">
        <v>8</v>
      </c>
      <c r="C1044" s="3">
        <v>8115270615703</v>
      </c>
      <c r="D1044" s="2">
        <v>44423.746527777781</v>
      </c>
      <c r="E1044" s="2">
        <v>44423.916666666664</v>
      </c>
      <c r="F1044" s="23">
        <f t="shared" si="48"/>
        <v>0.17013888888322981</v>
      </c>
      <c r="G1044" s="24">
        <f t="shared" si="50"/>
        <v>73.469387757545746</v>
      </c>
      <c r="H1044" s="1" t="s">
        <v>1</v>
      </c>
      <c r="I1044" s="4" t="s">
        <v>2</v>
      </c>
      <c r="J1044" s="14">
        <v>0.74652777777777779</v>
      </c>
      <c r="K1044" s="20" t="str">
        <f t="shared" si="49"/>
        <v>2nd Shift</v>
      </c>
    </row>
    <row r="1045" spans="1:11" x14ac:dyDescent="0.25">
      <c r="A1045" s="1">
        <v>1044</v>
      </c>
      <c r="B1045" s="1">
        <v>8</v>
      </c>
      <c r="C1045" s="3">
        <v>8115270615702</v>
      </c>
      <c r="D1045" s="2">
        <v>44423.746527777781</v>
      </c>
      <c r="E1045" s="2">
        <v>44423.916666666664</v>
      </c>
      <c r="F1045" s="23">
        <f t="shared" si="48"/>
        <v>0.17013888888322981</v>
      </c>
      <c r="G1045" s="24">
        <f t="shared" si="50"/>
        <v>73.469387757545746</v>
      </c>
      <c r="H1045" s="1" t="s">
        <v>1</v>
      </c>
      <c r="I1045" s="4" t="s">
        <v>2</v>
      </c>
      <c r="J1045" s="14">
        <v>0.74652777777777779</v>
      </c>
      <c r="K1045" s="20" t="str">
        <f t="shared" si="49"/>
        <v>2nd Shift</v>
      </c>
    </row>
    <row r="1046" spans="1:11" x14ac:dyDescent="0.25">
      <c r="A1046" s="1">
        <v>1045</v>
      </c>
      <c r="B1046" s="1">
        <v>3</v>
      </c>
      <c r="C1046" s="3">
        <v>3115270369103</v>
      </c>
      <c r="D1046" s="2">
        <v>44423.746527777781</v>
      </c>
      <c r="E1046" s="2">
        <v>44423.916666666664</v>
      </c>
      <c r="F1046" s="23">
        <f t="shared" si="48"/>
        <v>0.17013888888322981</v>
      </c>
      <c r="G1046" s="24">
        <f t="shared" si="50"/>
        <v>73.469387757545746</v>
      </c>
      <c r="H1046" s="1" t="s">
        <v>1</v>
      </c>
      <c r="I1046" s="4" t="s">
        <v>2</v>
      </c>
      <c r="J1046" s="14">
        <v>0.74652777777777779</v>
      </c>
      <c r="K1046" s="20" t="str">
        <f t="shared" si="49"/>
        <v>2nd Shift</v>
      </c>
    </row>
    <row r="1047" spans="1:11" x14ac:dyDescent="0.25">
      <c r="A1047" s="1">
        <v>1046</v>
      </c>
      <c r="B1047" s="1">
        <v>3</v>
      </c>
      <c r="C1047" s="3">
        <v>3115270369103</v>
      </c>
      <c r="D1047" s="2">
        <v>44423.746527777781</v>
      </c>
      <c r="E1047" s="2">
        <v>44423.916666666664</v>
      </c>
      <c r="F1047" s="23">
        <f t="shared" si="48"/>
        <v>0.17013888888322981</v>
      </c>
      <c r="G1047" s="24">
        <f t="shared" si="50"/>
        <v>73.469387757545746</v>
      </c>
      <c r="H1047" s="1" t="s">
        <v>1</v>
      </c>
      <c r="I1047" s="4" t="s">
        <v>2</v>
      </c>
      <c r="J1047" s="14">
        <v>0.74652777777777779</v>
      </c>
      <c r="K1047" s="20" t="str">
        <f t="shared" si="49"/>
        <v>2nd Shift</v>
      </c>
    </row>
    <row r="1048" spans="1:11" x14ac:dyDescent="0.25">
      <c r="A1048" s="1">
        <v>1047</v>
      </c>
      <c r="B1048" s="1">
        <v>3</v>
      </c>
      <c r="C1048" s="3">
        <v>3115270341006</v>
      </c>
      <c r="D1048" s="2">
        <v>44423.746527777781</v>
      </c>
      <c r="E1048" s="2">
        <v>44423.916666666664</v>
      </c>
      <c r="F1048" s="23">
        <f t="shared" si="48"/>
        <v>0.17013888888322981</v>
      </c>
      <c r="G1048" s="24">
        <f t="shared" si="50"/>
        <v>73.469387757545746</v>
      </c>
      <c r="H1048" s="1" t="s">
        <v>1</v>
      </c>
      <c r="I1048" s="4" t="s">
        <v>3</v>
      </c>
      <c r="J1048" s="14">
        <v>0.74652777777777779</v>
      </c>
      <c r="K1048" s="20" t="str">
        <f t="shared" si="49"/>
        <v>2nd Shift</v>
      </c>
    </row>
    <row r="1049" spans="1:11" x14ac:dyDescent="0.25">
      <c r="A1049" s="1">
        <v>1048</v>
      </c>
      <c r="B1049" s="1">
        <v>3</v>
      </c>
      <c r="C1049" s="3">
        <v>3115270341005</v>
      </c>
      <c r="D1049" s="2">
        <v>44423.746527777781</v>
      </c>
      <c r="E1049" s="2">
        <v>44423.916666666664</v>
      </c>
      <c r="F1049" s="23">
        <f t="shared" si="48"/>
        <v>0.17013888888322981</v>
      </c>
      <c r="G1049" s="24">
        <f t="shared" si="50"/>
        <v>73.469387757545746</v>
      </c>
      <c r="H1049" s="1" t="s">
        <v>1</v>
      </c>
      <c r="I1049" s="4" t="s">
        <v>3</v>
      </c>
      <c r="J1049" s="14">
        <v>0.74652777777777779</v>
      </c>
      <c r="K1049" s="20" t="str">
        <f t="shared" si="49"/>
        <v>2nd Shift</v>
      </c>
    </row>
    <row r="1050" spans="1:11" x14ac:dyDescent="0.25">
      <c r="A1050" s="1">
        <v>1049</v>
      </c>
      <c r="B1050" s="1">
        <v>12</v>
      </c>
      <c r="C1050" s="3">
        <v>12115271560119</v>
      </c>
      <c r="D1050" s="2">
        <v>44424.065972222219</v>
      </c>
      <c r="E1050" s="2">
        <v>44424.104166666664</v>
      </c>
      <c r="F1050" s="23">
        <f t="shared" si="48"/>
        <v>3.8194444445252884E-2</v>
      </c>
      <c r="G1050" s="24">
        <f t="shared" si="50"/>
        <v>327.27272726580009</v>
      </c>
      <c r="H1050" s="1" t="s">
        <v>1</v>
      </c>
      <c r="I1050" s="4" t="s">
        <v>2</v>
      </c>
      <c r="J1050" s="14">
        <v>6.5972222222222224E-2</v>
      </c>
      <c r="K1050" s="20" t="str">
        <f t="shared" si="49"/>
        <v>3rd Shift</v>
      </c>
    </row>
    <row r="1051" spans="1:11" x14ac:dyDescent="0.25">
      <c r="A1051" s="1">
        <v>1050</v>
      </c>
      <c r="B1051" s="1">
        <v>1</v>
      </c>
      <c r="C1051" s="3">
        <v>1115270147300</v>
      </c>
      <c r="D1051" s="2">
        <v>44424.350694444445</v>
      </c>
      <c r="E1051" s="2">
        <v>44424.385416666664</v>
      </c>
      <c r="F1051" s="23">
        <f t="shared" si="48"/>
        <v>3.4722222218988463E-2</v>
      </c>
      <c r="G1051" s="24">
        <f t="shared" si="50"/>
        <v>360.00000003352761</v>
      </c>
      <c r="H1051" s="1" t="s">
        <v>1</v>
      </c>
      <c r="I1051" s="4" t="s">
        <v>3</v>
      </c>
      <c r="J1051" s="14">
        <v>0.35069444444444442</v>
      </c>
      <c r="K1051" s="20" t="str">
        <f t="shared" si="49"/>
        <v>1st Shift</v>
      </c>
    </row>
    <row r="1052" spans="1:11" x14ac:dyDescent="0.25">
      <c r="A1052" s="1">
        <v>1051</v>
      </c>
      <c r="B1052" s="1">
        <v>1</v>
      </c>
      <c r="C1052" s="3">
        <v>1115270138600</v>
      </c>
      <c r="D1052" s="2">
        <v>44424.350694444445</v>
      </c>
      <c r="E1052" s="2">
        <v>44424.385416666664</v>
      </c>
      <c r="F1052" s="23">
        <f t="shared" si="48"/>
        <v>3.4722222218988463E-2</v>
      </c>
      <c r="G1052" s="24">
        <f t="shared" si="50"/>
        <v>360.00000003352761</v>
      </c>
      <c r="H1052" s="1" t="s">
        <v>1</v>
      </c>
      <c r="I1052" s="4" t="s">
        <v>3</v>
      </c>
      <c r="J1052" s="14">
        <v>0.35069444444444442</v>
      </c>
      <c r="K1052" s="20" t="str">
        <f t="shared" si="49"/>
        <v>1st Shift</v>
      </c>
    </row>
    <row r="1053" spans="1:11" x14ac:dyDescent="0.25">
      <c r="A1053" s="1">
        <v>1052</v>
      </c>
      <c r="B1053" s="1">
        <v>11</v>
      </c>
      <c r="C1053" s="3">
        <v>11115271515201</v>
      </c>
      <c r="D1053" s="2">
        <v>44424.444444444445</v>
      </c>
      <c r="E1053" s="2">
        <v>44424.534722222219</v>
      </c>
      <c r="F1053" s="23">
        <f t="shared" si="48"/>
        <v>9.0277777773735579E-2</v>
      </c>
      <c r="G1053" s="24">
        <f t="shared" si="50"/>
        <v>138.46153846773811</v>
      </c>
      <c r="H1053" s="1" t="s">
        <v>1</v>
      </c>
      <c r="I1053" s="4" t="s">
        <v>3</v>
      </c>
      <c r="J1053" s="14">
        <v>0.44444444444444442</v>
      </c>
      <c r="K1053" s="20" t="str">
        <f t="shared" si="49"/>
        <v>1st Shift</v>
      </c>
    </row>
    <row r="1054" spans="1:11" x14ac:dyDescent="0.25">
      <c r="A1054" s="1">
        <v>1053</v>
      </c>
      <c r="B1054" s="1">
        <v>7</v>
      </c>
      <c r="C1054" s="3">
        <v>7115271761001</v>
      </c>
      <c r="D1054" s="2">
        <v>44424.444444444445</v>
      </c>
      <c r="E1054" s="2">
        <v>44424.534722222219</v>
      </c>
      <c r="F1054" s="23">
        <f t="shared" si="48"/>
        <v>9.0277777773735579E-2</v>
      </c>
      <c r="G1054" s="24">
        <f t="shared" si="50"/>
        <v>138.46153846773811</v>
      </c>
      <c r="H1054" s="1" t="s">
        <v>1</v>
      </c>
      <c r="I1054" s="4" t="s">
        <v>3</v>
      </c>
      <c r="J1054" s="14">
        <v>0.44444444444444442</v>
      </c>
      <c r="K1054" s="20" t="str">
        <f t="shared" si="49"/>
        <v>1st Shift</v>
      </c>
    </row>
    <row r="1055" spans="1:11" x14ac:dyDescent="0.25">
      <c r="A1055" s="1">
        <v>1054</v>
      </c>
      <c r="B1055" s="1">
        <v>6</v>
      </c>
      <c r="C1055" s="3">
        <v>6115271720802</v>
      </c>
      <c r="D1055" s="2">
        <v>44424.444444444445</v>
      </c>
      <c r="E1055" s="2">
        <v>44424.534722222219</v>
      </c>
      <c r="F1055" s="23">
        <f t="shared" si="48"/>
        <v>9.0277777773735579E-2</v>
      </c>
      <c r="G1055" s="24">
        <f t="shared" si="50"/>
        <v>138.46153846773811</v>
      </c>
      <c r="H1055" s="1" t="s">
        <v>1</v>
      </c>
      <c r="I1055" s="4" t="s">
        <v>2</v>
      </c>
      <c r="J1055" s="14">
        <v>0.44444444444444442</v>
      </c>
      <c r="K1055" s="20" t="str">
        <f t="shared" si="49"/>
        <v>1st Shift</v>
      </c>
    </row>
    <row r="1056" spans="1:11" x14ac:dyDescent="0.25">
      <c r="A1056" s="1">
        <v>1055</v>
      </c>
      <c r="B1056" s="1">
        <v>1</v>
      </c>
      <c r="C1056" s="3">
        <v>1115270087001</v>
      </c>
      <c r="D1056" s="2">
        <v>44424.444444444445</v>
      </c>
      <c r="E1056" s="2">
        <v>44424.534722222219</v>
      </c>
      <c r="F1056" s="23">
        <f t="shared" si="48"/>
        <v>9.0277777773735579E-2</v>
      </c>
      <c r="G1056" s="24">
        <f t="shared" si="50"/>
        <v>138.46153846773811</v>
      </c>
      <c r="H1056" s="1" t="s">
        <v>1</v>
      </c>
      <c r="I1056" s="4" t="s">
        <v>3</v>
      </c>
      <c r="J1056" s="14">
        <v>0.44444444444444442</v>
      </c>
      <c r="K1056" s="20" t="str">
        <f t="shared" si="49"/>
        <v>1st Shift</v>
      </c>
    </row>
    <row r="1057" spans="1:11" x14ac:dyDescent="0.25">
      <c r="A1057" s="1">
        <v>1056</v>
      </c>
      <c r="B1057" s="1">
        <v>15</v>
      </c>
      <c r="C1057" s="3">
        <v>15115271743902</v>
      </c>
      <c r="D1057" s="2">
        <v>44424.34375</v>
      </c>
      <c r="E1057" s="2">
        <v>44424.618055555555</v>
      </c>
      <c r="F1057" s="23">
        <f t="shared" si="48"/>
        <v>0.27430555555474712</v>
      </c>
      <c r="G1057" s="24">
        <f t="shared" si="50"/>
        <v>45.569620253298858</v>
      </c>
      <c r="H1057" s="1" t="s">
        <v>1</v>
      </c>
      <c r="I1057" s="4" t="s">
        <v>3</v>
      </c>
      <c r="J1057" s="14">
        <v>0.34375</v>
      </c>
      <c r="K1057" s="20" t="str">
        <f t="shared" si="49"/>
        <v>1st Shift</v>
      </c>
    </row>
    <row r="1058" spans="1:11" x14ac:dyDescent="0.25">
      <c r="A1058" s="1">
        <v>1057</v>
      </c>
      <c r="B1058" s="1">
        <v>6</v>
      </c>
      <c r="C1058" s="3">
        <v>6115271739002</v>
      </c>
      <c r="D1058" s="2">
        <v>44424.34375</v>
      </c>
      <c r="E1058" s="2">
        <v>44424.618055555555</v>
      </c>
      <c r="F1058" s="23">
        <f t="shared" si="48"/>
        <v>0.27430555555474712</v>
      </c>
      <c r="G1058" s="24">
        <f t="shared" si="50"/>
        <v>45.569620253298858</v>
      </c>
      <c r="H1058" s="1" t="s">
        <v>1</v>
      </c>
      <c r="I1058" s="4" t="s">
        <v>3</v>
      </c>
      <c r="J1058" s="14">
        <v>0.34375</v>
      </c>
      <c r="K1058" s="20" t="str">
        <f t="shared" si="49"/>
        <v>1st Shift</v>
      </c>
    </row>
    <row r="1059" spans="1:11" x14ac:dyDescent="0.25">
      <c r="A1059" s="1">
        <v>1058</v>
      </c>
      <c r="B1059" s="1">
        <v>2</v>
      </c>
      <c r="C1059" s="3">
        <v>2115270253300</v>
      </c>
      <c r="D1059" s="2">
        <v>44424.34375</v>
      </c>
      <c r="E1059" s="2">
        <v>44424.618055555555</v>
      </c>
      <c r="F1059" s="23">
        <f t="shared" si="48"/>
        <v>0.27430555555474712</v>
      </c>
      <c r="G1059" s="24">
        <f t="shared" si="50"/>
        <v>45.569620253298858</v>
      </c>
      <c r="H1059" s="1" t="s">
        <v>1</v>
      </c>
      <c r="I1059" s="4" t="s">
        <v>2</v>
      </c>
      <c r="J1059" s="14">
        <v>0.34375</v>
      </c>
      <c r="K1059" s="20" t="str">
        <f t="shared" si="49"/>
        <v>1st Shift</v>
      </c>
    </row>
    <row r="1060" spans="1:11" x14ac:dyDescent="0.25">
      <c r="A1060" s="1">
        <v>1059</v>
      </c>
      <c r="B1060" s="1">
        <v>2</v>
      </c>
      <c r="C1060" s="3">
        <v>2115270168203</v>
      </c>
      <c r="D1060" s="2">
        <v>44424.690972222219</v>
      </c>
      <c r="E1060" s="2">
        <v>44424.722222222219</v>
      </c>
      <c r="F1060" s="23">
        <f t="shared" si="48"/>
        <v>3.125E-2</v>
      </c>
      <c r="G1060" s="24">
        <f t="shared" si="50"/>
        <v>400</v>
      </c>
      <c r="H1060" s="1" t="s">
        <v>1</v>
      </c>
      <c r="I1060" s="4" t="s">
        <v>2</v>
      </c>
      <c r="J1060" s="14">
        <v>0.69097222222222221</v>
      </c>
      <c r="K1060" s="20" t="str">
        <f t="shared" si="49"/>
        <v>2nd Shift</v>
      </c>
    </row>
    <row r="1061" spans="1:11" x14ac:dyDescent="0.25">
      <c r="A1061" s="1">
        <v>1060</v>
      </c>
      <c r="B1061" s="1">
        <v>15</v>
      </c>
      <c r="C1061" s="3">
        <v>15115271782104</v>
      </c>
      <c r="D1061" s="2">
        <v>44424.802083333336</v>
      </c>
      <c r="E1061" s="2">
        <v>44424.916666666664</v>
      </c>
      <c r="F1061" s="23">
        <f t="shared" si="48"/>
        <v>0.11458333332848269</v>
      </c>
      <c r="G1061" s="24">
        <f t="shared" si="50"/>
        <v>109.09090909552721</v>
      </c>
      <c r="H1061" s="1" t="s">
        <v>1</v>
      </c>
      <c r="I1061" s="4" t="s">
        <v>3</v>
      </c>
      <c r="J1061" s="14">
        <v>0.80208333333333337</v>
      </c>
      <c r="K1061" s="20" t="str">
        <f t="shared" si="49"/>
        <v>2nd Shift</v>
      </c>
    </row>
    <row r="1062" spans="1:11" x14ac:dyDescent="0.25">
      <c r="A1062" s="1">
        <v>1061</v>
      </c>
      <c r="B1062" s="1">
        <v>14</v>
      </c>
      <c r="C1062" s="3">
        <v>14115271687615</v>
      </c>
      <c r="D1062" s="2">
        <v>44424.802083333336</v>
      </c>
      <c r="E1062" s="2">
        <v>44424.916666666664</v>
      </c>
      <c r="F1062" s="23">
        <f t="shared" si="48"/>
        <v>0.11458333332848269</v>
      </c>
      <c r="G1062" s="24">
        <f t="shared" si="50"/>
        <v>109.09090909552721</v>
      </c>
      <c r="H1062" s="1" t="s">
        <v>1</v>
      </c>
      <c r="I1062" s="4" t="s">
        <v>3</v>
      </c>
      <c r="J1062" s="14">
        <v>0.80208333333333337</v>
      </c>
      <c r="K1062" s="20" t="str">
        <f t="shared" si="49"/>
        <v>2nd Shift</v>
      </c>
    </row>
    <row r="1063" spans="1:11" x14ac:dyDescent="0.25">
      <c r="A1063" s="1">
        <v>1062</v>
      </c>
      <c r="B1063" s="1">
        <v>11</v>
      </c>
      <c r="C1063" s="3">
        <v>11115271488301</v>
      </c>
      <c r="D1063" s="2">
        <v>44424.802083333336</v>
      </c>
      <c r="E1063" s="2">
        <v>44424.916666666664</v>
      </c>
      <c r="F1063" s="23">
        <f t="shared" si="48"/>
        <v>0.11458333332848269</v>
      </c>
      <c r="G1063" s="24">
        <f t="shared" si="50"/>
        <v>109.09090909552721</v>
      </c>
      <c r="H1063" s="1" t="s">
        <v>1</v>
      </c>
      <c r="I1063" s="4" t="s">
        <v>2</v>
      </c>
      <c r="J1063" s="14">
        <v>0.80208333333333337</v>
      </c>
      <c r="K1063" s="20" t="str">
        <f t="shared" si="49"/>
        <v>2nd Shift</v>
      </c>
    </row>
    <row r="1064" spans="1:11" x14ac:dyDescent="0.25">
      <c r="A1064" s="1">
        <v>1063</v>
      </c>
      <c r="B1064" s="1">
        <v>6</v>
      </c>
      <c r="C1064" s="3">
        <v>6115271751300</v>
      </c>
      <c r="D1064" s="2">
        <v>44424.802083333336</v>
      </c>
      <c r="E1064" s="2">
        <v>44424.916666666664</v>
      </c>
      <c r="F1064" s="23">
        <f t="shared" si="48"/>
        <v>0.11458333332848269</v>
      </c>
      <c r="G1064" s="24">
        <f t="shared" si="50"/>
        <v>109.09090909552721</v>
      </c>
      <c r="H1064" s="1" t="s">
        <v>1</v>
      </c>
      <c r="I1064" s="4" t="s">
        <v>2</v>
      </c>
      <c r="J1064" s="14">
        <v>0.80208333333333337</v>
      </c>
      <c r="K1064" s="20" t="str">
        <f t="shared" si="49"/>
        <v>2nd Shift</v>
      </c>
    </row>
    <row r="1065" spans="1:11" x14ac:dyDescent="0.25">
      <c r="A1065" s="1">
        <v>1064</v>
      </c>
      <c r="B1065" s="1">
        <v>3</v>
      </c>
      <c r="C1065" s="3">
        <v>3115270257400</v>
      </c>
      <c r="D1065" s="2">
        <v>44424.802083333336</v>
      </c>
      <c r="E1065" s="2">
        <v>44424.916666666664</v>
      </c>
      <c r="F1065" s="23">
        <f t="shared" si="48"/>
        <v>0.11458333332848269</v>
      </c>
      <c r="G1065" s="24">
        <f t="shared" si="50"/>
        <v>109.09090909552721</v>
      </c>
      <c r="H1065" s="1" t="s">
        <v>1</v>
      </c>
      <c r="I1065" s="4" t="s">
        <v>2</v>
      </c>
      <c r="J1065" s="14">
        <v>0.80208333333333337</v>
      </c>
      <c r="K1065" s="20" t="str">
        <f t="shared" si="49"/>
        <v>2nd Shift</v>
      </c>
    </row>
    <row r="1066" spans="1:11" x14ac:dyDescent="0.25">
      <c r="A1066" s="1">
        <v>1065</v>
      </c>
      <c r="B1066" s="1">
        <v>7</v>
      </c>
      <c r="C1066" s="3">
        <v>7115271760500</v>
      </c>
      <c r="D1066" s="2">
        <v>44424.802083333336</v>
      </c>
      <c r="E1066" s="2">
        <v>44424.930555555555</v>
      </c>
      <c r="F1066" s="23">
        <f t="shared" si="48"/>
        <v>0.12847222221898846</v>
      </c>
      <c r="G1066" s="24">
        <f t="shared" si="50"/>
        <v>97.297297299746361</v>
      </c>
      <c r="H1066" s="1" t="s">
        <v>1</v>
      </c>
      <c r="I1066" s="4" t="s">
        <v>2</v>
      </c>
      <c r="J1066" s="14">
        <v>0.80208333333333337</v>
      </c>
      <c r="K1066" s="20" t="str">
        <f t="shared" si="49"/>
        <v>2nd Shift</v>
      </c>
    </row>
    <row r="1067" spans="1:11" x14ac:dyDescent="0.25">
      <c r="A1067" s="1">
        <v>1066</v>
      </c>
      <c r="B1067" s="1">
        <v>3</v>
      </c>
      <c r="C1067" s="3">
        <v>3115270305800</v>
      </c>
      <c r="D1067" s="2">
        <v>44424.451388888891</v>
      </c>
      <c r="E1067" s="2">
        <v>44425.020833333336</v>
      </c>
      <c r="F1067" s="23">
        <f t="shared" si="48"/>
        <v>0.56944444444525288</v>
      </c>
      <c r="G1067" s="24">
        <f t="shared" si="50"/>
        <v>21.951219512163959</v>
      </c>
      <c r="H1067" s="1" t="s">
        <v>1</v>
      </c>
      <c r="I1067" s="4" t="s">
        <v>3</v>
      </c>
      <c r="J1067" s="14">
        <v>0.4513888888888889</v>
      </c>
      <c r="K1067" s="20" t="str">
        <f t="shared" si="49"/>
        <v>1st Shift</v>
      </c>
    </row>
    <row r="1068" spans="1:11" x14ac:dyDescent="0.25">
      <c r="A1068" s="1">
        <v>1067</v>
      </c>
      <c r="B1068" s="1">
        <v>2</v>
      </c>
      <c r="C1068" s="3">
        <v>2115270254500</v>
      </c>
      <c r="D1068" s="2">
        <v>44424.451388888891</v>
      </c>
      <c r="E1068" s="2">
        <v>44425.020833333336</v>
      </c>
      <c r="F1068" s="23">
        <f t="shared" si="48"/>
        <v>0.56944444444525288</v>
      </c>
      <c r="G1068" s="24">
        <f t="shared" si="50"/>
        <v>21.951219512163959</v>
      </c>
      <c r="H1068" s="1" t="s">
        <v>1</v>
      </c>
      <c r="I1068" s="4" t="s">
        <v>3</v>
      </c>
      <c r="J1068" s="14">
        <v>0.4513888888888889</v>
      </c>
      <c r="K1068" s="20" t="str">
        <f t="shared" si="49"/>
        <v>1st Shift</v>
      </c>
    </row>
    <row r="1069" spans="1:11" x14ac:dyDescent="0.25">
      <c r="A1069" s="1">
        <v>1068</v>
      </c>
      <c r="B1069" s="1">
        <v>15</v>
      </c>
      <c r="C1069" s="3">
        <v>15115271743617</v>
      </c>
      <c r="D1069" s="2">
        <v>44425.34375</v>
      </c>
      <c r="E1069" s="2">
        <v>44425.618055555555</v>
      </c>
      <c r="F1069" s="23">
        <f t="shared" si="48"/>
        <v>0.27430555555474712</v>
      </c>
      <c r="G1069" s="24">
        <f t="shared" si="50"/>
        <v>45.569620253298858</v>
      </c>
      <c r="H1069" s="1" t="s">
        <v>1</v>
      </c>
      <c r="I1069" s="4" t="s">
        <v>3</v>
      </c>
      <c r="J1069" s="14">
        <v>0.34375</v>
      </c>
      <c r="K1069" s="20" t="str">
        <f t="shared" si="49"/>
        <v>1st Shift</v>
      </c>
    </row>
    <row r="1070" spans="1:11" x14ac:dyDescent="0.25">
      <c r="A1070" s="1">
        <v>1069</v>
      </c>
      <c r="B1070" s="1">
        <v>15</v>
      </c>
      <c r="C1070" s="3">
        <v>15115271743607</v>
      </c>
      <c r="D1070" s="2">
        <v>44425.34375</v>
      </c>
      <c r="E1070" s="2">
        <v>44425.618055555555</v>
      </c>
      <c r="F1070" s="23">
        <f t="shared" si="48"/>
        <v>0.27430555555474712</v>
      </c>
      <c r="G1070" s="24">
        <f t="shared" si="50"/>
        <v>45.569620253298858</v>
      </c>
      <c r="H1070" s="1" t="s">
        <v>1</v>
      </c>
      <c r="I1070" s="4" t="s">
        <v>3</v>
      </c>
      <c r="J1070" s="14">
        <v>0.34375</v>
      </c>
      <c r="K1070" s="20" t="str">
        <f t="shared" si="49"/>
        <v>1st Shift</v>
      </c>
    </row>
    <row r="1071" spans="1:11" x14ac:dyDescent="0.25">
      <c r="A1071" s="1">
        <v>1070</v>
      </c>
      <c r="B1071" s="1">
        <v>15</v>
      </c>
      <c r="C1071" s="3">
        <v>15115271743606</v>
      </c>
      <c r="D1071" s="2">
        <v>44425.34375</v>
      </c>
      <c r="E1071" s="2">
        <v>44425.618055555555</v>
      </c>
      <c r="F1071" s="23">
        <f t="shared" si="48"/>
        <v>0.27430555555474712</v>
      </c>
      <c r="G1071" s="24">
        <f t="shared" si="50"/>
        <v>45.569620253298858</v>
      </c>
      <c r="H1071" s="1" t="s">
        <v>1</v>
      </c>
      <c r="I1071" s="4" t="s">
        <v>3</v>
      </c>
      <c r="J1071" s="14">
        <v>0.34375</v>
      </c>
      <c r="K1071" s="20" t="str">
        <f t="shared" si="49"/>
        <v>1st Shift</v>
      </c>
    </row>
    <row r="1072" spans="1:11" x14ac:dyDescent="0.25">
      <c r="A1072" s="1">
        <v>1071</v>
      </c>
      <c r="B1072" s="1">
        <v>15</v>
      </c>
      <c r="C1072" s="3">
        <v>15115271743600</v>
      </c>
      <c r="D1072" s="2">
        <v>44425.34375</v>
      </c>
      <c r="E1072" s="2">
        <v>44425.618055555555</v>
      </c>
      <c r="F1072" s="23">
        <f t="shared" si="48"/>
        <v>0.27430555555474712</v>
      </c>
      <c r="G1072" s="24">
        <f t="shared" si="50"/>
        <v>45.569620253298858</v>
      </c>
      <c r="H1072" s="1" t="s">
        <v>1</v>
      </c>
      <c r="I1072" s="4" t="s">
        <v>3</v>
      </c>
      <c r="J1072" s="14">
        <v>0.34375</v>
      </c>
      <c r="K1072" s="20" t="str">
        <f t="shared" si="49"/>
        <v>1st Shift</v>
      </c>
    </row>
    <row r="1073" spans="1:11" x14ac:dyDescent="0.25">
      <c r="A1073" s="1">
        <v>1072</v>
      </c>
      <c r="B1073" s="1">
        <v>12</v>
      </c>
      <c r="C1073" s="3">
        <v>12115271565712</v>
      </c>
      <c r="D1073" s="2">
        <v>44425.34375</v>
      </c>
      <c r="E1073" s="2">
        <v>44425.618055555555</v>
      </c>
      <c r="F1073" s="23">
        <f t="shared" si="48"/>
        <v>0.27430555555474712</v>
      </c>
      <c r="G1073" s="24">
        <f t="shared" si="50"/>
        <v>45.569620253298858</v>
      </c>
      <c r="H1073" s="1" t="s">
        <v>1</v>
      </c>
      <c r="I1073" s="4" t="s">
        <v>3</v>
      </c>
      <c r="J1073" s="14">
        <v>0.34375</v>
      </c>
      <c r="K1073" s="20" t="str">
        <f t="shared" si="49"/>
        <v>1st Shift</v>
      </c>
    </row>
    <row r="1074" spans="1:11" x14ac:dyDescent="0.25">
      <c r="A1074" s="1">
        <v>1073</v>
      </c>
      <c r="B1074" s="1">
        <v>12</v>
      </c>
      <c r="C1074" s="3">
        <v>12115271565705</v>
      </c>
      <c r="D1074" s="2">
        <v>44425.34375</v>
      </c>
      <c r="E1074" s="2">
        <v>44425.618055555555</v>
      </c>
      <c r="F1074" s="23">
        <f t="shared" si="48"/>
        <v>0.27430555555474712</v>
      </c>
      <c r="G1074" s="24">
        <f t="shared" si="50"/>
        <v>45.569620253298858</v>
      </c>
      <c r="H1074" s="1" t="s">
        <v>1</v>
      </c>
      <c r="I1074" s="4" t="s">
        <v>2</v>
      </c>
      <c r="J1074" s="14">
        <v>0.34375</v>
      </c>
      <c r="K1074" s="20" t="str">
        <f t="shared" si="49"/>
        <v>1st Shift</v>
      </c>
    </row>
    <row r="1075" spans="1:11" x14ac:dyDescent="0.25">
      <c r="A1075" s="1">
        <v>1074</v>
      </c>
      <c r="B1075" s="1">
        <v>12</v>
      </c>
      <c r="C1075" s="3">
        <v>12115271565703</v>
      </c>
      <c r="D1075" s="2">
        <v>44425.34375</v>
      </c>
      <c r="E1075" s="2">
        <v>44425.618055555555</v>
      </c>
      <c r="F1075" s="23">
        <f t="shared" si="48"/>
        <v>0.27430555555474712</v>
      </c>
      <c r="G1075" s="24">
        <f t="shared" si="50"/>
        <v>45.569620253298858</v>
      </c>
      <c r="H1075" s="1" t="s">
        <v>1</v>
      </c>
      <c r="I1075" s="4" t="s">
        <v>2</v>
      </c>
      <c r="J1075" s="14">
        <v>0.34375</v>
      </c>
      <c r="K1075" s="20" t="str">
        <f t="shared" si="49"/>
        <v>1st Shift</v>
      </c>
    </row>
    <row r="1076" spans="1:11" x14ac:dyDescent="0.25">
      <c r="A1076" s="1">
        <v>1075</v>
      </c>
      <c r="B1076" s="1">
        <v>12</v>
      </c>
      <c r="C1076" s="3">
        <v>12115271565702</v>
      </c>
      <c r="D1076" s="2">
        <v>44425.34375</v>
      </c>
      <c r="E1076" s="2">
        <v>44425.618055555555</v>
      </c>
      <c r="F1076" s="23">
        <f t="shared" si="48"/>
        <v>0.27430555555474712</v>
      </c>
      <c r="G1076" s="24">
        <f t="shared" si="50"/>
        <v>45.569620253298858</v>
      </c>
      <c r="H1076" s="1" t="s">
        <v>1</v>
      </c>
      <c r="I1076" s="4" t="s">
        <v>3</v>
      </c>
      <c r="J1076" s="14">
        <v>0.34375</v>
      </c>
      <c r="K1076" s="20" t="str">
        <f t="shared" si="49"/>
        <v>1st Shift</v>
      </c>
    </row>
    <row r="1077" spans="1:11" x14ac:dyDescent="0.25">
      <c r="A1077" s="1">
        <v>1076</v>
      </c>
      <c r="B1077" s="1">
        <v>12</v>
      </c>
      <c r="C1077" s="3">
        <v>12115271573017</v>
      </c>
      <c r="D1077" s="2">
        <v>44425.645833333336</v>
      </c>
      <c r="E1077" s="2">
        <v>44425.770833333336</v>
      </c>
      <c r="F1077" s="23">
        <f t="shared" si="48"/>
        <v>0.125</v>
      </c>
      <c r="G1077" s="24">
        <f t="shared" si="50"/>
        <v>100</v>
      </c>
      <c r="H1077" s="1" t="s">
        <v>1</v>
      </c>
      <c r="I1077" s="4" t="s">
        <v>3</v>
      </c>
      <c r="J1077" s="14">
        <v>0.64583333333333337</v>
      </c>
      <c r="K1077" s="20" t="str">
        <f t="shared" si="49"/>
        <v>2nd Shift</v>
      </c>
    </row>
    <row r="1078" spans="1:11" x14ac:dyDescent="0.25">
      <c r="A1078" s="1">
        <v>1077</v>
      </c>
      <c r="B1078" s="1">
        <v>12</v>
      </c>
      <c r="C1078" s="3">
        <v>12115271573008</v>
      </c>
      <c r="D1078" s="2">
        <v>44425.645833333336</v>
      </c>
      <c r="E1078" s="2">
        <v>44425.770833333336</v>
      </c>
      <c r="F1078" s="23">
        <f t="shared" si="48"/>
        <v>0.125</v>
      </c>
      <c r="G1078" s="24">
        <f t="shared" si="50"/>
        <v>100</v>
      </c>
      <c r="H1078" s="1" t="s">
        <v>1</v>
      </c>
      <c r="I1078" s="4" t="s">
        <v>2</v>
      </c>
      <c r="J1078" s="14">
        <v>0.64583333333333337</v>
      </c>
      <c r="K1078" s="20" t="str">
        <f t="shared" si="49"/>
        <v>2nd Shift</v>
      </c>
    </row>
    <row r="1079" spans="1:11" x14ac:dyDescent="0.25">
      <c r="A1079" s="1">
        <v>1078</v>
      </c>
      <c r="B1079" s="1">
        <v>12</v>
      </c>
      <c r="C1079" s="3">
        <v>12115271573007</v>
      </c>
      <c r="D1079" s="2">
        <v>44425.645833333336</v>
      </c>
      <c r="E1079" s="2">
        <v>44425.770833333336</v>
      </c>
      <c r="F1079" s="23">
        <f t="shared" si="48"/>
        <v>0.125</v>
      </c>
      <c r="G1079" s="24">
        <f t="shared" si="50"/>
        <v>100</v>
      </c>
      <c r="H1079" s="1" t="s">
        <v>1</v>
      </c>
      <c r="I1079" s="4" t="s">
        <v>2</v>
      </c>
      <c r="J1079" s="14">
        <v>0.64583333333333337</v>
      </c>
      <c r="K1079" s="20" t="str">
        <f t="shared" si="49"/>
        <v>2nd Shift</v>
      </c>
    </row>
    <row r="1080" spans="1:11" x14ac:dyDescent="0.25">
      <c r="A1080" s="1">
        <v>1079</v>
      </c>
      <c r="B1080" s="1">
        <v>12</v>
      </c>
      <c r="C1080" s="3">
        <v>12115271573003</v>
      </c>
      <c r="D1080" s="2">
        <v>44425.645833333336</v>
      </c>
      <c r="E1080" s="2">
        <v>44425.770833333336</v>
      </c>
      <c r="F1080" s="23">
        <f t="shared" si="48"/>
        <v>0.125</v>
      </c>
      <c r="G1080" s="24">
        <f t="shared" si="50"/>
        <v>100</v>
      </c>
      <c r="H1080" s="1" t="s">
        <v>1</v>
      </c>
      <c r="I1080" s="4" t="s">
        <v>2</v>
      </c>
      <c r="J1080" s="14">
        <v>0.64583333333333337</v>
      </c>
      <c r="K1080" s="20" t="str">
        <f t="shared" si="49"/>
        <v>2nd Shift</v>
      </c>
    </row>
    <row r="1081" spans="1:11" x14ac:dyDescent="0.25">
      <c r="A1081" s="1">
        <v>1080</v>
      </c>
      <c r="B1081" s="1">
        <v>12</v>
      </c>
      <c r="C1081" s="3">
        <v>12115271573001</v>
      </c>
      <c r="D1081" s="2">
        <v>44425.645833333336</v>
      </c>
      <c r="E1081" s="2">
        <v>44425.770833333336</v>
      </c>
      <c r="F1081" s="23">
        <f t="shared" si="48"/>
        <v>0.125</v>
      </c>
      <c r="G1081" s="24">
        <f t="shared" si="50"/>
        <v>100</v>
      </c>
      <c r="H1081" s="1" t="s">
        <v>1</v>
      </c>
      <c r="I1081" s="4" t="s">
        <v>2</v>
      </c>
      <c r="J1081" s="14">
        <v>0.64583333333333337</v>
      </c>
      <c r="K1081" s="20" t="str">
        <f t="shared" si="49"/>
        <v>2nd Shift</v>
      </c>
    </row>
    <row r="1082" spans="1:11" x14ac:dyDescent="0.25">
      <c r="A1082" s="1">
        <v>1081</v>
      </c>
      <c r="B1082" s="1">
        <v>11</v>
      </c>
      <c r="C1082" s="3">
        <v>11115271547019</v>
      </c>
      <c r="D1082" s="2">
        <v>44425.645833333336</v>
      </c>
      <c r="E1082" s="2">
        <v>44425.770833333336</v>
      </c>
      <c r="F1082" s="23">
        <f t="shared" si="48"/>
        <v>0.125</v>
      </c>
      <c r="G1082" s="24">
        <f t="shared" si="50"/>
        <v>100</v>
      </c>
      <c r="H1082" s="1" t="s">
        <v>1</v>
      </c>
      <c r="I1082" s="4" t="s">
        <v>2</v>
      </c>
      <c r="J1082" s="14">
        <v>0.64583333333333337</v>
      </c>
      <c r="K1082" s="20" t="str">
        <f t="shared" si="49"/>
        <v>2nd Shift</v>
      </c>
    </row>
    <row r="1083" spans="1:11" x14ac:dyDescent="0.25">
      <c r="A1083" s="1">
        <v>1082</v>
      </c>
      <c r="B1083" s="1">
        <v>11</v>
      </c>
      <c r="C1083" s="3">
        <v>11115271547009</v>
      </c>
      <c r="D1083" s="2">
        <v>44425.645833333336</v>
      </c>
      <c r="E1083" s="2">
        <v>44425.770833333336</v>
      </c>
      <c r="F1083" s="23">
        <f t="shared" si="48"/>
        <v>0.125</v>
      </c>
      <c r="G1083" s="24">
        <f t="shared" si="50"/>
        <v>100</v>
      </c>
      <c r="H1083" s="1" t="s">
        <v>1</v>
      </c>
      <c r="I1083" s="4" t="s">
        <v>3</v>
      </c>
      <c r="J1083" s="14">
        <v>0.64583333333333337</v>
      </c>
      <c r="K1083" s="20" t="str">
        <f t="shared" si="49"/>
        <v>2nd Shift</v>
      </c>
    </row>
    <row r="1084" spans="1:11" x14ac:dyDescent="0.25">
      <c r="A1084" s="1">
        <v>1083</v>
      </c>
      <c r="B1084" s="1">
        <v>11</v>
      </c>
      <c r="C1084" s="3">
        <v>11115271547003</v>
      </c>
      <c r="D1084" s="2">
        <v>44425.645833333336</v>
      </c>
      <c r="E1084" s="2">
        <v>44425.770833333336</v>
      </c>
      <c r="F1084" s="23">
        <f t="shared" si="48"/>
        <v>0.125</v>
      </c>
      <c r="G1084" s="24">
        <f t="shared" si="50"/>
        <v>100</v>
      </c>
      <c r="H1084" s="1" t="s">
        <v>1</v>
      </c>
      <c r="I1084" s="4" t="s">
        <v>2</v>
      </c>
      <c r="J1084" s="14">
        <v>0.64583333333333337</v>
      </c>
      <c r="K1084" s="20" t="str">
        <f t="shared" si="49"/>
        <v>2nd Shift</v>
      </c>
    </row>
    <row r="1085" spans="1:11" x14ac:dyDescent="0.25">
      <c r="A1085" s="1">
        <v>1084</v>
      </c>
      <c r="B1085" s="1">
        <v>11</v>
      </c>
      <c r="C1085" s="3">
        <v>11115271547002</v>
      </c>
      <c r="D1085" s="2">
        <v>44425.645833333336</v>
      </c>
      <c r="E1085" s="2">
        <v>44425.770833333336</v>
      </c>
      <c r="F1085" s="23">
        <f t="shared" si="48"/>
        <v>0.125</v>
      </c>
      <c r="G1085" s="24">
        <f t="shared" si="50"/>
        <v>100</v>
      </c>
      <c r="H1085" s="1" t="s">
        <v>1</v>
      </c>
      <c r="I1085" s="4" t="s">
        <v>2</v>
      </c>
      <c r="J1085" s="14">
        <v>0.64583333333333337</v>
      </c>
      <c r="K1085" s="20" t="str">
        <f t="shared" si="49"/>
        <v>2nd Shift</v>
      </c>
    </row>
    <row r="1086" spans="1:11" x14ac:dyDescent="0.25">
      <c r="A1086" s="1">
        <v>1085</v>
      </c>
      <c r="B1086" s="1">
        <v>4</v>
      </c>
      <c r="C1086" s="3">
        <v>4115270845511</v>
      </c>
      <c r="D1086" s="2">
        <v>44425.9375</v>
      </c>
      <c r="E1086" s="2">
        <v>44425.979166666664</v>
      </c>
      <c r="F1086" s="23">
        <f t="shared" si="48"/>
        <v>4.1666666664241347E-2</v>
      </c>
      <c r="G1086" s="24">
        <f t="shared" si="50"/>
        <v>300.0000000174623</v>
      </c>
      <c r="H1086" s="1" t="s">
        <v>1</v>
      </c>
      <c r="I1086" s="4" t="s">
        <v>2</v>
      </c>
      <c r="J1086" s="14">
        <v>0.9375</v>
      </c>
      <c r="K1086" s="20" t="str">
        <f t="shared" si="49"/>
        <v>3rd Shift</v>
      </c>
    </row>
    <row r="1087" spans="1:11" x14ac:dyDescent="0.25">
      <c r="A1087" s="1">
        <v>1086</v>
      </c>
      <c r="B1087" s="1">
        <v>4</v>
      </c>
      <c r="C1087" s="3">
        <v>4115270845510</v>
      </c>
      <c r="D1087" s="2">
        <v>44425.9375</v>
      </c>
      <c r="E1087" s="2">
        <v>44425.979166666664</v>
      </c>
      <c r="F1087" s="23">
        <f t="shared" si="48"/>
        <v>4.1666666664241347E-2</v>
      </c>
      <c r="G1087" s="24">
        <f t="shared" si="50"/>
        <v>300.0000000174623</v>
      </c>
      <c r="H1087" s="1" t="s">
        <v>1</v>
      </c>
      <c r="I1087" s="4" t="s">
        <v>3</v>
      </c>
      <c r="J1087" s="14">
        <v>0.9375</v>
      </c>
      <c r="K1087" s="20" t="str">
        <f t="shared" si="49"/>
        <v>3rd Shift</v>
      </c>
    </row>
    <row r="1088" spans="1:11" x14ac:dyDescent="0.25">
      <c r="A1088" s="1">
        <v>1087</v>
      </c>
      <c r="B1088" s="1">
        <v>4</v>
      </c>
      <c r="C1088" s="3">
        <v>4115270845502</v>
      </c>
      <c r="D1088" s="2">
        <v>44425.9375</v>
      </c>
      <c r="E1088" s="2">
        <v>44425.979166666664</v>
      </c>
      <c r="F1088" s="23">
        <f t="shared" si="48"/>
        <v>4.1666666664241347E-2</v>
      </c>
      <c r="G1088" s="24">
        <f t="shared" si="50"/>
        <v>300.0000000174623</v>
      </c>
      <c r="H1088" s="1" t="s">
        <v>1</v>
      </c>
      <c r="I1088" s="4" t="s">
        <v>3</v>
      </c>
      <c r="J1088" s="14">
        <v>0.9375</v>
      </c>
      <c r="K1088" s="20" t="str">
        <f t="shared" si="49"/>
        <v>3rd Shift</v>
      </c>
    </row>
    <row r="1089" spans="1:11" x14ac:dyDescent="0.25">
      <c r="A1089" s="1">
        <v>1088</v>
      </c>
      <c r="B1089" s="1">
        <v>4</v>
      </c>
      <c r="C1089" s="3">
        <v>4115270845501</v>
      </c>
      <c r="D1089" s="2">
        <v>44425.9375</v>
      </c>
      <c r="E1089" s="2">
        <v>44425.979166666664</v>
      </c>
      <c r="F1089" s="23">
        <f t="shared" si="48"/>
        <v>4.1666666664241347E-2</v>
      </c>
      <c r="G1089" s="24">
        <f t="shared" si="50"/>
        <v>300.0000000174623</v>
      </c>
      <c r="H1089" s="1" t="s">
        <v>1</v>
      </c>
      <c r="I1089" s="4" t="s">
        <v>2</v>
      </c>
      <c r="J1089" s="14">
        <v>0.9375</v>
      </c>
      <c r="K1089" s="20" t="str">
        <f t="shared" si="49"/>
        <v>3rd Shift</v>
      </c>
    </row>
    <row r="1090" spans="1:11" x14ac:dyDescent="0.25">
      <c r="A1090" s="1">
        <v>1089</v>
      </c>
      <c r="B1090" s="1">
        <v>4</v>
      </c>
      <c r="C1090" s="3">
        <v>4115270845500</v>
      </c>
      <c r="D1090" s="2">
        <v>44425.9375</v>
      </c>
      <c r="E1090" s="2">
        <v>44425.979166666664</v>
      </c>
      <c r="F1090" s="23">
        <f t="shared" ref="F1090:F1153" si="51">E1090-D1090</f>
        <v>4.1666666664241347E-2</v>
      </c>
      <c r="G1090" s="24">
        <f t="shared" si="50"/>
        <v>300.0000000174623</v>
      </c>
      <c r="H1090" s="1" t="s">
        <v>1</v>
      </c>
      <c r="I1090" s="4" t="s">
        <v>3</v>
      </c>
      <c r="J1090" s="14">
        <v>0.9375</v>
      </c>
      <c r="K1090" s="20" t="str">
        <f t="shared" ref="K1090:K1153" si="52">IF(AND(J1090&gt;=$M$3,J1090&lt;$M$4),"1st Shift",IF(AND(J1090&gt;=$M$4,J1090&lt;$M$5),"2nd Shift","3rd Shift"))</f>
        <v>3rd Shift</v>
      </c>
    </row>
    <row r="1091" spans="1:11" x14ac:dyDescent="0.25">
      <c r="A1091" s="1">
        <v>1090</v>
      </c>
      <c r="B1091" s="1">
        <v>7</v>
      </c>
      <c r="C1091" s="3">
        <v>7115271760001</v>
      </c>
      <c r="D1091" s="2">
        <v>44426.284722222219</v>
      </c>
      <c r="E1091" s="2">
        <v>44426.319444444445</v>
      </c>
      <c r="F1091" s="23">
        <f t="shared" si="51"/>
        <v>3.4722222226264421E-2</v>
      </c>
      <c r="G1091" s="24">
        <f t="shared" ref="G1091:G1154" si="53">$M$9/F1091*100</f>
        <v>359.99999995809048</v>
      </c>
      <c r="H1091" s="1" t="s">
        <v>1</v>
      </c>
      <c r="I1091" s="4" t="s">
        <v>2</v>
      </c>
      <c r="J1091" s="14">
        <v>0.28472222222222221</v>
      </c>
      <c r="K1091" s="20" t="str">
        <f t="shared" si="52"/>
        <v>1st Shift</v>
      </c>
    </row>
    <row r="1092" spans="1:11" x14ac:dyDescent="0.25">
      <c r="A1092" s="1">
        <v>1091</v>
      </c>
      <c r="B1092" s="1">
        <v>14</v>
      </c>
      <c r="C1092" s="3">
        <v>14115271672309</v>
      </c>
      <c r="D1092" s="2">
        <v>44426.326388888891</v>
      </c>
      <c r="E1092" s="2">
        <v>44426.472222222219</v>
      </c>
      <c r="F1092" s="23">
        <f t="shared" si="51"/>
        <v>0.14583333332848269</v>
      </c>
      <c r="G1092" s="24">
        <f t="shared" si="53"/>
        <v>85.714285717136704</v>
      </c>
      <c r="H1092" s="1" t="s">
        <v>1</v>
      </c>
      <c r="I1092" s="4" t="s">
        <v>2</v>
      </c>
      <c r="J1092" s="14">
        <v>0.3263888888888889</v>
      </c>
      <c r="K1092" s="20" t="str">
        <f t="shared" si="52"/>
        <v>1st Shift</v>
      </c>
    </row>
    <row r="1093" spans="1:11" x14ac:dyDescent="0.25">
      <c r="A1093" s="1">
        <v>1092</v>
      </c>
      <c r="B1093" s="1">
        <v>14</v>
      </c>
      <c r="C1093" s="3">
        <v>14115271672256</v>
      </c>
      <c r="D1093" s="2">
        <v>44426.326388888891</v>
      </c>
      <c r="E1093" s="2">
        <v>44426.472222222219</v>
      </c>
      <c r="F1093" s="23">
        <f t="shared" si="51"/>
        <v>0.14583333332848269</v>
      </c>
      <c r="G1093" s="24">
        <f t="shared" si="53"/>
        <v>85.714285717136704</v>
      </c>
      <c r="H1093" s="1" t="s">
        <v>1</v>
      </c>
      <c r="I1093" s="4" t="s">
        <v>2</v>
      </c>
      <c r="J1093" s="14">
        <v>0.3263888888888889</v>
      </c>
      <c r="K1093" s="20" t="str">
        <f t="shared" si="52"/>
        <v>1st Shift</v>
      </c>
    </row>
    <row r="1094" spans="1:11" x14ac:dyDescent="0.25">
      <c r="A1094" s="1">
        <v>1093</v>
      </c>
      <c r="B1094" s="1">
        <v>13</v>
      </c>
      <c r="C1094" s="3">
        <v>13115271649406</v>
      </c>
      <c r="D1094" s="2">
        <v>44426.326388888891</v>
      </c>
      <c r="E1094" s="2">
        <v>44426.472222222219</v>
      </c>
      <c r="F1094" s="23">
        <f t="shared" si="51"/>
        <v>0.14583333332848269</v>
      </c>
      <c r="G1094" s="24">
        <f t="shared" si="53"/>
        <v>85.714285717136704</v>
      </c>
      <c r="H1094" s="1" t="s">
        <v>1</v>
      </c>
      <c r="I1094" s="4" t="s">
        <v>3</v>
      </c>
      <c r="J1094" s="14">
        <v>0.3263888888888889</v>
      </c>
      <c r="K1094" s="20" t="str">
        <f t="shared" si="52"/>
        <v>1st Shift</v>
      </c>
    </row>
    <row r="1095" spans="1:11" x14ac:dyDescent="0.25">
      <c r="A1095" s="1">
        <v>1094</v>
      </c>
      <c r="B1095" s="1">
        <v>2</v>
      </c>
      <c r="C1095" s="3">
        <v>2115270237600</v>
      </c>
      <c r="D1095" s="2">
        <v>44426.326388888891</v>
      </c>
      <c r="E1095" s="2">
        <v>44426.472222222219</v>
      </c>
      <c r="F1095" s="23">
        <f t="shared" si="51"/>
        <v>0.14583333332848269</v>
      </c>
      <c r="G1095" s="24">
        <f t="shared" si="53"/>
        <v>85.714285717136704</v>
      </c>
      <c r="H1095" s="1" t="s">
        <v>1</v>
      </c>
      <c r="I1095" s="4" t="s">
        <v>3</v>
      </c>
      <c r="J1095" s="14">
        <v>0.3263888888888889</v>
      </c>
      <c r="K1095" s="20" t="str">
        <f t="shared" si="52"/>
        <v>1st Shift</v>
      </c>
    </row>
    <row r="1096" spans="1:11" x14ac:dyDescent="0.25">
      <c r="A1096" s="1">
        <v>1095</v>
      </c>
      <c r="B1096" s="1">
        <v>2</v>
      </c>
      <c r="C1096" s="3">
        <v>2115270228806</v>
      </c>
      <c r="D1096" s="2">
        <v>44426.326388888891</v>
      </c>
      <c r="E1096" s="2">
        <v>44426.472222222219</v>
      </c>
      <c r="F1096" s="23">
        <f t="shared" si="51"/>
        <v>0.14583333332848269</v>
      </c>
      <c r="G1096" s="24">
        <f t="shared" si="53"/>
        <v>85.714285717136704</v>
      </c>
      <c r="H1096" s="1" t="s">
        <v>1</v>
      </c>
      <c r="I1096" s="4" t="s">
        <v>3</v>
      </c>
      <c r="J1096" s="14">
        <v>0.3263888888888889</v>
      </c>
      <c r="K1096" s="20" t="str">
        <f t="shared" si="52"/>
        <v>1st Shift</v>
      </c>
    </row>
    <row r="1097" spans="1:11" x14ac:dyDescent="0.25">
      <c r="A1097" s="1">
        <v>1096</v>
      </c>
      <c r="B1097" s="1">
        <v>12</v>
      </c>
      <c r="C1097" s="3">
        <v>12115271565900</v>
      </c>
      <c r="D1097" s="2">
        <v>44426.482638888891</v>
      </c>
      <c r="E1097" s="2">
        <v>44426.586805555555</v>
      </c>
      <c r="F1097" s="23">
        <f t="shared" si="51"/>
        <v>0.10416666666424135</v>
      </c>
      <c r="G1097" s="24">
        <f t="shared" si="53"/>
        <v>120.00000000279397</v>
      </c>
      <c r="H1097" s="1" t="s">
        <v>1</v>
      </c>
      <c r="I1097" s="4" t="s">
        <v>2</v>
      </c>
      <c r="J1097" s="14">
        <v>0.4826388888888889</v>
      </c>
      <c r="K1097" s="20" t="str">
        <f t="shared" si="52"/>
        <v>1st Shift</v>
      </c>
    </row>
    <row r="1098" spans="1:11" x14ac:dyDescent="0.25">
      <c r="A1098" s="1">
        <v>1097</v>
      </c>
      <c r="B1098" s="1">
        <v>11</v>
      </c>
      <c r="C1098" s="3">
        <v>11115271506801</v>
      </c>
      <c r="D1098" s="2">
        <v>44426.482638888891</v>
      </c>
      <c r="E1098" s="2">
        <v>44426.586805555555</v>
      </c>
      <c r="F1098" s="23">
        <f t="shared" si="51"/>
        <v>0.10416666666424135</v>
      </c>
      <c r="G1098" s="24">
        <f t="shared" si="53"/>
        <v>120.00000000279397</v>
      </c>
      <c r="H1098" s="1" t="s">
        <v>1</v>
      </c>
      <c r="I1098" s="4" t="s">
        <v>2</v>
      </c>
      <c r="J1098" s="14">
        <v>0.4826388888888889</v>
      </c>
      <c r="K1098" s="20" t="str">
        <f t="shared" si="52"/>
        <v>1st Shift</v>
      </c>
    </row>
    <row r="1099" spans="1:11" x14ac:dyDescent="0.25">
      <c r="A1099" s="1">
        <v>1098</v>
      </c>
      <c r="B1099" s="1">
        <v>7</v>
      </c>
      <c r="C1099" s="3">
        <v>7115271760308</v>
      </c>
      <c r="D1099" s="2">
        <v>44426.482638888891</v>
      </c>
      <c r="E1099" s="2">
        <v>44426.586805555555</v>
      </c>
      <c r="F1099" s="23">
        <f t="shared" si="51"/>
        <v>0.10416666666424135</v>
      </c>
      <c r="G1099" s="24">
        <f t="shared" si="53"/>
        <v>120.00000000279397</v>
      </c>
      <c r="H1099" s="1" t="s">
        <v>1</v>
      </c>
      <c r="I1099" s="4" t="s">
        <v>2</v>
      </c>
      <c r="J1099" s="14">
        <v>0.4826388888888889</v>
      </c>
      <c r="K1099" s="20" t="str">
        <f t="shared" si="52"/>
        <v>1st Shift</v>
      </c>
    </row>
    <row r="1100" spans="1:11" x14ac:dyDescent="0.25">
      <c r="A1100" s="1">
        <v>1099</v>
      </c>
      <c r="B1100" s="1">
        <v>3</v>
      </c>
      <c r="C1100" s="3">
        <v>3115270306702</v>
      </c>
      <c r="D1100" s="2">
        <v>44426.482638888891</v>
      </c>
      <c r="E1100" s="2">
        <v>44426.586805555555</v>
      </c>
      <c r="F1100" s="23">
        <f t="shared" si="51"/>
        <v>0.10416666666424135</v>
      </c>
      <c r="G1100" s="24">
        <f t="shared" si="53"/>
        <v>120.00000000279397</v>
      </c>
      <c r="H1100" s="1" t="s">
        <v>1</v>
      </c>
      <c r="I1100" s="4" t="s">
        <v>3</v>
      </c>
      <c r="J1100" s="14">
        <v>0.4826388888888889</v>
      </c>
      <c r="K1100" s="20" t="str">
        <f t="shared" si="52"/>
        <v>1st Shift</v>
      </c>
    </row>
    <row r="1101" spans="1:11" x14ac:dyDescent="0.25">
      <c r="A1101" s="1">
        <v>1100</v>
      </c>
      <c r="B1101" s="1">
        <v>15</v>
      </c>
      <c r="C1101" s="3">
        <v>15115271743500</v>
      </c>
      <c r="D1101" s="2">
        <v>44426.774305555555</v>
      </c>
      <c r="E1101" s="2">
        <v>44426.916666666664</v>
      </c>
      <c r="F1101" s="23">
        <f t="shared" si="51"/>
        <v>0.14236111110949423</v>
      </c>
      <c r="G1101" s="24">
        <f t="shared" si="53"/>
        <v>87.804878049777741</v>
      </c>
      <c r="H1101" s="1" t="s">
        <v>1</v>
      </c>
      <c r="I1101" s="4" t="s">
        <v>3</v>
      </c>
      <c r="J1101" s="14">
        <v>0.77430555555555558</v>
      </c>
      <c r="K1101" s="20" t="str">
        <f t="shared" si="52"/>
        <v>2nd Shift</v>
      </c>
    </row>
    <row r="1102" spans="1:11" x14ac:dyDescent="0.25">
      <c r="A1102" s="1">
        <v>1101</v>
      </c>
      <c r="B1102" s="1">
        <v>14</v>
      </c>
      <c r="C1102" s="3">
        <v>14115271672351</v>
      </c>
      <c r="D1102" s="2">
        <v>44426.774305555555</v>
      </c>
      <c r="E1102" s="2">
        <v>44426.916666666664</v>
      </c>
      <c r="F1102" s="23">
        <f t="shared" si="51"/>
        <v>0.14236111110949423</v>
      </c>
      <c r="G1102" s="24">
        <f t="shared" si="53"/>
        <v>87.804878049777741</v>
      </c>
      <c r="H1102" s="1" t="s">
        <v>1</v>
      </c>
      <c r="I1102" s="4" t="s">
        <v>2</v>
      </c>
      <c r="J1102" s="14">
        <v>0.77430555555555558</v>
      </c>
      <c r="K1102" s="20" t="str">
        <f t="shared" si="52"/>
        <v>2nd Shift</v>
      </c>
    </row>
    <row r="1103" spans="1:11" x14ac:dyDescent="0.25">
      <c r="A1103" s="1">
        <v>1102</v>
      </c>
      <c r="B1103" s="1">
        <v>6</v>
      </c>
      <c r="C1103" s="3">
        <v>6115271738700</v>
      </c>
      <c r="D1103" s="2">
        <v>44426.774305555555</v>
      </c>
      <c r="E1103" s="2">
        <v>44426.916666666664</v>
      </c>
      <c r="F1103" s="23">
        <f t="shared" si="51"/>
        <v>0.14236111110949423</v>
      </c>
      <c r="G1103" s="24">
        <f t="shared" si="53"/>
        <v>87.804878049777741</v>
      </c>
      <c r="H1103" s="1" t="s">
        <v>1</v>
      </c>
      <c r="I1103" s="4" t="s">
        <v>3</v>
      </c>
      <c r="J1103" s="14">
        <v>0.77430555555555558</v>
      </c>
      <c r="K1103" s="20" t="str">
        <f t="shared" si="52"/>
        <v>2nd Shift</v>
      </c>
    </row>
    <row r="1104" spans="1:11" x14ac:dyDescent="0.25">
      <c r="A1104" s="1">
        <v>1103</v>
      </c>
      <c r="B1104" s="1">
        <v>6</v>
      </c>
      <c r="C1104" s="3">
        <v>6115271720806</v>
      </c>
      <c r="D1104" s="2">
        <v>44426.774305555555</v>
      </c>
      <c r="E1104" s="2">
        <v>44426.916666666664</v>
      </c>
      <c r="F1104" s="23">
        <f t="shared" si="51"/>
        <v>0.14236111110949423</v>
      </c>
      <c r="G1104" s="24">
        <f t="shared" si="53"/>
        <v>87.804878049777741</v>
      </c>
      <c r="H1104" s="1" t="s">
        <v>1</v>
      </c>
      <c r="I1104" s="4" t="s">
        <v>3</v>
      </c>
      <c r="J1104" s="14">
        <v>0.77430555555555558</v>
      </c>
      <c r="K1104" s="20" t="str">
        <f t="shared" si="52"/>
        <v>2nd Shift</v>
      </c>
    </row>
    <row r="1105" spans="1:11" x14ac:dyDescent="0.25">
      <c r="A1105" s="1">
        <v>1104</v>
      </c>
      <c r="B1105" s="1">
        <v>3</v>
      </c>
      <c r="C1105" s="3">
        <v>3115270344701</v>
      </c>
      <c r="D1105" s="2">
        <v>44426.774305555555</v>
      </c>
      <c r="E1105" s="2">
        <v>44426.916666666664</v>
      </c>
      <c r="F1105" s="23">
        <f t="shared" si="51"/>
        <v>0.14236111110949423</v>
      </c>
      <c r="G1105" s="24">
        <f t="shared" si="53"/>
        <v>87.804878049777741</v>
      </c>
      <c r="H1105" s="1" t="s">
        <v>1</v>
      </c>
      <c r="I1105" s="4" t="s">
        <v>3</v>
      </c>
      <c r="J1105" s="14">
        <v>0.77430555555555558</v>
      </c>
      <c r="K1105" s="20" t="str">
        <f t="shared" si="52"/>
        <v>2nd Shift</v>
      </c>
    </row>
    <row r="1106" spans="1:11" x14ac:dyDescent="0.25">
      <c r="A1106" s="1">
        <v>1105</v>
      </c>
      <c r="B1106" s="1">
        <v>1</v>
      </c>
      <c r="C1106" s="3">
        <v>1115270142504</v>
      </c>
      <c r="D1106" s="2">
        <v>44426.774305555555</v>
      </c>
      <c r="E1106" s="2">
        <v>44426.916666666664</v>
      </c>
      <c r="F1106" s="23">
        <f t="shared" si="51"/>
        <v>0.14236111110949423</v>
      </c>
      <c r="G1106" s="24">
        <f t="shared" si="53"/>
        <v>87.804878049777741</v>
      </c>
      <c r="H1106" s="1" t="s">
        <v>1</v>
      </c>
      <c r="I1106" s="4" t="s">
        <v>2</v>
      </c>
      <c r="J1106" s="14">
        <v>0.77430555555555558</v>
      </c>
      <c r="K1106" s="20" t="str">
        <f t="shared" si="52"/>
        <v>2nd Shift</v>
      </c>
    </row>
    <row r="1107" spans="1:11" x14ac:dyDescent="0.25">
      <c r="A1107" s="1">
        <v>1106</v>
      </c>
      <c r="B1107" s="1">
        <v>1</v>
      </c>
      <c r="C1107" s="3">
        <v>1115270109401</v>
      </c>
      <c r="D1107" s="2">
        <v>44426.774305555555</v>
      </c>
      <c r="E1107" s="2">
        <v>44426.916666666664</v>
      </c>
      <c r="F1107" s="23">
        <f t="shared" si="51"/>
        <v>0.14236111110949423</v>
      </c>
      <c r="G1107" s="24">
        <f t="shared" si="53"/>
        <v>87.804878049777741</v>
      </c>
      <c r="H1107" s="1" t="s">
        <v>1</v>
      </c>
      <c r="I1107" s="4" t="s">
        <v>2</v>
      </c>
      <c r="J1107" s="14">
        <v>0.77430555555555558</v>
      </c>
      <c r="K1107" s="20" t="str">
        <f t="shared" si="52"/>
        <v>2nd Shift</v>
      </c>
    </row>
    <row r="1108" spans="1:11" x14ac:dyDescent="0.25">
      <c r="A1108" s="1">
        <v>1107</v>
      </c>
      <c r="B1108" s="1">
        <v>6</v>
      </c>
      <c r="C1108" s="3">
        <v>6115271720801</v>
      </c>
      <c r="D1108" s="2">
        <v>44426.465277777781</v>
      </c>
      <c r="E1108" s="2">
        <v>44427.0625</v>
      </c>
      <c r="F1108" s="23">
        <f t="shared" si="51"/>
        <v>0.59722222221898846</v>
      </c>
      <c r="G1108" s="24">
        <f t="shared" si="53"/>
        <v>20.930232558252865</v>
      </c>
      <c r="H1108" s="1" t="s">
        <v>1</v>
      </c>
      <c r="I1108" s="4" t="s">
        <v>2</v>
      </c>
      <c r="J1108" s="14">
        <v>0.46527777777777779</v>
      </c>
      <c r="K1108" s="20" t="str">
        <f t="shared" si="52"/>
        <v>1st Shift</v>
      </c>
    </row>
    <row r="1109" spans="1:11" x14ac:dyDescent="0.25">
      <c r="A1109" s="1">
        <v>1108</v>
      </c>
      <c r="B1109" s="1">
        <v>3</v>
      </c>
      <c r="C1109" s="3">
        <v>3115270306701</v>
      </c>
      <c r="D1109" s="2">
        <v>44426.465277777781</v>
      </c>
      <c r="E1109" s="2">
        <v>44427.0625</v>
      </c>
      <c r="F1109" s="23">
        <f t="shared" si="51"/>
        <v>0.59722222221898846</v>
      </c>
      <c r="G1109" s="24">
        <f t="shared" si="53"/>
        <v>20.930232558252865</v>
      </c>
      <c r="H1109" s="1" t="s">
        <v>1</v>
      </c>
      <c r="I1109" s="4" t="s">
        <v>2</v>
      </c>
      <c r="J1109" s="14">
        <v>0.46527777777777779</v>
      </c>
      <c r="K1109" s="20" t="str">
        <f t="shared" si="52"/>
        <v>1st Shift</v>
      </c>
    </row>
    <row r="1110" spans="1:11" x14ac:dyDescent="0.25">
      <c r="A1110" s="1">
        <v>1109</v>
      </c>
      <c r="B1110" s="1">
        <v>15</v>
      </c>
      <c r="C1110" s="3">
        <v>15115271795019</v>
      </c>
      <c r="D1110" s="2">
        <v>44427.3125</v>
      </c>
      <c r="E1110" s="2">
        <v>44427.555555555555</v>
      </c>
      <c r="F1110" s="23">
        <f t="shared" si="51"/>
        <v>0.24305555555474712</v>
      </c>
      <c r="G1110" s="24">
        <f t="shared" si="53"/>
        <v>51.428571428742487</v>
      </c>
      <c r="H1110" s="1" t="s">
        <v>1</v>
      </c>
      <c r="I1110" s="4" t="s">
        <v>3</v>
      </c>
      <c r="J1110" s="14">
        <v>0.3125</v>
      </c>
      <c r="K1110" s="20" t="str">
        <f t="shared" si="52"/>
        <v>1st Shift</v>
      </c>
    </row>
    <row r="1111" spans="1:11" x14ac:dyDescent="0.25">
      <c r="A1111" s="1">
        <v>1110</v>
      </c>
      <c r="B1111" s="1">
        <v>13</v>
      </c>
      <c r="C1111" s="3">
        <v>13115271590400</v>
      </c>
      <c r="D1111" s="2">
        <v>44427.3125</v>
      </c>
      <c r="E1111" s="2">
        <v>44427.555555555555</v>
      </c>
      <c r="F1111" s="23">
        <f t="shared" si="51"/>
        <v>0.24305555555474712</v>
      </c>
      <c r="G1111" s="24">
        <f t="shared" si="53"/>
        <v>51.428571428742487</v>
      </c>
      <c r="H1111" s="1" t="s">
        <v>1</v>
      </c>
      <c r="I1111" s="4" t="s">
        <v>3</v>
      </c>
      <c r="J1111" s="14">
        <v>0.3125</v>
      </c>
      <c r="K1111" s="20" t="str">
        <f t="shared" si="52"/>
        <v>1st Shift</v>
      </c>
    </row>
    <row r="1112" spans="1:11" x14ac:dyDescent="0.25">
      <c r="A1112" s="1">
        <v>1111</v>
      </c>
      <c r="B1112" s="1">
        <v>12</v>
      </c>
      <c r="C1112" s="3">
        <v>12115271575120</v>
      </c>
      <c r="D1112" s="2">
        <v>44427.3125</v>
      </c>
      <c r="E1112" s="2">
        <v>44427.555555555555</v>
      </c>
      <c r="F1112" s="23">
        <f t="shared" si="51"/>
        <v>0.24305555555474712</v>
      </c>
      <c r="G1112" s="24">
        <f t="shared" si="53"/>
        <v>51.428571428742487</v>
      </c>
      <c r="H1112" s="1" t="s">
        <v>1</v>
      </c>
      <c r="I1112" s="4" t="s">
        <v>3</v>
      </c>
      <c r="J1112" s="14">
        <v>0.3125</v>
      </c>
      <c r="K1112" s="20" t="str">
        <f t="shared" si="52"/>
        <v>1st Shift</v>
      </c>
    </row>
    <row r="1113" spans="1:11" x14ac:dyDescent="0.25">
      <c r="A1113" s="1">
        <v>1112</v>
      </c>
      <c r="B1113" s="1">
        <v>11</v>
      </c>
      <c r="C1113" s="3">
        <v>11115271546600</v>
      </c>
      <c r="D1113" s="2">
        <v>44427.3125</v>
      </c>
      <c r="E1113" s="2">
        <v>44427.555555555555</v>
      </c>
      <c r="F1113" s="23">
        <f t="shared" si="51"/>
        <v>0.24305555555474712</v>
      </c>
      <c r="G1113" s="24">
        <f t="shared" si="53"/>
        <v>51.428571428742487</v>
      </c>
      <c r="H1113" s="1" t="s">
        <v>1</v>
      </c>
      <c r="I1113" s="4" t="s">
        <v>3</v>
      </c>
      <c r="J1113" s="14">
        <v>0.3125</v>
      </c>
      <c r="K1113" s="20" t="str">
        <f t="shared" si="52"/>
        <v>1st Shift</v>
      </c>
    </row>
    <row r="1114" spans="1:11" x14ac:dyDescent="0.25">
      <c r="A1114" s="1">
        <v>1113</v>
      </c>
      <c r="B1114" s="1">
        <v>10</v>
      </c>
      <c r="C1114" s="3">
        <v>10115271958200</v>
      </c>
      <c r="D1114" s="2">
        <v>44427.3125</v>
      </c>
      <c r="E1114" s="2">
        <v>44427.555555555555</v>
      </c>
      <c r="F1114" s="23">
        <f t="shared" si="51"/>
        <v>0.24305555555474712</v>
      </c>
      <c r="G1114" s="24">
        <f t="shared" si="53"/>
        <v>51.428571428742487</v>
      </c>
      <c r="H1114" s="1" t="s">
        <v>1</v>
      </c>
      <c r="I1114" s="4" t="s">
        <v>3</v>
      </c>
      <c r="J1114" s="14">
        <v>0.3125</v>
      </c>
      <c r="K1114" s="20" t="str">
        <f t="shared" si="52"/>
        <v>1st Shift</v>
      </c>
    </row>
    <row r="1115" spans="1:11" x14ac:dyDescent="0.25">
      <c r="A1115" s="1">
        <v>1114</v>
      </c>
      <c r="B1115" s="1">
        <v>10</v>
      </c>
      <c r="C1115" s="3">
        <v>10115271410201</v>
      </c>
      <c r="D1115" s="2">
        <v>44427.3125</v>
      </c>
      <c r="E1115" s="2">
        <v>44427.555555555555</v>
      </c>
      <c r="F1115" s="23">
        <f t="shared" si="51"/>
        <v>0.24305555555474712</v>
      </c>
      <c r="G1115" s="24">
        <f t="shared" si="53"/>
        <v>51.428571428742487</v>
      </c>
      <c r="H1115" s="1" t="s">
        <v>1</v>
      </c>
      <c r="I1115" s="4" t="s">
        <v>2</v>
      </c>
      <c r="J1115" s="14">
        <v>0.3125</v>
      </c>
      <c r="K1115" s="20" t="str">
        <f t="shared" si="52"/>
        <v>1st Shift</v>
      </c>
    </row>
    <row r="1116" spans="1:11" x14ac:dyDescent="0.25">
      <c r="A1116" s="1">
        <v>1115</v>
      </c>
      <c r="B1116" s="1">
        <v>8</v>
      </c>
      <c r="C1116" s="3">
        <v>8115271810106</v>
      </c>
      <c r="D1116" s="2">
        <v>44427.3125</v>
      </c>
      <c r="E1116" s="2">
        <v>44427.555555555555</v>
      </c>
      <c r="F1116" s="23">
        <f t="shared" si="51"/>
        <v>0.24305555555474712</v>
      </c>
      <c r="G1116" s="24">
        <f t="shared" si="53"/>
        <v>51.428571428742487</v>
      </c>
      <c r="H1116" s="1" t="s">
        <v>1</v>
      </c>
      <c r="I1116" s="4" t="s">
        <v>2</v>
      </c>
      <c r="J1116" s="14">
        <v>0.3125</v>
      </c>
      <c r="K1116" s="20" t="str">
        <f t="shared" si="52"/>
        <v>1st Shift</v>
      </c>
    </row>
    <row r="1117" spans="1:11" x14ac:dyDescent="0.25">
      <c r="A1117" s="1">
        <v>1116</v>
      </c>
      <c r="B1117" s="1">
        <v>7</v>
      </c>
      <c r="C1117" s="3">
        <v>7115271791100</v>
      </c>
      <c r="D1117" s="2">
        <v>44427.3125</v>
      </c>
      <c r="E1117" s="2">
        <v>44427.555555555555</v>
      </c>
      <c r="F1117" s="23">
        <f t="shared" si="51"/>
        <v>0.24305555555474712</v>
      </c>
      <c r="G1117" s="24">
        <f t="shared" si="53"/>
        <v>51.428571428742487</v>
      </c>
      <c r="H1117" s="1" t="s">
        <v>1</v>
      </c>
      <c r="I1117" s="4" t="s">
        <v>3</v>
      </c>
      <c r="J1117" s="14">
        <v>0.3125</v>
      </c>
      <c r="K1117" s="20" t="str">
        <f t="shared" si="52"/>
        <v>1st Shift</v>
      </c>
    </row>
    <row r="1118" spans="1:11" x14ac:dyDescent="0.25">
      <c r="A1118" s="1">
        <v>1117</v>
      </c>
      <c r="B1118" s="1">
        <v>7</v>
      </c>
      <c r="C1118" s="3">
        <v>7115271766012</v>
      </c>
      <c r="D1118" s="2">
        <v>44427.3125</v>
      </c>
      <c r="E1118" s="2">
        <v>44427.555555555555</v>
      </c>
      <c r="F1118" s="23">
        <f t="shared" si="51"/>
        <v>0.24305555555474712</v>
      </c>
      <c r="G1118" s="24">
        <f t="shared" si="53"/>
        <v>51.428571428742487</v>
      </c>
      <c r="H1118" s="1" t="s">
        <v>1</v>
      </c>
      <c r="I1118" s="4" t="s">
        <v>2</v>
      </c>
      <c r="J1118" s="14">
        <v>0.3125</v>
      </c>
      <c r="K1118" s="20" t="str">
        <f t="shared" si="52"/>
        <v>1st Shift</v>
      </c>
    </row>
    <row r="1119" spans="1:11" x14ac:dyDescent="0.25">
      <c r="A1119" s="1">
        <v>1118</v>
      </c>
      <c r="B1119" s="1">
        <v>7</v>
      </c>
      <c r="C1119" s="3">
        <v>7115271765620</v>
      </c>
      <c r="D1119" s="2">
        <v>44427.3125</v>
      </c>
      <c r="E1119" s="2">
        <v>44427.555555555555</v>
      </c>
      <c r="F1119" s="23">
        <f t="shared" si="51"/>
        <v>0.24305555555474712</v>
      </c>
      <c r="G1119" s="24">
        <f t="shared" si="53"/>
        <v>51.428571428742487</v>
      </c>
      <c r="H1119" s="1" t="s">
        <v>1</v>
      </c>
      <c r="I1119" s="4" t="s">
        <v>3</v>
      </c>
      <c r="J1119" s="14">
        <v>0.3125</v>
      </c>
      <c r="K1119" s="20" t="str">
        <f t="shared" si="52"/>
        <v>1st Shift</v>
      </c>
    </row>
    <row r="1120" spans="1:11" x14ac:dyDescent="0.25">
      <c r="A1120" s="1">
        <v>1119</v>
      </c>
      <c r="B1120" s="1">
        <v>1</v>
      </c>
      <c r="C1120" s="3">
        <v>1115270145900</v>
      </c>
      <c r="D1120" s="2">
        <v>44427.3125</v>
      </c>
      <c r="E1120" s="2">
        <v>44427.555555555555</v>
      </c>
      <c r="F1120" s="23">
        <f t="shared" si="51"/>
        <v>0.24305555555474712</v>
      </c>
      <c r="G1120" s="24">
        <f t="shared" si="53"/>
        <v>51.428571428742487</v>
      </c>
      <c r="H1120" s="1" t="s">
        <v>1</v>
      </c>
      <c r="I1120" s="4" t="s">
        <v>3</v>
      </c>
      <c r="J1120" s="14">
        <v>0.3125</v>
      </c>
      <c r="K1120" s="20" t="str">
        <f t="shared" si="52"/>
        <v>1st Shift</v>
      </c>
    </row>
    <row r="1121" spans="1:11" x14ac:dyDescent="0.25">
      <c r="A1121" s="1">
        <v>1120</v>
      </c>
      <c r="B1121" s="1">
        <v>1</v>
      </c>
      <c r="C1121" s="3">
        <v>1115270142100</v>
      </c>
      <c r="D1121" s="2">
        <v>44427.3125</v>
      </c>
      <c r="E1121" s="2">
        <v>44427.555555555555</v>
      </c>
      <c r="F1121" s="23">
        <f t="shared" si="51"/>
        <v>0.24305555555474712</v>
      </c>
      <c r="G1121" s="24">
        <f t="shared" si="53"/>
        <v>51.428571428742487</v>
      </c>
      <c r="H1121" s="1" t="s">
        <v>1</v>
      </c>
      <c r="I1121" s="4" t="s">
        <v>3</v>
      </c>
      <c r="J1121" s="14">
        <v>0.3125</v>
      </c>
      <c r="K1121" s="20" t="str">
        <f t="shared" si="52"/>
        <v>1st Shift</v>
      </c>
    </row>
    <row r="1122" spans="1:11" x14ac:dyDescent="0.25">
      <c r="A1122" s="1">
        <v>1121</v>
      </c>
      <c r="B1122" s="1">
        <v>15</v>
      </c>
      <c r="C1122" s="3">
        <v>15115271743405</v>
      </c>
      <c r="D1122" s="2">
        <v>44427.652777777781</v>
      </c>
      <c r="E1122" s="2">
        <v>44427.677083333336</v>
      </c>
      <c r="F1122" s="23">
        <f t="shared" si="51"/>
        <v>2.4305555554747116E-2</v>
      </c>
      <c r="G1122" s="24">
        <f t="shared" si="53"/>
        <v>514.28571430282022</v>
      </c>
      <c r="H1122" s="1" t="s">
        <v>1</v>
      </c>
      <c r="I1122" s="4" t="s">
        <v>2</v>
      </c>
      <c r="J1122" s="14">
        <v>0.65277777777777779</v>
      </c>
      <c r="K1122" s="20" t="str">
        <f t="shared" si="52"/>
        <v>2nd Shift</v>
      </c>
    </row>
    <row r="1123" spans="1:11" x14ac:dyDescent="0.25">
      <c r="A1123" s="1">
        <v>1122</v>
      </c>
      <c r="B1123" s="1">
        <v>7</v>
      </c>
      <c r="C1123" s="3">
        <v>7115271806811</v>
      </c>
      <c r="D1123" s="2">
        <v>44427.652777777781</v>
      </c>
      <c r="E1123" s="2">
        <v>44427.677083333336</v>
      </c>
      <c r="F1123" s="23">
        <f t="shared" si="51"/>
        <v>2.4305555554747116E-2</v>
      </c>
      <c r="G1123" s="24">
        <f t="shared" si="53"/>
        <v>514.28571430282022</v>
      </c>
      <c r="H1123" s="1" t="s">
        <v>1</v>
      </c>
      <c r="I1123" s="4" t="s">
        <v>2</v>
      </c>
      <c r="J1123" s="14">
        <v>0.65277777777777779</v>
      </c>
      <c r="K1123" s="20" t="str">
        <f t="shared" si="52"/>
        <v>2nd Shift</v>
      </c>
    </row>
    <row r="1124" spans="1:11" x14ac:dyDescent="0.25">
      <c r="A1124" s="1">
        <v>1123</v>
      </c>
      <c r="B1124" s="1">
        <v>13</v>
      </c>
      <c r="C1124" s="3">
        <v>13115271590401</v>
      </c>
      <c r="D1124" s="2">
        <v>44427.760416666664</v>
      </c>
      <c r="E1124" s="2">
        <v>44427.861111111109</v>
      </c>
      <c r="F1124" s="23">
        <f t="shared" si="51"/>
        <v>0.10069444444525288</v>
      </c>
      <c r="G1124" s="24">
        <f t="shared" si="53"/>
        <v>124.1379310334861</v>
      </c>
      <c r="H1124" s="1" t="s">
        <v>1</v>
      </c>
      <c r="I1124" s="4" t="s">
        <v>2</v>
      </c>
      <c r="J1124" s="14">
        <v>0.76041666666666663</v>
      </c>
      <c r="K1124" s="20" t="str">
        <f t="shared" si="52"/>
        <v>2nd Shift</v>
      </c>
    </row>
    <row r="1125" spans="1:11" x14ac:dyDescent="0.25">
      <c r="A1125" s="1">
        <v>1124</v>
      </c>
      <c r="B1125" s="1">
        <v>10</v>
      </c>
      <c r="C1125" s="3">
        <v>10115271460400</v>
      </c>
      <c r="D1125" s="2">
        <v>44427.760416666664</v>
      </c>
      <c r="E1125" s="2">
        <v>44427.861111111109</v>
      </c>
      <c r="F1125" s="23">
        <f t="shared" si="51"/>
        <v>0.10069444444525288</v>
      </c>
      <c r="G1125" s="24">
        <f t="shared" si="53"/>
        <v>124.1379310334861</v>
      </c>
      <c r="H1125" s="1" t="s">
        <v>1</v>
      </c>
      <c r="I1125" s="4" t="s">
        <v>2</v>
      </c>
      <c r="J1125" s="14">
        <v>0.76041666666666663</v>
      </c>
      <c r="K1125" s="20" t="str">
        <f t="shared" si="52"/>
        <v>2nd Shift</v>
      </c>
    </row>
    <row r="1126" spans="1:11" x14ac:dyDescent="0.25">
      <c r="A1126" s="1">
        <v>1125</v>
      </c>
      <c r="B1126" s="1">
        <v>9</v>
      </c>
      <c r="C1126" s="3">
        <v>9115270640101</v>
      </c>
      <c r="D1126" s="2">
        <v>44427.760416666664</v>
      </c>
      <c r="E1126" s="2">
        <v>44427.861111111109</v>
      </c>
      <c r="F1126" s="23">
        <f t="shared" si="51"/>
        <v>0.10069444444525288</v>
      </c>
      <c r="G1126" s="24">
        <f t="shared" si="53"/>
        <v>124.1379310334861</v>
      </c>
      <c r="H1126" s="1" t="s">
        <v>1</v>
      </c>
      <c r="I1126" s="4" t="s">
        <v>2</v>
      </c>
      <c r="J1126" s="14">
        <v>0.76041666666666663</v>
      </c>
      <c r="K1126" s="20" t="str">
        <f t="shared" si="52"/>
        <v>2nd Shift</v>
      </c>
    </row>
    <row r="1127" spans="1:11" x14ac:dyDescent="0.25">
      <c r="A1127" s="1">
        <v>1126</v>
      </c>
      <c r="B1127" s="1">
        <v>8</v>
      </c>
      <c r="C1127" s="3">
        <v>8115271865407</v>
      </c>
      <c r="D1127" s="2">
        <v>44427.760416666664</v>
      </c>
      <c r="E1127" s="2">
        <v>44427.861111111109</v>
      </c>
      <c r="F1127" s="23">
        <f t="shared" si="51"/>
        <v>0.10069444444525288</v>
      </c>
      <c r="G1127" s="24">
        <f t="shared" si="53"/>
        <v>124.1379310334861</v>
      </c>
      <c r="H1127" s="1" t="s">
        <v>1</v>
      </c>
      <c r="I1127" s="4" t="s">
        <v>3</v>
      </c>
      <c r="J1127" s="14">
        <v>0.76041666666666663</v>
      </c>
      <c r="K1127" s="20" t="str">
        <f t="shared" si="52"/>
        <v>2nd Shift</v>
      </c>
    </row>
    <row r="1128" spans="1:11" x14ac:dyDescent="0.25">
      <c r="A1128" s="1">
        <v>1127</v>
      </c>
      <c r="B1128" s="1">
        <v>6</v>
      </c>
      <c r="C1128" s="3">
        <v>6115271751106</v>
      </c>
      <c r="D1128" s="2">
        <v>44427.760416666664</v>
      </c>
      <c r="E1128" s="2">
        <v>44427.861111111109</v>
      </c>
      <c r="F1128" s="23">
        <f t="shared" si="51"/>
        <v>0.10069444444525288</v>
      </c>
      <c r="G1128" s="24">
        <f t="shared" si="53"/>
        <v>124.1379310334861</v>
      </c>
      <c r="H1128" s="1" t="s">
        <v>1</v>
      </c>
      <c r="I1128" s="4" t="s">
        <v>2</v>
      </c>
      <c r="J1128" s="14">
        <v>0.76041666666666663</v>
      </c>
      <c r="K1128" s="20" t="str">
        <f t="shared" si="52"/>
        <v>2nd Shift</v>
      </c>
    </row>
    <row r="1129" spans="1:11" x14ac:dyDescent="0.25">
      <c r="A1129" s="1">
        <v>1128</v>
      </c>
      <c r="B1129" s="1">
        <v>10</v>
      </c>
      <c r="C1129" s="3">
        <v>10115271476205</v>
      </c>
      <c r="D1129" s="2">
        <v>44427.881944444445</v>
      </c>
      <c r="E1129" s="2">
        <v>44427.940972222219</v>
      </c>
      <c r="F1129" s="23">
        <f t="shared" si="51"/>
        <v>5.9027777773735579E-2</v>
      </c>
      <c r="G1129" s="24">
        <f t="shared" si="53"/>
        <v>211.76470589685451</v>
      </c>
      <c r="H1129" s="1" t="s">
        <v>1</v>
      </c>
      <c r="I1129" s="4" t="s">
        <v>2</v>
      </c>
      <c r="J1129" s="14">
        <v>0.88194444444444442</v>
      </c>
      <c r="K1129" s="20" t="str">
        <f t="shared" si="52"/>
        <v>2nd Shift</v>
      </c>
    </row>
    <row r="1130" spans="1:11" x14ac:dyDescent="0.25">
      <c r="A1130" s="1">
        <v>1129</v>
      </c>
      <c r="B1130" s="1">
        <v>7</v>
      </c>
      <c r="C1130" s="3">
        <v>7115271773606</v>
      </c>
      <c r="D1130" s="2">
        <v>44427.881944444445</v>
      </c>
      <c r="E1130" s="2">
        <v>44427.940972222219</v>
      </c>
      <c r="F1130" s="23">
        <f t="shared" si="51"/>
        <v>5.9027777773735579E-2</v>
      </c>
      <c r="G1130" s="24">
        <f t="shared" si="53"/>
        <v>211.76470589685451</v>
      </c>
      <c r="H1130" s="1" t="s">
        <v>1</v>
      </c>
      <c r="I1130" s="4" t="s">
        <v>2</v>
      </c>
      <c r="J1130" s="14">
        <v>0.88194444444444442</v>
      </c>
      <c r="K1130" s="20" t="str">
        <f t="shared" si="52"/>
        <v>2nd Shift</v>
      </c>
    </row>
    <row r="1131" spans="1:11" x14ac:dyDescent="0.25">
      <c r="A1131" s="1">
        <v>1130</v>
      </c>
      <c r="B1131" s="1">
        <v>2</v>
      </c>
      <c r="C1131" s="3">
        <v>2115270154900</v>
      </c>
      <c r="D1131" s="2">
        <v>44427.881944444445</v>
      </c>
      <c r="E1131" s="2">
        <v>44427.940972222219</v>
      </c>
      <c r="F1131" s="23">
        <f t="shared" si="51"/>
        <v>5.9027777773735579E-2</v>
      </c>
      <c r="G1131" s="24">
        <f t="shared" si="53"/>
        <v>211.76470589685451</v>
      </c>
      <c r="H1131" s="1" t="s">
        <v>1</v>
      </c>
      <c r="I1131" s="4" t="s">
        <v>2</v>
      </c>
      <c r="J1131" s="14">
        <v>0.88194444444444442</v>
      </c>
      <c r="K1131" s="20" t="str">
        <f t="shared" si="52"/>
        <v>2nd Shift</v>
      </c>
    </row>
    <row r="1132" spans="1:11" x14ac:dyDescent="0.25">
      <c r="A1132" s="1">
        <v>1131</v>
      </c>
      <c r="B1132" s="1">
        <v>14</v>
      </c>
      <c r="C1132" s="3">
        <v>14115271672309</v>
      </c>
      <c r="D1132" s="2">
        <v>44428.006944444445</v>
      </c>
      <c r="E1132" s="2">
        <v>44428.15625</v>
      </c>
      <c r="F1132" s="23">
        <f t="shared" si="51"/>
        <v>0.14930555555474712</v>
      </c>
      <c r="G1132" s="24">
        <f t="shared" si="53"/>
        <v>83.720930233011458</v>
      </c>
      <c r="H1132" s="1" t="s">
        <v>1</v>
      </c>
      <c r="I1132" s="4" t="s">
        <v>2</v>
      </c>
      <c r="J1132" s="14">
        <v>6.9444444444444441E-3</v>
      </c>
      <c r="K1132" s="20" t="str">
        <f t="shared" si="52"/>
        <v>3rd Shift</v>
      </c>
    </row>
    <row r="1133" spans="1:11" x14ac:dyDescent="0.25">
      <c r="A1133" s="1">
        <v>1132</v>
      </c>
      <c r="B1133" s="1">
        <v>9</v>
      </c>
      <c r="C1133" s="3">
        <v>9115271950601</v>
      </c>
      <c r="D1133" s="2">
        <v>44428.006944444445</v>
      </c>
      <c r="E1133" s="2">
        <v>44428.15625</v>
      </c>
      <c r="F1133" s="23">
        <f t="shared" si="51"/>
        <v>0.14930555555474712</v>
      </c>
      <c r="G1133" s="24">
        <f t="shared" si="53"/>
        <v>83.720930233011458</v>
      </c>
      <c r="H1133" s="1" t="s">
        <v>1</v>
      </c>
      <c r="I1133" s="4" t="s">
        <v>2</v>
      </c>
      <c r="J1133" s="14">
        <v>6.9444444444444441E-3</v>
      </c>
      <c r="K1133" s="20" t="str">
        <f t="shared" si="52"/>
        <v>3rd Shift</v>
      </c>
    </row>
    <row r="1134" spans="1:11" x14ac:dyDescent="0.25">
      <c r="A1134" s="1">
        <v>1133</v>
      </c>
      <c r="B1134" s="1">
        <v>15</v>
      </c>
      <c r="C1134" s="3">
        <v>15115271772970</v>
      </c>
      <c r="D1134" s="2">
        <v>44428.430555555555</v>
      </c>
      <c r="E1134" s="2">
        <v>44428.576388888891</v>
      </c>
      <c r="F1134" s="23">
        <f t="shared" si="51"/>
        <v>0.14583333333575865</v>
      </c>
      <c r="G1134" s="24">
        <f t="shared" si="53"/>
        <v>85.714285712860217</v>
      </c>
      <c r="H1134" s="1" t="s">
        <v>1</v>
      </c>
      <c r="I1134" s="4" t="s">
        <v>4</v>
      </c>
      <c r="J1134" s="14">
        <v>0.43055555555555558</v>
      </c>
      <c r="K1134" s="20" t="str">
        <f t="shared" si="52"/>
        <v>1st Shift</v>
      </c>
    </row>
    <row r="1135" spans="1:11" x14ac:dyDescent="0.25">
      <c r="A1135" s="1">
        <v>1134</v>
      </c>
      <c r="B1135" s="1">
        <v>14</v>
      </c>
      <c r="C1135" s="3">
        <v>14115271672256</v>
      </c>
      <c r="D1135" s="2">
        <v>44428.430555555555</v>
      </c>
      <c r="E1135" s="2">
        <v>44428.576388888891</v>
      </c>
      <c r="F1135" s="23">
        <f t="shared" si="51"/>
        <v>0.14583333333575865</v>
      </c>
      <c r="G1135" s="24">
        <f t="shared" si="53"/>
        <v>85.714285712860217</v>
      </c>
      <c r="H1135" s="1" t="s">
        <v>1</v>
      </c>
      <c r="I1135" s="4" t="s">
        <v>2</v>
      </c>
      <c r="J1135" s="14">
        <v>0.43055555555555558</v>
      </c>
      <c r="K1135" s="20" t="str">
        <f t="shared" si="52"/>
        <v>1st Shift</v>
      </c>
    </row>
    <row r="1136" spans="1:11" x14ac:dyDescent="0.25">
      <c r="A1136" s="1">
        <v>1135</v>
      </c>
      <c r="B1136" s="1">
        <v>13</v>
      </c>
      <c r="C1136" s="3">
        <v>13115271634400</v>
      </c>
      <c r="D1136" s="2">
        <v>44428.430555555555</v>
      </c>
      <c r="E1136" s="2">
        <v>44428.576388888891</v>
      </c>
      <c r="F1136" s="23">
        <f t="shared" si="51"/>
        <v>0.14583333333575865</v>
      </c>
      <c r="G1136" s="24">
        <f t="shared" si="53"/>
        <v>85.714285712860217</v>
      </c>
      <c r="H1136" s="1" t="s">
        <v>1</v>
      </c>
      <c r="I1136" s="4" t="s">
        <v>3</v>
      </c>
      <c r="J1136" s="14">
        <v>0.43055555555555558</v>
      </c>
      <c r="K1136" s="20" t="str">
        <f t="shared" si="52"/>
        <v>1st Shift</v>
      </c>
    </row>
    <row r="1137" spans="1:11" x14ac:dyDescent="0.25">
      <c r="A1137" s="1">
        <v>1136</v>
      </c>
      <c r="B1137" s="1">
        <v>12</v>
      </c>
      <c r="C1137" s="3">
        <v>12115271574504</v>
      </c>
      <c r="D1137" s="2">
        <v>44428.430555555555</v>
      </c>
      <c r="E1137" s="2">
        <v>44428.576388888891</v>
      </c>
      <c r="F1137" s="23">
        <f t="shared" si="51"/>
        <v>0.14583333333575865</v>
      </c>
      <c r="G1137" s="24">
        <f t="shared" si="53"/>
        <v>85.714285712860217</v>
      </c>
      <c r="H1137" s="1" t="s">
        <v>1</v>
      </c>
      <c r="I1137" s="4" t="s">
        <v>3</v>
      </c>
      <c r="J1137" s="14">
        <v>0.43055555555555558</v>
      </c>
      <c r="K1137" s="20" t="str">
        <f t="shared" si="52"/>
        <v>1st Shift</v>
      </c>
    </row>
    <row r="1138" spans="1:11" x14ac:dyDescent="0.25">
      <c r="A1138" s="1">
        <v>1137</v>
      </c>
      <c r="B1138" s="1">
        <v>5</v>
      </c>
      <c r="C1138" s="3">
        <v>5115271661800</v>
      </c>
      <c r="D1138" s="2">
        <v>44428.430555555555</v>
      </c>
      <c r="E1138" s="2">
        <v>44428.576388888891</v>
      </c>
      <c r="F1138" s="23">
        <f t="shared" si="51"/>
        <v>0.14583333333575865</v>
      </c>
      <c r="G1138" s="24">
        <f t="shared" si="53"/>
        <v>85.714285712860217</v>
      </c>
      <c r="H1138" s="1" t="s">
        <v>1</v>
      </c>
      <c r="I1138" s="4" t="s">
        <v>3</v>
      </c>
      <c r="J1138" s="14">
        <v>0.43055555555555558</v>
      </c>
      <c r="K1138" s="20" t="str">
        <f t="shared" si="52"/>
        <v>1st Shift</v>
      </c>
    </row>
    <row r="1139" spans="1:11" x14ac:dyDescent="0.25">
      <c r="A1139" s="1">
        <v>1138</v>
      </c>
      <c r="B1139" s="1">
        <v>3</v>
      </c>
      <c r="C1139" s="3">
        <v>3115270344701</v>
      </c>
      <c r="D1139" s="2">
        <v>44428.430555555555</v>
      </c>
      <c r="E1139" s="2">
        <v>44428.576388888891</v>
      </c>
      <c r="F1139" s="23">
        <f t="shared" si="51"/>
        <v>0.14583333333575865</v>
      </c>
      <c r="G1139" s="24">
        <f t="shared" si="53"/>
        <v>85.714285712860217</v>
      </c>
      <c r="H1139" s="1" t="s">
        <v>1</v>
      </c>
      <c r="I1139" s="4" t="s">
        <v>2</v>
      </c>
      <c r="J1139" s="14">
        <v>0.43055555555555558</v>
      </c>
      <c r="K1139" s="20" t="str">
        <f t="shared" si="52"/>
        <v>1st Shift</v>
      </c>
    </row>
    <row r="1140" spans="1:11" x14ac:dyDescent="0.25">
      <c r="A1140" s="1">
        <v>1139</v>
      </c>
      <c r="B1140" s="1">
        <v>1</v>
      </c>
      <c r="C1140" s="3">
        <v>1115270088800</v>
      </c>
      <c r="D1140" s="2">
        <v>44428.430555555555</v>
      </c>
      <c r="E1140" s="2">
        <v>44428.576388888891</v>
      </c>
      <c r="F1140" s="23">
        <f t="shared" si="51"/>
        <v>0.14583333333575865</v>
      </c>
      <c r="G1140" s="24">
        <f t="shared" si="53"/>
        <v>85.714285712860217</v>
      </c>
      <c r="H1140" s="1" t="s">
        <v>1</v>
      </c>
      <c r="I1140" s="4" t="s">
        <v>2</v>
      </c>
      <c r="J1140" s="14">
        <v>0.43055555555555558</v>
      </c>
      <c r="K1140" s="20" t="str">
        <f t="shared" si="52"/>
        <v>1st Shift</v>
      </c>
    </row>
    <row r="1141" spans="1:11" x14ac:dyDescent="0.25">
      <c r="A1141" s="1">
        <v>1140</v>
      </c>
      <c r="B1141" s="1">
        <v>14</v>
      </c>
      <c r="C1141" s="3">
        <v>14115271685405</v>
      </c>
      <c r="D1141" s="2">
        <v>44428.6875</v>
      </c>
      <c r="E1141" s="2">
        <v>44428.902777777781</v>
      </c>
      <c r="F1141" s="23">
        <f t="shared" si="51"/>
        <v>0.21527777778101154</v>
      </c>
      <c r="G1141" s="24">
        <f t="shared" si="53"/>
        <v>58.064516128160051</v>
      </c>
      <c r="H1141" s="1" t="s">
        <v>1</v>
      </c>
      <c r="I1141" s="4" t="s">
        <v>2</v>
      </c>
      <c r="J1141" s="14">
        <v>0.6875</v>
      </c>
      <c r="K1141" s="20" t="str">
        <f t="shared" si="52"/>
        <v>2nd Shift</v>
      </c>
    </row>
    <row r="1142" spans="1:11" x14ac:dyDescent="0.25">
      <c r="A1142" s="1">
        <v>1141</v>
      </c>
      <c r="B1142" s="1">
        <v>14</v>
      </c>
      <c r="C1142" s="3">
        <v>14115271684800</v>
      </c>
      <c r="D1142" s="2">
        <v>44428.6875</v>
      </c>
      <c r="E1142" s="2">
        <v>44428.902777777781</v>
      </c>
      <c r="F1142" s="23">
        <f t="shared" si="51"/>
        <v>0.21527777778101154</v>
      </c>
      <c r="G1142" s="24">
        <f t="shared" si="53"/>
        <v>58.064516128160051</v>
      </c>
      <c r="H1142" s="1" t="s">
        <v>1</v>
      </c>
      <c r="I1142" s="4" t="s">
        <v>3</v>
      </c>
      <c r="J1142" s="14">
        <v>0.6875</v>
      </c>
      <c r="K1142" s="20" t="str">
        <f t="shared" si="52"/>
        <v>2nd Shift</v>
      </c>
    </row>
    <row r="1143" spans="1:11" x14ac:dyDescent="0.25">
      <c r="A1143" s="1">
        <v>1142</v>
      </c>
      <c r="B1143" s="1">
        <v>14</v>
      </c>
      <c r="C1143" s="3">
        <v>14115271672406</v>
      </c>
      <c r="D1143" s="2">
        <v>44428.6875</v>
      </c>
      <c r="E1143" s="2">
        <v>44428.902777777781</v>
      </c>
      <c r="F1143" s="23">
        <f t="shared" si="51"/>
        <v>0.21527777778101154</v>
      </c>
      <c r="G1143" s="24">
        <f t="shared" si="53"/>
        <v>58.064516128160051</v>
      </c>
      <c r="H1143" s="1" t="s">
        <v>1</v>
      </c>
      <c r="I1143" s="4" t="s">
        <v>3</v>
      </c>
      <c r="J1143" s="14">
        <v>0.6875</v>
      </c>
      <c r="K1143" s="20" t="str">
        <f t="shared" si="52"/>
        <v>2nd Shift</v>
      </c>
    </row>
    <row r="1144" spans="1:11" x14ac:dyDescent="0.25">
      <c r="A1144" s="1">
        <v>1143</v>
      </c>
      <c r="B1144" s="1">
        <v>11</v>
      </c>
      <c r="C1144" s="3">
        <v>11115271547100</v>
      </c>
      <c r="D1144" s="2">
        <v>44428.6875</v>
      </c>
      <c r="E1144" s="2">
        <v>44428.902777777781</v>
      </c>
      <c r="F1144" s="23">
        <f t="shared" si="51"/>
        <v>0.21527777778101154</v>
      </c>
      <c r="G1144" s="24">
        <f t="shared" si="53"/>
        <v>58.064516128160051</v>
      </c>
      <c r="H1144" s="1" t="s">
        <v>1</v>
      </c>
      <c r="I1144" s="4" t="s">
        <v>3</v>
      </c>
      <c r="J1144" s="14">
        <v>0.6875</v>
      </c>
      <c r="K1144" s="20" t="str">
        <f t="shared" si="52"/>
        <v>2nd Shift</v>
      </c>
    </row>
    <row r="1145" spans="1:11" x14ac:dyDescent="0.25">
      <c r="A1145" s="1">
        <v>1144</v>
      </c>
      <c r="B1145" s="1">
        <v>10</v>
      </c>
      <c r="C1145" s="3">
        <v>10115271958201</v>
      </c>
      <c r="D1145" s="2">
        <v>44428.6875</v>
      </c>
      <c r="E1145" s="2">
        <v>44428.902777777781</v>
      </c>
      <c r="F1145" s="23">
        <f t="shared" si="51"/>
        <v>0.21527777778101154</v>
      </c>
      <c r="G1145" s="24">
        <f t="shared" si="53"/>
        <v>58.064516128160051</v>
      </c>
      <c r="H1145" s="1" t="s">
        <v>1</v>
      </c>
      <c r="I1145" s="4" t="s">
        <v>3</v>
      </c>
      <c r="J1145" s="14">
        <v>0.6875</v>
      </c>
      <c r="K1145" s="20" t="str">
        <f t="shared" si="52"/>
        <v>2nd Shift</v>
      </c>
    </row>
    <row r="1146" spans="1:11" x14ac:dyDescent="0.25">
      <c r="A1146" s="1">
        <v>1145</v>
      </c>
      <c r="B1146" s="1">
        <v>3</v>
      </c>
      <c r="C1146" s="3">
        <v>3115270312902</v>
      </c>
      <c r="D1146" s="2">
        <v>44428.6875</v>
      </c>
      <c r="E1146" s="2">
        <v>44428.902777777781</v>
      </c>
      <c r="F1146" s="23">
        <f t="shared" si="51"/>
        <v>0.21527777778101154</v>
      </c>
      <c r="G1146" s="24">
        <f t="shared" si="53"/>
        <v>58.064516128160051</v>
      </c>
      <c r="H1146" s="1" t="s">
        <v>1</v>
      </c>
      <c r="I1146" s="4" t="s">
        <v>8</v>
      </c>
      <c r="J1146" s="14">
        <v>0.6875</v>
      </c>
      <c r="K1146" s="20" t="str">
        <f t="shared" si="52"/>
        <v>2nd Shift</v>
      </c>
    </row>
    <row r="1147" spans="1:11" x14ac:dyDescent="0.25">
      <c r="A1147" s="1">
        <v>1146</v>
      </c>
      <c r="B1147" s="1">
        <v>3</v>
      </c>
      <c r="C1147" s="3">
        <v>3115270306804</v>
      </c>
      <c r="D1147" s="2">
        <v>44428.6875</v>
      </c>
      <c r="E1147" s="2">
        <v>44428.902777777781</v>
      </c>
      <c r="F1147" s="23">
        <f t="shared" si="51"/>
        <v>0.21527777778101154</v>
      </c>
      <c r="G1147" s="24">
        <f t="shared" si="53"/>
        <v>58.064516128160051</v>
      </c>
      <c r="H1147" s="1" t="s">
        <v>1</v>
      </c>
      <c r="I1147" s="4" t="s">
        <v>4</v>
      </c>
      <c r="J1147" s="14">
        <v>0.6875</v>
      </c>
      <c r="K1147" s="20" t="str">
        <f t="shared" si="52"/>
        <v>2nd Shift</v>
      </c>
    </row>
    <row r="1148" spans="1:11" x14ac:dyDescent="0.25">
      <c r="A1148" s="1">
        <v>1147</v>
      </c>
      <c r="B1148" s="1">
        <v>1</v>
      </c>
      <c r="C1148" s="3">
        <v>1115270100100</v>
      </c>
      <c r="D1148" s="2">
        <v>44428.6875</v>
      </c>
      <c r="E1148" s="2">
        <v>44428.902777777781</v>
      </c>
      <c r="F1148" s="23">
        <f t="shared" si="51"/>
        <v>0.21527777778101154</v>
      </c>
      <c r="G1148" s="24">
        <f t="shared" si="53"/>
        <v>58.064516128160051</v>
      </c>
      <c r="H1148" s="1" t="s">
        <v>1</v>
      </c>
      <c r="I1148" s="4" t="s">
        <v>3</v>
      </c>
      <c r="J1148" s="14">
        <v>0.6875</v>
      </c>
      <c r="K1148" s="20" t="str">
        <f t="shared" si="52"/>
        <v>2nd Shift</v>
      </c>
    </row>
    <row r="1149" spans="1:11" x14ac:dyDescent="0.25">
      <c r="A1149" s="1">
        <v>1148</v>
      </c>
      <c r="B1149" s="1">
        <v>8</v>
      </c>
      <c r="C1149" s="3">
        <v>8115271809802</v>
      </c>
      <c r="D1149" s="2">
        <v>44428.440972222219</v>
      </c>
      <c r="E1149" s="2">
        <v>44429.045138888891</v>
      </c>
      <c r="F1149" s="23">
        <f t="shared" si="51"/>
        <v>0.60416666667151731</v>
      </c>
      <c r="G1149" s="24">
        <f t="shared" si="53"/>
        <v>20.689655172247683</v>
      </c>
      <c r="H1149" s="1" t="s">
        <v>1</v>
      </c>
      <c r="I1149" s="4" t="s">
        <v>2</v>
      </c>
      <c r="J1149" s="14">
        <v>0.44097222222222221</v>
      </c>
      <c r="K1149" s="20" t="str">
        <f t="shared" si="52"/>
        <v>1st Shift</v>
      </c>
    </row>
    <row r="1150" spans="1:11" x14ac:dyDescent="0.25">
      <c r="A1150" s="1">
        <v>1149</v>
      </c>
      <c r="B1150" s="1">
        <v>3</v>
      </c>
      <c r="C1150" s="3">
        <v>3115270339900</v>
      </c>
      <c r="D1150" s="2">
        <v>44428.440972222219</v>
      </c>
      <c r="E1150" s="2">
        <v>44429.045138888891</v>
      </c>
      <c r="F1150" s="23">
        <f t="shared" si="51"/>
        <v>0.60416666667151731</v>
      </c>
      <c r="G1150" s="24">
        <f t="shared" si="53"/>
        <v>20.689655172247683</v>
      </c>
      <c r="H1150" s="1" t="s">
        <v>1</v>
      </c>
      <c r="I1150" s="4" t="s">
        <v>2</v>
      </c>
      <c r="J1150" s="14">
        <v>0.44097222222222221</v>
      </c>
      <c r="K1150" s="20" t="str">
        <f t="shared" si="52"/>
        <v>1st Shift</v>
      </c>
    </row>
    <row r="1151" spans="1:11" x14ac:dyDescent="0.25">
      <c r="A1151" s="1">
        <v>1150</v>
      </c>
      <c r="B1151" s="1">
        <v>2</v>
      </c>
      <c r="C1151" s="3">
        <v>2115270165800</v>
      </c>
      <c r="D1151" s="2">
        <v>44428.440972222219</v>
      </c>
      <c r="E1151" s="2">
        <v>44429.045138888891</v>
      </c>
      <c r="F1151" s="23">
        <f t="shared" si="51"/>
        <v>0.60416666667151731</v>
      </c>
      <c r="G1151" s="24">
        <f t="shared" si="53"/>
        <v>20.689655172247683</v>
      </c>
      <c r="H1151" s="1" t="s">
        <v>1</v>
      </c>
      <c r="I1151" s="4" t="s">
        <v>2</v>
      </c>
      <c r="J1151" s="14">
        <v>0.44097222222222221</v>
      </c>
      <c r="K1151" s="20" t="str">
        <f t="shared" si="52"/>
        <v>1st Shift</v>
      </c>
    </row>
    <row r="1152" spans="1:11" x14ac:dyDescent="0.25">
      <c r="A1152" s="1">
        <v>1151</v>
      </c>
      <c r="B1152" s="1">
        <v>14</v>
      </c>
      <c r="C1152" s="3">
        <v>14115271672409</v>
      </c>
      <c r="D1152" s="2">
        <v>44429.368055555555</v>
      </c>
      <c r="E1152" s="2">
        <v>44429.4375</v>
      </c>
      <c r="F1152" s="23">
        <f t="shared" si="51"/>
        <v>6.9444444445252884E-2</v>
      </c>
      <c r="G1152" s="24">
        <f t="shared" si="53"/>
        <v>179.99999999790452</v>
      </c>
      <c r="H1152" s="1" t="s">
        <v>1</v>
      </c>
      <c r="I1152" s="4" t="s">
        <v>3</v>
      </c>
      <c r="J1152" s="14">
        <v>0.36805555555555558</v>
      </c>
      <c r="K1152" s="20" t="str">
        <f t="shared" si="52"/>
        <v>1st Shift</v>
      </c>
    </row>
    <row r="1153" spans="1:11" x14ac:dyDescent="0.25">
      <c r="A1153" s="1">
        <v>1152</v>
      </c>
      <c r="B1153" s="1">
        <v>14</v>
      </c>
      <c r="C1153" s="3">
        <v>14115271672408</v>
      </c>
      <c r="D1153" s="2">
        <v>44429.368055555555</v>
      </c>
      <c r="E1153" s="2">
        <v>44429.4375</v>
      </c>
      <c r="F1153" s="23">
        <f t="shared" si="51"/>
        <v>6.9444444445252884E-2</v>
      </c>
      <c r="G1153" s="24">
        <f t="shared" si="53"/>
        <v>179.99999999790452</v>
      </c>
      <c r="H1153" s="1" t="s">
        <v>1</v>
      </c>
      <c r="I1153" s="4" t="s">
        <v>2</v>
      </c>
      <c r="J1153" s="14">
        <v>0.36805555555555558</v>
      </c>
      <c r="K1153" s="20" t="str">
        <f t="shared" si="52"/>
        <v>1st Shift</v>
      </c>
    </row>
    <row r="1154" spans="1:11" x14ac:dyDescent="0.25">
      <c r="A1154" s="1">
        <v>1153</v>
      </c>
      <c r="B1154" s="1">
        <v>3</v>
      </c>
      <c r="C1154" s="3">
        <v>3115270408401</v>
      </c>
      <c r="D1154" s="2">
        <v>44429.368055555555</v>
      </c>
      <c r="E1154" s="2">
        <v>44429.4375</v>
      </c>
      <c r="F1154" s="23">
        <f t="shared" ref="F1154:F1217" si="54">E1154-D1154</f>
        <v>6.9444444445252884E-2</v>
      </c>
      <c r="G1154" s="24">
        <f t="shared" si="53"/>
        <v>179.99999999790452</v>
      </c>
      <c r="H1154" s="1" t="s">
        <v>1</v>
      </c>
      <c r="I1154" s="4" t="s">
        <v>2</v>
      </c>
      <c r="J1154" s="14">
        <v>0.36805555555555558</v>
      </c>
      <c r="K1154" s="20" t="str">
        <f t="shared" ref="K1154:K1217" si="55">IF(AND(J1154&gt;=$M$3,J1154&lt;$M$4),"1st Shift",IF(AND(J1154&gt;=$M$4,J1154&lt;$M$5),"2nd Shift","3rd Shift"))</f>
        <v>1st Shift</v>
      </c>
    </row>
    <row r="1155" spans="1:11" x14ac:dyDescent="0.25">
      <c r="A1155" s="1">
        <v>1154</v>
      </c>
      <c r="B1155" s="1">
        <v>3</v>
      </c>
      <c r="C1155" s="3">
        <v>3115270408400</v>
      </c>
      <c r="D1155" s="2">
        <v>44429.368055555555</v>
      </c>
      <c r="E1155" s="2">
        <v>44429.4375</v>
      </c>
      <c r="F1155" s="23">
        <f t="shared" si="54"/>
        <v>6.9444444445252884E-2</v>
      </c>
      <c r="G1155" s="24">
        <f t="shared" ref="G1155:G1218" si="56">$M$9/F1155*100</f>
        <v>179.99999999790452</v>
      </c>
      <c r="H1155" s="1" t="s">
        <v>1</v>
      </c>
      <c r="I1155" s="4" t="s">
        <v>3</v>
      </c>
      <c r="J1155" s="14">
        <v>0.36805555555555558</v>
      </c>
      <c r="K1155" s="20" t="str">
        <f t="shared" si="55"/>
        <v>1st Shift</v>
      </c>
    </row>
    <row r="1156" spans="1:11" x14ac:dyDescent="0.25">
      <c r="A1156" s="1">
        <v>1155</v>
      </c>
      <c r="B1156" s="1">
        <v>14</v>
      </c>
      <c r="C1156" s="3">
        <v>14115271693556</v>
      </c>
      <c r="D1156" s="2">
        <v>44429.503472222219</v>
      </c>
      <c r="E1156" s="2">
        <v>44429.5625</v>
      </c>
      <c r="F1156" s="23">
        <f t="shared" si="54"/>
        <v>5.9027777781011537E-2</v>
      </c>
      <c r="G1156" s="24">
        <f t="shared" si="56"/>
        <v>211.7647058707517</v>
      </c>
      <c r="H1156" s="1" t="s">
        <v>1</v>
      </c>
      <c r="I1156" s="4" t="s">
        <v>3</v>
      </c>
      <c r="J1156" s="14">
        <v>0.50347222222222221</v>
      </c>
      <c r="K1156" s="20" t="str">
        <f t="shared" si="55"/>
        <v>1st Shift</v>
      </c>
    </row>
    <row r="1157" spans="1:11" x14ac:dyDescent="0.25">
      <c r="A1157" s="1">
        <v>1156</v>
      </c>
      <c r="B1157" s="1">
        <v>14</v>
      </c>
      <c r="C1157" s="3">
        <v>14115271693555</v>
      </c>
      <c r="D1157" s="2">
        <v>44429.503472222219</v>
      </c>
      <c r="E1157" s="2">
        <v>44429.5625</v>
      </c>
      <c r="F1157" s="23">
        <f t="shared" si="54"/>
        <v>5.9027777781011537E-2</v>
      </c>
      <c r="G1157" s="24">
        <f t="shared" si="56"/>
        <v>211.7647058707517</v>
      </c>
      <c r="H1157" s="1" t="s">
        <v>1</v>
      </c>
      <c r="I1157" s="4" t="s">
        <v>3</v>
      </c>
      <c r="J1157" s="14">
        <v>0.50347222222222221</v>
      </c>
      <c r="K1157" s="20" t="str">
        <f t="shared" si="55"/>
        <v>1st Shift</v>
      </c>
    </row>
    <row r="1158" spans="1:11" x14ac:dyDescent="0.25">
      <c r="A1158" s="1">
        <v>1157</v>
      </c>
      <c r="B1158" s="1">
        <v>13</v>
      </c>
      <c r="C1158" s="3">
        <v>13115271662902</v>
      </c>
      <c r="D1158" s="2">
        <v>44429.503472222219</v>
      </c>
      <c r="E1158" s="2">
        <v>44429.5625</v>
      </c>
      <c r="F1158" s="23">
        <f t="shared" si="54"/>
        <v>5.9027777781011537E-2</v>
      </c>
      <c r="G1158" s="24">
        <f t="shared" si="56"/>
        <v>211.7647058707517</v>
      </c>
      <c r="H1158" s="1" t="s">
        <v>1</v>
      </c>
      <c r="I1158" s="4" t="s">
        <v>3</v>
      </c>
      <c r="J1158" s="14">
        <v>0.50347222222222221</v>
      </c>
      <c r="K1158" s="20" t="str">
        <f t="shared" si="55"/>
        <v>1st Shift</v>
      </c>
    </row>
    <row r="1159" spans="1:11" x14ac:dyDescent="0.25">
      <c r="A1159" s="1">
        <v>1158</v>
      </c>
      <c r="B1159" s="1">
        <v>13</v>
      </c>
      <c r="C1159" s="3">
        <v>13115271662901</v>
      </c>
      <c r="D1159" s="2">
        <v>44429.503472222219</v>
      </c>
      <c r="E1159" s="2">
        <v>44429.5625</v>
      </c>
      <c r="F1159" s="23">
        <f t="shared" si="54"/>
        <v>5.9027777781011537E-2</v>
      </c>
      <c r="G1159" s="24">
        <f t="shared" si="56"/>
        <v>211.7647058707517</v>
      </c>
      <c r="H1159" s="1" t="s">
        <v>1</v>
      </c>
      <c r="I1159" s="4" t="s">
        <v>3</v>
      </c>
      <c r="J1159" s="14">
        <v>0.50347222222222221</v>
      </c>
      <c r="K1159" s="20" t="str">
        <f t="shared" si="55"/>
        <v>1st Shift</v>
      </c>
    </row>
    <row r="1160" spans="1:11" x14ac:dyDescent="0.25">
      <c r="A1160" s="1">
        <v>1159</v>
      </c>
      <c r="B1160" s="1">
        <v>7</v>
      </c>
      <c r="C1160" s="3">
        <v>7115271771008</v>
      </c>
      <c r="D1160" s="2">
        <v>44429.503472222219</v>
      </c>
      <c r="E1160" s="2">
        <v>44429.5625</v>
      </c>
      <c r="F1160" s="23">
        <f t="shared" si="54"/>
        <v>5.9027777781011537E-2</v>
      </c>
      <c r="G1160" s="24">
        <f t="shared" si="56"/>
        <v>211.7647058707517</v>
      </c>
      <c r="H1160" s="1" t="s">
        <v>1</v>
      </c>
      <c r="I1160" s="4" t="s">
        <v>4</v>
      </c>
      <c r="J1160" s="14">
        <v>0.50347222222222221</v>
      </c>
      <c r="K1160" s="20" t="str">
        <f t="shared" si="55"/>
        <v>1st Shift</v>
      </c>
    </row>
    <row r="1161" spans="1:11" x14ac:dyDescent="0.25">
      <c r="A1161" s="1">
        <v>1160</v>
      </c>
      <c r="B1161" s="1">
        <v>7</v>
      </c>
      <c r="C1161" s="3">
        <v>7115271771007</v>
      </c>
      <c r="D1161" s="2">
        <v>44429.503472222219</v>
      </c>
      <c r="E1161" s="2">
        <v>44429.5625</v>
      </c>
      <c r="F1161" s="23">
        <f t="shared" si="54"/>
        <v>5.9027777781011537E-2</v>
      </c>
      <c r="G1161" s="24">
        <f t="shared" si="56"/>
        <v>211.7647058707517</v>
      </c>
      <c r="H1161" s="1" t="s">
        <v>1</v>
      </c>
      <c r="I1161" s="4" t="s">
        <v>3</v>
      </c>
      <c r="J1161" s="14">
        <v>0.50347222222222221</v>
      </c>
      <c r="K1161" s="20" t="str">
        <f t="shared" si="55"/>
        <v>1st Shift</v>
      </c>
    </row>
    <row r="1162" spans="1:11" x14ac:dyDescent="0.25">
      <c r="A1162" s="1">
        <v>1161</v>
      </c>
      <c r="B1162" s="1">
        <v>6</v>
      </c>
      <c r="C1162" s="3">
        <v>6115271704103</v>
      </c>
      <c r="D1162" s="2">
        <v>44429.503472222219</v>
      </c>
      <c r="E1162" s="2">
        <v>44429.5625</v>
      </c>
      <c r="F1162" s="23">
        <f t="shared" si="54"/>
        <v>5.9027777781011537E-2</v>
      </c>
      <c r="G1162" s="24">
        <f t="shared" si="56"/>
        <v>211.7647058707517</v>
      </c>
      <c r="H1162" s="1" t="s">
        <v>1</v>
      </c>
      <c r="I1162" s="4" t="s">
        <v>2</v>
      </c>
      <c r="J1162" s="14">
        <v>0.50347222222222221</v>
      </c>
      <c r="K1162" s="20" t="str">
        <f t="shared" si="55"/>
        <v>1st Shift</v>
      </c>
    </row>
    <row r="1163" spans="1:11" x14ac:dyDescent="0.25">
      <c r="A1163" s="1">
        <v>1162</v>
      </c>
      <c r="B1163" s="1">
        <v>6</v>
      </c>
      <c r="C1163" s="3">
        <v>6115271704102</v>
      </c>
      <c r="D1163" s="2">
        <v>44429.503472222219</v>
      </c>
      <c r="E1163" s="2">
        <v>44429.5625</v>
      </c>
      <c r="F1163" s="23">
        <f t="shared" si="54"/>
        <v>5.9027777781011537E-2</v>
      </c>
      <c r="G1163" s="24">
        <f t="shared" si="56"/>
        <v>211.7647058707517</v>
      </c>
      <c r="H1163" s="1" t="s">
        <v>1</v>
      </c>
      <c r="I1163" s="4" t="s">
        <v>3</v>
      </c>
      <c r="J1163" s="14">
        <v>0.50347222222222221</v>
      </c>
      <c r="K1163" s="20" t="str">
        <f t="shared" si="55"/>
        <v>1st Shift</v>
      </c>
    </row>
    <row r="1164" spans="1:11" x14ac:dyDescent="0.25">
      <c r="A1164" s="1">
        <v>1163</v>
      </c>
      <c r="B1164" s="1">
        <v>13</v>
      </c>
      <c r="C1164" s="3">
        <v>13115271590508</v>
      </c>
      <c r="D1164" s="2">
        <v>44429.6875</v>
      </c>
      <c r="E1164" s="2">
        <v>44429.972222222219</v>
      </c>
      <c r="F1164" s="23">
        <f t="shared" si="54"/>
        <v>0.28472222221898846</v>
      </c>
      <c r="G1164" s="24">
        <f t="shared" si="56"/>
        <v>43.902439024888871</v>
      </c>
      <c r="H1164" s="1" t="s">
        <v>1</v>
      </c>
      <c r="I1164" s="4" t="s">
        <v>4</v>
      </c>
      <c r="J1164" s="14">
        <v>0.6875</v>
      </c>
      <c r="K1164" s="20" t="str">
        <f t="shared" si="55"/>
        <v>2nd Shift</v>
      </c>
    </row>
    <row r="1165" spans="1:11" x14ac:dyDescent="0.25">
      <c r="A1165" s="1">
        <v>1164</v>
      </c>
      <c r="B1165" s="1">
        <v>12</v>
      </c>
      <c r="C1165" s="3">
        <v>12115271569019</v>
      </c>
      <c r="D1165" s="2">
        <v>44429.6875</v>
      </c>
      <c r="E1165" s="2">
        <v>44429.972222222219</v>
      </c>
      <c r="F1165" s="23">
        <f t="shared" si="54"/>
        <v>0.28472222221898846</v>
      </c>
      <c r="G1165" s="24">
        <f t="shared" si="56"/>
        <v>43.902439024888871</v>
      </c>
      <c r="H1165" s="1" t="s">
        <v>1</v>
      </c>
      <c r="I1165" s="4" t="s">
        <v>2</v>
      </c>
      <c r="J1165" s="14">
        <v>0.6875</v>
      </c>
      <c r="K1165" s="20" t="str">
        <f t="shared" si="55"/>
        <v>2nd Shift</v>
      </c>
    </row>
    <row r="1166" spans="1:11" x14ac:dyDescent="0.25">
      <c r="A1166" s="1">
        <v>1165</v>
      </c>
      <c r="B1166" s="1">
        <v>12</v>
      </c>
      <c r="C1166" s="3">
        <v>12115271567349</v>
      </c>
      <c r="D1166" s="2">
        <v>44429.6875</v>
      </c>
      <c r="E1166" s="2">
        <v>44429.972222222219</v>
      </c>
      <c r="F1166" s="23">
        <f t="shared" si="54"/>
        <v>0.28472222221898846</v>
      </c>
      <c r="G1166" s="24">
        <f t="shared" si="56"/>
        <v>43.902439024888871</v>
      </c>
      <c r="H1166" s="1" t="s">
        <v>1</v>
      </c>
      <c r="I1166" s="4" t="s">
        <v>4</v>
      </c>
      <c r="J1166" s="14">
        <v>0.6875</v>
      </c>
      <c r="K1166" s="20" t="str">
        <f t="shared" si="55"/>
        <v>2nd Shift</v>
      </c>
    </row>
    <row r="1167" spans="1:11" x14ac:dyDescent="0.25">
      <c r="A1167" s="1">
        <v>1166</v>
      </c>
      <c r="B1167" s="1">
        <v>8</v>
      </c>
      <c r="C1167" s="3">
        <v>8115271809902</v>
      </c>
      <c r="D1167" s="2">
        <v>44429.6875</v>
      </c>
      <c r="E1167" s="2">
        <v>44429.972222222219</v>
      </c>
      <c r="F1167" s="23">
        <f t="shared" si="54"/>
        <v>0.28472222221898846</v>
      </c>
      <c r="G1167" s="24">
        <f t="shared" si="56"/>
        <v>43.902439024888871</v>
      </c>
      <c r="H1167" s="1" t="s">
        <v>1</v>
      </c>
      <c r="I1167" s="4" t="s">
        <v>2</v>
      </c>
      <c r="J1167" s="14">
        <v>0.6875</v>
      </c>
      <c r="K1167" s="20" t="str">
        <f t="shared" si="55"/>
        <v>2nd Shift</v>
      </c>
    </row>
    <row r="1168" spans="1:11" x14ac:dyDescent="0.25">
      <c r="A1168" s="1">
        <v>1167</v>
      </c>
      <c r="B1168" s="1">
        <v>7</v>
      </c>
      <c r="C1168" s="3">
        <v>7115271788600</v>
      </c>
      <c r="D1168" s="2">
        <v>44429.6875</v>
      </c>
      <c r="E1168" s="2">
        <v>44429.972222222219</v>
      </c>
      <c r="F1168" s="23">
        <f t="shared" si="54"/>
        <v>0.28472222221898846</v>
      </c>
      <c r="G1168" s="24">
        <f t="shared" si="56"/>
        <v>43.902439024888871</v>
      </c>
      <c r="H1168" s="1" t="s">
        <v>1</v>
      </c>
      <c r="I1168" s="4" t="s">
        <v>3</v>
      </c>
      <c r="J1168" s="14">
        <v>0.6875</v>
      </c>
      <c r="K1168" s="20" t="str">
        <f t="shared" si="55"/>
        <v>2nd Shift</v>
      </c>
    </row>
    <row r="1169" spans="1:11" x14ac:dyDescent="0.25">
      <c r="A1169" s="1">
        <v>1168</v>
      </c>
      <c r="B1169" s="1">
        <v>3</v>
      </c>
      <c r="C1169" s="3">
        <v>3115270307608</v>
      </c>
      <c r="D1169" s="2">
        <v>44429.6875</v>
      </c>
      <c r="E1169" s="2">
        <v>44429.972222222219</v>
      </c>
      <c r="F1169" s="23">
        <f t="shared" si="54"/>
        <v>0.28472222221898846</v>
      </c>
      <c r="G1169" s="24">
        <f t="shared" si="56"/>
        <v>43.902439024888871</v>
      </c>
      <c r="H1169" s="1" t="s">
        <v>1</v>
      </c>
      <c r="I1169" s="4" t="s">
        <v>2</v>
      </c>
      <c r="J1169" s="14">
        <v>0.6875</v>
      </c>
      <c r="K1169" s="20" t="str">
        <f t="shared" si="55"/>
        <v>2nd Shift</v>
      </c>
    </row>
    <row r="1170" spans="1:11" x14ac:dyDescent="0.25">
      <c r="A1170" s="1">
        <v>1169</v>
      </c>
      <c r="B1170" s="1">
        <v>3</v>
      </c>
      <c r="C1170" s="3">
        <v>3115270307601</v>
      </c>
      <c r="D1170" s="2">
        <v>44429.6875</v>
      </c>
      <c r="E1170" s="2">
        <v>44429.972222222219</v>
      </c>
      <c r="F1170" s="23">
        <f t="shared" si="54"/>
        <v>0.28472222221898846</v>
      </c>
      <c r="G1170" s="24">
        <f t="shared" si="56"/>
        <v>43.902439024888871</v>
      </c>
      <c r="H1170" s="1" t="s">
        <v>1</v>
      </c>
      <c r="I1170" s="4" t="s">
        <v>2</v>
      </c>
      <c r="J1170" s="14">
        <v>0.6875</v>
      </c>
      <c r="K1170" s="20" t="str">
        <f t="shared" si="55"/>
        <v>2nd Shift</v>
      </c>
    </row>
    <row r="1171" spans="1:11" x14ac:dyDescent="0.25">
      <c r="A1171" s="1">
        <v>1170</v>
      </c>
      <c r="B1171" s="1">
        <v>3</v>
      </c>
      <c r="C1171" s="3">
        <v>3115270306404</v>
      </c>
      <c r="D1171" s="2">
        <v>44429.6875</v>
      </c>
      <c r="E1171" s="2">
        <v>44429.972222222219</v>
      </c>
      <c r="F1171" s="23">
        <f t="shared" si="54"/>
        <v>0.28472222221898846</v>
      </c>
      <c r="G1171" s="24">
        <f t="shared" si="56"/>
        <v>43.902439024888871</v>
      </c>
      <c r="H1171" s="1" t="s">
        <v>1</v>
      </c>
      <c r="I1171" s="4" t="s">
        <v>2</v>
      </c>
      <c r="J1171" s="14">
        <v>0.6875</v>
      </c>
      <c r="K1171" s="20" t="str">
        <f t="shared" si="55"/>
        <v>2nd Shift</v>
      </c>
    </row>
    <row r="1172" spans="1:11" x14ac:dyDescent="0.25">
      <c r="A1172" s="1">
        <v>1171</v>
      </c>
      <c r="B1172" s="1">
        <v>1</v>
      </c>
      <c r="C1172" s="3">
        <v>1115270079501</v>
      </c>
      <c r="D1172" s="2">
        <v>44429.6875</v>
      </c>
      <c r="E1172" s="2">
        <v>44429.972222222219</v>
      </c>
      <c r="F1172" s="23">
        <f t="shared" si="54"/>
        <v>0.28472222221898846</v>
      </c>
      <c r="G1172" s="24">
        <f t="shared" si="56"/>
        <v>43.902439024888871</v>
      </c>
      <c r="H1172" s="1" t="s">
        <v>1</v>
      </c>
      <c r="I1172" s="4" t="s">
        <v>2</v>
      </c>
      <c r="J1172" s="14">
        <v>0.6875</v>
      </c>
      <c r="K1172" s="20" t="str">
        <f t="shared" si="55"/>
        <v>2nd Shift</v>
      </c>
    </row>
    <row r="1173" spans="1:11" x14ac:dyDescent="0.25">
      <c r="A1173" s="1">
        <v>1172</v>
      </c>
      <c r="B1173" s="1">
        <v>1</v>
      </c>
      <c r="C1173" s="3">
        <v>1115270075500</v>
      </c>
      <c r="D1173" s="2">
        <v>44429.6875</v>
      </c>
      <c r="E1173" s="2">
        <v>44429.972222222219</v>
      </c>
      <c r="F1173" s="23">
        <f t="shared" si="54"/>
        <v>0.28472222221898846</v>
      </c>
      <c r="G1173" s="24">
        <f t="shared" si="56"/>
        <v>43.902439024888871</v>
      </c>
      <c r="H1173" s="1" t="s">
        <v>1</v>
      </c>
      <c r="I1173" s="4" t="s">
        <v>3</v>
      </c>
      <c r="J1173" s="14">
        <v>0.6875</v>
      </c>
      <c r="K1173" s="20" t="str">
        <f t="shared" si="55"/>
        <v>2nd Shift</v>
      </c>
    </row>
    <row r="1174" spans="1:11" x14ac:dyDescent="0.25">
      <c r="A1174" s="1">
        <v>1173</v>
      </c>
      <c r="B1174" s="1">
        <v>11</v>
      </c>
      <c r="C1174" s="3">
        <v>11115271542008</v>
      </c>
      <c r="D1174" s="2">
        <v>44429.9375</v>
      </c>
      <c r="E1174" s="2">
        <v>44430.052083333336</v>
      </c>
      <c r="F1174" s="23">
        <f t="shared" si="54"/>
        <v>0.11458333333575865</v>
      </c>
      <c r="G1174" s="24">
        <f t="shared" si="56"/>
        <v>109.09090908860001</v>
      </c>
      <c r="H1174" s="1" t="s">
        <v>1</v>
      </c>
      <c r="I1174" s="4" t="s">
        <v>4</v>
      </c>
      <c r="J1174" s="14">
        <v>0.9375</v>
      </c>
      <c r="K1174" s="20" t="str">
        <f t="shared" si="55"/>
        <v>3rd Shift</v>
      </c>
    </row>
    <row r="1175" spans="1:11" x14ac:dyDescent="0.25">
      <c r="A1175" s="1">
        <v>1174</v>
      </c>
      <c r="B1175" s="1">
        <v>4</v>
      </c>
      <c r="C1175" s="3">
        <v>4115270830211</v>
      </c>
      <c r="D1175" s="2">
        <v>44429.9375</v>
      </c>
      <c r="E1175" s="2">
        <v>44430.052083333336</v>
      </c>
      <c r="F1175" s="23">
        <f t="shared" si="54"/>
        <v>0.11458333333575865</v>
      </c>
      <c r="G1175" s="24">
        <f t="shared" si="56"/>
        <v>109.09090908860001</v>
      </c>
      <c r="H1175" s="1" t="s">
        <v>1</v>
      </c>
      <c r="I1175" s="4" t="s">
        <v>2</v>
      </c>
      <c r="J1175" s="14">
        <v>0.9375</v>
      </c>
      <c r="K1175" s="20" t="str">
        <f t="shared" si="55"/>
        <v>3rd Shift</v>
      </c>
    </row>
    <row r="1176" spans="1:11" x14ac:dyDescent="0.25">
      <c r="A1176" s="1">
        <v>1175</v>
      </c>
      <c r="B1176" s="1">
        <v>2</v>
      </c>
      <c r="C1176" s="3">
        <v>2115270273900</v>
      </c>
      <c r="D1176" s="2">
        <v>44429.9375</v>
      </c>
      <c r="E1176" s="2">
        <v>44430.052083333336</v>
      </c>
      <c r="F1176" s="23">
        <f t="shared" si="54"/>
        <v>0.11458333333575865</v>
      </c>
      <c r="G1176" s="24">
        <f t="shared" si="56"/>
        <v>109.09090908860001</v>
      </c>
      <c r="H1176" s="1" t="s">
        <v>1</v>
      </c>
      <c r="I1176" s="4" t="s">
        <v>2</v>
      </c>
      <c r="J1176" s="14">
        <v>0.9375</v>
      </c>
      <c r="K1176" s="20" t="str">
        <f t="shared" si="55"/>
        <v>3rd Shift</v>
      </c>
    </row>
    <row r="1177" spans="1:11" x14ac:dyDescent="0.25">
      <c r="A1177" s="1">
        <v>1176</v>
      </c>
      <c r="B1177" s="1">
        <v>7</v>
      </c>
      <c r="C1177" s="3">
        <v>7115271770608</v>
      </c>
      <c r="D1177" s="2">
        <v>44430.347222222219</v>
      </c>
      <c r="E1177" s="2">
        <v>44430.375</v>
      </c>
      <c r="F1177" s="23">
        <f t="shared" si="54"/>
        <v>2.7777777781011537E-2</v>
      </c>
      <c r="G1177" s="24">
        <f t="shared" si="56"/>
        <v>449.99999994761311</v>
      </c>
      <c r="H1177" s="1" t="s">
        <v>1</v>
      </c>
      <c r="I1177" s="4" t="s">
        <v>3</v>
      </c>
      <c r="J1177" s="14">
        <v>0.34722222222222221</v>
      </c>
      <c r="K1177" s="20" t="str">
        <f t="shared" si="55"/>
        <v>1st Shift</v>
      </c>
    </row>
    <row r="1178" spans="1:11" x14ac:dyDescent="0.25">
      <c r="A1178" s="1">
        <v>1177</v>
      </c>
      <c r="B1178" s="1">
        <v>7</v>
      </c>
      <c r="C1178" s="3">
        <v>7115271770607</v>
      </c>
      <c r="D1178" s="2">
        <v>44430.347222222219</v>
      </c>
      <c r="E1178" s="2">
        <v>44430.375</v>
      </c>
      <c r="F1178" s="23">
        <f t="shared" si="54"/>
        <v>2.7777777781011537E-2</v>
      </c>
      <c r="G1178" s="24">
        <f t="shared" si="56"/>
        <v>449.99999994761311</v>
      </c>
      <c r="H1178" s="1" t="s">
        <v>1</v>
      </c>
      <c r="I1178" s="4" t="s">
        <v>2</v>
      </c>
      <c r="J1178" s="14">
        <v>0.34722222222222221</v>
      </c>
      <c r="K1178" s="20" t="str">
        <f t="shared" si="55"/>
        <v>1st Shift</v>
      </c>
    </row>
    <row r="1179" spans="1:11" x14ac:dyDescent="0.25">
      <c r="A1179" s="1">
        <v>1178</v>
      </c>
      <c r="B1179" s="1">
        <v>11</v>
      </c>
      <c r="C1179" s="3">
        <v>11115271542809</v>
      </c>
      <c r="D1179" s="2">
        <v>44430.486111111109</v>
      </c>
      <c r="E1179" s="2">
        <v>44430.53125</v>
      </c>
      <c r="F1179" s="23">
        <f t="shared" si="54"/>
        <v>4.5138888890505768E-2</v>
      </c>
      <c r="G1179" s="24">
        <f t="shared" si="56"/>
        <v>276.9230769131575</v>
      </c>
      <c r="H1179" s="1" t="s">
        <v>1</v>
      </c>
      <c r="I1179" s="4" t="s">
        <v>4</v>
      </c>
      <c r="J1179" s="14">
        <v>0.4861111111111111</v>
      </c>
      <c r="K1179" s="20" t="str">
        <f t="shared" si="55"/>
        <v>1st Shift</v>
      </c>
    </row>
    <row r="1180" spans="1:11" x14ac:dyDescent="0.25">
      <c r="A1180" s="1">
        <v>1179</v>
      </c>
      <c r="B1180" s="1">
        <v>11</v>
      </c>
      <c r="C1180" s="3">
        <v>11115271542803</v>
      </c>
      <c r="D1180" s="2">
        <v>44430.486111111109</v>
      </c>
      <c r="E1180" s="2">
        <v>44430.53125</v>
      </c>
      <c r="F1180" s="23">
        <f t="shared" si="54"/>
        <v>4.5138888890505768E-2</v>
      </c>
      <c r="G1180" s="24">
        <f t="shared" si="56"/>
        <v>276.9230769131575</v>
      </c>
      <c r="H1180" s="1" t="s">
        <v>1</v>
      </c>
      <c r="I1180" s="4" t="s">
        <v>2</v>
      </c>
      <c r="J1180" s="14">
        <v>0.4861111111111111</v>
      </c>
      <c r="K1180" s="20" t="str">
        <f t="shared" si="55"/>
        <v>1st Shift</v>
      </c>
    </row>
    <row r="1181" spans="1:11" x14ac:dyDescent="0.25">
      <c r="A1181" s="1">
        <v>1180</v>
      </c>
      <c r="B1181" s="1">
        <v>11</v>
      </c>
      <c r="C1181" s="3">
        <v>11115271542801</v>
      </c>
      <c r="D1181" s="2">
        <v>44430.486111111109</v>
      </c>
      <c r="E1181" s="2">
        <v>44430.53125</v>
      </c>
      <c r="F1181" s="23">
        <f t="shared" si="54"/>
        <v>4.5138888890505768E-2</v>
      </c>
      <c r="G1181" s="24">
        <f t="shared" si="56"/>
        <v>276.9230769131575</v>
      </c>
      <c r="H1181" s="1" t="s">
        <v>1</v>
      </c>
      <c r="I1181" s="4" t="s">
        <v>3</v>
      </c>
      <c r="J1181" s="14">
        <v>0.4861111111111111</v>
      </c>
      <c r="K1181" s="20" t="str">
        <f t="shared" si="55"/>
        <v>1st Shift</v>
      </c>
    </row>
    <row r="1182" spans="1:11" x14ac:dyDescent="0.25">
      <c r="A1182" s="1">
        <v>1181</v>
      </c>
      <c r="B1182" s="1">
        <v>3</v>
      </c>
      <c r="C1182" s="3">
        <v>3115270310806</v>
      </c>
      <c r="D1182" s="2">
        <v>44430.486111111109</v>
      </c>
      <c r="E1182" s="2">
        <v>44430.53125</v>
      </c>
      <c r="F1182" s="23">
        <f t="shared" si="54"/>
        <v>4.5138888890505768E-2</v>
      </c>
      <c r="G1182" s="24">
        <f t="shared" si="56"/>
        <v>276.9230769131575</v>
      </c>
      <c r="H1182" s="1" t="s">
        <v>1</v>
      </c>
      <c r="I1182" s="4" t="s">
        <v>3</v>
      </c>
      <c r="J1182" s="14">
        <v>0.4861111111111111</v>
      </c>
      <c r="K1182" s="20" t="str">
        <f t="shared" si="55"/>
        <v>1st Shift</v>
      </c>
    </row>
    <row r="1183" spans="1:11" x14ac:dyDescent="0.25">
      <c r="A1183" s="1">
        <v>1182</v>
      </c>
      <c r="B1183" s="1">
        <v>3</v>
      </c>
      <c r="C1183" s="3">
        <v>3115270310802</v>
      </c>
      <c r="D1183" s="2">
        <v>44430.486111111109</v>
      </c>
      <c r="E1183" s="2">
        <v>44430.53125</v>
      </c>
      <c r="F1183" s="23">
        <f t="shared" si="54"/>
        <v>4.5138888890505768E-2</v>
      </c>
      <c r="G1183" s="24">
        <f t="shared" si="56"/>
        <v>276.9230769131575</v>
      </c>
      <c r="H1183" s="1" t="s">
        <v>1</v>
      </c>
      <c r="I1183" s="4" t="s">
        <v>2</v>
      </c>
      <c r="J1183" s="14">
        <v>0.4861111111111111</v>
      </c>
      <c r="K1183" s="20" t="str">
        <f t="shared" si="55"/>
        <v>1st Shift</v>
      </c>
    </row>
    <row r="1184" spans="1:11" x14ac:dyDescent="0.25">
      <c r="A1184" s="1">
        <v>1183</v>
      </c>
      <c r="B1184" s="1">
        <v>3</v>
      </c>
      <c r="C1184" s="3">
        <v>3115270310801</v>
      </c>
      <c r="D1184" s="2">
        <v>44430.486111111109</v>
      </c>
      <c r="E1184" s="2">
        <v>44430.53125</v>
      </c>
      <c r="F1184" s="23">
        <f t="shared" si="54"/>
        <v>4.5138888890505768E-2</v>
      </c>
      <c r="G1184" s="24">
        <f t="shared" si="56"/>
        <v>276.9230769131575</v>
      </c>
      <c r="H1184" s="1" t="s">
        <v>1</v>
      </c>
      <c r="I1184" s="4" t="s">
        <v>2</v>
      </c>
      <c r="J1184" s="14">
        <v>0.4861111111111111</v>
      </c>
      <c r="K1184" s="20" t="str">
        <f t="shared" si="55"/>
        <v>1st Shift</v>
      </c>
    </row>
    <row r="1185" spans="1:11" x14ac:dyDescent="0.25">
      <c r="A1185" s="1">
        <v>1184</v>
      </c>
      <c r="B1185" s="1">
        <v>1</v>
      </c>
      <c r="C1185" s="3">
        <v>1115270036103</v>
      </c>
      <c r="D1185" s="2">
        <v>44430.486111111109</v>
      </c>
      <c r="E1185" s="2">
        <v>44430.53125</v>
      </c>
      <c r="F1185" s="23">
        <f t="shared" si="54"/>
        <v>4.5138888890505768E-2</v>
      </c>
      <c r="G1185" s="24">
        <f t="shared" si="56"/>
        <v>276.9230769131575</v>
      </c>
      <c r="H1185" s="1" t="s">
        <v>1</v>
      </c>
      <c r="I1185" s="4" t="s">
        <v>3</v>
      </c>
      <c r="J1185" s="14">
        <v>0.4861111111111111</v>
      </c>
      <c r="K1185" s="20" t="str">
        <f t="shared" si="55"/>
        <v>1st Shift</v>
      </c>
    </row>
    <row r="1186" spans="1:11" x14ac:dyDescent="0.25">
      <c r="A1186" s="1">
        <v>1185</v>
      </c>
      <c r="B1186" s="1">
        <v>1</v>
      </c>
      <c r="C1186" s="3">
        <v>1115270036101</v>
      </c>
      <c r="D1186" s="2">
        <v>44430.486111111109</v>
      </c>
      <c r="E1186" s="2">
        <v>44430.53125</v>
      </c>
      <c r="F1186" s="23">
        <f t="shared" si="54"/>
        <v>4.5138888890505768E-2</v>
      </c>
      <c r="G1186" s="24">
        <f t="shared" si="56"/>
        <v>276.9230769131575</v>
      </c>
      <c r="H1186" s="1" t="s">
        <v>1</v>
      </c>
      <c r="I1186" s="4" t="s">
        <v>3</v>
      </c>
      <c r="J1186" s="14">
        <v>0.4861111111111111</v>
      </c>
      <c r="K1186" s="20" t="str">
        <f t="shared" si="55"/>
        <v>1st Shift</v>
      </c>
    </row>
    <row r="1187" spans="1:11" x14ac:dyDescent="0.25">
      <c r="A1187" s="1">
        <v>1186</v>
      </c>
      <c r="B1187" s="1">
        <v>1</v>
      </c>
      <c r="C1187" s="3">
        <v>1115270036100</v>
      </c>
      <c r="D1187" s="2">
        <v>44430.486111111109</v>
      </c>
      <c r="E1187" s="2">
        <v>44430.53125</v>
      </c>
      <c r="F1187" s="23">
        <f t="shared" si="54"/>
        <v>4.5138888890505768E-2</v>
      </c>
      <c r="G1187" s="24">
        <f t="shared" si="56"/>
        <v>276.9230769131575</v>
      </c>
      <c r="H1187" s="1" t="s">
        <v>1</v>
      </c>
      <c r="I1187" s="4" t="s">
        <v>3</v>
      </c>
      <c r="J1187" s="14">
        <v>0.4861111111111111</v>
      </c>
      <c r="K1187" s="20" t="str">
        <f t="shared" si="55"/>
        <v>1st Shift</v>
      </c>
    </row>
    <row r="1188" spans="1:11" x14ac:dyDescent="0.25">
      <c r="A1188" s="1">
        <v>1187</v>
      </c>
      <c r="B1188" s="1">
        <v>6</v>
      </c>
      <c r="C1188" s="3">
        <v>6115271712109</v>
      </c>
      <c r="D1188" s="2">
        <v>44430.545138888891</v>
      </c>
      <c r="E1188" s="2">
        <v>44430.579861111109</v>
      </c>
      <c r="F1188" s="23">
        <f t="shared" si="54"/>
        <v>3.4722222218988463E-2</v>
      </c>
      <c r="G1188" s="24">
        <f t="shared" si="56"/>
        <v>360.00000003352761</v>
      </c>
      <c r="H1188" s="1" t="s">
        <v>1</v>
      </c>
      <c r="I1188" s="4" t="s">
        <v>2</v>
      </c>
      <c r="J1188" s="14">
        <v>0.54513888888888884</v>
      </c>
      <c r="K1188" s="20" t="str">
        <f t="shared" si="55"/>
        <v>1st Shift</v>
      </c>
    </row>
    <row r="1189" spans="1:11" x14ac:dyDescent="0.25">
      <c r="A1189" s="1">
        <v>1188</v>
      </c>
      <c r="B1189" s="1">
        <v>6</v>
      </c>
      <c r="C1189" s="3">
        <v>6115271712101</v>
      </c>
      <c r="D1189" s="2">
        <v>44430.545138888891</v>
      </c>
      <c r="E1189" s="2">
        <v>44430.579861111109</v>
      </c>
      <c r="F1189" s="23">
        <f t="shared" si="54"/>
        <v>3.4722222218988463E-2</v>
      </c>
      <c r="G1189" s="24">
        <f t="shared" si="56"/>
        <v>360.00000003352761</v>
      </c>
      <c r="H1189" s="1" t="s">
        <v>1</v>
      </c>
      <c r="I1189" s="4" t="s">
        <v>4</v>
      </c>
      <c r="J1189" s="14">
        <v>0.54513888888888884</v>
      </c>
      <c r="K1189" s="20" t="str">
        <f t="shared" si="55"/>
        <v>1st Shift</v>
      </c>
    </row>
    <row r="1190" spans="1:11" x14ac:dyDescent="0.25">
      <c r="A1190" s="1">
        <v>1189</v>
      </c>
      <c r="B1190" s="1">
        <v>6</v>
      </c>
      <c r="C1190" s="3">
        <v>6115271712100</v>
      </c>
      <c r="D1190" s="2">
        <v>44430.545138888891</v>
      </c>
      <c r="E1190" s="2">
        <v>44430.579861111109</v>
      </c>
      <c r="F1190" s="23">
        <f t="shared" si="54"/>
        <v>3.4722222218988463E-2</v>
      </c>
      <c r="G1190" s="24">
        <f t="shared" si="56"/>
        <v>360.00000003352761</v>
      </c>
      <c r="H1190" s="1" t="s">
        <v>1</v>
      </c>
      <c r="I1190" s="4" t="s">
        <v>4</v>
      </c>
      <c r="J1190" s="14">
        <v>0.54513888888888884</v>
      </c>
      <c r="K1190" s="20" t="str">
        <f t="shared" si="55"/>
        <v>1st Shift</v>
      </c>
    </row>
    <row r="1191" spans="1:11" x14ac:dyDescent="0.25">
      <c r="A1191" s="1">
        <v>1190</v>
      </c>
      <c r="B1191" s="1">
        <v>3</v>
      </c>
      <c r="C1191" s="3">
        <v>3115270306607</v>
      </c>
      <c r="D1191" s="2">
        <v>44430.708333333336</v>
      </c>
      <c r="E1191" s="2">
        <v>44430.791666666664</v>
      </c>
      <c r="F1191" s="23">
        <f t="shared" si="54"/>
        <v>8.3333333328482695E-2</v>
      </c>
      <c r="G1191" s="24">
        <f t="shared" si="56"/>
        <v>150.00000000873115</v>
      </c>
      <c r="H1191" s="1" t="s">
        <v>1</v>
      </c>
      <c r="I1191" s="4" t="s">
        <v>2</v>
      </c>
      <c r="J1191" s="14">
        <v>0.70833333333333337</v>
      </c>
      <c r="K1191" s="20" t="str">
        <f t="shared" si="55"/>
        <v>2nd Shift</v>
      </c>
    </row>
    <row r="1192" spans="1:11" x14ac:dyDescent="0.25">
      <c r="A1192" s="1">
        <v>1191</v>
      </c>
      <c r="B1192" s="1">
        <v>3</v>
      </c>
      <c r="C1192" s="3">
        <v>3115270306602</v>
      </c>
      <c r="D1192" s="2">
        <v>44430.708333333336</v>
      </c>
      <c r="E1192" s="2">
        <v>44430.791666666664</v>
      </c>
      <c r="F1192" s="23">
        <f t="shared" si="54"/>
        <v>8.3333333328482695E-2</v>
      </c>
      <c r="G1192" s="24">
        <f t="shared" si="56"/>
        <v>150.00000000873115</v>
      </c>
      <c r="H1192" s="1" t="s">
        <v>1</v>
      </c>
      <c r="I1192" s="4" t="s">
        <v>3</v>
      </c>
      <c r="J1192" s="14">
        <v>0.70833333333333337</v>
      </c>
      <c r="K1192" s="20" t="str">
        <f t="shared" si="55"/>
        <v>2nd Shift</v>
      </c>
    </row>
    <row r="1193" spans="1:11" x14ac:dyDescent="0.25">
      <c r="A1193" s="1">
        <v>1192</v>
      </c>
      <c r="B1193" s="1">
        <v>3</v>
      </c>
      <c r="C1193" s="3">
        <v>3115270306601</v>
      </c>
      <c r="D1193" s="2">
        <v>44430.708333333336</v>
      </c>
      <c r="E1193" s="2">
        <v>44430.791666666664</v>
      </c>
      <c r="F1193" s="23">
        <f t="shared" si="54"/>
        <v>8.3333333328482695E-2</v>
      </c>
      <c r="G1193" s="24">
        <f t="shared" si="56"/>
        <v>150.00000000873115</v>
      </c>
      <c r="H1193" s="1" t="s">
        <v>1</v>
      </c>
      <c r="I1193" s="4" t="s">
        <v>4</v>
      </c>
      <c r="J1193" s="14">
        <v>0.70833333333333337</v>
      </c>
      <c r="K1193" s="20" t="str">
        <f t="shared" si="55"/>
        <v>2nd Shift</v>
      </c>
    </row>
    <row r="1194" spans="1:11" x14ac:dyDescent="0.25">
      <c r="A1194" s="1">
        <v>1193</v>
      </c>
      <c r="B1194" s="1">
        <v>11</v>
      </c>
      <c r="C1194" s="3">
        <v>11115271536005</v>
      </c>
      <c r="D1194" s="2">
        <v>44430.8125</v>
      </c>
      <c r="E1194" s="2">
        <v>44430.916666666664</v>
      </c>
      <c r="F1194" s="23">
        <f t="shared" si="54"/>
        <v>0.10416666666424135</v>
      </c>
      <c r="G1194" s="24">
        <f t="shared" si="56"/>
        <v>120.00000000279397</v>
      </c>
      <c r="H1194" s="1" t="s">
        <v>1</v>
      </c>
      <c r="I1194" s="4" t="s">
        <v>2</v>
      </c>
      <c r="J1194" s="14">
        <v>0.8125</v>
      </c>
      <c r="K1194" s="20" t="str">
        <f t="shared" si="55"/>
        <v>2nd Shift</v>
      </c>
    </row>
    <row r="1195" spans="1:11" x14ac:dyDescent="0.25">
      <c r="A1195" s="1">
        <v>1194</v>
      </c>
      <c r="B1195" s="1">
        <v>11</v>
      </c>
      <c r="C1195" s="3">
        <v>11115271536005</v>
      </c>
      <c r="D1195" s="2">
        <v>44430.8125</v>
      </c>
      <c r="E1195" s="2">
        <v>44430.916666666664</v>
      </c>
      <c r="F1195" s="23">
        <f t="shared" si="54"/>
        <v>0.10416666666424135</v>
      </c>
      <c r="G1195" s="24">
        <f t="shared" si="56"/>
        <v>120.00000000279397</v>
      </c>
      <c r="H1195" s="1" t="s">
        <v>1</v>
      </c>
      <c r="I1195" s="4" t="s">
        <v>2</v>
      </c>
      <c r="J1195" s="14">
        <v>0.8125</v>
      </c>
      <c r="K1195" s="20" t="str">
        <f t="shared" si="55"/>
        <v>2nd Shift</v>
      </c>
    </row>
    <row r="1196" spans="1:11" x14ac:dyDescent="0.25">
      <c r="A1196" s="1">
        <v>1195</v>
      </c>
      <c r="B1196" s="1">
        <v>11</v>
      </c>
      <c r="C1196" s="3">
        <v>11115271536001</v>
      </c>
      <c r="D1196" s="2">
        <v>44430.8125</v>
      </c>
      <c r="E1196" s="2">
        <v>44430.916666666664</v>
      </c>
      <c r="F1196" s="23">
        <f t="shared" si="54"/>
        <v>0.10416666666424135</v>
      </c>
      <c r="G1196" s="24">
        <f t="shared" si="56"/>
        <v>120.00000000279397</v>
      </c>
      <c r="H1196" s="1" t="s">
        <v>1</v>
      </c>
      <c r="I1196" s="4" t="s">
        <v>2</v>
      </c>
      <c r="J1196" s="14">
        <v>0.8125</v>
      </c>
      <c r="K1196" s="20" t="str">
        <f t="shared" si="55"/>
        <v>2nd Shift</v>
      </c>
    </row>
    <row r="1197" spans="1:11" x14ac:dyDescent="0.25">
      <c r="A1197" s="1">
        <v>1196</v>
      </c>
      <c r="B1197" s="1">
        <v>10</v>
      </c>
      <c r="C1197" s="3">
        <v>10115271963208</v>
      </c>
      <c r="D1197" s="2">
        <v>44430.916666666664</v>
      </c>
      <c r="E1197" s="2">
        <v>44430.989583333336</v>
      </c>
      <c r="F1197" s="23">
        <f t="shared" si="54"/>
        <v>7.2916666671517305E-2</v>
      </c>
      <c r="G1197" s="24">
        <f t="shared" si="56"/>
        <v>171.42857141716746</v>
      </c>
      <c r="H1197" s="1" t="s">
        <v>1</v>
      </c>
      <c r="I1197" s="4" t="s">
        <v>2</v>
      </c>
      <c r="J1197" s="14">
        <v>0.91666666666666663</v>
      </c>
      <c r="K1197" s="20" t="str">
        <f t="shared" si="55"/>
        <v>2nd Shift</v>
      </c>
    </row>
    <row r="1198" spans="1:11" x14ac:dyDescent="0.25">
      <c r="A1198" s="1">
        <v>1197</v>
      </c>
      <c r="B1198" s="1">
        <v>10</v>
      </c>
      <c r="C1198" s="3">
        <v>10115271963208</v>
      </c>
      <c r="D1198" s="2">
        <v>44430.916666666664</v>
      </c>
      <c r="E1198" s="2">
        <v>44430.989583333336</v>
      </c>
      <c r="F1198" s="23">
        <f t="shared" si="54"/>
        <v>7.2916666671517305E-2</v>
      </c>
      <c r="G1198" s="24">
        <f t="shared" si="56"/>
        <v>171.42857141716746</v>
      </c>
      <c r="H1198" s="1" t="s">
        <v>1</v>
      </c>
      <c r="I1198" s="4" t="s">
        <v>8</v>
      </c>
      <c r="J1198" s="14">
        <v>0.91666666666666663</v>
      </c>
      <c r="K1198" s="20" t="str">
        <f t="shared" si="55"/>
        <v>2nd Shift</v>
      </c>
    </row>
    <row r="1199" spans="1:11" x14ac:dyDescent="0.25">
      <c r="A1199" s="1">
        <v>1198</v>
      </c>
      <c r="B1199" s="1">
        <v>10</v>
      </c>
      <c r="C1199" s="3">
        <v>10115271963207</v>
      </c>
      <c r="D1199" s="2">
        <v>44430.916666666664</v>
      </c>
      <c r="E1199" s="2">
        <v>44430.989583333336</v>
      </c>
      <c r="F1199" s="23">
        <f t="shared" si="54"/>
        <v>7.2916666671517305E-2</v>
      </c>
      <c r="G1199" s="24">
        <f t="shared" si="56"/>
        <v>171.42857141716746</v>
      </c>
      <c r="H1199" s="1" t="s">
        <v>1</v>
      </c>
      <c r="I1199" s="4" t="s">
        <v>2</v>
      </c>
      <c r="J1199" s="14">
        <v>0.91666666666666663</v>
      </c>
      <c r="K1199" s="20" t="str">
        <f t="shared" si="55"/>
        <v>2nd Shift</v>
      </c>
    </row>
    <row r="1200" spans="1:11" x14ac:dyDescent="0.25">
      <c r="A1200" s="1">
        <v>1199</v>
      </c>
      <c r="B1200" s="1">
        <v>3</v>
      </c>
      <c r="C1200" s="3">
        <v>3115270327801</v>
      </c>
      <c r="D1200" s="2">
        <v>44431.395833333336</v>
      </c>
      <c r="E1200" s="2">
        <v>44431.420138888891</v>
      </c>
      <c r="F1200" s="23">
        <f t="shared" si="54"/>
        <v>2.4305555554747116E-2</v>
      </c>
      <c r="G1200" s="24">
        <f t="shared" si="56"/>
        <v>514.28571430282022</v>
      </c>
      <c r="H1200" s="1" t="s">
        <v>1</v>
      </c>
      <c r="I1200" s="4" t="s">
        <v>3</v>
      </c>
      <c r="J1200" s="14">
        <v>0.39583333333333331</v>
      </c>
      <c r="K1200" s="20" t="str">
        <f t="shared" si="55"/>
        <v>1st Shift</v>
      </c>
    </row>
    <row r="1201" spans="1:11" x14ac:dyDescent="0.25">
      <c r="A1201" s="1">
        <v>1200</v>
      </c>
      <c r="B1201" s="1">
        <v>3</v>
      </c>
      <c r="C1201" s="3">
        <v>3115270327800</v>
      </c>
      <c r="D1201" s="2">
        <v>44431.395833333336</v>
      </c>
      <c r="E1201" s="2">
        <v>44431.420138888891</v>
      </c>
      <c r="F1201" s="23">
        <f t="shared" si="54"/>
        <v>2.4305555554747116E-2</v>
      </c>
      <c r="G1201" s="24">
        <f t="shared" si="56"/>
        <v>514.28571430282022</v>
      </c>
      <c r="H1201" s="1" t="s">
        <v>1</v>
      </c>
      <c r="I1201" s="4" t="s">
        <v>3</v>
      </c>
      <c r="J1201" s="14">
        <v>0.39583333333333331</v>
      </c>
      <c r="K1201" s="20" t="str">
        <f t="shared" si="55"/>
        <v>1st Shift</v>
      </c>
    </row>
    <row r="1202" spans="1:11" x14ac:dyDescent="0.25">
      <c r="A1202" s="1">
        <v>1201</v>
      </c>
      <c r="B1202" s="1">
        <v>7</v>
      </c>
      <c r="C1202" s="3">
        <v>7115271760209</v>
      </c>
      <c r="D1202" s="2">
        <v>44431.5</v>
      </c>
      <c r="E1202" s="2">
        <v>44431.559027777781</v>
      </c>
      <c r="F1202" s="23">
        <f t="shared" si="54"/>
        <v>5.9027777781011537E-2</v>
      </c>
      <c r="G1202" s="24">
        <f t="shared" si="56"/>
        <v>211.7647058707517</v>
      </c>
      <c r="H1202" s="1" t="s">
        <v>1</v>
      </c>
      <c r="I1202" s="4" t="s">
        <v>8</v>
      </c>
      <c r="J1202" s="14">
        <v>0.5</v>
      </c>
      <c r="K1202" s="20" t="str">
        <f t="shared" si="55"/>
        <v>1st Shift</v>
      </c>
    </row>
    <row r="1203" spans="1:11" x14ac:dyDescent="0.25">
      <c r="A1203" s="1">
        <v>1202</v>
      </c>
      <c r="B1203" s="1">
        <v>7</v>
      </c>
      <c r="C1203" s="3">
        <v>7115271760201</v>
      </c>
      <c r="D1203" s="2">
        <v>44431.5</v>
      </c>
      <c r="E1203" s="2">
        <v>44431.559027777781</v>
      </c>
      <c r="F1203" s="23">
        <f t="shared" si="54"/>
        <v>5.9027777781011537E-2</v>
      </c>
      <c r="G1203" s="24">
        <f t="shared" si="56"/>
        <v>211.7647058707517</v>
      </c>
      <c r="H1203" s="1" t="s">
        <v>1</v>
      </c>
      <c r="I1203" s="4" t="s">
        <v>3</v>
      </c>
      <c r="J1203" s="14">
        <v>0.5</v>
      </c>
      <c r="K1203" s="20" t="str">
        <f t="shared" si="55"/>
        <v>1st Shift</v>
      </c>
    </row>
    <row r="1204" spans="1:11" x14ac:dyDescent="0.25">
      <c r="A1204" s="1">
        <v>1203</v>
      </c>
      <c r="B1204" s="1">
        <v>7</v>
      </c>
      <c r="C1204" s="3">
        <v>7115271760200</v>
      </c>
      <c r="D1204" s="2">
        <v>44431.5</v>
      </c>
      <c r="E1204" s="2">
        <v>44431.559027777781</v>
      </c>
      <c r="F1204" s="23">
        <f t="shared" si="54"/>
        <v>5.9027777781011537E-2</v>
      </c>
      <c r="G1204" s="24">
        <f t="shared" si="56"/>
        <v>211.7647058707517</v>
      </c>
      <c r="H1204" s="1" t="s">
        <v>1</v>
      </c>
      <c r="I1204" s="4" t="s">
        <v>3</v>
      </c>
      <c r="J1204" s="14">
        <v>0.5</v>
      </c>
      <c r="K1204" s="20" t="str">
        <f t="shared" si="55"/>
        <v>1st Shift</v>
      </c>
    </row>
    <row r="1205" spans="1:11" x14ac:dyDescent="0.25">
      <c r="A1205" s="1">
        <v>1204</v>
      </c>
      <c r="B1205" s="1">
        <v>6</v>
      </c>
      <c r="C1205" s="3">
        <v>6115271717231</v>
      </c>
      <c r="D1205" s="2">
        <v>44431.5</v>
      </c>
      <c r="E1205" s="2">
        <v>44431.559027777781</v>
      </c>
      <c r="F1205" s="23">
        <f t="shared" si="54"/>
        <v>5.9027777781011537E-2</v>
      </c>
      <c r="G1205" s="24">
        <f t="shared" si="56"/>
        <v>211.7647058707517</v>
      </c>
      <c r="H1205" s="1" t="s">
        <v>1</v>
      </c>
      <c r="I1205" s="4" t="s">
        <v>3</v>
      </c>
      <c r="J1205" s="14">
        <v>0.5</v>
      </c>
      <c r="K1205" s="20" t="str">
        <f t="shared" si="55"/>
        <v>1st Shift</v>
      </c>
    </row>
    <row r="1206" spans="1:11" x14ac:dyDescent="0.25">
      <c r="A1206" s="1">
        <v>1205</v>
      </c>
      <c r="B1206" s="1">
        <v>6</v>
      </c>
      <c r="C1206" s="3">
        <v>6115271717230</v>
      </c>
      <c r="D1206" s="2">
        <v>44431.5</v>
      </c>
      <c r="E1206" s="2">
        <v>44431.559027777781</v>
      </c>
      <c r="F1206" s="23">
        <f t="shared" si="54"/>
        <v>5.9027777781011537E-2</v>
      </c>
      <c r="G1206" s="24">
        <f t="shared" si="56"/>
        <v>211.7647058707517</v>
      </c>
      <c r="H1206" s="1" t="s">
        <v>1</v>
      </c>
      <c r="I1206" s="4" t="s">
        <v>2</v>
      </c>
      <c r="J1206" s="14">
        <v>0.5</v>
      </c>
      <c r="K1206" s="20" t="str">
        <f t="shared" si="55"/>
        <v>1st Shift</v>
      </c>
    </row>
    <row r="1207" spans="1:11" x14ac:dyDescent="0.25">
      <c r="A1207" s="1">
        <v>1206</v>
      </c>
      <c r="B1207" s="1">
        <v>2</v>
      </c>
      <c r="C1207" s="3">
        <v>2115270217101</v>
      </c>
      <c r="D1207" s="2">
        <v>44431.5</v>
      </c>
      <c r="E1207" s="2">
        <v>44431.559027777781</v>
      </c>
      <c r="F1207" s="23">
        <f t="shared" si="54"/>
        <v>5.9027777781011537E-2</v>
      </c>
      <c r="G1207" s="24">
        <f t="shared" si="56"/>
        <v>211.7647058707517</v>
      </c>
      <c r="H1207" s="1" t="s">
        <v>1</v>
      </c>
      <c r="I1207" s="4" t="s">
        <v>2</v>
      </c>
      <c r="J1207" s="14">
        <v>0.5</v>
      </c>
      <c r="K1207" s="20" t="str">
        <f t="shared" si="55"/>
        <v>1st Shift</v>
      </c>
    </row>
    <row r="1208" spans="1:11" x14ac:dyDescent="0.25">
      <c r="A1208" s="1">
        <v>1207</v>
      </c>
      <c r="B1208" s="1">
        <v>2</v>
      </c>
      <c r="C1208" s="3">
        <v>2115270217100</v>
      </c>
      <c r="D1208" s="2">
        <v>44431.5</v>
      </c>
      <c r="E1208" s="2">
        <v>44431.559027777781</v>
      </c>
      <c r="F1208" s="23">
        <f t="shared" si="54"/>
        <v>5.9027777781011537E-2</v>
      </c>
      <c r="G1208" s="24">
        <f t="shared" si="56"/>
        <v>211.7647058707517</v>
      </c>
      <c r="H1208" s="1" t="s">
        <v>1</v>
      </c>
      <c r="I1208" s="4" t="s">
        <v>3</v>
      </c>
      <c r="J1208" s="14">
        <v>0.5</v>
      </c>
      <c r="K1208" s="20" t="str">
        <f t="shared" si="55"/>
        <v>1st Shift</v>
      </c>
    </row>
    <row r="1209" spans="1:11" x14ac:dyDescent="0.25">
      <c r="A1209" s="1">
        <v>1208</v>
      </c>
      <c r="B1209" s="1">
        <v>12</v>
      </c>
      <c r="C1209" s="3">
        <v>12115271581908</v>
      </c>
      <c r="D1209" s="2">
        <v>44431.673611111109</v>
      </c>
      <c r="E1209" s="2">
        <v>44431.701388888891</v>
      </c>
      <c r="F1209" s="23">
        <f t="shared" si="54"/>
        <v>2.7777777781011537E-2</v>
      </c>
      <c r="G1209" s="24">
        <f t="shared" si="56"/>
        <v>449.99999994761311</v>
      </c>
      <c r="H1209" s="1" t="s">
        <v>1</v>
      </c>
      <c r="I1209" s="4" t="s">
        <v>3</v>
      </c>
      <c r="J1209" s="14">
        <v>0.67361111111111116</v>
      </c>
      <c r="K1209" s="20" t="str">
        <f t="shared" si="55"/>
        <v>2nd Shift</v>
      </c>
    </row>
    <row r="1210" spans="1:11" x14ac:dyDescent="0.25">
      <c r="A1210" s="1">
        <v>1209</v>
      </c>
      <c r="B1210" s="1">
        <v>12</v>
      </c>
      <c r="C1210" s="3">
        <v>12115271581906</v>
      </c>
      <c r="D1210" s="2">
        <v>44431.673611111109</v>
      </c>
      <c r="E1210" s="2">
        <v>44431.701388888891</v>
      </c>
      <c r="F1210" s="23">
        <f t="shared" si="54"/>
        <v>2.7777777781011537E-2</v>
      </c>
      <c r="G1210" s="24">
        <f t="shared" si="56"/>
        <v>449.99999994761311</v>
      </c>
      <c r="H1210" s="1" t="s">
        <v>1</v>
      </c>
      <c r="I1210" s="4" t="s">
        <v>3</v>
      </c>
      <c r="J1210" s="14">
        <v>0.67361111111111116</v>
      </c>
      <c r="K1210" s="20" t="str">
        <f t="shared" si="55"/>
        <v>2nd Shift</v>
      </c>
    </row>
    <row r="1211" spans="1:11" x14ac:dyDescent="0.25">
      <c r="A1211" s="1">
        <v>1210</v>
      </c>
      <c r="B1211" s="1">
        <v>12</v>
      </c>
      <c r="C1211" s="3">
        <v>12115271581905</v>
      </c>
      <c r="D1211" s="2">
        <v>44431.673611111109</v>
      </c>
      <c r="E1211" s="2">
        <v>44431.701388888891</v>
      </c>
      <c r="F1211" s="23">
        <f t="shared" si="54"/>
        <v>2.7777777781011537E-2</v>
      </c>
      <c r="G1211" s="24">
        <f t="shared" si="56"/>
        <v>449.99999994761311</v>
      </c>
      <c r="H1211" s="1" t="s">
        <v>1</v>
      </c>
      <c r="I1211" s="4" t="s">
        <v>8</v>
      </c>
      <c r="J1211" s="14">
        <v>0.67361111111111116</v>
      </c>
      <c r="K1211" s="20" t="str">
        <f t="shared" si="55"/>
        <v>2nd Shift</v>
      </c>
    </row>
    <row r="1212" spans="1:11" x14ac:dyDescent="0.25">
      <c r="A1212" s="1">
        <v>1211</v>
      </c>
      <c r="B1212" s="1">
        <v>6</v>
      </c>
      <c r="C1212" s="3">
        <v>6115271740309</v>
      </c>
      <c r="D1212" s="2">
        <v>44431.774305555555</v>
      </c>
      <c r="E1212" s="2">
        <v>44431.809027777781</v>
      </c>
      <c r="F1212" s="23">
        <f t="shared" si="54"/>
        <v>3.4722222226264421E-2</v>
      </c>
      <c r="G1212" s="24">
        <f t="shared" si="56"/>
        <v>359.99999995809048</v>
      </c>
      <c r="H1212" s="1" t="s">
        <v>1</v>
      </c>
      <c r="I1212" s="4" t="s">
        <v>3</v>
      </c>
      <c r="J1212" s="14">
        <v>0.77430555555555558</v>
      </c>
      <c r="K1212" s="20" t="str">
        <f t="shared" si="55"/>
        <v>2nd Shift</v>
      </c>
    </row>
    <row r="1213" spans="1:11" x14ac:dyDescent="0.25">
      <c r="A1213" s="1">
        <v>1212</v>
      </c>
      <c r="B1213" s="1">
        <v>6</v>
      </c>
      <c r="C1213" s="3">
        <v>6115271740304</v>
      </c>
      <c r="D1213" s="2">
        <v>44431.774305555555</v>
      </c>
      <c r="E1213" s="2">
        <v>44431.809027777781</v>
      </c>
      <c r="F1213" s="23">
        <f t="shared" si="54"/>
        <v>3.4722222226264421E-2</v>
      </c>
      <c r="G1213" s="24">
        <f t="shared" si="56"/>
        <v>359.99999995809048</v>
      </c>
      <c r="H1213" s="1" t="s">
        <v>1</v>
      </c>
      <c r="I1213" s="4" t="s">
        <v>4</v>
      </c>
      <c r="J1213" s="14">
        <v>0.77430555555555558</v>
      </c>
      <c r="K1213" s="20" t="str">
        <f t="shared" si="55"/>
        <v>2nd Shift</v>
      </c>
    </row>
    <row r="1214" spans="1:11" x14ac:dyDescent="0.25">
      <c r="A1214" s="1">
        <v>1213</v>
      </c>
      <c r="B1214" s="1">
        <v>6</v>
      </c>
      <c r="C1214" s="3">
        <v>6115271740303</v>
      </c>
      <c r="D1214" s="2">
        <v>44431.774305555555</v>
      </c>
      <c r="E1214" s="2">
        <v>44431.809027777781</v>
      </c>
      <c r="F1214" s="23">
        <f t="shared" si="54"/>
        <v>3.4722222226264421E-2</v>
      </c>
      <c r="G1214" s="24">
        <f t="shared" si="56"/>
        <v>359.99999995809048</v>
      </c>
      <c r="H1214" s="1" t="s">
        <v>1</v>
      </c>
      <c r="I1214" s="4" t="s">
        <v>3</v>
      </c>
      <c r="J1214" s="14">
        <v>0.77430555555555558</v>
      </c>
      <c r="K1214" s="20" t="str">
        <f t="shared" si="55"/>
        <v>2nd Shift</v>
      </c>
    </row>
    <row r="1215" spans="1:11" x14ac:dyDescent="0.25">
      <c r="A1215" s="1">
        <v>1214</v>
      </c>
      <c r="B1215" s="1">
        <v>9</v>
      </c>
      <c r="C1215" s="3">
        <v>9115271945503</v>
      </c>
      <c r="D1215" s="2">
        <v>44431.861111111109</v>
      </c>
      <c r="E1215" s="2">
        <v>44431.993055555555</v>
      </c>
      <c r="F1215" s="23">
        <f t="shared" si="54"/>
        <v>0.13194444444525288</v>
      </c>
      <c r="G1215" s="24">
        <f t="shared" si="56"/>
        <v>94.736842104682694</v>
      </c>
      <c r="H1215" s="1" t="s">
        <v>1</v>
      </c>
      <c r="I1215" s="4" t="s">
        <v>2</v>
      </c>
      <c r="J1215" s="14">
        <v>0.86111111111111116</v>
      </c>
      <c r="K1215" s="20" t="str">
        <f t="shared" si="55"/>
        <v>2nd Shift</v>
      </c>
    </row>
    <row r="1216" spans="1:11" x14ac:dyDescent="0.25">
      <c r="A1216" s="1">
        <v>1215</v>
      </c>
      <c r="B1216" s="1">
        <v>9</v>
      </c>
      <c r="C1216" s="3">
        <v>9115271945501</v>
      </c>
      <c r="D1216" s="2">
        <v>44431.861111111109</v>
      </c>
      <c r="E1216" s="2">
        <v>44431.993055555555</v>
      </c>
      <c r="F1216" s="23">
        <f t="shared" si="54"/>
        <v>0.13194444444525288</v>
      </c>
      <c r="G1216" s="24">
        <f t="shared" si="56"/>
        <v>94.736842104682694</v>
      </c>
      <c r="H1216" s="1" t="s">
        <v>1</v>
      </c>
      <c r="I1216" s="4" t="s">
        <v>2</v>
      </c>
      <c r="J1216" s="14">
        <v>0.86111111111111116</v>
      </c>
      <c r="K1216" s="20" t="str">
        <f t="shared" si="55"/>
        <v>2nd Shift</v>
      </c>
    </row>
    <row r="1217" spans="1:11" x14ac:dyDescent="0.25">
      <c r="A1217" s="1">
        <v>1216</v>
      </c>
      <c r="B1217" s="1">
        <v>9</v>
      </c>
      <c r="C1217" s="3">
        <v>9115271945500</v>
      </c>
      <c r="D1217" s="2">
        <v>44431.861111111109</v>
      </c>
      <c r="E1217" s="2">
        <v>44431.993055555555</v>
      </c>
      <c r="F1217" s="23">
        <f t="shared" si="54"/>
        <v>0.13194444444525288</v>
      </c>
      <c r="G1217" s="24">
        <f t="shared" si="56"/>
        <v>94.736842104682694</v>
      </c>
      <c r="H1217" s="1" t="s">
        <v>1</v>
      </c>
      <c r="I1217" s="4" t="s">
        <v>3</v>
      </c>
      <c r="J1217" s="14">
        <v>0.86111111111111116</v>
      </c>
      <c r="K1217" s="20" t="str">
        <f t="shared" si="55"/>
        <v>2nd Shift</v>
      </c>
    </row>
    <row r="1218" spans="1:11" x14ac:dyDescent="0.25">
      <c r="A1218" s="1">
        <v>1217</v>
      </c>
      <c r="B1218" s="1">
        <v>1</v>
      </c>
      <c r="C1218" s="3">
        <v>1115270095206</v>
      </c>
      <c r="D1218" s="2">
        <v>44431.861111111109</v>
      </c>
      <c r="E1218" s="2">
        <v>44431.993055555555</v>
      </c>
      <c r="F1218" s="23">
        <f t="shared" ref="F1218:F1281" si="57">E1218-D1218</f>
        <v>0.13194444444525288</v>
      </c>
      <c r="G1218" s="24">
        <f t="shared" si="56"/>
        <v>94.736842104682694</v>
      </c>
      <c r="H1218" s="1" t="s">
        <v>1</v>
      </c>
      <c r="I1218" s="4" t="s">
        <v>2</v>
      </c>
      <c r="J1218" s="14">
        <v>0.86111111111111116</v>
      </c>
      <c r="K1218" s="20" t="str">
        <f t="shared" ref="K1218:K1281" si="58">IF(AND(J1218&gt;=$M$3,J1218&lt;$M$4),"1st Shift",IF(AND(J1218&gt;=$M$4,J1218&lt;$M$5),"2nd Shift","3rd Shift"))</f>
        <v>2nd Shift</v>
      </c>
    </row>
    <row r="1219" spans="1:11" x14ac:dyDescent="0.25">
      <c r="A1219" s="1">
        <v>1218</v>
      </c>
      <c r="B1219" s="1">
        <v>1</v>
      </c>
      <c r="C1219" s="3">
        <v>1115270095202</v>
      </c>
      <c r="D1219" s="2">
        <v>44431.861111111109</v>
      </c>
      <c r="E1219" s="2">
        <v>44431.993055555555</v>
      </c>
      <c r="F1219" s="23">
        <f t="shared" si="57"/>
        <v>0.13194444444525288</v>
      </c>
      <c r="G1219" s="24">
        <f t="shared" ref="G1219:G1282" si="59">$M$9/F1219*100</f>
        <v>94.736842104682694</v>
      </c>
      <c r="H1219" s="1" t="s">
        <v>1</v>
      </c>
      <c r="I1219" s="4" t="s">
        <v>3</v>
      </c>
      <c r="J1219" s="14">
        <v>0.86111111111111116</v>
      </c>
      <c r="K1219" s="20" t="str">
        <f t="shared" si="58"/>
        <v>2nd Shift</v>
      </c>
    </row>
    <row r="1220" spans="1:11" x14ac:dyDescent="0.25">
      <c r="A1220" s="1">
        <v>1219</v>
      </c>
      <c r="B1220" s="1">
        <v>1</v>
      </c>
      <c r="C1220" s="3">
        <v>1115270095200</v>
      </c>
      <c r="D1220" s="2">
        <v>44431.861111111109</v>
      </c>
      <c r="E1220" s="2">
        <v>44431.993055555555</v>
      </c>
      <c r="F1220" s="23">
        <f t="shared" si="57"/>
        <v>0.13194444444525288</v>
      </c>
      <c r="G1220" s="24">
        <f t="shared" si="59"/>
        <v>94.736842104682694</v>
      </c>
      <c r="H1220" s="1" t="s">
        <v>1</v>
      </c>
      <c r="I1220" s="4" t="s">
        <v>3</v>
      </c>
      <c r="J1220" s="14">
        <v>0.86111111111111116</v>
      </c>
      <c r="K1220" s="20" t="str">
        <f t="shared" si="58"/>
        <v>2nd Shift</v>
      </c>
    </row>
    <row r="1221" spans="1:11" x14ac:dyDescent="0.25">
      <c r="A1221" s="1">
        <v>1220</v>
      </c>
      <c r="B1221" s="1">
        <v>1</v>
      </c>
      <c r="C1221" s="3">
        <v>1115270152101</v>
      </c>
      <c r="D1221" s="2">
        <v>44432.006944444445</v>
      </c>
      <c r="E1221" s="2">
        <v>44432.052083333336</v>
      </c>
      <c r="F1221" s="23">
        <f t="shared" si="57"/>
        <v>4.5138888890505768E-2</v>
      </c>
      <c r="G1221" s="24">
        <f t="shared" si="59"/>
        <v>276.9230769131575</v>
      </c>
      <c r="H1221" s="1" t="s">
        <v>1</v>
      </c>
      <c r="I1221" s="4" t="s">
        <v>2</v>
      </c>
      <c r="J1221" s="14">
        <v>6.9444444444444441E-3</v>
      </c>
      <c r="K1221" s="20" t="str">
        <f t="shared" si="58"/>
        <v>3rd Shift</v>
      </c>
    </row>
    <row r="1222" spans="1:11" x14ac:dyDescent="0.25">
      <c r="A1222" s="1">
        <v>1221</v>
      </c>
      <c r="B1222" s="1">
        <v>1</v>
      </c>
      <c r="C1222" s="3">
        <v>1115270152100</v>
      </c>
      <c r="D1222" s="2">
        <v>44432.006944444445</v>
      </c>
      <c r="E1222" s="2">
        <v>44432.052083333336</v>
      </c>
      <c r="F1222" s="23">
        <f t="shared" si="57"/>
        <v>4.5138888890505768E-2</v>
      </c>
      <c r="G1222" s="24">
        <f t="shared" si="59"/>
        <v>276.9230769131575</v>
      </c>
      <c r="H1222" s="1" t="s">
        <v>1</v>
      </c>
      <c r="I1222" s="4" t="s">
        <v>2</v>
      </c>
      <c r="J1222" s="14">
        <v>6.9444444444444441E-3</v>
      </c>
      <c r="K1222" s="20" t="str">
        <f t="shared" si="58"/>
        <v>3rd Shift</v>
      </c>
    </row>
    <row r="1223" spans="1:11" x14ac:dyDescent="0.25">
      <c r="A1223" s="1">
        <v>1222</v>
      </c>
      <c r="B1223" s="1">
        <v>13</v>
      </c>
      <c r="C1223" s="3">
        <v>13115271590502</v>
      </c>
      <c r="D1223" s="2">
        <v>44432.09375</v>
      </c>
      <c r="E1223" s="2">
        <v>44432.1875</v>
      </c>
      <c r="F1223" s="23">
        <f t="shared" si="57"/>
        <v>9.375E-2</v>
      </c>
      <c r="G1223" s="24">
        <f t="shared" si="59"/>
        <v>133.33333333333331</v>
      </c>
      <c r="H1223" s="1" t="s">
        <v>1</v>
      </c>
      <c r="I1223" s="4" t="s">
        <v>2</v>
      </c>
      <c r="J1223" s="14">
        <v>9.375E-2</v>
      </c>
      <c r="K1223" s="20" t="str">
        <f t="shared" si="58"/>
        <v>3rd Shift</v>
      </c>
    </row>
    <row r="1224" spans="1:11" x14ac:dyDescent="0.25">
      <c r="A1224" s="1">
        <v>1223</v>
      </c>
      <c r="B1224" s="1">
        <v>13</v>
      </c>
      <c r="C1224" s="3">
        <v>13115271590501</v>
      </c>
      <c r="D1224" s="2">
        <v>44432.09375</v>
      </c>
      <c r="E1224" s="2">
        <v>44432.1875</v>
      </c>
      <c r="F1224" s="23">
        <f t="shared" si="57"/>
        <v>9.375E-2</v>
      </c>
      <c r="G1224" s="24">
        <f t="shared" si="59"/>
        <v>133.33333333333331</v>
      </c>
      <c r="H1224" s="1" t="s">
        <v>1</v>
      </c>
      <c r="I1224" s="4" t="s">
        <v>2</v>
      </c>
      <c r="J1224" s="14">
        <v>9.375E-2</v>
      </c>
      <c r="K1224" s="20" t="str">
        <f t="shared" si="58"/>
        <v>3rd Shift</v>
      </c>
    </row>
    <row r="1225" spans="1:11" x14ac:dyDescent="0.25">
      <c r="A1225" s="1">
        <v>1224</v>
      </c>
      <c r="B1225" s="1">
        <v>7</v>
      </c>
      <c r="C1225" s="3">
        <v>7115271760309</v>
      </c>
      <c r="D1225" s="2">
        <v>44432.09375</v>
      </c>
      <c r="E1225" s="2">
        <v>44432.1875</v>
      </c>
      <c r="F1225" s="23">
        <f t="shared" si="57"/>
        <v>9.375E-2</v>
      </c>
      <c r="G1225" s="24">
        <f t="shared" si="59"/>
        <v>133.33333333333331</v>
      </c>
      <c r="H1225" s="1" t="s">
        <v>1</v>
      </c>
      <c r="I1225" s="4" t="s">
        <v>3</v>
      </c>
      <c r="J1225" s="14">
        <v>9.375E-2</v>
      </c>
      <c r="K1225" s="20" t="str">
        <f t="shared" si="58"/>
        <v>3rd Shift</v>
      </c>
    </row>
    <row r="1226" spans="1:11" x14ac:dyDescent="0.25">
      <c r="A1226" s="1">
        <v>1225</v>
      </c>
      <c r="B1226" s="1">
        <v>7</v>
      </c>
      <c r="C1226" s="3">
        <v>7115271760308</v>
      </c>
      <c r="D1226" s="2">
        <v>44432.09375</v>
      </c>
      <c r="E1226" s="2">
        <v>44432.1875</v>
      </c>
      <c r="F1226" s="23">
        <f t="shared" si="57"/>
        <v>9.375E-2</v>
      </c>
      <c r="G1226" s="24">
        <f t="shared" si="59"/>
        <v>133.33333333333331</v>
      </c>
      <c r="H1226" s="1" t="s">
        <v>1</v>
      </c>
      <c r="I1226" s="4" t="s">
        <v>3</v>
      </c>
      <c r="J1226" s="14">
        <v>9.375E-2</v>
      </c>
      <c r="K1226" s="20" t="str">
        <f t="shared" si="58"/>
        <v>3rd Shift</v>
      </c>
    </row>
    <row r="1227" spans="1:11" x14ac:dyDescent="0.25">
      <c r="A1227" s="1">
        <v>1226</v>
      </c>
      <c r="B1227" s="1">
        <v>14</v>
      </c>
      <c r="C1227" s="3">
        <v>14115271685113</v>
      </c>
      <c r="D1227" s="2">
        <v>44432.451388888891</v>
      </c>
      <c r="E1227" s="2">
        <v>44432.53125</v>
      </c>
      <c r="F1227" s="23">
        <f t="shared" si="57"/>
        <v>7.9861111109494232E-2</v>
      </c>
      <c r="G1227" s="24">
        <f t="shared" si="59"/>
        <v>156.52173913360375</v>
      </c>
      <c r="H1227" s="1" t="s">
        <v>1</v>
      </c>
      <c r="I1227" s="4" t="s">
        <v>2</v>
      </c>
      <c r="J1227" s="14">
        <v>0.4513888888888889</v>
      </c>
      <c r="K1227" s="20" t="str">
        <f t="shared" si="58"/>
        <v>1st Shift</v>
      </c>
    </row>
    <row r="1228" spans="1:11" x14ac:dyDescent="0.25">
      <c r="A1228" s="1">
        <v>1227</v>
      </c>
      <c r="B1228" s="1">
        <v>14</v>
      </c>
      <c r="C1228" s="3">
        <v>14115271674918</v>
      </c>
      <c r="D1228" s="2">
        <v>44432.451388888891</v>
      </c>
      <c r="E1228" s="2">
        <v>44432.53125</v>
      </c>
      <c r="F1228" s="23">
        <f t="shared" si="57"/>
        <v>7.9861111109494232E-2</v>
      </c>
      <c r="G1228" s="24">
        <f t="shared" si="59"/>
        <v>156.52173913360375</v>
      </c>
      <c r="H1228" s="1" t="s">
        <v>1</v>
      </c>
      <c r="I1228" s="4" t="s">
        <v>3</v>
      </c>
      <c r="J1228" s="14">
        <v>0.4513888888888889</v>
      </c>
      <c r="K1228" s="20" t="str">
        <f t="shared" si="58"/>
        <v>1st Shift</v>
      </c>
    </row>
    <row r="1229" spans="1:11" x14ac:dyDescent="0.25">
      <c r="A1229" s="1">
        <v>1228</v>
      </c>
      <c r="B1229" s="1">
        <v>14</v>
      </c>
      <c r="C1229" s="3">
        <v>14115271674917</v>
      </c>
      <c r="D1229" s="2">
        <v>44432.451388888891</v>
      </c>
      <c r="E1229" s="2">
        <v>44432.53125</v>
      </c>
      <c r="F1229" s="23">
        <f t="shared" si="57"/>
        <v>7.9861111109494232E-2</v>
      </c>
      <c r="G1229" s="24">
        <f t="shared" si="59"/>
        <v>156.52173913360375</v>
      </c>
      <c r="H1229" s="1" t="s">
        <v>1</v>
      </c>
      <c r="I1229" s="4" t="s">
        <v>3</v>
      </c>
      <c r="J1229" s="14">
        <v>0.4513888888888889</v>
      </c>
      <c r="K1229" s="20" t="str">
        <f t="shared" si="58"/>
        <v>1st Shift</v>
      </c>
    </row>
    <row r="1230" spans="1:11" x14ac:dyDescent="0.25">
      <c r="A1230" s="1">
        <v>1229</v>
      </c>
      <c r="B1230" s="1">
        <v>11</v>
      </c>
      <c r="C1230" s="3">
        <v>11115271542302</v>
      </c>
      <c r="D1230" s="2">
        <v>44432.451388888891</v>
      </c>
      <c r="E1230" s="2">
        <v>44432.53125</v>
      </c>
      <c r="F1230" s="23">
        <f t="shared" si="57"/>
        <v>7.9861111109494232E-2</v>
      </c>
      <c r="G1230" s="24">
        <f t="shared" si="59"/>
        <v>156.52173913360375</v>
      </c>
      <c r="H1230" s="1" t="s">
        <v>1</v>
      </c>
      <c r="I1230" s="4" t="s">
        <v>3</v>
      </c>
      <c r="J1230" s="14">
        <v>0.4513888888888889</v>
      </c>
      <c r="K1230" s="20" t="str">
        <f t="shared" si="58"/>
        <v>1st Shift</v>
      </c>
    </row>
    <row r="1231" spans="1:11" x14ac:dyDescent="0.25">
      <c r="A1231" s="1">
        <v>1230</v>
      </c>
      <c r="B1231" s="1">
        <v>11</v>
      </c>
      <c r="C1231" s="3">
        <v>11115271542301</v>
      </c>
      <c r="D1231" s="2">
        <v>44432.451388888891</v>
      </c>
      <c r="E1231" s="2">
        <v>44432.53125</v>
      </c>
      <c r="F1231" s="23">
        <f t="shared" si="57"/>
        <v>7.9861111109494232E-2</v>
      </c>
      <c r="G1231" s="24">
        <f t="shared" si="59"/>
        <v>156.52173913360375</v>
      </c>
      <c r="H1231" s="1" t="s">
        <v>1</v>
      </c>
      <c r="I1231" s="4" t="s">
        <v>2</v>
      </c>
      <c r="J1231" s="14">
        <v>0.4513888888888889</v>
      </c>
      <c r="K1231" s="20" t="str">
        <f t="shared" si="58"/>
        <v>1st Shift</v>
      </c>
    </row>
    <row r="1232" spans="1:11" x14ac:dyDescent="0.25">
      <c r="A1232" s="1">
        <v>1231</v>
      </c>
      <c r="B1232" s="1">
        <v>11</v>
      </c>
      <c r="C1232" s="3">
        <v>11115271510201</v>
      </c>
      <c r="D1232" s="2">
        <v>44432.451388888891</v>
      </c>
      <c r="E1232" s="2">
        <v>44432.53125</v>
      </c>
      <c r="F1232" s="23">
        <f t="shared" si="57"/>
        <v>7.9861111109494232E-2</v>
      </c>
      <c r="G1232" s="24">
        <f t="shared" si="59"/>
        <v>156.52173913360375</v>
      </c>
      <c r="H1232" s="1" t="s">
        <v>1</v>
      </c>
      <c r="I1232" s="4" t="s">
        <v>2</v>
      </c>
      <c r="J1232" s="14">
        <v>0.4513888888888889</v>
      </c>
      <c r="K1232" s="20" t="str">
        <f t="shared" si="58"/>
        <v>1st Shift</v>
      </c>
    </row>
    <row r="1233" spans="1:11" x14ac:dyDescent="0.25">
      <c r="A1233" s="1">
        <v>1232</v>
      </c>
      <c r="B1233" s="1">
        <v>11</v>
      </c>
      <c r="C1233" s="3">
        <v>11115271510200</v>
      </c>
      <c r="D1233" s="2">
        <v>44432.451388888891</v>
      </c>
      <c r="E1233" s="2">
        <v>44432.53125</v>
      </c>
      <c r="F1233" s="23">
        <f t="shared" si="57"/>
        <v>7.9861111109494232E-2</v>
      </c>
      <c r="G1233" s="24">
        <f t="shared" si="59"/>
        <v>156.52173913360375</v>
      </c>
      <c r="H1233" s="1" t="s">
        <v>1</v>
      </c>
      <c r="I1233" s="4" t="s">
        <v>8</v>
      </c>
      <c r="J1233" s="14">
        <v>0.4513888888888889</v>
      </c>
      <c r="K1233" s="20" t="str">
        <f t="shared" si="58"/>
        <v>1st Shift</v>
      </c>
    </row>
    <row r="1234" spans="1:11" x14ac:dyDescent="0.25">
      <c r="A1234" s="1">
        <v>1233</v>
      </c>
      <c r="B1234" s="1">
        <v>6</v>
      </c>
      <c r="C1234" s="3">
        <v>6115271720708</v>
      </c>
      <c r="D1234" s="2">
        <v>44432.451388888891</v>
      </c>
      <c r="E1234" s="2">
        <v>44432.53125</v>
      </c>
      <c r="F1234" s="23">
        <f t="shared" si="57"/>
        <v>7.9861111109494232E-2</v>
      </c>
      <c r="G1234" s="24">
        <f t="shared" si="59"/>
        <v>156.52173913360375</v>
      </c>
      <c r="H1234" s="1" t="s">
        <v>1</v>
      </c>
      <c r="I1234" s="4" t="s">
        <v>2</v>
      </c>
      <c r="J1234" s="14">
        <v>0.4513888888888889</v>
      </c>
      <c r="K1234" s="20" t="str">
        <f t="shared" si="58"/>
        <v>1st Shift</v>
      </c>
    </row>
    <row r="1235" spans="1:11" x14ac:dyDescent="0.25">
      <c r="A1235" s="1">
        <v>1234</v>
      </c>
      <c r="B1235" s="1">
        <v>6</v>
      </c>
      <c r="C1235" s="3">
        <v>6115271720707</v>
      </c>
      <c r="D1235" s="2">
        <v>44432.451388888891</v>
      </c>
      <c r="E1235" s="2">
        <v>44432.53125</v>
      </c>
      <c r="F1235" s="23">
        <f t="shared" si="57"/>
        <v>7.9861111109494232E-2</v>
      </c>
      <c r="G1235" s="24">
        <f t="shared" si="59"/>
        <v>156.52173913360375</v>
      </c>
      <c r="H1235" s="1" t="s">
        <v>1</v>
      </c>
      <c r="I1235" s="4" t="s">
        <v>2</v>
      </c>
      <c r="J1235" s="14">
        <v>0.4513888888888889</v>
      </c>
      <c r="K1235" s="20" t="str">
        <f t="shared" si="58"/>
        <v>1st Shift</v>
      </c>
    </row>
    <row r="1236" spans="1:11" x14ac:dyDescent="0.25">
      <c r="A1236" s="1">
        <v>1235</v>
      </c>
      <c r="B1236" s="1">
        <v>1</v>
      </c>
      <c r="C1236" s="3">
        <v>1115270138801</v>
      </c>
      <c r="D1236" s="2">
        <v>44432.451388888891</v>
      </c>
      <c r="E1236" s="2">
        <v>44432.53125</v>
      </c>
      <c r="F1236" s="23">
        <f t="shared" si="57"/>
        <v>7.9861111109494232E-2</v>
      </c>
      <c r="G1236" s="24">
        <f t="shared" si="59"/>
        <v>156.52173913360375</v>
      </c>
      <c r="H1236" s="1" t="s">
        <v>1</v>
      </c>
      <c r="I1236" s="4" t="s">
        <v>2</v>
      </c>
      <c r="J1236" s="14">
        <v>0.4513888888888889</v>
      </c>
      <c r="K1236" s="20" t="str">
        <f t="shared" si="58"/>
        <v>1st Shift</v>
      </c>
    </row>
    <row r="1237" spans="1:11" x14ac:dyDescent="0.25">
      <c r="A1237" s="1">
        <v>1236</v>
      </c>
      <c r="B1237" s="1">
        <v>1</v>
      </c>
      <c r="C1237" s="3">
        <v>1115270138800</v>
      </c>
      <c r="D1237" s="2">
        <v>44432.451388888891</v>
      </c>
      <c r="E1237" s="2">
        <v>44432.53125</v>
      </c>
      <c r="F1237" s="23">
        <f t="shared" si="57"/>
        <v>7.9861111109494232E-2</v>
      </c>
      <c r="G1237" s="24">
        <f t="shared" si="59"/>
        <v>156.52173913360375</v>
      </c>
      <c r="H1237" s="1" t="s">
        <v>1</v>
      </c>
      <c r="I1237" s="4" t="s">
        <v>2</v>
      </c>
      <c r="J1237" s="14">
        <v>0.4513888888888889</v>
      </c>
      <c r="K1237" s="20" t="str">
        <f t="shared" si="58"/>
        <v>1st Shift</v>
      </c>
    </row>
    <row r="1238" spans="1:11" x14ac:dyDescent="0.25">
      <c r="A1238" s="1">
        <v>1237</v>
      </c>
      <c r="B1238" s="1">
        <v>6</v>
      </c>
      <c r="C1238" s="3">
        <v>6115271725709</v>
      </c>
      <c r="D1238" s="2">
        <v>44432.666666666664</v>
      </c>
      <c r="E1238" s="2">
        <v>44432.715277777781</v>
      </c>
      <c r="F1238" s="23">
        <f t="shared" si="57"/>
        <v>4.8611111116770189E-2</v>
      </c>
      <c r="G1238" s="24">
        <f t="shared" si="59"/>
        <v>257.14285711292177</v>
      </c>
      <c r="H1238" s="1" t="s">
        <v>1</v>
      </c>
      <c r="I1238" s="4" t="s">
        <v>2</v>
      </c>
      <c r="J1238" s="14">
        <v>0.66666666666666663</v>
      </c>
      <c r="K1238" s="20" t="str">
        <f t="shared" si="58"/>
        <v>2nd Shift</v>
      </c>
    </row>
    <row r="1239" spans="1:11" x14ac:dyDescent="0.25">
      <c r="A1239" s="1">
        <v>1238</v>
      </c>
      <c r="B1239" s="1">
        <v>6</v>
      </c>
      <c r="C1239" s="3">
        <v>6115271725700</v>
      </c>
      <c r="D1239" s="2">
        <v>44432.666666666664</v>
      </c>
      <c r="E1239" s="2">
        <v>44432.715277777781</v>
      </c>
      <c r="F1239" s="23">
        <f t="shared" si="57"/>
        <v>4.8611111116770189E-2</v>
      </c>
      <c r="G1239" s="24">
        <f t="shared" si="59"/>
        <v>257.14285711292177</v>
      </c>
      <c r="H1239" s="1" t="s">
        <v>1</v>
      </c>
      <c r="I1239" s="4" t="s">
        <v>3</v>
      </c>
      <c r="J1239" s="14">
        <v>0.66666666666666663</v>
      </c>
      <c r="K1239" s="20" t="str">
        <f t="shared" si="58"/>
        <v>2nd Shift</v>
      </c>
    </row>
    <row r="1240" spans="1:11" x14ac:dyDescent="0.25">
      <c r="A1240" s="1">
        <v>1239</v>
      </c>
      <c r="B1240" s="1">
        <v>13</v>
      </c>
      <c r="C1240" s="3">
        <v>13115271590600</v>
      </c>
      <c r="D1240" s="2">
        <v>44432.822916666664</v>
      </c>
      <c r="E1240" s="2">
        <v>44432.895833333336</v>
      </c>
      <c r="F1240" s="23">
        <f t="shared" si="57"/>
        <v>7.2916666671517305E-2</v>
      </c>
      <c r="G1240" s="24">
        <f t="shared" si="59"/>
        <v>171.42857141716746</v>
      </c>
      <c r="H1240" s="1" t="s">
        <v>1</v>
      </c>
      <c r="I1240" s="4" t="s">
        <v>2</v>
      </c>
      <c r="J1240" s="14">
        <v>0.82291666666666663</v>
      </c>
      <c r="K1240" s="20" t="str">
        <f t="shared" si="58"/>
        <v>2nd Shift</v>
      </c>
    </row>
    <row r="1241" spans="1:11" x14ac:dyDescent="0.25">
      <c r="A1241" s="1">
        <v>1240</v>
      </c>
      <c r="B1241" s="1">
        <v>3</v>
      </c>
      <c r="C1241" s="3">
        <v>3115270343703</v>
      </c>
      <c r="D1241" s="2">
        <v>44432.822916666664</v>
      </c>
      <c r="E1241" s="2">
        <v>44432.895833333336</v>
      </c>
      <c r="F1241" s="23">
        <f t="shared" si="57"/>
        <v>7.2916666671517305E-2</v>
      </c>
      <c r="G1241" s="24">
        <f t="shared" si="59"/>
        <v>171.42857141716746</v>
      </c>
      <c r="H1241" s="1" t="s">
        <v>1</v>
      </c>
      <c r="I1241" s="4" t="s">
        <v>2</v>
      </c>
      <c r="J1241" s="14">
        <v>0.82291666666666663</v>
      </c>
      <c r="K1241" s="20" t="str">
        <f t="shared" si="58"/>
        <v>2nd Shift</v>
      </c>
    </row>
    <row r="1242" spans="1:11" x14ac:dyDescent="0.25">
      <c r="A1242" s="1">
        <v>1241</v>
      </c>
      <c r="B1242" s="1">
        <v>3</v>
      </c>
      <c r="C1242" s="3">
        <v>3115270343701</v>
      </c>
      <c r="D1242" s="2">
        <v>44432.822916666664</v>
      </c>
      <c r="E1242" s="2">
        <v>44432.895833333336</v>
      </c>
      <c r="F1242" s="23">
        <f t="shared" si="57"/>
        <v>7.2916666671517305E-2</v>
      </c>
      <c r="G1242" s="24">
        <f t="shared" si="59"/>
        <v>171.42857141716746</v>
      </c>
      <c r="H1242" s="1" t="s">
        <v>1</v>
      </c>
      <c r="I1242" s="4" t="s">
        <v>2</v>
      </c>
      <c r="J1242" s="14">
        <v>0.82291666666666663</v>
      </c>
      <c r="K1242" s="20" t="str">
        <f t="shared" si="58"/>
        <v>2nd Shift</v>
      </c>
    </row>
    <row r="1243" spans="1:11" x14ac:dyDescent="0.25">
      <c r="A1243" s="1">
        <v>1242</v>
      </c>
      <c r="B1243" s="1">
        <v>2</v>
      </c>
      <c r="C1243" s="3">
        <v>2115270202305</v>
      </c>
      <c r="D1243" s="2">
        <v>44432.822916666664</v>
      </c>
      <c r="E1243" s="2">
        <v>44432.895833333336</v>
      </c>
      <c r="F1243" s="23">
        <f t="shared" si="57"/>
        <v>7.2916666671517305E-2</v>
      </c>
      <c r="G1243" s="24">
        <f t="shared" si="59"/>
        <v>171.42857141716746</v>
      </c>
      <c r="H1243" s="1" t="s">
        <v>1</v>
      </c>
      <c r="I1243" s="4" t="s">
        <v>2</v>
      </c>
      <c r="J1243" s="14">
        <v>0.82291666666666663</v>
      </c>
      <c r="K1243" s="20" t="str">
        <f t="shared" si="58"/>
        <v>2nd Shift</v>
      </c>
    </row>
    <row r="1244" spans="1:11" x14ac:dyDescent="0.25">
      <c r="A1244" s="1">
        <v>1243</v>
      </c>
      <c r="B1244" s="1">
        <v>2</v>
      </c>
      <c r="C1244" s="3">
        <v>2115270202300</v>
      </c>
      <c r="D1244" s="2">
        <v>44432.822916666664</v>
      </c>
      <c r="E1244" s="2">
        <v>44432.895833333336</v>
      </c>
      <c r="F1244" s="23">
        <f t="shared" si="57"/>
        <v>7.2916666671517305E-2</v>
      </c>
      <c r="G1244" s="24">
        <f t="shared" si="59"/>
        <v>171.42857141716746</v>
      </c>
      <c r="H1244" s="1" t="s">
        <v>1</v>
      </c>
      <c r="I1244" s="4" t="s">
        <v>2</v>
      </c>
      <c r="J1244" s="14">
        <v>0.82291666666666663</v>
      </c>
      <c r="K1244" s="20" t="str">
        <f t="shared" si="58"/>
        <v>2nd Shift</v>
      </c>
    </row>
    <row r="1245" spans="1:11" x14ac:dyDescent="0.25">
      <c r="A1245" s="1">
        <v>1244</v>
      </c>
      <c r="B1245" s="1">
        <v>13</v>
      </c>
      <c r="C1245" s="3">
        <v>13115271591301</v>
      </c>
      <c r="D1245" s="2">
        <v>44433.072916666664</v>
      </c>
      <c r="E1245" s="2">
        <v>44433.118055555555</v>
      </c>
      <c r="F1245" s="23">
        <f t="shared" si="57"/>
        <v>4.5138888890505768E-2</v>
      </c>
      <c r="G1245" s="24">
        <f t="shared" si="59"/>
        <v>276.9230769131575</v>
      </c>
      <c r="H1245" s="1" t="s">
        <v>1</v>
      </c>
      <c r="I1245" s="4" t="s">
        <v>2</v>
      </c>
      <c r="J1245" s="14">
        <v>7.2916666666666671E-2</v>
      </c>
      <c r="K1245" s="20" t="str">
        <f t="shared" si="58"/>
        <v>3rd Shift</v>
      </c>
    </row>
    <row r="1246" spans="1:11" x14ac:dyDescent="0.25">
      <c r="A1246" s="1">
        <v>1245</v>
      </c>
      <c r="B1246" s="1">
        <v>13</v>
      </c>
      <c r="C1246" s="3">
        <v>13115271591300</v>
      </c>
      <c r="D1246" s="2">
        <v>44433.072916666664</v>
      </c>
      <c r="E1246" s="2">
        <v>44433.118055555555</v>
      </c>
      <c r="F1246" s="23">
        <f t="shared" si="57"/>
        <v>4.5138888890505768E-2</v>
      </c>
      <c r="G1246" s="24">
        <f t="shared" si="59"/>
        <v>276.9230769131575</v>
      </c>
      <c r="H1246" s="1" t="s">
        <v>1</v>
      </c>
      <c r="I1246" s="4" t="s">
        <v>2</v>
      </c>
      <c r="J1246" s="14">
        <v>7.2916666666666671E-2</v>
      </c>
      <c r="K1246" s="20" t="str">
        <f t="shared" si="58"/>
        <v>3rd Shift</v>
      </c>
    </row>
    <row r="1247" spans="1:11" x14ac:dyDescent="0.25">
      <c r="A1247" s="1">
        <v>1246</v>
      </c>
      <c r="B1247" s="1">
        <v>15</v>
      </c>
      <c r="C1247" s="3">
        <v>15115271743402</v>
      </c>
      <c r="D1247" s="2">
        <v>44433.357638888891</v>
      </c>
      <c r="E1247" s="2">
        <v>44433.65625</v>
      </c>
      <c r="F1247" s="23">
        <f t="shared" si="57"/>
        <v>0.29861111110949423</v>
      </c>
      <c r="G1247" s="24">
        <f t="shared" si="59"/>
        <v>41.860465116505729</v>
      </c>
      <c r="H1247" s="1" t="s">
        <v>1</v>
      </c>
      <c r="I1247" s="4" t="s">
        <v>3</v>
      </c>
      <c r="J1247" s="14">
        <v>0.3576388888888889</v>
      </c>
      <c r="K1247" s="20" t="str">
        <f t="shared" si="58"/>
        <v>1st Shift</v>
      </c>
    </row>
    <row r="1248" spans="1:11" x14ac:dyDescent="0.25">
      <c r="A1248" s="1">
        <v>1247</v>
      </c>
      <c r="B1248" s="1">
        <v>11</v>
      </c>
      <c r="C1248" s="3">
        <v>11115271542506</v>
      </c>
      <c r="D1248" s="2">
        <v>44433.357638888891</v>
      </c>
      <c r="E1248" s="2">
        <v>44433.65625</v>
      </c>
      <c r="F1248" s="23">
        <f t="shared" si="57"/>
        <v>0.29861111110949423</v>
      </c>
      <c r="G1248" s="24">
        <f t="shared" si="59"/>
        <v>41.860465116505729</v>
      </c>
      <c r="H1248" s="1" t="s">
        <v>1</v>
      </c>
      <c r="I1248" s="4" t="s">
        <v>2</v>
      </c>
      <c r="J1248" s="14">
        <v>0.3576388888888889</v>
      </c>
      <c r="K1248" s="20" t="str">
        <f t="shared" si="58"/>
        <v>1st Shift</v>
      </c>
    </row>
    <row r="1249" spans="1:11" x14ac:dyDescent="0.25">
      <c r="A1249" s="1">
        <v>1248</v>
      </c>
      <c r="B1249" s="1">
        <v>11</v>
      </c>
      <c r="C1249" s="3">
        <v>11115271530500</v>
      </c>
      <c r="D1249" s="2">
        <v>44433.357638888891</v>
      </c>
      <c r="E1249" s="2">
        <v>44433.65625</v>
      </c>
      <c r="F1249" s="23">
        <f t="shared" si="57"/>
        <v>0.29861111110949423</v>
      </c>
      <c r="G1249" s="24">
        <f t="shared" si="59"/>
        <v>41.860465116505729</v>
      </c>
      <c r="H1249" s="1" t="s">
        <v>1</v>
      </c>
      <c r="I1249" s="4" t="s">
        <v>4</v>
      </c>
      <c r="J1249" s="14">
        <v>0.3576388888888889</v>
      </c>
      <c r="K1249" s="20" t="str">
        <f t="shared" si="58"/>
        <v>1st Shift</v>
      </c>
    </row>
    <row r="1250" spans="1:11" x14ac:dyDescent="0.25">
      <c r="A1250" s="1">
        <v>1249</v>
      </c>
      <c r="B1250" s="1">
        <v>8</v>
      </c>
      <c r="C1250" s="3">
        <v>8115271809102</v>
      </c>
      <c r="D1250" s="2">
        <v>44433.357638888891</v>
      </c>
      <c r="E1250" s="2">
        <v>44433.65625</v>
      </c>
      <c r="F1250" s="23">
        <f t="shared" si="57"/>
        <v>0.29861111110949423</v>
      </c>
      <c r="G1250" s="24">
        <f t="shared" si="59"/>
        <v>41.860465116505729</v>
      </c>
      <c r="H1250" s="1" t="s">
        <v>1</v>
      </c>
      <c r="I1250" s="4" t="s">
        <v>2</v>
      </c>
      <c r="J1250" s="14">
        <v>0.3576388888888889</v>
      </c>
      <c r="K1250" s="20" t="str">
        <f t="shared" si="58"/>
        <v>1st Shift</v>
      </c>
    </row>
    <row r="1251" spans="1:11" x14ac:dyDescent="0.25">
      <c r="A1251" s="1">
        <v>1250</v>
      </c>
      <c r="B1251" s="1">
        <v>5</v>
      </c>
      <c r="C1251" s="3">
        <v>5115271261101</v>
      </c>
      <c r="D1251" s="2">
        <v>44433.357638888891</v>
      </c>
      <c r="E1251" s="2">
        <v>44433.65625</v>
      </c>
      <c r="F1251" s="23">
        <f t="shared" si="57"/>
        <v>0.29861111110949423</v>
      </c>
      <c r="G1251" s="24">
        <f t="shared" si="59"/>
        <v>41.860465116505729</v>
      </c>
      <c r="H1251" s="1" t="s">
        <v>1</v>
      </c>
      <c r="I1251" s="4" t="s">
        <v>2</v>
      </c>
      <c r="J1251" s="14">
        <v>0.3576388888888889</v>
      </c>
      <c r="K1251" s="20" t="str">
        <f t="shared" si="58"/>
        <v>1st Shift</v>
      </c>
    </row>
    <row r="1252" spans="1:11" x14ac:dyDescent="0.25">
      <c r="A1252" s="1">
        <v>1251</v>
      </c>
      <c r="B1252" s="1">
        <v>5</v>
      </c>
      <c r="C1252" s="3">
        <v>5115271261100</v>
      </c>
      <c r="D1252" s="2">
        <v>44433.357638888891</v>
      </c>
      <c r="E1252" s="2">
        <v>44433.65625</v>
      </c>
      <c r="F1252" s="23">
        <f t="shared" si="57"/>
        <v>0.29861111110949423</v>
      </c>
      <c r="G1252" s="24">
        <f t="shared" si="59"/>
        <v>41.860465116505729</v>
      </c>
      <c r="H1252" s="1" t="s">
        <v>1</v>
      </c>
      <c r="I1252" s="4" t="s">
        <v>2</v>
      </c>
      <c r="J1252" s="14">
        <v>0.3576388888888889</v>
      </c>
      <c r="K1252" s="20" t="str">
        <f t="shared" si="58"/>
        <v>1st Shift</v>
      </c>
    </row>
    <row r="1253" spans="1:11" x14ac:dyDescent="0.25">
      <c r="A1253" s="1">
        <v>1252</v>
      </c>
      <c r="B1253" s="1">
        <v>4</v>
      </c>
      <c r="C1253" s="3">
        <v>4115270831602</v>
      </c>
      <c r="D1253" s="2">
        <v>44433.357638888891</v>
      </c>
      <c r="E1253" s="2">
        <v>44433.65625</v>
      </c>
      <c r="F1253" s="23">
        <f t="shared" si="57"/>
        <v>0.29861111110949423</v>
      </c>
      <c r="G1253" s="24">
        <f t="shared" si="59"/>
        <v>41.860465116505729</v>
      </c>
      <c r="H1253" s="1" t="s">
        <v>1</v>
      </c>
      <c r="I1253" s="4" t="s">
        <v>3</v>
      </c>
      <c r="J1253" s="14">
        <v>0.3576388888888889</v>
      </c>
      <c r="K1253" s="20" t="str">
        <f t="shared" si="58"/>
        <v>1st Shift</v>
      </c>
    </row>
    <row r="1254" spans="1:11" x14ac:dyDescent="0.25">
      <c r="A1254" s="1">
        <v>1253</v>
      </c>
      <c r="B1254" s="1">
        <v>4</v>
      </c>
      <c r="C1254" s="3">
        <v>4115270831601</v>
      </c>
      <c r="D1254" s="2">
        <v>44433.357638888891</v>
      </c>
      <c r="E1254" s="2">
        <v>44433.65625</v>
      </c>
      <c r="F1254" s="23">
        <f t="shared" si="57"/>
        <v>0.29861111110949423</v>
      </c>
      <c r="G1254" s="24">
        <f t="shared" si="59"/>
        <v>41.860465116505729</v>
      </c>
      <c r="H1254" s="1" t="s">
        <v>1</v>
      </c>
      <c r="I1254" s="4" t="s">
        <v>2</v>
      </c>
      <c r="J1254" s="14">
        <v>0.3576388888888889</v>
      </c>
      <c r="K1254" s="20" t="str">
        <f t="shared" si="58"/>
        <v>1st Shift</v>
      </c>
    </row>
    <row r="1255" spans="1:11" x14ac:dyDescent="0.25">
      <c r="A1255" s="1">
        <v>1254</v>
      </c>
      <c r="B1255" s="1">
        <v>1</v>
      </c>
      <c r="C1255" s="3">
        <v>1115270061901</v>
      </c>
      <c r="D1255" s="2">
        <v>44433.357638888891</v>
      </c>
      <c r="E1255" s="2">
        <v>44433.65625</v>
      </c>
      <c r="F1255" s="23">
        <f t="shared" si="57"/>
        <v>0.29861111110949423</v>
      </c>
      <c r="G1255" s="24">
        <f t="shared" si="59"/>
        <v>41.860465116505729</v>
      </c>
      <c r="H1255" s="1" t="s">
        <v>1</v>
      </c>
      <c r="I1255" s="4" t="s">
        <v>3</v>
      </c>
      <c r="J1255" s="14">
        <v>0.3576388888888889</v>
      </c>
      <c r="K1255" s="20" t="str">
        <f t="shared" si="58"/>
        <v>1st Shift</v>
      </c>
    </row>
    <row r="1256" spans="1:11" x14ac:dyDescent="0.25">
      <c r="A1256" s="1">
        <v>1255</v>
      </c>
      <c r="B1256" s="1">
        <v>1</v>
      </c>
      <c r="C1256" s="3">
        <v>1115270061900</v>
      </c>
      <c r="D1256" s="2">
        <v>44433.357638888891</v>
      </c>
      <c r="E1256" s="2">
        <v>44433.65625</v>
      </c>
      <c r="F1256" s="23">
        <f t="shared" si="57"/>
        <v>0.29861111110949423</v>
      </c>
      <c r="G1256" s="24">
        <f t="shared" si="59"/>
        <v>41.860465116505729</v>
      </c>
      <c r="H1256" s="1" t="s">
        <v>1</v>
      </c>
      <c r="I1256" s="4" t="s">
        <v>2</v>
      </c>
      <c r="J1256" s="14">
        <v>0.3576388888888889</v>
      </c>
      <c r="K1256" s="20" t="str">
        <f t="shared" si="58"/>
        <v>1st Shift</v>
      </c>
    </row>
    <row r="1257" spans="1:11" x14ac:dyDescent="0.25">
      <c r="A1257" s="1">
        <v>1256</v>
      </c>
      <c r="B1257" s="1">
        <v>3</v>
      </c>
      <c r="C1257" s="3">
        <v>3115270306606</v>
      </c>
      <c r="D1257" s="2">
        <v>44433.677083333336</v>
      </c>
      <c r="E1257" s="2">
        <v>44433.756944444445</v>
      </c>
      <c r="F1257" s="23">
        <f t="shared" si="57"/>
        <v>7.9861111109494232E-2</v>
      </c>
      <c r="G1257" s="24">
        <f t="shared" si="59"/>
        <v>156.52173913360375</v>
      </c>
      <c r="H1257" s="1" t="s">
        <v>1</v>
      </c>
      <c r="I1257" s="4" t="s">
        <v>2</v>
      </c>
      <c r="J1257" s="14">
        <v>0.67708333333333337</v>
      </c>
      <c r="K1257" s="20" t="str">
        <f t="shared" si="58"/>
        <v>2nd Shift</v>
      </c>
    </row>
    <row r="1258" spans="1:11" x14ac:dyDescent="0.25">
      <c r="A1258" s="1">
        <v>1257</v>
      </c>
      <c r="B1258" s="1">
        <v>1</v>
      </c>
      <c r="C1258" s="3">
        <v>1115270141600</v>
      </c>
      <c r="D1258" s="2">
        <v>44433.677083333336</v>
      </c>
      <c r="E1258" s="2">
        <v>44433.756944444445</v>
      </c>
      <c r="F1258" s="23">
        <f t="shared" si="57"/>
        <v>7.9861111109494232E-2</v>
      </c>
      <c r="G1258" s="24">
        <f t="shared" si="59"/>
        <v>156.52173913360375</v>
      </c>
      <c r="H1258" s="1" t="s">
        <v>1</v>
      </c>
      <c r="I1258" s="4" t="s">
        <v>2</v>
      </c>
      <c r="J1258" s="14">
        <v>0.67708333333333337</v>
      </c>
      <c r="K1258" s="20" t="str">
        <f t="shared" si="58"/>
        <v>2nd Shift</v>
      </c>
    </row>
    <row r="1259" spans="1:11" x14ac:dyDescent="0.25">
      <c r="A1259" s="1">
        <v>1258</v>
      </c>
      <c r="B1259" s="1">
        <v>11</v>
      </c>
      <c r="C1259" s="3">
        <v>11115271533700</v>
      </c>
      <c r="D1259" s="2">
        <v>44433.767361111109</v>
      </c>
      <c r="E1259" s="2">
        <v>44433.829861111109</v>
      </c>
      <c r="F1259" s="23">
        <f t="shared" si="57"/>
        <v>6.25E-2</v>
      </c>
      <c r="G1259" s="24">
        <f t="shared" si="59"/>
        <v>200</v>
      </c>
      <c r="H1259" s="1" t="s">
        <v>1</v>
      </c>
      <c r="I1259" s="4" t="s">
        <v>2</v>
      </c>
      <c r="J1259" s="14">
        <v>0.76736111111111116</v>
      </c>
      <c r="K1259" s="20" t="str">
        <f t="shared" si="58"/>
        <v>2nd Shift</v>
      </c>
    </row>
    <row r="1260" spans="1:11" x14ac:dyDescent="0.25">
      <c r="A1260" s="1">
        <v>1259</v>
      </c>
      <c r="B1260" s="1">
        <v>6</v>
      </c>
      <c r="C1260" s="3">
        <v>6115271728001</v>
      </c>
      <c r="D1260" s="2">
        <v>44433.767361111109</v>
      </c>
      <c r="E1260" s="2">
        <v>44433.829861111109</v>
      </c>
      <c r="F1260" s="23">
        <f t="shared" si="57"/>
        <v>6.25E-2</v>
      </c>
      <c r="G1260" s="24">
        <f t="shared" si="59"/>
        <v>200</v>
      </c>
      <c r="H1260" s="1" t="s">
        <v>1</v>
      </c>
      <c r="I1260" s="4" t="s">
        <v>2</v>
      </c>
      <c r="J1260" s="14">
        <v>0.76736111111111116</v>
      </c>
      <c r="K1260" s="20" t="str">
        <f t="shared" si="58"/>
        <v>2nd Shift</v>
      </c>
    </row>
    <row r="1261" spans="1:11" x14ac:dyDescent="0.25">
      <c r="A1261" s="1">
        <v>1260</v>
      </c>
      <c r="B1261" s="1">
        <v>2</v>
      </c>
      <c r="C1261" s="3">
        <v>2115270229900</v>
      </c>
      <c r="D1261" s="2">
        <v>44433.868055555555</v>
      </c>
      <c r="E1261" s="2">
        <v>44433.895833333336</v>
      </c>
      <c r="F1261" s="23">
        <f t="shared" si="57"/>
        <v>2.7777777781011537E-2</v>
      </c>
      <c r="G1261" s="24">
        <f t="shared" si="59"/>
        <v>449.99999994761311</v>
      </c>
      <c r="H1261" s="1" t="s">
        <v>1</v>
      </c>
      <c r="I1261" s="4" t="s">
        <v>2</v>
      </c>
      <c r="J1261" s="14">
        <v>0.86805555555555558</v>
      </c>
      <c r="K1261" s="20" t="str">
        <f t="shared" si="58"/>
        <v>2nd Shift</v>
      </c>
    </row>
    <row r="1262" spans="1:11" x14ac:dyDescent="0.25">
      <c r="A1262" s="1">
        <v>1261</v>
      </c>
      <c r="B1262" s="1">
        <v>14</v>
      </c>
      <c r="C1262" s="3">
        <v>14115271672352</v>
      </c>
      <c r="D1262" s="2">
        <v>44433.916666666664</v>
      </c>
      <c r="E1262" s="2">
        <v>44434.09375</v>
      </c>
      <c r="F1262" s="23">
        <f t="shared" si="57"/>
        <v>0.17708333333575865</v>
      </c>
      <c r="G1262" s="24">
        <f t="shared" si="59"/>
        <v>70.588235293150888</v>
      </c>
      <c r="H1262" s="1" t="s">
        <v>1</v>
      </c>
      <c r="I1262" s="4" t="s">
        <v>2</v>
      </c>
      <c r="J1262" s="14">
        <v>0.91666666666666663</v>
      </c>
      <c r="K1262" s="20" t="str">
        <f t="shared" si="58"/>
        <v>2nd Shift</v>
      </c>
    </row>
    <row r="1263" spans="1:11" x14ac:dyDescent="0.25">
      <c r="A1263" s="1">
        <v>1262</v>
      </c>
      <c r="B1263" s="1">
        <v>14</v>
      </c>
      <c r="C1263" s="3">
        <v>14115271672351</v>
      </c>
      <c r="D1263" s="2">
        <v>44433.916666666664</v>
      </c>
      <c r="E1263" s="2">
        <v>44434.09375</v>
      </c>
      <c r="F1263" s="23">
        <f t="shared" si="57"/>
        <v>0.17708333333575865</v>
      </c>
      <c r="G1263" s="24">
        <f t="shared" si="59"/>
        <v>70.588235293150888</v>
      </c>
      <c r="H1263" s="1" t="s">
        <v>1</v>
      </c>
      <c r="I1263" s="4" t="s">
        <v>4</v>
      </c>
      <c r="J1263" s="14">
        <v>0.91666666666666663</v>
      </c>
      <c r="K1263" s="20" t="str">
        <f t="shared" si="58"/>
        <v>2nd Shift</v>
      </c>
    </row>
    <row r="1264" spans="1:11" x14ac:dyDescent="0.25">
      <c r="A1264" s="1">
        <v>1263</v>
      </c>
      <c r="B1264" s="1">
        <v>6</v>
      </c>
      <c r="C1264" s="3">
        <v>6115271705405</v>
      </c>
      <c r="D1264" s="2">
        <v>44433.916666666664</v>
      </c>
      <c r="E1264" s="2">
        <v>44434.09375</v>
      </c>
      <c r="F1264" s="23">
        <f t="shared" si="57"/>
        <v>0.17708333333575865</v>
      </c>
      <c r="G1264" s="24">
        <f t="shared" si="59"/>
        <v>70.588235293150888</v>
      </c>
      <c r="H1264" s="1" t="s">
        <v>1</v>
      </c>
      <c r="I1264" s="4" t="s">
        <v>2</v>
      </c>
      <c r="J1264" s="14">
        <v>0.91666666666666663</v>
      </c>
      <c r="K1264" s="20" t="str">
        <f t="shared" si="58"/>
        <v>2nd Shift</v>
      </c>
    </row>
    <row r="1265" spans="1:11" x14ac:dyDescent="0.25">
      <c r="A1265" s="1">
        <v>1264</v>
      </c>
      <c r="B1265" s="1">
        <v>6</v>
      </c>
      <c r="C1265" s="3">
        <v>6115271705404</v>
      </c>
      <c r="D1265" s="2">
        <v>44433.916666666664</v>
      </c>
      <c r="E1265" s="2">
        <v>44434.09375</v>
      </c>
      <c r="F1265" s="23">
        <f t="shared" si="57"/>
        <v>0.17708333333575865</v>
      </c>
      <c r="G1265" s="24">
        <f t="shared" si="59"/>
        <v>70.588235293150888</v>
      </c>
      <c r="H1265" s="1" t="s">
        <v>1</v>
      </c>
      <c r="I1265" s="4" t="s">
        <v>2</v>
      </c>
      <c r="J1265" s="14">
        <v>0.91666666666666663</v>
      </c>
      <c r="K1265" s="20" t="str">
        <f t="shared" si="58"/>
        <v>2nd Shift</v>
      </c>
    </row>
    <row r="1266" spans="1:11" x14ac:dyDescent="0.25">
      <c r="A1266" s="1">
        <v>1265</v>
      </c>
      <c r="B1266" s="1">
        <v>2</v>
      </c>
      <c r="C1266" s="3">
        <v>2115270154901</v>
      </c>
      <c r="D1266" s="2">
        <v>44433.916666666664</v>
      </c>
      <c r="E1266" s="2">
        <v>44434.09375</v>
      </c>
      <c r="F1266" s="23">
        <f t="shared" si="57"/>
        <v>0.17708333333575865</v>
      </c>
      <c r="G1266" s="24">
        <f t="shared" si="59"/>
        <v>70.588235293150888</v>
      </c>
      <c r="H1266" s="1" t="s">
        <v>1</v>
      </c>
      <c r="I1266" s="4" t="s">
        <v>2</v>
      </c>
      <c r="J1266" s="14">
        <v>0.91666666666666663</v>
      </c>
      <c r="K1266" s="20" t="str">
        <f t="shared" si="58"/>
        <v>2nd Shift</v>
      </c>
    </row>
    <row r="1267" spans="1:11" x14ac:dyDescent="0.25">
      <c r="A1267" s="1">
        <v>1266</v>
      </c>
      <c r="B1267" s="1">
        <v>2</v>
      </c>
      <c r="C1267" s="3">
        <v>2115270154900</v>
      </c>
      <c r="D1267" s="2">
        <v>44433.916666666664</v>
      </c>
      <c r="E1267" s="2">
        <v>44434.09375</v>
      </c>
      <c r="F1267" s="23">
        <f t="shared" si="57"/>
        <v>0.17708333333575865</v>
      </c>
      <c r="G1267" s="24">
        <f t="shared" si="59"/>
        <v>70.588235293150888</v>
      </c>
      <c r="H1267" s="1" t="s">
        <v>1</v>
      </c>
      <c r="I1267" s="4" t="s">
        <v>3</v>
      </c>
      <c r="J1267" s="14">
        <v>0.91666666666666663</v>
      </c>
      <c r="K1267" s="20" t="str">
        <f t="shared" si="58"/>
        <v>2nd Shift</v>
      </c>
    </row>
    <row r="1268" spans="1:11" x14ac:dyDescent="0.25">
      <c r="A1268" s="1">
        <v>1267</v>
      </c>
      <c r="B1268" s="1">
        <v>1</v>
      </c>
      <c r="C1268" s="3">
        <v>1115270012101</v>
      </c>
      <c r="D1268" s="2">
        <v>44433.916666666664</v>
      </c>
      <c r="E1268" s="2">
        <v>44434.09375</v>
      </c>
      <c r="F1268" s="23">
        <f t="shared" si="57"/>
        <v>0.17708333333575865</v>
      </c>
      <c r="G1268" s="24">
        <f t="shared" si="59"/>
        <v>70.588235293150888</v>
      </c>
      <c r="H1268" s="1" t="s">
        <v>1</v>
      </c>
      <c r="I1268" s="4" t="s">
        <v>4</v>
      </c>
      <c r="J1268" s="14">
        <v>0.91666666666666663</v>
      </c>
      <c r="K1268" s="20" t="str">
        <f t="shared" si="58"/>
        <v>2nd Shift</v>
      </c>
    </row>
    <row r="1269" spans="1:11" x14ac:dyDescent="0.25">
      <c r="A1269" s="1">
        <v>1268</v>
      </c>
      <c r="B1269" s="1">
        <v>1</v>
      </c>
      <c r="C1269" s="3">
        <v>1115270012100</v>
      </c>
      <c r="D1269" s="2">
        <v>44433.916666666664</v>
      </c>
      <c r="E1269" s="2">
        <v>44434.09375</v>
      </c>
      <c r="F1269" s="23">
        <f t="shared" si="57"/>
        <v>0.17708333333575865</v>
      </c>
      <c r="G1269" s="24">
        <f t="shared" si="59"/>
        <v>70.588235293150888</v>
      </c>
      <c r="H1269" s="1" t="s">
        <v>1</v>
      </c>
      <c r="I1269" s="4" t="s">
        <v>3</v>
      </c>
      <c r="J1269" s="14">
        <v>0.91666666666666663</v>
      </c>
      <c r="K1269" s="20" t="str">
        <f t="shared" si="58"/>
        <v>2nd Shift</v>
      </c>
    </row>
    <row r="1270" spans="1:11" x14ac:dyDescent="0.25">
      <c r="A1270" s="1">
        <v>1269</v>
      </c>
      <c r="B1270" s="1">
        <v>6</v>
      </c>
      <c r="C1270" s="3">
        <v>6115271720708</v>
      </c>
      <c r="D1270" s="2">
        <v>44434.104166666664</v>
      </c>
      <c r="E1270" s="2">
        <v>44434.142361111109</v>
      </c>
      <c r="F1270" s="23">
        <f t="shared" si="57"/>
        <v>3.8194444445252884E-2</v>
      </c>
      <c r="G1270" s="24">
        <f t="shared" si="59"/>
        <v>327.27272726580009</v>
      </c>
      <c r="H1270" s="1" t="s">
        <v>1</v>
      </c>
      <c r="I1270" s="4" t="s">
        <v>2</v>
      </c>
      <c r="J1270" s="14">
        <v>0.10416666666666667</v>
      </c>
      <c r="K1270" s="20" t="str">
        <f t="shared" si="58"/>
        <v>3rd Shift</v>
      </c>
    </row>
    <row r="1271" spans="1:11" x14ac:dyDescent="0.25">
      <c r="A1271" s="1">
        <v>1270</v>
      </c>
      <c r="B1271" s="1">
        <v>6</v>
      </c>
      <c r="C1271" s="3">
        <v>6115271720707</v>
      </c>
      <c r="D1271" s="2">
        <v>44434.104166666664</v>
      </c>
      <c r="E1271" s="2">
        <v>44434.142361111109</v>
      </c>
      <c r="F1271" s="23">
        <f t="shared" si="57"/>
        <v>3.8194444445252884E-2</v>
      </c>
      <c r="G1271" s="24">
        <f t="shared" si="59"/>
        <v>327.27272726580009</v>
      </c>
      <c r="H1271" s="1" t="s">
        <v>1</v>
      </c>
      <c r="I1271" s="4" t="s">
        <v>2</v>
      </c>
      <c r="J1271" s="14">
        <v>0.10416666666666667</v>
      </c>
      <c r="K1271" s="20" t="str">
        <f t="shared" si="58"/>
        <v>3rd Shift</v>
      </c>
    </row>
    <row r="1272" spans="1:11" x14ac:dyDescent="0.25">
      <c r="A1272" s="1">
        <v>1271</v>
      </c>
      <c r="B1272" s="1">
        <v>13</v>
      </c>
      <c r="C1272" s="3">
        <v>13115271616603</v>
      </c>
      <c r="D1272" s="2">
        <v>44434.322916666664</v>
      </c>
      <c r="E1272" s="2">
        <v>44434.379166666666</v>
      </c>
      <c r="F1272" s="23">
        <f t="shared" si="57"/>
        <v>5.6250000001455192E-2</v>
      </c>
      <c r="G1272" s="24">
        <f t="shared" si="59"/>
        <v>222.22222221647331</v>
      </c>
      <c r="H1272" s="1" t="s">
        <v>1</v>
      </c>
      <c r="I1272" s="4" t="s">
        <v>2</v>
      </c>
      <c r="J1272" s="14">
        <v>0.32291666666666669</v>
      </c>
      <c r="K1272" s="20" t="str">
        <f t="shared" si="58"/>
        <v>1st Shift</v>
      </c>
    </row>
    <row r="1273" spans="1:11" x14ac:dyDescent="0.25">
      <c r="A1273" s="1">
        <v>1272</v>
      </c>
      <c r="B1273" s="1">
        <v>13</v>
      </c>
      <c r="C1273" s="3">
        <v>13115271616602</v>
      </c>
      <c r="D1273" s="2">
        <v>44434.322916666664</v>
      </c>
      <c r="E1273" s="2">
        <v>44434.379166666666</v>
      </c>
      <c r="F1273" s="23">
        <f t="shared" si="57"/>
        <v>5.6250000001455192E-2</v>
      </c>
      <c r="G1273" s="24">
        <f t="shared" si="59"/>
        <v>222.22222221647331</v>
      </c>
      <c r="H1273" s="1" t="s">
        <v>1</v>
      </c>
      <c r="I1273" s="4" t="s">
        <v>2</v>
      </c>
      <c r="J1273" s="14">
        <v>0.32291666666666669</v>
      </c>
      <c r="K1273" s="20" t="str">
        <f t="shared" si="58"/>
        <v>1st Shift</v>
      </c>
    </row>
    <row r="1274" spans="1:11" x14ac:dyDescent="0.25">
      <c r="A1274" s="1">
        <v>1273</v>
      </c>
      <c r="B1274" s="1">
        <v>27</v>
      </c>
      <c r="C1274" s="3">
        <v>27115270414856</v>
      </c>
      <c r="D1274" s="2">
        <v>44434.385416666664</v>
      </c>
      <c r="E1274" s="2">
        <v>44434.461805555555</v>
      </c>
      <c r="F1274" s="23">
        <f t="shared" si="57"/>
        <v>7.6388888890505768E-2</v>
      </c>
      <c r="G1274" s="24">
        <f t="shared" si="59"/>
        <v>163.63636363290004</v>
      </c>
      <c r="H1274" s="1" t="s">
        <v>1</v>
      </c>
      <c r="I1274" s="4" t="s">
        <v>2</v>
      </c>
      <c r="J1274" s="14">
        <v>0.38541666666666669</v>
      </c>
      <c r="K1274" s="20" t="str">
        <f t="shared" si="58"/>
        <v>1st Shift</v>
      </c>
    </row>
    <row r="1275" spans="1:11" x14ac:dyDescent="0.25">
      <c r="A1275" s="1">
        <v>1274</v>
      </c>
      <c r="B1275" s="1">
        <v>27</v>
      </c>
      <c r="C1275" s="3">
        <v>27115270414851</v>
      </c>
      <c r="D1275" s="2">
        <v>44434.385416666664</v>
      </c>
      <c r="E1275" s="2">
        <v>44434.461805555555</v>
      </c>
      <c r="F1275" s="23">
        <f t="shared" si="57"/>
        <v>7.6388888890505768E-2</v>
      </c>
      <c r="G1275" s="24">
        <f t="shared" si="59"/>
        <v>163.63636363290004</v>
      </c>
      <c r="H1275" s="1" t="s">
        <v>1</v>
      </c>
      <c r="I1275" s="4" t="s">
        <v>2</v>
      </c>
      <c r="J1275" s="14">
        <v>0.38541666666666669</v>
      </c>
      <c r="K1275" s="20" t="str">
        <f t="shared" si="58"/>
        <v>1st Shift</v>
      </c>
    </row>
    <row r="1276" spans="1:11" x14ac:dyDescent="0.25">
      <c r="A1276" s="1">
        <v>1275</v>
      </c>
      <c r="B1276" s="1">
        <v>7</v>
      </c>
      <c r="C1276" s="3">
        <v>7115271771008</v>
      </c>
      <c r="D1276" s="2">
        <v>44434.385416666664</v>
      </c>
      <c r="E1276" s="2">
        <v>44434.461805555555</v>
      </c>
      <c r="F1276" s="23">
        <f t="shared" si="57"/>
        <v>7.6388888890505768E-2</v>
      </c>
      <c r="G1276" s="24">
        <f t="shared" si="59"/>
        <v>163.63636363290004</v>
      </c>
      <c r="H1276" s="1" t="s">
        <v>1</v>
      </c>
      <c r="I1276" s="4" t="s">
        <v>2</v>
      </c>
      <c r="J1276" s="14">
        <v>0.38541666666666669</v>
      </c>
      <c r="K1276" s="20" t="str">
        <f t="shared" si="58"/>
        <v>1st Shift</v>
      </c>
    </row>
    <row r="1277" spans="1:11" x14ac:dyDescent="0.25">
      <c r="A1277" s="1">
        <v>1276</v>
      </c>
      <c r="B1277" s="1">
        <v>7</v>
      </c>
      <c r="C1277" s="3">
        <v>7115271771007</v>
      </c>
      <c r="D1277" s="2">
        <v>44434.385416666664</v>
      </c>
      <c r="E1277" s="2">
        <v>44434.461805555555</v>
      </c>
      <c r="F1277" s="23">
        <f t="shared" si="57"/>
        <v>7.6388888890505768E-2</v>
      </c>
      <c r="G1277" s="24">
        <f t="shared" si="59"/>
        <v>163.63636363290004</v>
      </c>
      <c r="H1277" s="1" t="s">
        <v>1</v>
      </c>
      <c r="I1277" s="4" t="s">
        <v>3</v>
      </c>
      <c r="J1277" s="14">
        <v>0.38541666666666669</v>
      </c>
      <c r="K1277" s="20" t="str">
        <f t="shared" si="58"/>
        <v>1st Shift</v>
      </c>
    </row>
    <row r="1278" spans="1:11" x14ac:dyDescent="0.25">
      <c r="A1278" s="1">
        <v>1277</v>
      </c>
      <c r="B1278" s="1">
        <v>11</v>
      </c>
      <c r="C1278" s="3">
        <v>11115271556401</v>
      </c>
      <c r="D1278" s="2">
        <v>44434.472222222219</v>
      </c>
      <c r="E1278" s="2">
        <v>44434.541666666664</v>
      </c>
      <c r="F1278" s="23">
        <f t="shared" si="57"/>
        <v>6.9444444445252884E-2</v>
      </c>
      <c r="G1278" s="24">
        <f t="shared" si="59"/>
        <v>179.99999999790452</v>
      </c>
      <c r="H1278" s="1" t="s">
        <v>1</v>
      </c>
      <c r="I1278" s="4" t="s">
        <v>2</v>
      </c>
      <c r="J1278" s="14">
        <v>0.47222222222222221</v>
      </c>
      <c r="K1278" s="20" t="str">
        <f t="shared" si="58"/>
        <v>1st Shift</v>
      </c>
    </row>
    <row r="1279" spans="1:11" x14ac:dyDescent="0.25">
      <c r="A1279" s="1">
        <v>1278</v>
      </c>
      <c r="B1279" s="1">
        <v>11</v>
      </c>
      <c r="C1279" s="3">
        <v>11115271556400</v>
      </c>
      <c r="D1279" s="2">
        <v>44434.472222222219</v>
      </c>
      <c r="E1279" s="2">
        <v>44434.541666666664</v>
      </c>
      <c r="F1279" s="23">
        <f t="shared" si="57"/>
        <v>6.9444444445252884E-2</v>
      </c>
      <c r="G1279" s="24">
        <f t="shared" si="59"/>
        <v>179.99999999790452</v>
      </c>
      <c r="H1279" s="1" t="s">
        <v>1</v>
      </c>
      <c r="I1279" s="4" t="s">
        <v>2</v>
      </c>
      <c r="J1279" s="14">
        <v>0.47222222222222221</v>
      </c>
      <c r="K1279" s="20" t="str">
        <f t="shared" si="58"/>
        <v>1st Shift</v>
      </c>
    </row>
    <row r="1280" spans="1:11" x14ac:dyDescent="0.25">
      <c r="A1280" s="1">
        <v>1279</v>
      </c>
      <c r="B1280" s="1">
        <v>5</v>
      </c>
      <c r="C1280" s="3">
        <v>5115271676005</v>
      </c>
      <c r="D1280" s="2">
        <v>44434.472222222219</v>
      </c>
      <c r="E1280" s="2">
        <v>44434.541666666664</v>
      </c>
      <c r="F1280" s="23">
        <f t="shared" si="57"/>
        <v>6.9444444445252884E-2</v>
      </c>
      <c r="G1280" s="24">
        <f t="shared" si="59"/>
        <v>179.99999999790452</v>
      </c>
      <c r="H1280" s="1" t="s">
        <v>1</v>
      </c>
      <c r="I1280" s="4" t="s">
        <v>4</v>
      </c>
      <c r="J1280" s="14">
        <v>0.47222222222222221</v>
      </c>
      <c r="K1280" s="20" t="str">
        <f t="shared" si="58"/>
        <v>1st Shift</v>
      </c>
    </row>
    <row r="1281" spans="1:11" x14ac:dyDescent="0.25">
      <c r="A1281" s="1">
        <v>1280</v>
      </c>
      <c r="B1281" s="1">
        <v>5</v>
      </c>
      <c r="C1281" s="3">
        <v>5115271676004</v>
      </c>
      <c r="D1281" s="2">
        <v>44434.472222222219</v>
      </c>
      <c r="E1281" s="2">
        <v>44434.541666666664</v>
      </c>
      <c r="F1281" s="23">
        <f t="shared" si="57"/>
        <v>6.9444444445252884E-2</v>
      </c>
      <c r="G1281" s="24">
        <f t="shared" si="59"/>
        <v>179.99999999790452</v>
      </c>
      <c r="H1281" s="1" t="s">
        <v>1</v>
      </c>
      <c r="I1281" s="4" t="s">
        <v>3</v>
      </c>
      <c r="J1281" s="14">
        <v>0.47222222222222221</v>
      </c>
      <c r="K1281" s="20" t="str">
        <f t="shared" si="58"/>
        <v>1st Shift</v>
      </c>
    </row>
    <row r="1282" spans="1:11" x14ac:dyDescent="0.25">
      <c r="A1282" s="1">
        <v>1281</v>
      </c>
      <c r="B1282" s="1">
        <v>13</v>
      </c>
      <c r="C1282" s="3">
        <v>13115271612109</v>
      </c>
      <c r="D1282" s="2">
        <v>44434.756944444445</v>
      </c>
      <c r="E1282" s="2">
        <v>44434.875</v>
      </c>
      <c r="F1282" s="23">
        <f t="shared" ref="F1282:F1345" si="60">E1282-D1282</f>
        <v>0.11805555555474712</v>
      </c>
      <c r="G1282" s="24">
        <f t="shared" si="59"/>
        <v>105.88235294190156</v>
      </c>
      <c r="H1282" s="1" t="s">
        <v>1</v>
      </c>
      <c r="I1282" s="4" t="s">
        <v>2</v>
      </c>
      <c r="J1282" s="14">
        <v>0.75694444444444442</v>
      </c>
      <c r="K1282" s="20" t="str">
        <f t="shared" ref="K1282:K1345" si="61">IF(AND(J1282&gt;=$M$3,J1282&lt;$M$4),"1st Shift",IF(AND(J1282&gt;=$M$4,J1282&lt;$M$5),"2nd Shift","3rd Shift"))</f>
        <v>2nd Shift</v>
      </c>
    </row>
    <row r="1283" spans="1:11" x14ac:dyDescent="0.25">
      <c r="A1283" s="1">
        <v>1282</v>
      </c>
      <c r="B1283" s="1">
        <v>13</v>
      </c>
      <c r="C1283" s="3">
        <v>13115271612107</v>
      </c>
      <c r="D1283" s="2">
        <v>44434.756944444445</v>
      </c>
      <c r="E1283" s="2">
        <v>44434.875</v>
      </c>
      <c r="F1283" s="23">
        <f t="shared" si="60"/>
        <v>0.11805555555474712</v>
      </c>
      <c r="G1283" s="24">
        <f t="shared" ref="G1283:G1346" si="62">$M$9/F1283*100</f>
        <v>105.88235294190156</v>
      </c>
      <c r="H1283" s="1" t="s">
        <v>1</v>
      </c>
      <c r="I1283" s="4" t="s">
        <v>2</v>
      </c>
      <c r="J1283" s="14">
        <v>0.75694444444444442</v>
      </c>
      <c r="K1283" s="20" t="str">
        <f t="shared" si="61"/>
        <v>2nd Shift</v>
      </c>
    </row>
    <row r="1284" spans="1:11" x14ac:dyDescent="0.25">
      <c r="A1284" s="1">
        <v>1283</v>
      </c>
      <c r="B1284" s="1">
        <v>13</v>
      </c>
      <c r="C1284" s="3">
        <v>13115271612106</v>
      </c>
      <c r="D1284" s="2">
        <v>44434.756944444445</v>
      </c>
      <c r="E1284" s="2">
        <v>44434.875</v>
      </c>
      <c r="F1284" s="23">
        <f t="shared" si="60"/>
        <v>0.11805555555474712</v>
      </c>
      <c r="G1284" s="24">
        <f t="shared" si="62"/>
        <v>105.88235294190156</v>
      </c>
      <c r="H1284" s="1" t="s">
        <v>1</v>
      </c>
      <c r="I1284" s="4" t="s">
        <v>2</v>
      </c>
      <c r="J1284" s="14">
        <v>0.75694444444444442</v>
      </c>
      <c r="K1284" s="20" t="str">
        <f t="shared" si="61"/>
        <v>2nd Shift</v>
      </c>
    </row>
    <row r="1285" spans="1:11" x14ac:dyDescent="0.25">
      <c r="A1285" s="1">
        <v>1284</v>
      </c>
      <c r="B1285" s="1">
        <v>13</v>
      </c>
      <c r="C1285" s="3">
        <v>13115271590403</v>
      </c>
      <c r="D1285" s="2">
        <v>44434.756944444445</v>
      </c>
      <c r="E1285" s="2">
        <v>44434.875</v>
      </c>
      <c r="F1285" s="23">
        <f t="shared" si="60"/>
        <v>0.11805555555474712</v>
      </c>
      <c r="G1285" s="24">
        <f t="shared" si="62"/>
        <v>105.88235294190156</v>
      </c>
      <c r="H1285" s="1" t="s">
        <v>1</v>
      </c>
      <c r="I1285" s="4" t="s">
        <v>2</v>
      </c>
      <c r="J1285" s="14">
        <v>0.75694444444444442</v>
      </c>
      <c r="K1285" s="20" t="str">
        <f t="shared" si="61"/>
        <v>2nd Shift</v>
      </c>
    </row>
    <row r="1286" spans="1:11" x14ac:dyDescent="0.25">
      <c r="A1286" s="1">
        <v>1285</v>
      </c>
      <c r="B1286" s="1">
        <v>13</v>
      </c>
      <c r="C1286" s="3">
        <v>13115271590402</v>
      </c>
      <c r="D1286" s="2">
        <v>44434.756944444445</v>
      </c>
      <c r="E1286" s="2">
        <v>44434.875</v>
      </c>
      <c r="F1286" s="23">
        <f t="shared" si="60"/>
        <v>0.11805555555474712</v>
      </c>
      <c r="G1286" s="24">
        <f t="shared" si="62"/>
        <v>105.88235294190156</v>
      </c>
      <c r="H1286" s="1" t="s">
        <v>1</v>
      </c>
      <c r="I1286" s="4" t="s">
        <v>5</v>
      </c>
      <c r="J1286" s="14">
        <v>0.75694444444444442</v>
      </c>
      <c r="K1286" s="20" t="str">
        <f t="shared" si="61"/>
        <v>2nd Shift</v>
      </c>
    </row>
    <row r="1287" spans="1:11" x14ac:dyDescent="0.25">
      <c r="A1287" s="1">
        <v>1286</v>
      </c>
      <c r="B1287" s="1">
        <v>13</v>
      </c>
      <c r="C1287" s="3">
        <v>13115271590401</v>
      </c>
      <c r="D1287" s="2">
        <v>44434.756944444445</v>
      </c>
      <c r="E1287" s="2">
        <v>44434.875</v>
      </c>
      <c r="F1287" s="23">
        <f t="shared" si="60"/>
        <v>0.11805555555474712</v>
      </c>
      <c r="G1287" s="24">
        <f t="shared" si="62"/>
        <v>105.88235294190156</v>
      </c>
      <c r="H1287" s="1" t="s">
        <v>1</v>
      </c>
      <c r="I1287" s="4" t="s">
        <v>3</v>
      </c>
      <c r="J1287" s="14">
        <v>0.75694444444444442</v>
      </c>
      <c r="K1287" s="20" t="str">
        <f t="shared" si="61"/>
        <v>2nd Shift</v>
      </c>
    </row>
    <row r="1288" spans="1:11" x14ac:dyDescent="0.25">
      <c r="A1288" s="1">
        <v>1287</v>
      </c>
      <c r="B1288" s="1">
        <v>6</v>
      </c>
      <c r="C1288" s="3">
        <v>6115271734631</v>
      </c>
      <c r="D1288" s="2">
        <v>44434.756944444445</v>
      </c>
      <c r="E1288" s="2">
        <v>44434.875</v>
      </c>
      <c r="F1288" s="23">
        <f t="shared" si="60"/>
        <v>0.11805555555474712</v>
      </c>
      <c r="G1288" s="24">
        <f t="shared" si="62"/>
        <v>105.88235294190156</v>
      </c>
      <c r="H1288" s="1" t="s">
        <v>1</v>
      </c>
      <c r="I1288" s="4" t="s">
        <v>2</v>
      </c>
      <c r="J1288" s="14">
        <v>0.75694444444444442</v>
      </c>
      <c r="K1288" s="20" t="str">
        <f t="shared" si="61"/>
        <v>2nd Shift</v>
      </c>
    </row>
    <row r="1289" spans="1:11" x14ac:dyDescent="0.25">
      <c r="A1289" s="1">
        <v>1288</v>
      </c>
      <c r="B1289" s="1">
        <v>6</v>
      </c>
      <c r="C1289" s="3">
        <v>6115271734630</v>
      </c>
      <c r="D1289" s="2">
        <v>44434.756944444445</v>
      </c>
      <c r="E1289" s="2">
        <v>44434.875</v>
      </c>
      <c r="F1289" s="23">
        <f t="shared" si="60"/>
        <v>0.11805555555474712</v>
      </c>
      <c r="G1289" s="24">
        <f t="shared" si="62"/>
        <v>105.88235294190156</v>
      </c>
      <c r="H1289" s="1" t="s">
        <v>1</v>
      </c>
      <c r="I1289" s="4" t="s">
        <v>5</v>
      </c>
      <c r="J1289" s="14">
        <v>0.75694444444444442</v>
      </c>
      <c r="K1289" s="20" t="str">
        <f t="shared" si="61"/>
        <v>2nd Shift</v>
      </c>
    </row>
    <row r="1290" spans="1:11" x14ac:dyDescent="0.25">
      <c r="A1290" s="1">
        <v>1289</v>
      </c>
      <c r="B1290" s="1">
        <v>13</v>
      </c>
      <c r="C1290" s="3">
        <v>13115271590600</v>
      </c>
      <c r="D1290" s="2">
        <v>44434.888888888891</v>
      </c>
      <c r="E1290" s="2">
        <v>44434.923611111109</v>
      </c>
      <c r="F1290" s="23">
        <f t="shared" si="60"/>
        <v>3.4722222218988463E-2</v>
      </c>
      <c r="G1290" s="24">
        <f t="shared" si="62"/>
        <v>360.00000003352761</v>
      </c>
      <c r="H1290" s="1" t="s">
        <v>1</v>
      </c>
      <c r="I1290" s="4" t="s">
        <v>3</v>
      </c>
      <c r="J1290" s="14">
        <v>0.88888888888888884</v>
      </c>
      <c r="K1290" s="20" t="str">
        <f t="shared" si="61"/>
        <v>2nd Shift</v>
      </c>
    </row>
    <row r="1291" spans="1:11" x14ac:dyDescent="0.25">
      <c r="A1291" s="1">
        <v>1290</v>
      </c>
      <c r="B1291" s="1">
        <v>11</v>
      </c>
      <c r="C1291" s="3">
        <v>11115271559928</v>
      </c>
      <c r="D1291" s="2">
        <v>44434.888888888891</v>
      </c>
      <c r="E1291" s="2">
        <v>44434.923611111109</v>
      </c>
      <c r="F1291" s="23">
        <f t="shared" si="60"/>
        <v>3.4722222218988463E-2</v>
      </c>
      <c r="G1291" s="24">
        <f t="shared" si="62"/>
        <v>360.00000003352761</v>
      </c>
      <c r="H1291" s="1" t="s">
        <v>1</v>
      </c>
      <c r="I1291" s="4" t="s">
        <v>2</v>
      </c>
      <c r="J1291" s="14">
        <v>0.88888888888888884</v>
      </c>
      <c r="K1291" s="20" t="str">
        <f t="shared" si="61"/>
        <v>2nd Shift</v>
      </c>
    </row>
    <row r="1292" spans="1:11" x14ac:dyDescent="0.25">
      <c r="A1292" s="1">
        <v>1291</v>
      </c>
      <c r="B1292" s="1">
        <v>10</v>
      </c>
      <c r="C1292" s="3">
        <v>10115271963609</v>
      </c>
      <c r="D1292" s="2">
        <v>44434.888888888891</v>
      </c>
      <c r="E1292" s="2">
        <v>44434.923611111109</v>
      </c>
      <c r="F1292" s="23">
        <f t="shared" si="60"/>
        <v>3.4722222218988463E-2</v>
      </c>
      <c r="G1292" s="24">
        <f t="shared" si="62"/>
        <v>360.00000003352761</v>
      </c>
      <c r="H1292" s="1" t="s">
        <v>1</v>
      </c>
      <c r="I1292" s="4" t="s">
        <v>2</v>
      </c>
      <c r="J1292" s="14">
        <v>0.88888888888888884</v>
      </c>
      <c r="K1292" s="20" t="str">
        <f t="shared" si="61"/>
        <v>2nd Shift</v>
      </c>
    </row>
    <row r="1293" spans="1:11" x14ac:dyDescent="0.25">
      <c r="A1293" s="1">
        <v>1292</v>
      </c>
      <c r="B1293" s="1">
        <v>10</v>
      </c>
      <c r="C1293" s="3">
        <v>10115271963608</v>
      </c>
      <c r="D1293" s="2">
        <v>44434.888888888891</v>
      </c>
      <c r="E1293" s="2">
        <v>44434.923611111109</v>
      </c>
      <c r="F1293" s="23">
        <f t="shared" si="60"/>
        <v>3.4722222218988463E-2</v>
      </c>
      <c r="G1293" s="24">
        <f t="shared" si="62"/>
        <v>360.00000003352761</v>
      </c>
      <c r="H1293" s="1" t="s">
        <v>1</v>
      </c>
      <c r="I1293" s="4" t="s">
        <v>2</v>
      </c>
      <c r="J1293" s="14">
        <v>0.88888888888888884</v>
      </c>
      <c r="K1293" s="20" t="str">
        <f t="shared" si="61"/>
        <v>2nd Shift</v>
      </c>
    </row>
    <row r="1294" spans="1:11" x14ac:dyDescent="0.25">
      <c r="A1294" s="1">
        <v>1293</v>
      </c>
      <c r="B1294" s="1">
        <v>10</v>
      </c>
      <c r="C1294" s="3">
        <v>10115271963600</v>
      </c>
      <c r="D1294" s="2">
        <v>44434.888888888891</v>
      </c>
      <c r="E1294" s="2">
        <v>44434.923611111109</v>
      </c>
      <c r="F1294" s="23">
        <f t="shared" si="60"/>
        <v>3.4722222218988463E-2</v>
      </c>
      <c r="G1294" s="24">
        <f t="shared" si="62"/>
        <v>360.00000003352761</v>
      </c>
      <c r="H1294" s="1" t="s">
        <v>1</v>
      </c>
      <c r="I1294" s="4" t="s">
        <v>2</v>
      </c>
      <c r="J1294" s="14">
        <v>0.88888888888888884</v>
      </c>
      <c r="K1294" s="20" t="str">
        <f t="shared" si="61"/>
        <v>2nd Shift</v>
      </c>
    </row>
    <row r="1295" spans="1:11" x14ac:dyDescent="0.25">
      <c r="A1295" s="1">
        <v>1294</v>
      </c>
      <c r="B1295" s="1">
        <v>11</v>
      </c>
      <c r="C1295" s="3">
        <v>11115271542400</v>
      </c>
      <c r="D1295" s="2">
        <v>44434.9375</v>
      </c>
      <c r="E1295" s="2">
        <v>44434.989583333336</v>
      </c>
      <c r="F1295" s="23">
        <f t="shared" si="60"/>
        <v>5.2083333335758653E-2</v>
      </c>
      <c r="G1295" s="24">
        <f t="shared" si="62"/>
        <v>239.99999998882413</v>
      </c>
      <c r="H1295" s="1" t="s">
        <v>1</v>
      </c>
      <c r="I1295" s="4" t="s">
        <v>2</v>
      </c>
      <c r="J1295" s="14">
        <v>0.9375</v>
      </c>
      <c r="K1295" s="20" t="str">
        <f t="shared" si="61"/>
        <v>3rd Shift</v>
      </c>
    </row>
    <row r="1296" spans="1:11" x14ac:dyDescent="0.25">
      <c r="A1296" s="1">
        <v>1295</v>
      </c>
      <c r="B1296" s="1">
        <v>13</v>
      </c>
      <c r="C1296" s="3">
        <v>13115271591500</v>
      </c>
      <c r="D1296" s="2">
        <v>44435.395833333336</v>
      </c>
      <c r="E1296" s="2">
        <v>44435.590277777781</v>
      </c>
      <c r="F1296" s="23">
        <f t="shared" si="60"/>
        <v>0.19444444444525288</v>
      </c>
      <c r="G1296" s="24">
        <f t="shared" si="62"/>
        <v>64.285714285447</v>
      </c>
      <c r="H1296" s="1" t="s">
        <v>1</v>
      </c>
      <c r="I1296" s="4" t="s">
        <v>4</v>
      </c>
      <c r="J1296" s="14">
        <v>0.39583333333333331</v>
      </c>
      <c r="K1296" s="20" t="str">
        <f t="shared" si="61"/>
        <v>1st Shift</v>
      </c>
    </row>
    <row r="1297" spans="1:11" x14ac:dyDescent="0.25">
      <c r="A1297" s="1">
        <v>1296</v>
      </c>
      <c r="B1297" s="1">
        <v>12</v>
      </c>
      <c r="C1297" s="3">
        <v>12115271569201</v>
      </c>
      <c r="D1297" s="2">
        <v>44435.395833333336</v>
      </c>
      <c r="E1297" s="2">
        <v>44435.590277777781</v>
      </c>
      <c r="F1297" s="23">
        <f t="shared" si="60"/>
        <v>0.19444444444525288</v>
      </c>
      <c r="G1297" s="24">
        <f t="shared" si="62"/>
        <v>64.285714285447</v>
      </c>
      <c r="H1297" s="1" t="s">
        <v>1</v>
      </c>
      <c r="I1297" s="4" t="s">
        <v>4</v>
      </c>
      <c r="J1297" s="14">
        <v>0.39583333333333331</v>
      </c>
      <c r="K1297" s="20" t="str">
        <f t="shared" si="61"/>
        <v>1st Shift</v>
      </c>
    </row>
    <row r="1298" spans="1:11" x14ac:dyDescent="0.25">
      <c r="A1298" s="1">
        <v>1297</v>
      </c>
      <c r="B1298" s="1">
        <v>11</v>
      </c>
      <c r="C1298" s="3">
        <v>11115271542607</v>
      </c>
      <c r="D1298" s="2">
        <v>44435.395833333336</v>
      </c>
      <c r="E1298" s="2">
        <v>44435.590277777781</v>
      </c>
      <c r="F1298" s="23">
        <f t="shared" si="60"/>
        <v>0.19444444444525288</v>
      </c>
      <c r="G1298" s="24">
        <f t="shared" si="62"/>
        <v>64.285714285447</v>
      </c>
      <c r="H1298" s="1" t="s">
        <v>1</v>
      </c>
      <c r="I1298" s="4" t="s">
        <v>3</v>
      </c>
      <c r="J1298" s="14">
        <v>0.39583333333333331</v>
      </c>
      <c r="K1298" s="20" t="str">
        <f t="shared" si="61"/>
        <v>1st Shift</v>
      </c>
    </row>
    <row r="1299" spans="1:11" x14ac:dyDescent="0.25">
      <c r="A1299" s="1">
        <v>1298</v>
      </c>
      <c r="B1299" s="1">
        <v>7</v>
      </c>
      <c r="C1299" s="3">
        <v>7115271770300</v>
      </c>
      <c r="D1299" s="2">
        <v>44435.395833333336</v>
      </c>
      <c r="E1299" s="2">
        <v>44435.590277777781</v>
      </c>
      <c r="F1299" s="23">
        <f t="shared" si="60"/>
        <v>0.19444444444525288</v>
      </c>
      <c r="G1299" s="24">
        <f t="shared" si="62"/>
        <v>64.285714285447</v>
      </c>
      <c r="H1299" s="1" t="s">
        <v>1</v>
      </c>
      <c r="I1299" s="4" t="s">
        <v>3</v>
      </c>
      <c r="J1299" s="14">
        <v>0.39583333333333331</v>
      </c>
      <c r="K1299" s="20" t="str">
        <f t="shared" si="61"/>
        <v>1st Shift</v>
      </c>
    </row>
    <row r="1300" spans="1:11" x14ac:dyDescent="0.25">
      <c r="A1300" s="1">
        <v>1299</v>
      </c>
      <c r="B1300" s="1">
        <v>3</v>
      </c>
      <c r="C1300" s="3">
        <v>3115270396600</v>
      </c>
      <c r="D1300" s="2">
        <v>44435.395833333336</v>
      </c>
      <c r="E1300" s="2">
        <v>44435.590277777781</v>
      </c>
      <c r="F1300" s="23">
        <f t="shared" si="60"/>
        <v>0.19444444444525288</v>
      </c>
      <c r="G1300" s="24">
        <f t="shared" si="62"/>
        <v>64.285714285447</v>
      </c>
      <c r="H1300" s="1" t="s">
        <v>1</v>
      </c>
      <c r="I1300" s="4" t="s">
        <v>8</v>
      </c>
      <c r="J1300" s="14">
        <v>0.39583333333333331</v>
      </c>
      <c r="K1300" s="20" t="str">
        <f t="shared" si="61"/>
        <v>1st Shift</v>
      </c>
    </row>
    <row r="1301" spans="1:11" x14ac:dyDescent="0.25">
      <c r="A1301" s="1">
        <v>1300</v>
      </c>
      <c r="B1301" s="1">
        <v>3</v>
      </c>
      <c r="C1301" s="3">
        <v>3115270350702</v>
      </c>
      <c r="D1301" s="2">
        <v>44435.395833333336</v>
      </c>
      <c r="E1301" s="2">
        <v>44435.590277777781</v>
      </c>
      <c r="F1301" s="23">
        <f t="shared" si="60"/>
        <v>0.19444444444525288</v>
      </c>
      <c r="G1301" s="24">
        <f t="shared" si="62"/>
        <v>64.285714285447</v>
      </c>
      <c r="H1301" s="1" t="s">
        <v>1</v>
      </c>
      <c r="I1301" s="4" t="s">
        <v>4</v>
      </c>
      <c r="J1301" s="14">
        <v>0.39583333333333331</v>
      </c>
      <c r="K1301" s="20" t="str">
        <f t="shared" si="61"/>
        <v>1st Shift</v>
      </c>
    </row>
    <row r="1302" spans="1:11" x14ac:dyDescent="0.25">
      <c r="A1302" s="1">
        <v>1301</v>
      </c>
      <c r="B1302" s="1">
        <v>2</v>
      </c>
      <c r="C1302" s="3">
        <v>2115270217000</v>
      </c>
      <c r="D1302" s="2">
        <v>44435.395833333336</v>
      </c>
      <c r="E1302" s="2">
        <v>44435.590277777781</v>
      </c>
      <c r="F1302" s="23">
        <f t="shared" si="60"/>
        <v>0.19444444444525288</v>
      </c>
      <c r="G1302" s="24">
        <f t="shared" si="62"/>
        <v>64.285714285447</v>
      </c>
      <c r="H1302" s="1" t="s">
        <v>1</v>
      </c>
      <c r="I1302" s="4" t="s">
        <v>3</v>
      </c>
      <c r="J1302" s="14">
        <v>0.39583333333333331</v>
      </c>
      <c r="K1302" s="20" t="str">
        <f t="shared" si="61"/>
        <v>1st Shift</v>
      </c>
    </row>
    <row r="1303" spans="1:11" x14ac:dyDescent="0.25">
      <c r="A1303" s="1">
        <v>1302</v>
      </c>
      <c r="B1303" s="1">
        <v>1</v>
      </c>
      <c r="C1303" s="3">
        <v>1115270140700</v>
      </c>
      <c r="D1303" s="2">
        <v>44435.395833333336</v>
      </c>
      <c r="E1303" s="2">
        <v>44435.590277777781</v>
      </c>
      <c r="F1303" s="23">
        <f t="shared" si="60"/>
        <v>0.19444444444525288</v>
      </c>
      <c r="G1303" s="24">
        <f t="shared" si="62"/>
        <v>64.285714285447</v>
      </c>
      <c r="H1303" s="1" t="s">
        <v>1</v>
      </c>
      <c r="I1303" s="4" t="s">
        <v>3</v>
      </c>
      <c r="J1303" s="14">
        <v>0.39583333333333331</v>
      </c>
      <c r="K1303" s="20" t="str">
        <f t="shared" si="61"/>
        <v>1st Shift</v>
      </c>
    </row>
    <row r="1304" spans="1:11" x14ac:dyDescent="0.25">
      <c r="A1304" s="1">
        <v>1303</v>
      </c>
      <c r="B1304" s="1">
        <v>1</v>
      </c>
      <c r="C1304" s="3">
        <v>1115270027101</v>
      </c>
      <c r="D1304" s="2">
        <v>44435.395833333336</v>
      </c>
      <c r="E1304" s="2">
        <v>44435.590277777781</v>
      </c>
      <c r="F1304" s="23">
        <f t="shared" si="60"/>
        <v>0.19444444444525288</v>
      </c>
      <c r="G1304" s="24">
        <f t="shared" si="62"/>
        <v>64.285714285447</v>
      </c>
      <c r="H1304" s="1" t="s">
        <v>1</v>
      </c>
      <c r="I1304" s="4" t="s">
        <v>4</v>
      </c>
      <c r="J1304" s="14">
        <v>0.39583333333333331</v>
      </c>
      <c r="K1304" s="20" t="str">
        <f t="shared" si="61"/>
        <v>1st Shift</v>
      </c>
    </row>
    <row r="1305" spans="1:11" x14ac:dyDescent="0.25">
      <c r="A1305" s="1">
        <v>1304</v>
      </c>
      <c r="B1305" s="1">
        <v>12</v>
      </c>
      <c r="C1305" s="3">
        <v>12115271574501</v>
      </c>
      <c r="D1305" s="2">
        <v>44435.694444444445</v>
      </c>
      <c r="E1305" s="2">
        <v>44435.947916666664</v>
      </c>
      <c r="F1305" s="23">
        <f t="shared" si="60"/>
        <v>0.25347222221898846</v>
      </c>
      <c r="G1305" s="24">
        <f t="shared" si="62"/>
        <v>49.31506849377984</v>
      </c>
      <c r="H1305" s="1" t="s">
        <v>1</v>
      </c>
      <c r="I1305" s="4" t="s">
        <v>4</v>
      </c>
      <c r="J1305" s="14">
        <v>0.69444444444444442</v>
      </c>
      <c r="K1305" s="20" t="str">
        <f t="shared" si="61"/>
        <v>2nd Shift</v>
      </c>
    </row>
    <row r="1306" spans="1:11" x14ac:dyDescent="0.25">
      <c r="A1306" s="1">
        <v>1305</v>
      </c>
      <c r="B1306" s="1">
        <v>12</v>
      </c>
      <c r="C1306" s="3">
        <v>12115271568402</v>
      </c>
      <c r="D1306" s="2">
        <v>44435.694444444445</v>
      </c>
      <c r="E1306" s="2">
        <v>44435.947916666664</v>
      </c>
      <c r="F1306" s="23">
        <f t="shared" si="60"/>
        <v>0.25347222221898846</v>
      </c>
      <c r="G1306" s="24">
        <f t="shared" si="62"/>
        <v>49.31506849377984</v>
      </c>
      <c r="H1306" s="1" t="s">
        <v>1</v>
      </c>
      <c r="I1306" s="4" t="s">
        <v>2</v>
      </c>
      <c r="J1306" s="14">
        <v>0.69444444444444442</v>
      </c>
      <c r="K1306" s="20" t="str">
        <f t="shared" si="61"/>
        <v>2nd Shift</v>
      </c>
    </row>
    <row r="1307" spans="1:11" x14ac:dyDescent="0.25">
      <c r="A1307" s="1">
        <v>1306</v>
      </c>
      <c r="B1307" s="1">
        <v>10</v>
      </c>
      <c r="C1307" s="3">
        <v>10115271964600</v>
      </c>
      <c r="D1307" s="2">
        <v>44435.694444444445</v>
      </c>
      <c r="E1307" s="2">
        <v>44435.947916666664</v>
      </c>
      <c r="F1307" s="23">
        <f t="shared" si="60"/>
        <v>0.25347222221898846</v>
      </c>
      <c r="G1307" s="24">
        <f t="shared" si="62"/>
        <v>49.31506849377984</v>
      </c>
      <c r="H1307" s="1" t="s">
        <v>1</v>
      </c>
      <c r="I1307" s="4" t="s">
        <v>2</v>
      </c>
      <c r="J1307" s="14">
        <v>0.69444444444444442</v>
      </c>
      <c r="K1307" s="20" t="str">
        <f t="shared" si="61"/>
        <v>2nd Shift</v>
      </c>
    </row>
    <row r="1308" spans="1:11" x14ac:dyDescent="0.25">
      <c r="A1308" s="1">
        <v>1307</v>
      </c>
      <c r="B1308" s="1">
        <v>10</v>
      </c>
      <c r="C1308" s="3">
        <v>10115271408001</v>
      </c>
      <c r="D1308" s="2">
        <v>44435.694444444445</v>
      </c>
      <c r="E1308" s="2">
        <v>44435.947916666664</v>
      </c>
      <c r="F1308" s="23">
        <f t="shared" si="60"/>
        <v>0.25347222221898846</v>
      </c>
      <c r="G1308" s="24">
        <f t="shared" si="62"/>
        <v>49.31506849377984</v>
      </c>
      <c r="H1308" s="1" t="s">
        <v>1</v>
      </c>
      <c r="I1308" s="4" t="s">
        <v>5</v>
      </c>
      <c r="J1308" s="14">
        <v>0.69444444444444442</v>
      </c>
      <c r="K1308" s="20" t="str">
        <f t="shared" si="61"/>
        <v>2nd Shift</v>
      </c>
    </row>
    <row r="1309" spans="1:11" x14ac:dyDescent="0.25">
      <c r="A1309" s="1">
        <v>1308</v>
      </c>
      <c r="B1309" s="1">
        <v>9</v>
      </c>
      <c r="C1309" s="3">
        <v>9115271945500</v>
      </c>
      <c r="D1309" s="2">
        <v>44435.694444444445</v>
      </c>
      <c r="E1309" s="2">
        <v>44435.947916666664</v>
      </c>
      <c r="F1309" s="23">
        <f t="shared" si="60"/>
        <v>0.25347222221898846</v>
      </c>
      <c r="G1309" s="24">
        <f t="shared" si="62"/>
        <v>49.31506849377984</v>
      </c>
      <c r="H1309" s="1" t="s">
        <v>1</v>
      </c>
      <c r="I1309" s="4" t="s">
        <v>3</v>
      </c>
      <c r="J1309" s="14">
        <v>0.69444444444444442</v>
      </c>
      <c r="K1309" s="20" t="str">
        <f t="shared" si="61"/>
        <v>2nd Shift</v>
      </c>
    </row>
    <row r="1310" spans="1:11" x14ac:dyDescent="0.25">
      <c r="A1310" s="1">
        <v>1309</v>
      </c>
      <c r="B1310" s="1">
        <v>12</v>
      </c>
      <c r="C1310" s="3">
        <v>12115271560118</v>
      </c>
      <c r="D1310" s="2">
        <v>44435.927083333336</v>
      </c>
      <c r="E1310" s="2">
        <v>44436.020833333336</v>
      </c>
      <c r="F1310" s="23">
        <f t="shared" si="60"/>
        <v>9.375E-2</v>
      </c>
      <c r="G1310" s="24">
        <f t="shared" si="62"/>
        <v>133.33333333333331</v>
      </c>
      <c r="H1310" s="1" t="s">
        <v>1</v>
      </c>
      <c r="I1310" s="4" t="s">
        <v>2</v>
      </c>
      <c r="J1310" s="14">
        <v>0.92708333333333337</v>
      </c>
      <c r="K1310" s="20" t="str">
        <f t="shared" si="61"/>
        <v>3rd Shift</v>
      </c>
    </row>
    <row r="1311" spans="1:11" x14ac:dyDescent="0.25">
      <c r="A1311" s="1">
        <v>1310</v>
      </c>
      <c r="B1311" s="1">
        <v>4</v>
      </c>
      <c r="C1311" s="3">
        <v>4115270847200</v>
      </c>
      <c r="D1311" s="2">
        <v>44435.927083333336</v>
      </c>
      <c r="E1311" s="2">
        <v>44436.020833333336</v>
      </c>
      <c r="F1311" s="23">
        <f t="shared" si="60"/>
        <v>9.375E-2</v>
      </c>
      <c r="G1311" s="24">
        <f t="shared" si="62"/>
        <v>133.33333333333331</v>
      </c>
      <c r="H1311" s="1" t="s">
        <v>1</v>
      </c>
      <c r="I1311" s="4" t="s">
        <v>2</v>
      </c>
      <c r="J1311" s="14">
        <v>0.92708333333333337</v>
      </c>
      <c r="K1311" s="20" t="str">
        <f t="shared" si="61"/>
        <v>3rd Shift</v>
      </c>
    </row>
    <row r="1312" spans="1:11" x14ac:dyDescent="0.25">
      <c r="A1312" s="1">
        <v>1311</v>
      </c>
      <c r="B1312" s="1">
        <v>3</v>
      </c>
      <c r="C1312" s="3">
        <v>3115270352800</v>
      </c>
      <c r="D1312" s="2">
        <v>44435.927083333336</v>
      </c>
      <c r="E1312" s="2">
        <v>44436.020833333336</v>
      </c>
      <c r="F1312" s="23">
        <f t="shared" si="60"/>
        <v>9.375E-2</v>
      </c>
      <c r="G1312" s="24">
        <f t="shared" si="62"/>
        <v>133.33333333333331</v>
      </c>
      <c r="H1312" s="1" t="s">
        <v>1</v>
      </c>
      <c r="I1312" s="4" t="s">
        <v>4</v>
      </c>
      <c r="J1312" s="14">
        <v>0.92708333333333337</v>
      </c>
      <c r="K1312" s="20" t="str">
        <f t="shared" si="61"/>
        <v>3rd Shift</v>
      </c>
    </row>
    <row r="1313" spans="1:11" x14ac:dyDescent="0.25">
      <c r="A1313" s="1">
        <v>1312</v>
      </c>
      <c r="B1313" s="1">
        <v>2</v>
      </c>
      <c r="C1313" s="3">
        <v>2115270229200</v>
      </c>
      <c r="D1313" s="2">
        <v>44435.927083333336</v>
      </c>
      <c r="E1313" s="2">
        <v>44436.020833333336</v>
      </c>
      <c r="F1313" s="23">
        <f t="shared" si="60"/>
        <v>9.375E-2</v>
      </c>
      <c r="G1313" s="24">
        <f t="shared" si="62"/>
        <v>133.33333333333331</v>
      </c>
      <c r="H1313" s="1" t="s">
        <v>1</v>
      </c>
      <c r="I1313" s="4" t="s">
        <v>3</v>
      </c>
      <c r="J1313" s="14">
        <v>0.92708333333333337</v>
      </c>
      <c r="K1313" s="20" t="str">
        <f t="shared" si="61"/>
        <v>3rd Shift</v>
      </c>
    </row>
    <row r="1314" spans="1:11" x14ac:dyDescent="0.25">
      <c r="A1314" s="1">
        <v>1313</v>
      </c>
      <c r="B1314" s="1">
        <v>1</v>
      </c>
      <c r="C1314" s="3">
        <v>1115270067000</v>
      </c>
      <c r="D1314" s="2">
        <v>44435.927083333336</v>
      </c>
      <c r="E1314" s="2">
        <v>44436.020833333336</v>
      </c>
      <c r="F1314" s="23">
        <f t="shared" si="60"/>
        <v>9.375E-2</v>
      </c>
      <c r="G1314" s="24">
        <f t="shared" si="62"/>
        <v>133.33333333333331</v>
      </c>
      <c r="H1314" s="1" t="s">
        <v>1</v>
      </c>
      <c r="I1314" s="4" t="s">
        <v>2</v>
      </c>
      <c r="J1314" s="14">
        <v>0.92708333333333337</v>
      </c>
      <c r="K1314" s="20" t="str">
        <f t="shared" si="61"/>
        <v>3rd Shift</v>
      </c>
    </row>
    <row r="1315" spans="1:11" x14ac:dyDescent="0.25">
      <c r="A1315" s="1">
        <v>1314</v>
      </c>
      <c r="B1315" s="1">
        <v>13</v>
      </c>
      <c r="C1315" s="3">
        <v>13115271590501</v>
      </c>
      <c r="D1315" s="2">
        <v>44436.34375</v>
      </c>
      <c r="E1315" s="2">
        <v>44436.416666666664</v>
      </c>
      <c r="F1315" s="23">
        <f t="shared" si="60"/>
        <v>7.2916666664241347E-2</v>
      </c>
      <c r="G1315" s="24">
        <f t="shared" si="62"/>
        <v>171.42857143427341</v>
      </c>
      <c r="H1315" s="1" t="s">
        <v>1</v>
      </c>
      <c r="I1315" s="4" t="s">
        <v>2</v>
      </c>
      <c r="J1315" s="14">
        <v>0.34375</v>
      </c>
      <c r="K1315" s="20" t="str">
        <f t="shared" si="61"/>
        <v>1st Shift</v>
      </c>
    </row>
    <row r="1316" spans="1:11" x14ac:dyDescent="0.25">
      <c r="A1316" s="1">
        <v>1315</v>
      </c>
      <c r="B1316" s="1">
        <v>7</v>
      </c>
      <c r="C1316" s="3">
        <v>7115271774500</v>
      </c>
      <c r="D1316" s="2">
        <v>44436.34375</v>
      </c>
      <c r="E1316" s="2">
        <v>44436.416666666664</v>
      </c>
      <c r="F1316" s="23">
        <f t="shared" si="60"/>
        <v>7.2916666664241347E-2</v>
      </c>
      <c r="G1316" s="24">
        <f t="shared" si="62"/>
        <v>171.42857143427341</v>
      </c>
      <c r="H1316" s="1" t="s">
        <v>1</v>
      </c>
      <c r="I1316" s="4" t="s">
        <v>2</v>
      </c>
      <c r="J1316" s="14">
        <v>0.34375</v>
      </c>
      <c r="K1316" s="20" t="str">
        <f t="shared" si="61"/>
        <v>1st Shift</v>
      </c>
    </row>
    <row r="1317" spans="1:11" x14ac:dyDescent="0.25">
      <c r="A1317" s="1">
        <v>1316</v>
      </c>
      <c r="B1317" s="1">
        <v>1</v>
      </c>
      <c r="C1317" s="3">
        <v>1115270067302</v>
      </c>
      <c r="D1317" s="2">
        <v>44436.34375</v>
      </c>
      <c r="E1317" s="2">
        <v>44436.416666666664</v>
      </c>
      <c r="F1317" s="23">
        <f t="shared" si="60"/>
        <v>7.2916666664241347E-2</v>
      </c>
      <c r="G1317" s="24">
        <f t="shared" si="62"/>
        <v>171.42857143427341</v>
      </c>
      <c r="H1317" s="1" t="s">
        <v>1</v>
      </c>
      <c r="I1317" s="4" t="s">
        <v>2</v>
      </c>
      <c r="J1317" s="14">
        <v>0.34375</v>
      </c>
      <c r="K1317" s="20" t="str">
        <f t="shared" si="61"/>
        <v>1st Shift</v>
      </c>
    </row>
    <row r="1318" spans="1:11" x14ac:dyDescent="0.25">
      <c r="A1318" s="1">
        <v>1317</v>
      </c>
      <c r="B1318" s="1">
        <v>12</v>
      </c>
      <c r="C1318" s="3">
        <v>12115271564305</v>
      </c>
      <c r="D1318" s="2">
        <v>44436.479166666664</v>
      </c>
      <c r="E1318" s="2">
        <v>44436.590277777781</v>
      </c>
      <c r="F1318" s="23">
        <f t="shared" si="60"/>
        <v>0.11111111111677019</v>
      </c>
      <c r="G1318" s="24">
        <f t="shared" si="62"/>
        <v>112.49999999427018</v>
      </c>
      <c r="H1318" s="1" t="s">
        <v>1</v>
      </c>
      <c r="I1318" s="4" t="s">
        <v>3</v>
      </c>
      <c r="J1318" s="14">
        <v>0.47916666666666669</v>
      </c>
      <c r="K1318" s="20" t="str">
        <f t="shared" si="61"/>
        <v>1st Shift</v>
      </c>
    </row>
    <row r="1319" spans="1:11" x14ac:dyDescent="0.25">
      <c r="A1319" s="1">
        <v>1318</v>
      </c>
      <c r="B1319" s="1">
        <v>7</v>
      </c>
      <c r="C1319" s="3">
        <v>7115271770605</v>
      </c>
      <c r="D1319" s="2">
        <v>44436.479166666664</v>
      </c>
      <c r="E1319" s="2">
        <v>44436.590277777781</v>
      </c>
      <c r="F1319" s="23">
        <f t="shared" si="60"/>
        <v>0.11111111111677019</v>
      </c>
      <c r="G1319" s="24">
        <f t="shared" si="62"/>
        <v>112.49999999427018</v>
      </c>
      <c r="H1319" s="1" t="s">
        <v>1</v>
      </c>
      <c r="I1319" s="4" t="s">
        <v>2</v>
      </c>
      <c r="J1319" s="14">
        <v>0.47916666666666669</v>
      </c>
      <c r="K1319" s="20" t="str">
        <f t="shared" si="61"/>
        <v>1st Shift</v>
      </c>
    </row>
    <row r="1320" spans="1:11" x14ac:dyDescent="0.25">
      <c r="A1320" s="1">
        <v>1319</v>
      </c>
      <c r="B1320" s="1">
        <v>3</v>
      </c>
      <c r="C1320" s="3">
        <v>3115270324000</v>
      </c>
      <c r="D1320" s="2">
        <v>44436.479166666664</v>
      </c>
      <c r="E1320" s="2">
        <v>44436.590277777781</v>
      </c>
      <c r="F1320" s="23">
        <f t="shared" si="60"/>
        <v>0.11111111111677019</v>
      </c>
      <c r="G1320" s="24">
        <f t="shared" si="62"/>
        <v>112.49999999427018</v>
      </c>
      <c r="H1320" s="1" t="s">
        <v>1</v>
      </c>
      <c r="I1320" s="4" t="s">
        <v>2</v>
      </c>
      <c r="J1320" s="14">
        <v>0.47916666666666669</v>
      </c>
      <c r="K1320" s="20" t="str">
        <f t="shared" si="61"/>
        <v>1st Shift</v>
      </c>
    </row>
    <row r="1321" spans="1:11" x14ac:dyDescent="0.25">
      <c r="A1321" s="1">
        <v>1320</v>
      </c>
      <c r="B1321" s="1">
        <v>15</v>
      </c>
      <c r="C1321" s="3">
        <v>15115271761004</v>
      </c>
      <c r="D1321" s="2">
        <v>44436.666666666664</v>
      </c>
      <c r="E1321" s="2">
        <v>44436.708333333336</v>
      </c>
      <c r="F1321" s="23">
        <f t="shared" si="60"/>
        <v>4.1666666671517305E-2</v>
      </c>
      <c r="G1321" s="24">
        <f t="shared" si="62"/>
        <v>299.9999999650754</v>
      </c>
      <c r="H1321" s="1" t="s">
        <v>1</v>
      </c>
      <c r="I1321" s="4" t="s">
        <v>2</v>
      </c>
      <c r="J1321" s="14">
        <v>0.66666666666666663</v>
      </c>
      <c r="K1321" s="20" t="str">
        <f t="shared" si="61"/>
        <v>2nd Shift</v>
      </c>
    </row>
    <row r="1322" spans="1:11" x14ac:dyDescent="0.25">
      <c r="A1322" s="1">
        <v>1321</v>
      </c>
      <c r="B1322" s="1">
        <v>4</v>
      </c>
      <c r="C1322" s="3">
        <v>4115270826203</v>
      </c>
      <c r="D1322" s="2">
        <v>44436.666666666664</v>
      </c>
      <c r="E1322" s="2">
        <v>44436.708333333336</v>
      </c>
      <c r="F1322" s="23">
        <f t="shared" si="60"/>
        <v>4.1666666671517305E-2</v>
      </c>
      <c r="G1322" s="24">
        <f t="shared" si="62"/>
        <v>299.9999999650754</v>
      </c>
      <c r="H1322" s="1" t="s">
        <v>1</v>
      </c>
      <c r="I1322" s="4" t="s">
        <v>3</v>
      </c>
      <c r="J1322" s="14">
        <v>0.66666666666666663</v>
      </c>
      <c r="K1322" s="20" t="str">
        <f t="shared" si="61"/>
        <v>2nd Shift</v>
      </c>
    </row>
    <row r="1323" spans="1:11" x14ac:dyDescent="0.25">
      <c r="A1323" s="1">
        <v>1322</v>
      </c>
      <c r="B1323" s="1">
        <v>12</v>
      </c>
      <c r="C1323" s="3">
        <v>12115271566604</v>
      </c>
      <c r="D1323" s="2">
        <v>44436.756944444445</v>
      </c>
      <c r="E1323" s="2">
        <v>44436.909722222219</v>
      </c>
      <c r="F1323" s="23">
        <f t="shared" si="60"/>
        <v>0.15277777777373558</v>
      </c>
      <c r="G1323" s="24">
        <f t="shared" si="62"/>
        <v>81.818181820346567</v>
      </c>
      <c r="H1323" s="1" t="s">
        <v>1</v>
      </c>
      <c r="I1323" s="4" t="s">
        <v>3</v>
      </c>
      <c r="J1323" s="14">
        <v>0.75694444444444442</v>
      </c>
      <c r="K1323" s="20" t="str">
        <f t="shared" si="61"/>
        <v>2nd Shift</v>
      </c>
    </row>
    <row r="1324" spans="1:11" x14ac:dyDescent="0.25">
      <c r="A1324" s="1">
        <v>1323</v>
      </c>
      <c r="B1324" s="1">
        <v>11</v>
      </c>
      <c r="C1324" s="3">
        <v>11115271508400</v>
      </c>
      <c r="D1324" s="2">
        <v>44436.756944444445</v>
      </c>
      <c r="E1324" s="2">
        <v>44436.909722222219</v>
      </c>
      <c r="F1324" s="23">
        <f t="shared" si="60"/>
        <v>0.15277777777373558</v>
      </c>
      <c r="G1324" s="24">
        <f t="shared" si="62"/>
        <v>81.818181820346567</v>
      </c>
      <c r="H1324" s="1" t="s">
        <v>1</v>
      </c>
      <c r="I1324" s="4" t="s">
        <v>4</v>
      </c>
      <c r="J1324" s="14">
        <v>0.75694444444444442</v>
      </c>
      <c r="K1324" s="20" t="str">
        <f t="shared" si="61"/>
        <v>2nd Shift</v>
      </c>
    </row>
    <row r="1325" spans="1:11" x14ac:dyDescent="0.25">
      <c r="A1325" s="1">
        <v>1324</v>
      </c>
      <c r="B1325" s="1">
        <v>11</v>
      </c>
      <c r="C1325" s="3">
        <v>11115271051500</v>
      </c>
      <c r="D1325" s="2">
        <v>44436.756944444445</v>
      </c>
      <c r="E1325" s="2">
        <v>44436.909722222219</v>
      </c>
      <c r="F1325" s="23">
        <f t="shared" si="60"/>
        <v>0.15277777777373558</v>
      </c>
      <c r="G1325" s="24">
        <f t="shared" si="62"/>
        <v>81.818181820346567</v>
      </c>
      <c r="H1325" s="1" t="s">
        <v>1</v>
      </c>
      <c r="I1325" s="4" t="s">
        <v>4</v>
      </c>
      <c r="J1325" s="14">
        <v>0.75694444444444442</v>
      </c>
      <c r="K1325" s="20" t="str">
        <f t="shared" si="61"/>
        <v>2nd Shift</v>
      </c>
    </row>
    <row r="1326" spans="1:11" x14ac:dyDescent="0.25">
      <c r="A1326" s="1">
        <v>1325</v>
      </c>
      <c r="B1326" s="1">
        <v>10</v>
      </c>
      <c r="C1326" s="3">
        <v>10115271433901</v>
      </c>
      <c r="D1326" s="2">
        <v>44436.756944444445</v>
      </c>
      <c r="E1326" s="2">
        <v>44436.909722222219</v>
      </c>
      <c r="F1326" s="23">
        <f t="shared" si="60"/>
        <v>0.15277777777373558</v>
      </c>
      <c r="G1326" s="24">
        <f t="shared" si="62"/>
        <v>81.818181820346567</v>
      </c>
      <c r="H1326" s="1" t="s">
        <v>1</v>
      </c>
      <c r="I1326" s="4" t="s">
        <v>3</v>
      </c>
      <c r="J1326" s="14">
        <v>0.75694444444444442</v>
      </c>
      <c r="K1326" s="20" t="str">
        <f t="shared" si="61"/>
        <v>2nd Shift</v>
      </c>
    </row>
    <row r="1327" spans="1:11" x14ac:dyDescent="0.25">
      <c r="A1327" s="1">
        <v>1326</v>
      </c>
      <c r="B1327" s="1">
        <v>3</v>
      </c>
      <c r="C1327" s="3">
        <v>3115270343300</v>
      </c>
      <c r="D1327" s="2">
        <v>44436.756944444445</v>
      </c>
      <c r="E1327" s="2">
        <v>44436.909722222219</v>
      </c>
      <c r="F1327" s="23">
        <f t="shared" si="60"/>
        <v>0.15277777777373558</v>
      </c>
      <c r="G1327" s="24">
        <f t="shared" si="62"/>
        <v>81.818181820346567</v>
      </c>
      <c r="H1327" s="1" t="s">
        <v>1</v>
      </c>
      <c r="I1327" s="4" t="s">
        <v>3</v>
      </c>
      <c r="J1327" s="14">
        <v>0.75694444444444442</v>
      </c>
      <c r="K1327" s="20" t="str">
        <f t="shared" si="61"/>
        <v>2nd Shift</v>
      </c>
    </row>
    <row r="1328" spans="1:11" x14ac:dyDescent="0.25">
      <c r="A1328" s="1">
        <v>1327</v>
      </c>
      <c r="B1328" s="1">
        <v>2</v>
      </c>
      <c r="C1328" s="3">
        <v>2115270237700</v>
      </c>
      <c r="D1328" s="2">
        <v>44436.756944444445</v>
      </c>
      <c r="E1328" s="2">
        <v>44436.909722222219</v>
      </c>
      <c r="F1328" s="23">
        <f t="shared" si="60"/>
        <v>0.15277777777373558</v>
      </c>
      <c r="G1328" s="24">
        <f t="shared" si="62"/>
        <v>81.818181820346567</v>
      </c>
      <c r="H1328" s="1" t="s">
        <v>1</v>
      </c>
      <c r="I1328" s="4" t="s">
        <v>2</v>
      </c>
      <c r="J1328" s="14">
        <v>0.75694444444444442</v>
      </c>
      <c r="K1328" s="20" t="str">
        <f t="shared" si="61"/>
        <v>2nd Shift</v>
      </c>
    </row>
    <row r="1329" spans="1:11" x14ac:dyDescent="0.25">
      <c r="A1329" s="1">
        <v>1328</v>
      </c>
      <c r="B1329" s="1">
        <v>2</v>
      </c>
      <c r="C1329" s="3">
        <v>2115270186400</v>
      </c>
      <c r="D1329" s="2">
        <v>44436.756944444445</v>
      </c>
      <c r="E1329" s="2">
        <v>44436.909722222219</v>
      </c>
      <c r="F1329" s="23">
        <f t="shared" si="60"/>
        <v>0.15277777777373558</v>
      </c>
      <c r="G1329" s="24">
        <f t="shared" si="62"/>
        <v>81.818181820346567</v>
      </c>
      <c r="H1329" s="1" t="s">
        <v>1</v>
      </c>
      <c r="I1329" s="4" t="s">
        <v>2</v>
      </c>
      <c r="J1329" s="14">
        <v>0.75694444444444442</v>
      </c>
      <c r="K1329" s="20" t="str">
        <f t="shared" si="61"/>
        <v>2nd Shift</v>
      </c>
    </row>
    <row r="1330" spans="1:11" x14ac:dyDescent="0.25">
      <c r="A1330" s="1">
        <v>1329</v>
      </c>
      <c r="B1330" s="1">
        <v>11</v>
      </c>
      <c r="C1330" s="3">
        <v>11115271551705</v>
      </c>
      <c r="D1330" s="2">
        <v>44437.097222222219</v>
      </c>
      <c r="E1330" s="2">
        <v>44437.135416666664</v>
      </c>
      <c r="F1330" s="23">
        <f t="shared" si="60"/>
        <v>3.8194444445252884E-2</v>
      </c>
      <c r="G1330" s="24">
        <f t="shared" si="62"/>
        <v>327.27272726580009</v>
      </c>
      <c r="H1330" s="1" t="s">
        <v>1</v>
      </c>
      <c r="I1330" s="4" t="s">
        <v>2</v>
      </c>
      <c r="J1330" s="14">
        <v>9.7222222222222224E-2</v>
      </c>
      <c r="K1330" s="20" t="str">
        <f t="shared" si="61"/>
        <v>3rd Shift</v>
      </c>
    </row>
    <row r="1331" spans="1:11" x14ac:dyDescent="0.25">
      <c r="A1331" s="1">
        <v>1330</v>
      </c>
      <c r="B1331" s="1">
        <v>46</v>
      </c>
      <c r="C1331" s="3">
        <v>46115270488301</v>
      </c>
      <c r="D1331" s="2">
        <v>44437.375</v>
      </c>
      <c r="E1331" s="2">
        <v>44437.586805555555</v>
      </c>
      <c r="F1331" s="23">
        <f t="shared" si="60"/>
        <v>0.21180555555474712</v>
      </c>
      <c r="G1331" s="24">
        <f t="shared" si="62"/>
        <v>59.016393442848212</v>
      </c>
      <c r="H1331" s="1" t="s">
        <v>1</v>
      </c>
      <c r="I1331" s="4" t="s">
        <v>3</v>
      </c>
      <c r="J1331" s="14">
        <v>0.375</v>
      </c>
      <c r="K1331" s="20" t="str">
        <f t="shared" si="61"/>
        <v>1st Shift</v>
      </c>
    </row>
    <row r="1332" spans="1:11" x14ac:dyDescent="0.25">
      <c r="A1332" s="1">
        <v>1331</v>
      </c>
      <c r="B1332" s="1">
        <v>14</v>
      </c>
      <c r="C1332" s="3">
        <v>14115271672400</v>
      </c>
      <c r="D1332" s="2">
        <v>44437.375</v>
      </c>
      <c r="E1332" s="2">
        <v>44437.586805555555</v>
      </c>
      <c r="F1332" s="23">
        <f t="shared" si="60"/>
        <v>0.21180555555474712</v>
      </c>
      <c r="G1332" s="24">
        <f t="shared" si="62"/>
        <v>59.016393442848212</v>
      </c>
      <c r="H1332" s="1" t="s">
        <v>1</v>
      </c>
      <c r="I1332" s="4" t="s">
        <v>4</v>
      </c>
      <c r="J1332" s="14">
        <v>0.375</v>
      </c>
      <c r="K1332" s="20" t="str">
        <f t="shared" si="61"/>
        <v>1st Shift</v>
      </c>
    </row>
    <row r="1333" spans="1:11" x14ac:dyDescent="0.25">
      <c r="A1333" s="1">
        <v>1332</v>
      </c>
      <c r="B1333" s="1">
        <v>11</v>
      </c>
      <c r="C1333" s="3">
        <v>11115271558701</v>
      </c>
      <c r="D1333" s="2">
        <v>44437.375</v>
      </c>
      <c r="E1333" s="2">
        <v>44437.586805555555</v>
      </c>
      <c r="F1333" s="23">
        <f t="shared" si="60"/>
        <v>0.21180555555474712</v>
      </c>
      <c r="G1333" s="24">
        <f t="shared" si="62"/>
        <v>59.016393442848212</v>
      </c>
      <c r="H1333" s="1" t="s">
        <v>1</v>
      </c>
      <c r="I1333" s="4" t="s">
        <v>3</v>
      </c>
      <c r="J1333" s="14">
        <v>0.375</v>
      </c>
      <c r="K1333" s="20" t="str">
        <f t="shared" si="61"/>
        <v>1st Shift</v>
      </c>
    </row>
    <row r="1334" spans="1:11" x14ac:dyDescent="0.25">
      <c r="A1334" s="1">
        <v>1333</v>
      </c>
      <c r="B1334" s="1">
        <v>11</v>
      </c>
      <c r="C1334" s="3">
        <v>11115271546600</v>
      </c>
      <c r="D1334" s="2">
        <v>44437.375</v>
      </c>
      <c r="E1334" s="2">
        <v>44437.586805555555</v>
      </c>
      <c r="F1334" s="23">
        <f t="shared" si="60"/>
        <v>0.21180555555474712</v>
      </c>
      <c r="G1334" s="24">
        <f t="shared" si="62"/>
        <v>59.016393442848212</v>
      </c>
      <c r="H1334" s="1" t="s">
        <v>1</v>
      </c>
      <c r="I1334" s="4" t="s">
        <v>3</v>
      </c>
      <c r="J1334" s="14">
        <v>0.375</v>
      </c>
      <c r="K1334" s="20" t="str">
        <f t="shared" si="61"/>
        <v>1st Shift</v>
      </c>
    </row>
    <row r="1335" spans="1:11" x14ac:dyDescent="0.25">
      <c r="A1335" s="1">
        <v>1334</v>
      </c>
      <c r="B1335" s="1">
        <v>11</v>
      </c>
      <c r="C1335" s="3">
        <v>11115271542604</v>
      </c>
      <c r="D1335" s="2">
        <v>44437.375</v>
      </c>
      <c r="E1335" s="2">
        <v>44437.586805555555</v>
      </c>
      <c r="F1335" s="23">
        <f t="shared" si="60"/>
        <v>0.21180555555474712</v>
      </c>
      <c r="G1335" s="24">
        <f t="shared" si="62"/>
        <v>59.016393442848212</v>
      </c>
      <c r="H1335" s="1" t="s">
        <v>1</v>
      </c>
      <c r="I1335" s="4" t="s">
        <v>2</v>
      </c>
      <c r="J1335" s="14">
        <v>0.375</v>
      </c>
      <c r="K1335" s="20" t="str">
        <f t="shared" si="61"/>
        <v>1st Shift</v>
      </c>
    </row>
    <row r="1336" spans="1:11" x14ac:dyDescent="0.25">
      <c r="A1336" s="1">
        <v>1335</v>
      </c>
      <c r="B1336" s="1">
        <v>10</v>
      </c>
      <c r="C1336" s="3">
        <v>10115271965200</v>
      </c>
      <c r="D1336" s="2">
        <v>44437.375</v>
      </c>
      <c r="E1336" s="2">
        <v>44437.586805555555</v>
      </c>
      <c r="F1336" s="23">
        <f t="shared" si="60"/>
        <v>0.21180555555474712</v>
      </c>
      <c r="G1336" s="24">
        <f t="shared" si="62"/>
        <v>59.016393442848212</v>
      </c>
      <c r="H1336" s="1" t="s">
        <v>1</v>
      </c>
      <c r="I1336" s="4" t="s">
        <v>3</v>
      </c>
      <c r="J1336" s="14">
        <v>0.375</v>
      </c>
      <c r="K1336" s="20" t="str">
        <f t="shared" si="61"/>
        <v>1st Shift</v>
      </c>
    </row>
    <row r="1337" spans="1:11" x14ac:dyDescent="0.25">
      <c r="A1337" s="1">
        <v>1336</v>
      </c>
      <c r="B1337" s="1">
        <v>10</v>
      </c>
      <c r="C1337" s="3">
        <v>10115271964500</v>
      </c>
      <c r="D1337" s="2">
        <v>44437.375</v>
      </c>
      <c r="E1337" s="2">
        <v>44437.586805555555</v>
      </c>
      <c r="F1337" s="23">
        <f t="shared" si="60"/>
        <v>0.21180555555474712</v>
      </c>
      <c r="G1337" s="24">
        <f t="shared" si="62"/>
        <v>59.016393442848212</v>
      </c>
      <c r="H1337" s="1" t="s">
        <v>1</v>
      </c>
      <c r="I1337" s="4" t="s">
        <v>2</v>
      </c>
      <c r="J1337" s="14">
        <v>0.375</v>
      </c>
      <c r="K1337" s="20" t="str">
        <f t="shared" si="61"/>
        <v>1st Shift</v>
      </c>
    </row>
    <row r="1338" spans="1:11" x14ac:dyDescent="0.25">
      <c r="A1338" s="1">
        <v>1337</v>
      </c>
      <c r="B1338" s="1">
        <v>7</v>
      </c>
      <c r="C1338" s="3">
        <v>7115271765727</v>
      </c>
      <c r="D1338" s="2">
        <v>44437.375</v>
      </c>
      <c r="E1338" s="2">
        <v>44437.586805555555</v>
      </c>
      <c r="F1338" s="23">
        <f t="shared" si="60"/>
        <v>0.21180555555474712</v>
      </c>
      <c r="G1338" s="24">
        <f t="shared" si="62"/>
        <v>59.016393442848212</v>
      </c>
      <c r="H1338" s="1" t="s">
        <v>1</v>
      </c>
      <c r="I1338" s="4" t="s">
        <v>5</v>
      </c>
      <c r="J1338" s="14">
        <v>0.375</v>
      </c>
      <c r="K1338" s="20" t="str">
        <f t="shared" si="61"/>
        <v>1st Shift</v>
      </c>
    </row>
    <row r="1339" spans="1:11" x14ac:dyDescent="0.25">
      <c r="A1339" s="1">
        <v>1338</v>
      </c>
      <c r="B1339" s="1">
        <v>3</v>
      </c>
      <c r="C1339" s="3">
        <v>3115270366101</v>
      </c>
      <c r="D1339" s="2">
        <v>44437.375</v>
      </c>
      <c r="E1339" s="2">
        <v>44437.586805555555</v>
      </c>
      <c r="F1339" s="23">
        <f t="shared" si="60"/>
        <v>0.21180555555474712</v>
      </c>
      <c r="G1339" s="24">
        <f t="shared" si="62"/>
        <v>59.016393442848212</v>
      </c>
      <c r="H1339" s="1" t="s">
        <v>1</v>
      </c>
      <c r="I1339" s="4" t="s">
        <v>3</v>
      </c>
      <c r="J1339" s="14">
        <v>0.375</v>
      </c>
      <c r="K1339" s="20" t="str">
        <f t="shared" si="61"/>
        <v>1st Shift</v>
      </c>
    </row>
    <row r="1340" spans="1:11" x14ac:dyDescent="0.25">
      <c r="A1340" s="1">
        <v>1339</v>
      </c>
      <c r="B1340" s="1">
        <v>12</v>
      </c>
      <c r="C1340" s="3">
        <v>12115271560816</v>
      </c>
      <c r="D1340" s="2">
        <v>44437.708333333336</v>
      </c>
      <c r="E1340" s="2">
        <v>44437.850694444445</v>
      </c>
      <c r="F1340" s="23">
        <f t="shared" si="60"/>
        <v>0.14236111110949423</v>
      </c>
      <c r="G1340" s="24">
        <f t="shared" si="62"/>
        <v>87.804878049777741</v>
      </c>
      <c r="H1340" s="1" t="s">
        <v>1</v>
      </c>
      <c r="I1340" s="4" t="s">
        <v>2</v>
      </c>
      <c r="J1340" s="14">
        <v>0.70833333333333337</v>
      </c>
      <c r="K1340" s="20" t="str">
        <f t="shared" si="61"/>
        <v>2nd Shift</v>
      </c>
    </row>
    <row r="1341" spans="1:11" x14ac:dyDescent="0.25">
      <c r="A1341" s="1">
        <v>1340</v>
      </c>
      <c r="B1341" s="1">
        <v>9</v>
      </c>
      <c r="C1341" s="3">
        <v>9115271952800</v>
      </c>
      <c r="D1341" s="2">
        <v>44437.708333333336</v>
      </c>
      <c r="E1341" s="2">
        <v>44437.850694444445</v>
      </c>
      <c r="F1341" s="23">
        <f t="shared" si="60"/>
        <v>0.14236111110949423</v>
      </c>
      <c r="G1341" s="24">
        <f t="shared" si="62"/>
        <v>87.804878049777741</v>
      </c>
      <c r="H1341" s="1" t="s">
        <v>1</v>
      </c>
      <c r="I1341" s="4" t="s">
        <v>4</v>
      </c>
      <c r="J1341" s="14">
        <v>0.70833333333333337</v>
      </c>
      <c r="K1341" s="20" t="str">
        <f t="shared" si="61"/>
        <v>2nd Shift</v>
      </c>
    </row>
    <row r="1342" spans="1:11" x14ac:dyDescent="0.25">
      <c r="A1342" s="1">
        <v>1341</v>
      </c>
      <c r="B1342" s="1">
        <v>8</v>
      </c>
      <c r="C1342" s="3">
        <v>8115271859400</v>
      </c>
      <c r="D1342" s="2">
        <v>44437.708333333336</v>
      </c>
      <c r="E1342" s="2">
        <v>44437.850694444445</v>
      </c>
      <c r="F1342" s="23">
        <f t="shared" si="60"/>
        <v>0.14236111110949423</v>
      </c>
      <c r="G1342" s="24">
        <f t="shared" si="62"/>
        <v>87.804878049777741</v>
      </c>
      <c r="H1342" s="1" t="s">
        <v>1</v>
      </c>
      <c r="I1342" s="4" t="s">
        <v>3</v>
      </c>
      <c r="J1342" s="14">
        <v>0.70833333333333337</v>
      </c>
      <c r="K1342" s="20" t="str">
        <f t="shared" si="61"/>
        <v>2nd Shift</v>
      </c>
    </row>
    <row r="1343" spans="1:11" x14ac:dyDescent="0.25">
      <c r="A1343" s="1">
        <v>1342</v>
      </c>
      <c r="B1343" s="1">
        <v>7</v>
      </c>
      <c r="C1343" s="3">
        <v>7115271771003</v>
      </c>
      <c r="D1343" s="2">
        <v>44437.708333333336</v>
      </c>
      <c r="E1343" s="2">
        <v>44437.850694444445</v>
      </c>
      <c r="F1343" s="23">
        <f t="shared" si="60"/>
        <v>0.14236111110949423</v>
      </c>
      <c r="G1343" s="24">
        <f t="shared" si="62"/>
        <v>87.804878049777741</v>
      </c>
      <c r="H1343" s="1" t="s">
        <v>1</v>
      </c>
      <c r="I1343" s="4" t="s">
        <v>2</v>
      </c>
      <c r="J1343" s="14">
        <v>0.70833333333333337</v>
      </c>
      <c r="K1343" s="20" t="str">
        <f t="shared" si="61"/>
        <v>2nd Shift</v>
      </c>
    </row>
    <row r="1344" spans="1:11" x14ac:dyDescent="0.25">
      <c r="A1344" s="1">
        <v>1343</v>
      </c>
      <c r="B1344" s="1">
        <v>3</v>
      </c>
      <c r="C1344" s="3">
        <v>3115270366306</v>
      </c>
      <c r="D1344" s="2">
        <v>44437.708333333336</v>
      </c>
      <c r="E1344" s="2">
        <v>44437.850694444445</v>
      </c>
      <c r="F1344" s="23">
        <f t="shared" si="60"/>
        <v>0.14236111110949423</v>
      </c>
      <c r="G1344" s="24">
        <f t="shared" si="62"/>
        <v>87.804878049777741</v>
      </c>
      <c r="H1344" s="1" t="s">
        <v>1</v>
      </c>
      <c r="I1344" s="4" t="s">
        <v>3</v>
      </c>
      <c r="J1344" s="14">
        <v>0.70833333333333337</v>
      </c>
      <c r="K1344" s="20" t="str">
        <f t="shared" si="61"/>
        <v>2nd Shift</v>
      </c>
    </row>
    <row r="1345" spans="1:11" x14ac:dyDescent="0.25">
      <c r="A1345" s="1">
        <v>1344</v>
      </c>
      <c r="B1345" s="1">
        <v>2</v>
      </c>
      <c r="C1345" s="3">
        <v>2115270250700</v>
      </c>
      <c r="D1345" s="2">
        <v>44437.708333333336</v>
      </c>
      <c r="E1345" s="2">
        <v>44437.850694444445</v>
      </c>
      <c r="F1345" s="23">
        <f t="shared" si="60"/>
        <v>0.14236111110949423</v>
      </c>
      <c r="G1345" s="24">
        <f t="shared" si="62"/>
        <v>87.804878049777741</v>
      </c>
      <c r="H1345" s="1" t="s">
        <v>1</v>
      </c>
      <c r="I1345" s="4" t="s">
        <v>2</v>
      </c>
      <c r="J1345" s="14">
        <v>0.70833333333333337</v>
      </c>
      <c r="K1345" s="20" t="str">
        <f t="shared" si="61"/>
        <v>2nd Shift</v>
      </c>
    </row>
    <row r="1346" spans="1:11" x14ac:dyDescent="0.25">
      <c r="A1346" s="1">
        <v>1345</v>
      </c>
      <c r="B1346" s="1">
        <v>1</v>
      </c>
      <c r="C1346" s="3">
        <v>1115270067800</v>
      </c>
      <c r="D1346" s="2">
        <v>44437.708333333336</v>
      </c>
      <c r="E1346" s="2">
        <v>44437.850694444445</v>
      </c>
      <c r="F1346" s="23">
        <f t="shared" ref="F1346:F1409" si="63">E1346-D1346</f>
        <v>0.14236111110949423</v>
      </c>
      <c r="G1346" s="24">
        <f t="shared" si="62"/>
        <v>87.804878049777741</v>
      </c>
      <c r="H1346" s="1" t="s">
        <v>1</v>
      </c>
      <c r="I1346" s="4" t="s">
        <v>4</v>
      </c>
      <c r="J1346" s="14">
        <v>0.70833333333333337</v>
      </c>
      <c r="K1346" s="20" t="str">
        <f t="shared" ref="K1346:K1409" si="64">IF(AND(J1346&gt;=$M$3,J1346&lt;$M$4),"1st Shift",IF(AND(J1346&gt;=$M$4,J1346&lt;$M$5),"2nd Shift","3rd Shift"))</f>
        <v>2nd Shift</v>
      </c>
    </row>
    <row r="1347" spans="1:11" x14ac:dyDescent="0.25">
      <c r="A1347" s="1">
        <v>1346</v>
      </c>
      <c r="B1347" s="1">
        <v>2</v>
      </c>
      <c r="C1347" s="3">
        <v>2115270155400</v>
      </c>
      <c r="D1347" s="2">
        <v>44437.888888888891</v>
      </c>
      <c r="E1347" s="2">
        <v>44437.913194444445</v>
      </c>
      <c r="F1347" s="23">
        <f t="shared" si="63"/>
        <v>2.4305555554747116E-2</v>
      </c>
      <c r="G1347" s="24">
        <f t="shared" ref="G1347:G1410" si="65">$M$9/F1347*100</f>
        <v>514.28571430282022</v>
      </c>
      <c r="H1347" s="1" t="s">
        <v>1</v>
      </c>
      <c r="I1347" s="4" t="s">
        <v>3</v>
      </c>
      <c r="J1347" s="14">
        <v>0.88888888888888884</v>
      </c>
      <c r="K1347" s="20" t="str">
        <f t="shared" si="64"/>
        <v>2nd Shift</v>
      </c>
    </row>
    <row r="1348" spans="1:11" x14ac:dyDescent="0.25">
      <c r="A1348" s="1">
        <v>1347</v>
      </c>
      <c r="B1348" s="1">
        <v>15</v>
      </c>
      <c r="C1348" s="3">
        <v>15115271743401</v>
      </c>
      <c r="D1348" s="2">
        <v>44438.395833333336</v>
      </c>
      <c r="E1348" s="2">
        <v>44438.486111111109</v>
      </c>
      <c r="F1348" s="23">
        <f t="shared" si="63"/>
        <v>9.0277777773735579E-2</v>
      </c>
      <c r="G1348" s="24">
        <f t="shared" si="65"/>
        <v>138.46153846773811</v>
      </c>
      <c r="H1348" s="1" t="s">
        <v>1</v>
      </c>
      <c r="I1348" s="4" t="s">
        <v>8</v>
      </c>
      <c r="J1348" s="14">
        <v>0.39583333333333331</v>
      </c>
      <c r="K1348" s="20" t="str">
        <f t="shared" si="64"/>
        <v>1st Shift</v>
      </c>
    </row>
    <row r="1349" spans="1:11" x14ac:dyDescent="0.25">
      <c r="A1349" s="1">
        <v>1348</v>
      </c>
      <c r="B1349" s="1">
        <v>14</v>
      </c>
      <c r="C1349" s="3">
        <v>14115271672411</v>
      </c>
      <c r="D1349" s="2">
        <v>44438.395833333336</v>
      </c>
      <c r="E1349" s="2">
        <v>44438.486111111109</v>
      </c>
      <c r="F1349" s="23">
        <f t="shared" si="63"/>
        <v>9.0277777773735579E-2</v>
      </c>
      <c r="G1349" s="24">
        <f t="shared" si="65"/>
        <v>138.46153846773811</v>
      </c>
      <c r="H1349" s="1" t="s">
        <v>1</v>
      </c>
      <c r="I1349" s="4" t="s">
        <v>3</v>
      </c>
      <c r="J1349" s="14">
        <v>0.39583333333333331</v>
      </c>
      <c r="K1349" s="20" t="str">
        <f t="shared" si="64"/>
        <v>1st Shift</v>
      </c>
    </row>
    <row r="1350" spans="1:11" x14ac:dyDescent="0.25">
      <c r="A1350" s="1">
        <v>1349</v>
      </c>
      <c r="B1350" s="1">
        <v>3</v>
      </c>
      <c r="C1350" s="3">
        <v>3115270306400</v>
      </c>
      <c r="D1350" s="2">
        <v>44438.395833333336</v>
      </c>
      <c r="E1350" s="2">
        <v>44438.486111111109</v>
      </c>
      <c r="F1350" s="23">
        <f t="shared" si="63"/>
        <v>9.0277777773735579E-2</v>
      </c>
      <c r="G1350" s="24">
        <f t="shared" si="65"/>
        <v>138.46153846773811</v>
      </c>
      <c r="H1350" s="1" t="s">
        <v>1</v>
      </c>
      <c r="I1350" s="4" t="s">
        <v>3</v>
      </c>
      <c r="J1350" s="14">
        <v>0.39583333333333331</v>
      </c>
      <c r="K1350" s="20" t="str">
        <f t="shared" si="64"/>
        <v>1st Shift</v>
      </c>
    </row>
    <row r="1351" spans="1:11" x14ac:dyDescent="0.25">
      <c r="A1351" s="1">
        <v>1350</v>
      </c>
      <c r="B1351" s="1">
        <v>13</v>
      </c>
      <c r="C1351" s="3">
        <v>13115271590600</v>
      </c>
      <c r="D1351" s="2">
        <v>44438.506944444445</v>
      </c>
      <c r="E1351" s="2">
        <v>44438.579861111109</v>
      </c>
      <c r="F1351" s="23">
        <f t="shared" si="63"/>
        <v>7.2916666664241347E-2</v>
      </c>
      <c r="G1351" s="24">
        <f t="shared" si="65"/>
        <v>171.42857143427341</v>
      </c>
      <c r="H1351" s="1" t="s">
        <v>1</v>
      </c>
      <c r="I1351" s="4" t="s">
        <v>3</v>
      </c>
      <c r="J1351" s="14">
        <v>0.50694444444444442</v>
      </c>
      <c r="K1351" s="20" t="str">
        <f t="shared" si="64"/>
        <v>1st Shift</v>
      </c>
    </row>
    <row r="1352" spans="1:11" x14ac:dyDescent="0.25">
      <c r="A1352" s="1">
        <v>1351</v>
      </c>
      <c r="B1352" s="1">
        <v>5</v>
      </c>
      <c r="C1352" s="3">
        <v>5115271289100</v>
      </c>
      <c r="D1352" s="2">
        <v>44438.506944444445</v>
      </c>
      <c r="E1352" s="2">
        <v>44438.579861111109</v>
      </c>
      <c r="F1352" s="23">
        <f t="shared" si="63"/>
        <v>7.2916666664241347E-2</v>
      </c>
      <c r="G1352" s="24">
        <f t="shared" si="65"/>
        <v>171.42857143427341</v>
      </c>
      <c r="H1352" s="1" t="s">
        <v>1</v>
      </c>
      <c r="I1352" s="4" t="s">
        <v>2</v>
      </c>
      <c r="J1352" s="14">
        <v>0.50694444444444442</v>
      </c>
      <c r="K1352" s="20" t="str">
        <f t="shared" si="64"/>
        <v>1st Shift</v>
      </c>
    </row>
    <row r="1353" spans="1:11" x14ac:dyDescent="0.25">
      <c r="A1353" s="1">
        <v>1352</v>
      </c>
      <c r="B1353" s="1">
        <v>4</v>
      </c>
      <c r="C1353" s="3">
        <v>4115271014201</v>
      </c>
      <c r="D1353" s="2">
        <v>44438.506944444445</v>
      </c>
      <c r="E1353" s="2">
        <v>44438.579861111109</v>
      </c>
      <c r="F1353" s="23">
        <f t="shared" si="63"/>
        <v>7.2916666664241347E-2</v>
      </c>
      <c r="G1353" s="24">
        <f t="shared" si="65"/>
        <v>171.42857143427341</v>
      </c>
      <c r="H1353" s="1" t="s">
        <v>1</v>
      </c>
      <c r="I1353" s="4" t="s">
        <v>3</v>
      </c>
      <c r="J1353" s="14">
        <v>0.50694444444444442</v>
      </c>
      <c r="K1353" s="20" t="str">
        <f t="shared" si="64"/>
        <v>1st Shift</v>
      </c>
    </row>
    <row r="1354" spans="1:11" x14ac:dyDescent="0.25">
      <c r="A1354" s="1">
        <v>1353</v>
      </c>
      <c r="B1354" s="1">
        <v>1</v>
      </c>
      <c r="C1354" s="3">
        <v>1115270110400</v>
      </c>
      <c r="D1354" s="2">
        <v>44438.506944444445</v>
      </c>
      <c r="E1354" s="2">
        <v>44438.579861111109</v>
      </c>
      <c r="F1354" s="23">
        <f t="shared" si="63"/>
        <v>7.2916666664241347E-2</v>
      </c>
      <c r="G1354" s="24">
        <f t="shared" si="65"/>
        <v>171.42857143427341</v>
      </c>
      <c r="H1354" s="1" t="s">
        <v>1</v>
      </c>
      <c r="I1354" s="4" t="s">
        <v>3</v>
      </c>
      <c r="J1354" s="14">
        <v>0.50694444444444442</v>
      </c>
      <c r="K1354" s="20" t="str">
        <f t="shared" si="64"/>
        <v>1st Shift</v>
      </c>
    </row>
    <row r="1355" spans="1:11" x14ac:dyDescent="0.25">
      <c r="A1355" s="1">
        <v>1354</v>
      </c>
      <c r="B1355" s="1">
        <v>11</v>
      </c>
      <c r="C1355" s="3">
        <v>11115271557904</v>
      </c>
      <c r="D1355" s="2">
        <v>44438.666666666664</v>
      </c>
      <c r="E1355" s="2">
        <v>44438.819444444445</v>
      </c>
      <c r="F1355" s="23">
        <f t="shared" si="63"/>
        <v>0.15277777778101154</v>
      </c>
      <c r="G1355" s="24">
        <f t="shared" si="65"/>
        <v>81.818181816450021</v>
      </c>
      <c r="H1355" s="1" t="s">
        <v>1</v>
      </c>
      <c r="I1355" s="4" t="s">
        <v>2</v>
      </c>
      <c r="J1355" s="14">
        <v>0.66666666666666663</v>
      </c>
      <c r="K1355" s="20" t="str">
        <f t="shared" si="64"/>
        <v>2nd Shift</v>
      </c>
    </row>
    <row r="1356" spans="1:11" x14ac:dyDescent="0.25">
      <c r="A1356" s="1">
        <v>1355</v>
      </c>
      <c r="B1356" s="1">
        <v>8</v>
      </c>
      <c r="C1356" s="3">
        <v>8115271822402</v>
      </c>
      <c r="D1356" s="2">
        <v>44438.666666666664</v>
      </c>
      <c r="E1356" s="2">
        <v>44438.819444444445</v>
      </c>
      <c r="F1356" s="23">
        <f t="shared" si="63"/>
        <v>0.15277777778101154</v>
      </c>
      <c r="G1356" s="24">
        <f t="shared" si="65"/>
        <v>81.818181816450021</v>
      </c>
      <c r="H1356" s="1" t="s">
        <v>1</v>
      </c>
      <c r="I1356" s="4" t="s">
        <v>2</v>
      </c>
      <c r="J1356" s="14">
        <v>0.66666666666666663</v>
      </c>
      <c r="K1356" s="20" t="str">
        <f t="shared" si="64"/>
        <v>2nd Shift</v>
      </c>
    </row>
    <row r="1357" spans="1:11" x14ac:dyDescent="0.25">
      <c r="A1357" s="1">
        <v>1356</v>
      </c>
      <c r="B1357" s="1">
        <v>8</v>
      </c>
      <c r="C1357" s="3">
        <v>8115271712906</v>
      </c>
      <c r="D1357" s="2">
        <v>44438.666666666664</v>
      </c>
      <c r="E1357" s="2">
        <v>44438.819444444445</v>
      </c>
      <c r="F1357" s="23">
        <f t="shared" si="63"/>
        <v>0.15277777778101154</v>
      </c>
      <c r="G1357" s="24">
        <f t="shared" si="65"/>
        <v>81.818181816450021</v>
      </c>
      <c r="H1357" s="1" t="s">
        <v>1</v>
      </c>
      <c r="I1357" s="4" t="s">
        <v>3</v>
      </c>
      <c r="J1357" s="14">
        <v>0.66666666666666663</v>
      </c>
      <c r="K1357" s="20" t="str">
        <f t="shared" si="64"/>
        <v>2nd Shift</v>
      </c>
    </row>
    <row r="1358" spans="1:11" x14ac:dyDescent="0.25">
      <c r="A1358" s="1">
        <v>1357</v>
      </c>
      <c r="B1358" s="1">
        <v>3</v>
      </c>
      <c r="C1358" s="3">
        <v>3115270821600</v>
      </c>
      <c r="D1358" s="2">
        <v>44438.666666666664</v>
      </c>
      <c r="E1358" s="2">
        <v>44438.819444444445</v>
      </c>
      <c r="F1358" s="23">
        <f t="shared" si="63"/>
        <v>0.15277777778101154</v>
      </c>
      <c r="G1358" s="24">
        <f t="shared" si="65"/>
        <v>81.818181816450021</v>
      </c>
      <c r="H1358" s="1" t="s">
        <v>1</v>
      </c>
      <c r="I1358" s="4" t="s">
        <v>2</v>
      </c>
      <c r="J1358" s="14">
        <v>0.66666666666666663</v>
      </c>
      <c r="K1358" s="20" t="str">
        <f t="shared" si="64"/>
        <v>2nd Shift</v>
      </c>
    </row>
    <row r="1359" spans="1:11" x14ac:dyDescent="0.25">
      <c r="A1359" s="1">
        <v>1358</v>
      </c>
      <c r="B1359" s="1">
        <v>1</v>
      </c>
      <c r="C1359" s="3">
        <v>1115270142504</v>
      </c>
      <c r="D1359" s="2">
        <v>44438.666666666664</v>
      </c>
      <c r="E1359" s="2">
        <v>44438.819444444445</v>
      </c>
      <c r="F1359" s="23">
        <f t="shared" si="63"/>
        <v>0.15277777778101154</v>
      </c>
      <c r="G1359" s="24">
        <f t="shared" si="65"/>
        <v>81.818181816450021</v>
      </c>
      <c r="H1359" s="1" t="s">
        <v>1</v>
      </c>
      <c r="I1359" s="4" t="s">
        <v>3</v>
      </c>
      <c r="J1359" s="14">
        <v>0.66666666666666663</v>
      </c>
      <c r="K1359" s="20" t="str">
        <f t="shared" si="64"/>
        <v>2nd Shift</v>
      </c>
    </row>
    <row r="1360" spans="1:11" x14ac:dyDescent="0.25">
      <c r="A1360" s="1">
        <v>1359</v>
      </c>
      <c r="B1360" s="1">
        <v>13</v>
      </c>
      <c r="C1360" s="3">
        <v>13115271607400</v>
      </c>
      <c r="D1360" s="2">
        <v>44438.826388888891</v>
      </c>
      <c r="E1360" s="2">
        <v>44438.923611111109</v>
      </c>
      <c r="F1360" s="23">
        <f t="shared" si="63"/>
        <v>9.7222222218988463E-2</v>
      </c>
      <c r="G1360" s="24">
        <f t="shared" si="65"/>
        <v>128.57142857570506</v>
      </c>
      <c r="H1360" s="1" t="s">
        <v>1</v>
      </c>
      <c r="I1360" s="4" t="s">
        <v>3</v>
      </c>
      <c r="J1360" s="14">
        <v>0.82638888888888884</v>
      </c>
      <c r="K1360" s="20" t="str">
        <f t="shared" si="64"/>
        <v>2nd Shift</v>
      </c>
    </row>
    <row r="1361" spans="1:11" x14ac:dyDescent="0.25">
      <c r="A1361" s="1">
        <v>1360</v>
      </c>
      <c r="B1361" s="1">
        <v>12</v>
      </c>
      <c r="C1361" s="3">
        <v>12115271574901</v>
      </c>
      <c r="D1361" s="2">
        <v>44438.826388888891</v>
      </c>
      <c r="E1361" s="2">
        <v>44438.923611111109</v>
      </c>
      <c r="F1361" s="23">
        <f t="shared" si="63"/>
        <v>9.7222222218988463E-2</v>
      </c>
      <c r="G1361" s="24">
        <f t="shared" si="65"/>
        <v>128.57142857570506</v>
      </c>
      <c r="H1361" s="1" t="s">
        <v>1</v>
      </c>
      <c r="I1361" s="4" t="s">
        <v>4</v>
      </c>
      <c r="J1361" s="14">
        <v>0.82638888888888884</v>
      </c>
      <c r="K1361" s="20" t="str">
        <f t="shared" si="64"/>
        <v>2nd Shift</v>
      </c>
    </row>
    <row r="1362" spans="1:11" x14ac:dyDescent="0.25">
      <c r="A1362" s="1">
        <v>1361</v>
      </c>
      <c r="B1362" s="1">
        <v>8</v>
      </c>
      <c r="C1362" s="3">
        <v>8115271843801</v>
      </c>
      <c r="D1362" s="2">
        <v>44438.826388888891</v>
      </c>
      <c r="E1362" s="2">
        <v>44438.923611111109</v>
      </c>
      <c r="F1362" s="23">
        <f t="shared" si="63"/>
        <v>9.7222222218988463E-2</v>
      </c>
      <c r="G1362" s="24">
        <f t="shared" si="65"/>
        <v>128.57142857570506</v>
      </c>
      <c r="H1362" s="1" t="s">
        <v>1</v>
      </c>
      <c r="I1362" s="4" t="s">
        <v>3</v>
      </c>
      <c r="J1362" s="14">
        <v>0.82638888888888884</v>
      </c>
      <c r="K1362" s="20" t="str">
        <f t="shared" si="64"/>
        <v>2nd Shift</v>
      </c>
    </row>
    <row r="1363" spans="1:11" x14ac:dyDescent="0.25">
      <c r="A1363" s="1">
        <v>1362</v>
      </c>
      <c r="B1363" s="1">
        <v>7</v>
      </c>
      <c r="C1363" s="3">
        <v>7115271760309</v>
      </c>
      <c r="D1363" s="2">
        <v>44438.826388888891</v>
      </c>
      <c r="E1363" s="2">
        <v>44438.923611111109</v>
      </c>
      <c r="F1363" s="23">
        <f t="shared" si="63"/>
        <v>9.7222222218988463E-2</v>
      </c>
      <c r="G1363" s="24">
        <f t="shared" si="65"/>
        <v>128.57142857570506</v>
      </c>
      <c r="H1363" s="1" t="s">
        <v>1</v>
      </c>
      <c r="I1363" s="4" t="s">
        <v>3</v>
      </c>
      <c r="J1363" s="14">
        <v>0.82638888888888884</v>
      </c>
      <c r="K1363" s="20" t="str">
        <f t="shared" si="64"/>
        <v>2nd Shift</v>
      </c>
    </row>
    <row r="1364" spans="1:11" x14ac:dyDescent="0.25">
      <c r="A1364" s="1">
        <v>1363</v>
      </c>
      <c r="B1364" s="1">
        <v>3</v>
      </c>
      <c r="C1364" s="3">
        <v>3115270411701</v>
      </c>
      <c r="D1364" s="2">
        <v>44438.826388888891</v>
      </c>
      <c r="E1364" s="2">
        <v>44438.923611111109</v>
      </c>
      <c r="F1364" s="23">
        <f t="shared" si="63"/>
        <v>9.7222222218988463E-2</v>
      </c>
      <c r="G1364" s="24">
        <f t="shared" si="65"/>
        <v>128.57142857570506</v>
      </c>
      <c r="H1364" s="1" t="s">
        <v>1</v>
      </c>
      <c r="I1364" s="4" t="s">
        <v>3</v>
      </c>
      <c r="J1364" s="14">
        <v>0.82638888888888884</v>
      </c>
      <c r="K1364" s="20" t="str">
        <f t="shared" si="64"/>
        <v>2nd Shift</v>
      </c>
    </row>
    <row r="1365" spans="1:11" x14ac:dyDescent="0.25">
      <c r="A1365" s="1">
        <v>1364</v>
      </c>
      <c r="B1365" s="1">
        <v>3</v>
      </c>
      <c r="C1365" s="3">
        <v>3115270401500</v>
      </c>
      <c r="D1365" s="2">
        <v>44438.826388888891</v>
      </c>
      <c r="E1365" s="2">
        <v>44438.923611111109</v>
      </c>
      <c r="F1365" s="23">
        <f t="shared" si="63"/>
        <v>9.7222222218988463E-2</v>
      </c>
      <c r="G1365" s="24">
        <f t="shared" si="65"/>
        <v>128.57142857570506</v>
      </c>
      <c r="H1365" s="1" t="s">
        <v>1</v>
      </c>
      <c r="I1365" s="4" t="s">
        <v>3</v>
      </c>
      <c r="J1365" s="14">
        <v>0.82638888888888884</v>
      </c>
      <c r="K1365" s="20" t="str">
        <f t="shared" si="64"/>
        <v>2nd Shift</v>
      </c>
    </row>
    <row r="1366" spans="1:11" x14ac:dyDescent="0.25">
      <c r="A1366" s="1">
        <v>1365</v>
      </c>
      <c r="B1366" s="1">
        <v>12</v>
      </c>
      <c r="C1366" s="3">
        <v>12115271569209</v>
      </c>
      <c r="D1366" s="2">
        <v>44438.947916666664</v>
      </c>
      <c r="E1366" s="2">
        <v>44439.104166666664</v>
      </c>
      <c r="F1366" s="23">
        <f t="shared" si="63"/>
        <v>0.15625</v>
      </c>
      <c r="G1366" s="24">
        <f t="shared" si="65"/>
        <v>80</v>
      </c>
      <c r="H1366" s="1" t="s">
        <v>1</v>
      </c>
      <c r="I1366" s="4" t="s">
        <v>3</v>
      </c>
      <c r="J1366" s="14">
        <v>0.94791666666666663</v>
      </c>
      <c r="K1366" s="20" t="str">
        <f t="shared" si="64"/>
        <v>3rd Shift</v>
      </c>
    </row>
    <row r="1367" spans="1:11" x14ac:dyDescent="0.25">
      <c r="A1367" s="1">
        <v>1366</v>
      </c>
      <c r="B1367" s="1">
        <v>11</v>
      </c>
      <c r="C1367" s="3">
        <v>11115271542300</v>
      </c>
      <c r="D1367" s="2">
        <v>44438.947916666664</v>
      </c>
      <c r="E1367" s="2">
        <v>44439.104166666664</v>
      </c>
      <c r="F1367" s="23">
        <f t="shared" si="63"/>
        <v>0.15625</v>
      </c>
      <c r="G1367" s="24">
        <f t="shared" si="65"/>
        <v>80</v>
      </c>
      <c r="H1367" s="1" t="s">
        <v>1</v>
      </c>
      <c r="I1367" s="4" t="s">
        <v>3</v>
      </c>
      <c r="J1367" s="14">
        <v>0.94791666666666663</v>
      </c>
      <c r="K1367" s="20" t="str">
        <f t="shared" si="64"/>
        <v>3rd Shift</v>
      </c>
    </row>
    <row r="1368" spans="1:11" x14ac:dyDescent="0.25">
      <c r="A1368" s="1">
        <v>1367</v>
      </c>
      <c r="B1368" s="1">
        <v>5</v>
      </c>
      <c r="C1368" s="3">
        <v>5115271258100</v>
      </c>
      <c r="D1368" s="2">
        <v>44438.947916666664</v>
      </c>
      <c r="E1368" s="2">
        <v>44439.104166666664</v>
      </c>
      <c r="F1368" s="23">
        <f t="shared" si="63"/>
        <v>0.15625</v>
      </c>
      <c r="G1368" s="24">
        <f t="shared" si="65"/>
        <v>80</v>
      </c>
      <c r="H1368" s="1" t="s">
        <v>1</v>
      </c>
      <c r="I1368" s="4" t="s">
        <v>3</v>
      </c>
      <c r="J1368" s="14">
        <v>0.94791666666666663</v>
      </c>
      <c r="K1368" s="20" t="str">
        <f t="shared" si="64"/>
        <v>3rd Shift</v>
      </c>
    </row>
    <row r="1369" spans="1:11" x14ac:dyDescent="0.25">
      <c r="A1369" s="1">
        <v>1368</v>
      </c>
      <c r="B1369" s="1">
        <v>15</v>
      </c>
      <c r="C1369" s="3">
        <v>15115271743512</v>
      </c>
      <c r="D1369" s="2">
        <v>44439.625</v>
      </c>
      <c r="E1369" s="2">
        <v>44439.694444444445</v>
      </c>
      <c r="F1369" s="23">
        <f t="shared" si="63"/>
        <v>6.9444444445252884E-2</v>
      </c>
      <c r="G1369" s="24">
        <f t="shared" si="65"/>
        <v>179.99999999790452</v>
      </c>
      <c r="H1369" s="1" t="s">
        <v>1</v>
      </c>
      <c r="I1369" s="4" t="s">
        <v>2</v>
      </c>
      <c r="J1369" s="14">
        <v>0.625</v>
      </c>
      <c r="K1369" s="20" t="str">
        <f t="shared" si="64"/>
        <v>2nd Shift</v>
      </c>
    </row>
    <row r="1370" spans="1:11" x14ac:dyDescent="0.25">
      <c r="A1370" s="1">
        <v>1369</v>
      </c>
      <c r="B1370" s="1">
        <v>15</v>
      </c>
      <c r="C1370" s="3">
        <v>15115271743511</v>
      </c>
      <c r="D1370" s="2">
        <v>44439.625</v>
      </c>
      <c r="E1370" s="2">
        <v>44439.694444444445</v>
      </c>
      <c r="F1370" s="23">
        <f t="shared" si="63"/>
        <v>6.9444444445252884E-2</v>
      </c>
      <c r="G1370" s="24">
        <f t="shared" si="65"/>
        <v>179.99999999790452</v>
      </c>
      <c r="H1370" s="1" t="s">
        <v>1</v>
      </c>
      <c r="I1370" s="4" t="s">
        <v>4</v>
      </c>
      <c r="J1370" s="14">
        <v>0.625</v>
      </c>
      <c r="K1370" s="20" t="str">
        <f t="shared" si="64"/>
        <v>2nd Shift</v>
      </c>
    </row>
    <row r="1371" spans="1:11" x14ac:dyDescent="0.25">
      <c r="A1371" s="1">
        <v>1370</v>
      </c>
      <c r="B1371" s="1">
        <v>15</v>
      </c>
      <c r="C1371" s="3">
        <v>15115271743502</v>
      </c>
      <c r="D1371" s="2">
        <v>44439.625</v>
      </c>
      <c r="E1371" s="2">
        <v>44439.694444444445</v>
      </c>
      <c r="F1371" s="23">
        <f t="shared" si="63"/>
        <v>6.9444444445252884E-2</v>
      </c>
      <c r="G1371" s="24">
        <f t="shared" si="65"/>
        <v>179.99999999790452</v>
      </c>
      <c r="H1371" s="1" t="s">
        <v>1</v>
      </c>
      <c r="I1371" s="4" t="s">
        <v>2</v>
      </c>
      <c r="J1371" s="14">
        <v>0.625</v>
      </c>
      <c r="K1371" s="20" t="str">
        <f t="shared" si="64"/>
        <v>2nd Shift</v>
      </c>
    </row>
    <row r="1372" spans="1:11" x14ac:dyDescent="0.25">
      <c r="A1372" s="1">
        <v>1371</v>
      </c>
      <c r="B1372" s="1">
        <v>15</v>
      </c>
      <c r="C1372" s="3">
        <v>15115271743501</v>
      </c>
      <c r="D1372" s="2">
        <v>44439.625</v>
      </c>
      <c r="E1372" s="2">
        <v>44439.694444444445</v>
      </c>
      <c r="F1372" s="23">
        <f t="shared" si="63"/>
        <v>6.9444444445252884E-2</v>
      </c>
      <c r="G1372" s="24">
        <f t="shared" si="65"/>
        <v>179.99999999790452</v>
      </c>
      <c r="H1372" s="1" t="s">
        <v>1</v>
      </c>
      <c r="I1372" s="4" t="s">
        <v>2</v>
      </c>
      <c r="J1372" s="14">
        <v>0.625</v>
      </c>
      <c r="K1372" s="20" t="str">
        <f t="shared" si="64"/>
        <v>2nd Shift</v>
      </c>
    </row>
    <row r="1373" spans="1:11" x14ac:dyDescent="0.25">
      <c r="A1373" s="1">
        <v>1372</v>
      </c>
      <c r="B1373" s="1">
        <v>15</v>
      </c>
      <c r="C1373" s="3">
        <v>15115271743500</v>
      </c>
      <c r="D1373" s="2">
        <v>44439.625</v>
      </c>
      <c r="E1373" s="2">
        <v>44439.694444444445</v>
      </c>
      <c r="F1373" s="23">
        <f t="shared" si="63"/>
        <v>6.9444444445252884E-2</v>
      </c>
      <c r="G1373" s="24">
        <f t="shared" si="65"/>
        <v>179.99999999790452</v>
      </c>
      <c r="H1373" s="1" t="s">
        <v>1</v>
      </c>
      <c r="I1373" s="4" t="s">
        <v>2</v>
      </c>
      <c r="J1373" s="14">
        <v>0.625</v>
      </c>
      <c r="K1373" s="20" t="str">
        <f t="shared" si="64"/>
        <v>2nd Shift</v>
      </c>
    </row>
    <row r="1374" spans="1:11" x14ac:dyDescent="0.25">
      <c r="A1374" s="1">
        <v>1373</v>
      </c>
      <c r="B1374" s="1">
        <v>10</v>
      </c>
      <c r="C1374" s="3">
        <v>10115271959411</v>
      </c>
      <c r="D1374" s="2">
        <v>44439.625</v>
      </c>
      <c r="E1374" s="2">
        <v>44439.694444444445</v>
      </c>
      <c r="F1374" s="23">
        <f t="shared" si="63"/>
        <v>6.9444444445252884E-2</v>
      </c>
      <c r="G1374" s="24">
        <f t="shared" si="65"/>
        <v>179.99999999790452</v>
      </c>
      <c r="H1374" s="1" t="s">
        <v>1</v>
      </c>
      <c r="I1374" s="4" t="s">
        <v>2</v>
      </c>
      <c r="J1374" s="14">
        <v>0.625</v>
      </c>
      <c r="K1374" s="20" t="str">
        <f t="shared" si="64"/>
        <v>2nd Shift</v>
      </c>
    </row>
    <row r="1375" spans="1:11" x14ac:dyDescent="0.25">
      <c r="A1375" s="1">
        <v>1374</v>
      </c>
      <c r="B1375" s="1">
        <v>10</v>
      </c>
      <c r="C1375" s="3">
        <v>10115271959407</v>
      </c>
      <c r="D1375" s="2">
        <v>44439.625</v>
      </c>
      <c r="E1375" s="2">
        <v>44439.694444444445</v>
      </c>
      <c r="F1375" s="23">
        <f t="shared" si="63"/>
        <v>6.9444444445252884E-2</v>
      </c>
      <c r="G1375" s="24">
        <f t="shared" si="65"/>
        <v>179.99999999790452</v>
      </c>
      <c r="H1375" s="1" t="s">
        <v>1</v>
      </c>
      <c r="I1375" s="4" t="s">
        <v>2</v>
      </c>
      <c r="J1375" s="14">
        <v>0.625</v>
      </c>
      <c r="K1375" s="20" t="str">
        <f t="shared" si="64"/>
        <v>2nd Shift</v>
      </c>
    </row>
    <row r="1376" spans="1:11" x14ac:dyDescent="0.25">
      <c r="A1376" s="1">
        <v>1375</v>
      </c>
      <c r="B1376" s="1">
        <v>10</v>
      </c>
      <c r="C1376" s="3">
        <v>10115271959402</v>
      </c>
      <c r="D1376" s="2">
        <v>44439.625</v>
      </c>
      <c r="E1376" s="2">
        <v>44439.694444444445</v>
      </c>
      <c r="F1376" s="23">
        <f t="shared" si="63"/>
        <v>6.9444444445252884E-2</v>
      </c>
      <c r="G1376" s="24">
        <f t="shared" si="65"/>
        <v>179.99999999790452</v>
      </c>
      <c r="H1376" s="1" t="s">
        <v>1</v>
      </c>
      <c r="I1376" s="4" t="s">
        <v>2</v>
      </c>
      <c r="J1376" s="14">
        <v>0.625</v>
      </c>
      <c r="K1376" s="20" t="str">
        <f t="shared" si="64"/>
        <v>2nd Shift</v>
      </c>
    </row>
    <row r="1377" spans="1:11" x14ac:dyDescent="0.25">
      <c r="A1377" s="1">
        <v>1376</v>
      </c>
      <c r="B1377" s="1">
        <v>10</v>
      </c>
      <c r="C1377" s="3">
        <v>10115271959401</v>
      </c>
      <c r="D1377" s="2">
        <v>44439.625</v>
      </c>
      <c r="E1377" s="2">
        <v>44439.694444444445</v>
      </c>
      <c r="F1377" s="23">
        <f t="shared" si="63"/>
        <v>6.9444444445252884E-2</v>
      </c>
      <c r="G1377" s="24">
        <f t="shared" si="65"/>
        <v>179.99999999790452</v>
      </c>
      <c r="H1377" s="1" t="s">
        <v>1</v>
      </c>
      <c r="I1377" s="4" t="s">
        <v>2</v>
      </c>
      <c r="J1377" s="14">
        <v>0.625</v>
      </c>
      <c r="K1377" s="20" t="str">
        <f t="shared" si="64"/>
        <v>2nd Shift</v>
      </c>
    </row>
    <row r="1378" spans="1:11" x14ac:dyDescent="0.25">
      <c r="A1378" s="1">
        <v>1377</v>
      </c>
      <c r="B1378" s="1">
        <v>10</v>
      </c>
      <c r="C1378" s="3">
        <v>10115271959400</v>
      </c>
      <c r="D1378" s="2">
        <v>44439.625</v>
      </c>
      <c r="E1378" s="2">
        <v>44439.694444444445</v>
      </c>
      <c r="F1378" s="23">
        <f t="shared" si="63"/>
        <v>6.9444444445252884E-2</v>
      </c>
      <c r="G1378" s="24">
        <f t="shared" si="65"/>
        <v>179.99999999790452</v>
      </c>
      <c r="H1378" s="1" t="s">
        <v>1</v>
      </c>
      <c r="I1378" s="4" t="s">
        <v>2</v>
      </c>
      <c r="J1378" s="14">
        <v>0.625</v>
      </c>
      <c r="K1378" s="20" t="str">
        <f t="shared" si="64"/>
        <v>2nd Shift</v>
      </c>
    </row>
    <row r="1379" spans="1:11" x14ac:dyDescent="0.25">
      <c r="A1379" s="1">
        <v>1378</v>
      </c>
      <c r="B1379" s="1">
        <v>12</v>
      </c>
      <c r="C1379" s="3">
        <v>12115271560119</v>
      </c>
      <c r="D1379" s="2">
        <v>44439.625</v>
      </c>
      <c r="E1379" s="2">
        <v>44439.777777777781</v>
      </c>
      <c r="F1379" s="23">
        <f t="shared" si="63"/>
        <v>0.15277777778101154</v>
      </c>
      <c r="G1379" s="24">
        <f t="shared" si="65"/>
        <v>81.818181816450021</v>
      </c>
      <c r="H1379" s="1" t="s">
        <v>1</v>
      </c>
      <c r="I1379" s="4" t="s">
        <v>2</v>
      </c>
      <c r="J1379" s="14">
        <v>0.625</v>
      </c>
      <c r="K1379" s="20" t="str">
        <f t="shared" si="64"/>
        <v>2nd Shift</v>
      </c>
    </row>
    <row r="1380" spans="1:11" x14ac:dyDescent="0.25">
      <c r="A1380" s="1">
        <v>1379</v>
      </c>
      <c r="B1380" s="1">
        <v>12</v>
      </c>
      <c r="C1380" s="3">
        <v>12115271560115</v>
      </c>
      <c r="D1380" s="2">
        <v>44439.625</v>
      </c>
      <c r="E1380" s="2">
        <v>44439.777777777781</v>
      </c>
      <c r="F1380" s="23">
        <f t="shared" si="63"/>
        <v>0.15277777778101154</v>
      </c>
      <c r="G1380" s="24">
        <f t="shared" si="65"/>
        <v>81.818181816450021</v>
      </c>
      <c r="H1380" s="1" t="s">
        <v>1</v>
      </c>
      <c r="I1380" s="4" t="s">
        <v>2</v>
      </c>
      <c r="J1380" s="14">
        <v>0.625</v>
      </c>
      <c r="K1380" s="20" t="str">
        <f t="shared" si="64"/>
        <v>2nd Shift</v>
      </c>
    </row>
    <row r="1381" spans="1:11" x14ac:dyDescent="0.25">
      <c r="A1381" s="1">
        <v>1380</v>
      </c>
      <c r="B1381" s="1">
        <v>12</v>
      </c>
      <c r="C1381" s="3">
        <v>12115271560114</v>
      </c>
      <c r="D1381" s="2">
        <v>44439.625</v>
      </c>
      <c r="E1381" s="2">
        <v>44439.777777777781</v>
      </c>
      <c r="F1381" s="23">
        <f t="shared" si="63"/>
        <v>0.15277777778101154</v>
      </c>
      <c r="G1381" s="24">
        <f t="shared" si="65"/>
        <v>81.818181816450021</v>
      </c>
      <c r="H1381" s="1" t="s">
        <v>1</v>
      </c>
      <c r="I1381" s="4" t="s">
        <v>2</v>
      </c>
      <c r="J1381" s="14">
        <v>0.625</v>
      </c>
      <c r="K1381" s="20" t="str">
        <f t="shared" si="64"/>
        <v>2nd Shift</v>
      </c>
    </row>
    <row r="1382" spans="1:11" x14ac:dyDescent="0.25">
      <c r="A1382" s="1">
        <v>1381</v>
      </c>
      <c r="B1382" s="1">
        <v>12</v>
      </c>
      <c r="C1382" s="3">
        <v>12115271560113</v>
      </c>
      <c r="D1382" s="2">
        <v>44439.625</v>
      </c>
      <c r="E1382" s="2">
        <v>44439.777777777781</v>
      </c>
      <c r="F1382" s="23">
        <f t="shared" si="63"/>
        <v>0.15277777778101154</v>
      </c>
      <c r="G1382" s="24">
        <f t="shared" si="65"/>
        <v>81.818181816450021</v>
      </c>
      <c r="H1382" s="1" t="s">
        <v>1</v>
      </c>
      <c r="I1382" s="4" t="s">
        <v>3</v>
      </c>
      <c r="J1382" s="14">
        <v>0.625</v>
      </c>
      <c r="K1382" s="20" t="str">
        <f t="shared" si="64"/>
        <v>2nd Shift</v>
      </c>
    </row>
    <row r="1383" spans="1:11" x14ac:dyDescent="0.25">
      <c r="A1383" s="1">
        <v>1382</v>
      </c>
      <c r="B1383" s="1">
        <v>12</v>
      </c>
      <c r="C1383" s="3">
        <v>12115271560103</v>
      </c>
      <c r="D1383" s="2">
        <v>44439.625</v>
      </c>
      <c r="E1383" s="2">
        <v>44439.777777777781</v>
      </c>
      <c r="F1383" s="23">
        <f t="shared" si="63"/>
        <v>0.15277777778101154</v>
      </c>
      <c r="G1383" s="24">
        <f t="shared" si="65"/>
        <v>81.818181816450021</v>
      </c>
      <c r="H1383" s="1" t="s">
        <v>1</v>
      </c>
      <c r="I1383" s="4" t="s">
        <v>3</v>
      </c>
      <c r="J1383" s="14">
        <v>0.625</v>
      </c>
      <c r="K1383" s="20" t="str">
        <f t="shared" si="64"/>
        <v>2nd Shift</v>
      </c>
    </row>
    <row r="1384" spans="1:11" x14ac:dyDescent="0.25">
      <c r="A1384" s="1">
        <v>1383</v>
      </c>
      <c r="B1384" s="1">
        <v>11</v>
      </c>
      <c r="C1384" s="3">
        <v>11115271508309</v>
      </c>
      <c r="D1384" s="2">
        <v>44439.8125</v>
      </c>
      <c r="E1384" s="2">
        <v>44439.895833333336</v>
      </c>
      <c r="F1384" s="23">
        <f t="shared" si="63"/>
        <v>8.3333333335758653E-2</v>
      </c>
      <c r="G1384" s="24">
        <f t="shared" si="65"/>
        <v>149.99999999563443</v>
      </c>
      <c r="H1384" s="1" t="s">
        <v>1</v>
      </c>
      <c r="I1384" s="4" t="s">
        <v>3</v>
      </c>
      <c r="J1384" s="14">
        <v>0.8125</v>
      </c>
      <c r="K1384" s="20" t="str">
        <f t="shared" si="64"/>
        <v>2nd Shift</v>
      </c>
    </row>
    <row r="1385" spans="1:11" x14ac:dyDescent="0.25">
      <c r="A1385" s="1">
        <v>1384</v>
      </c>
      <c r="B1385" s="1">
        <v>11</v>
      </c>
      <c r="C1385" s="3">
        <v>11115271508307</v>
      </c>
      <c r="D1385" s="2">
        <v>44439.8125</v>
      </c>
      <c r="E1385" s="2">
        <v>44439.895833333336</v>
      </c>
      <c r="F1385" s="23">
        <f t="shared" si="63"/>
        <v>8.3333333335758653E-2</v>
      </c>
      <c r="G1385" s="24">
        <f t="shared" si="65"/>
        <v>149.99999999563443</v>
      </c>
      <c r="H1385" s="1" t="s">
        <v>1</v>
      </c>
      <c r="I1385" s="4" t="s">
        <v>2</v>
      </c>
      <c r="J1385" s="14">
        <v>0.8125</v>
      </c>
      <c r="K1385" s="20" t="str">
        <f t="shared" si="64"/>
        <v>2nd Shift</v>
      </c>
    </row>
    <row r="1386" spans="1:11" x14ac:dyDescent="0.25">
      <c r="A1386" s="1">
        <v>1385</v>
      </c>
      <c r="B1386" s="1">
        <v>11</v>
      </c>
      <c r="C1386" s="3">
        <v>11115271508305</v>
      </c>
      <c r="D1386" s="2">
        <v>44439.8125</v>
      </c>
      <c r="E1386" s="2">
        <v>44439.895833333336</v>
      </c>
      <c r="F1386" s="23">
        <f t="shared" si="63"/>
        <v>8.3333333335758653E-2</v>
      </c>
      <c r="G1386" s="24">
        <f t="shared" si="65"/>
        <v>149.99999999563443</v>
      </c>
      <c r="H1386" s="1" t="s">
        <v>1</v>
      </c>
      <c r="I1386" s="4" t="s">
        <v>2</v>
      </c>
      <c r="J1386" s="14">
        <v>0.8125</v>
      </c>
      <c r="K1386" s="20" t="str">
        <f t="shared" si="64"/>
        <v>2nd Shift</v>
      </c>
    </row>
    <row r="1387" spans="1:11" x14ac:dyDescent="0.25">
      <c r="A1387" s="1">
        <v>1386</v>
      </c>
      <c r="B1387" s="1">
        <v>11</v>
      </c>
      <c r="C1387" s="3">
        <v>11115271508304</v>
      </c>
      <c r="D1387" s="2">
        <v>44439.8125</v>
      </c>
      <c r="E1387" s="2">
        <v>44439.895833333336</v>
      </c>
      <c r="F1387" s="23">
        <f t="shared" si="63"/>
        <v>8.3333333335758653E-2</v>
      </c>
      <c r="G1387" s="24">
        <f t="shared" si="65"/>
        <v>149.99999999563443</v>
      </c>
      <c r="H1387" s="1" t="s">
        <v>1</v>
      </c>
      <c r="I1387" s="4" t="s">
        <v>2</v>
      </c>
      <c r="J1387" s="14">
        <v>0.8125</v>
      </c>
      <c r="K1387" s="20" t="str">
        <f t="shared" si="64"/>
        <v>2nd Shift</v>
      </c>
    </row>
    <row r="1388" spans="1:11" x14ac:dyDescent="0.25">
      <c r="A1388" s="1">
        <v>1387</v>
      </c>
      <c r="B1388" s="1">
        <v>11</v>
      </c>
      <c r="C1388" s="3">
        <v>11115271508300</v>
      </c>
      <c r="D1388" s="2">
        <v>44439.8125</v>
      </c>
      <c r="E1388" s="2">
        <v>44439.895833333336</v>
      </c>
      <c r="F1388" s="23">
        <f t="shared" si="63"/>
        <v>8.3333333335758653E-2</v>
      </c>
      <c r="G1388" s="24">
        <f t="shared" si="65"/>
        <v>149.99999999563443</v>
      </c>
      <c r="H1388" s="1" t="s">
        <v>1</v>
      </c>
      <c r="I1388" s="4" t="s">
        <v>2</v>
      </c>
      <c r="J1388" s="14">
        <v>0.8125</v>
      </c>
      <c r="K1388" s="20" t="str">
        <f t="shared" si="64"/>
        <v>2nd Shift</v>
      </c>
    </row>
    <row r="1389" spans="1:11" x14ac:dyDescent="0.25">
      <c r="A1389" s="1">
        <v>1388</v>
      </c>
      <c r="B1389" s="1">
        <v>13</v>
      </c>
      <c r="C1389" s="3">
        <v>13115271590308</v>
      </c>
      <c r="D1389" s="2">
        <v>44440.013888888891</v>
      </c>
      <c r="E1389" s="2">
        <v>44440.041666666664</v>
      </c>
      <c r="F1389" s="23">
        <f t="shared" si="63"/>
        <v>2.7777777773735579E-2</v>
      </c>
      <c r="G1389" s="24">
        <f t="shared" si="65"/>
        <v>450.00000006548362</v>
      </c>
      <c r="H1389" s="1" t="s">
        <v>1</v>
      </c>
      <c r="I1389" s="4" t="s">
        <v>3</v>
      </c>
      <c r="J1389" s="14">
        <v>1.3888888888888888E-2</v>
      </c>
      <c r="K1389" s="20" t="str">
        <f t="shared" si="64"/>
        <v>3rd Shift</v>
      </c>
    </row>
    <row r="1390" spans="1:11" x14ac:dyDescent="0.25">
      <c r="A1390" s="1">
        <v>1389</v>
      </c>
      <c r="B1390" s="1">
        <v>13</v>
      </c>
      <c r="C1390" s="3">
        <v>13115271590603</v>
      </c>
      <c r="D1390" s="2">
        <v>44440.381944444445</v>
      </c>
      <c r="E1390" s="2">
        <v>44440.565972222219</v>
      </c>
      <c r="F1390" s="23">
        <f t="shared" si="63"/>
        <v>0.18402777777373558</v>
      </c>
      <c r="G1390" s="24">
        <f t="shared" si="65"/>
        <v>67.924528303378764</v>
      </c>
      <c r="H1390" s="1" t="s">
        <v>1</v>
      </c>
      <c r="I1390" s="4" t="s">
        <v>2</v>
      </c>
      <c r="J1390" s="14">
        <v>0.38194444444444442</v>
      </c>
      <c r="K1390" s="20" t="str">
        <f t="shared" si="64"/>
        <v>1st Shift</v>
      </c>
    </row>
    <row r="1391" spans="1:11" x14ac:dyDescent="0.25">
      <c r="A1391" s="1">
        <v>1390</v>
      </c>
      <c r="B1391" s="1">
        <v>10</v>
      </c>
      <c r="C1391" s="3">
        <v>10115271958500</v>
      </c>
      <c r="D1391" s="2">
        <v>44440.381944444445</v>
      </c>
      <c r="E1391" s="2">
        <v>44440.565972222219</v>
      </c>
      <c r="F1391" s="23">
        <f t="shared" si="63"/>
        <v>0.18402777777373558</v>
      </c>
      <c r="G1391" s="24">
        <f t="shared" si="65"/>
        <v>67.924528303378764</v>
      </c>
      <c r="H1391" s="1" t="s">
        <v>1</v>
      </c>
      <c r="I1391" s="4" t="s">
        <v>2</v>
      </c>
      <c r="J1391" s="14">
        <v>0.38194444444444442</v>
      </c>
      <c r="K1391" s="20" t="str">
        <f t="shared" si="64"/>
        <v>1st Shift</v>
      </c>
    </row>
    <row r="1392" spans="1:11" x14ac:dyDescent="0.25">
      <c r="A1392" s="1">
        <v>1391</v>
      </c>
      <c r="B1392" s="1">
        <v>8</v>
      </c>
      <c r="C1392" s="3">
        <v>8115270613707</v>
      </c>
      <c r="D1392" s="2">
        <v>44440.381944444445</v>
      </c>
      <c r="E1392" s="2">
        <v>44440.565972222219</v>
      </c>
      <c r="F1392" s="23">
        <f t="shared" si="63"/>
        <v>0.18402777777373558</v>
      </c>
      <c r="G1392" s="24">
        <f t="shared" si="65"/>
        <v>67.924528303378764</v>
      </c>
      <c r="H1392" s="1" t="s">
        <v>1</v>
      </c>
      <c r="I1392" s="4" t="s">
        <v>2</v>
      </c>
      <c r="J1392" s="14">
        <v>0.38194444444444442</v>
      </c>
      <c r="K1392" s="20" t="str">
        <f t="shared" si="64"/>
        <v>1st Shift</v>
      </c>
    </row>
    <row r="1393" spans="1:11" x14ac:dyDescent="0.25">
      <c r="A1393" s="1">
        <v>1392</v>
      </c>
      <c r="B1393" s="1">
        <v>7</v>
      </c>
      <c r="C1393" s="3">
        <v>7115271771307</v>
      </c>
      <c r="D1393" s="2">
        <v>44440.381944444445</v>
      </c>
      <c r="E1393" s="2">
        <v>44440.565972222219</v>
      </c>
      <c r="F1393" s="23">
        <f t="shared" si="63"/>
        <v>0.18402777777373558</v>
      </c>
      <c r="G1393" s="24">
        <f t="shared" si="65"/>
        <v>67.924528303378764</v>
      </c>
      <c r="H1393" s="1" t="s">
        <v>1</v>
      </c>
      <c r="I1393" s="4" t="s">
        <v>2</v>
      </c>
      <c r="J1393" s="14">
        <v>0.38194444444444442</v>
      </c>
      <c r="K1393" s="20" t="str">
        <f t="shared" si="64"/>
        <v>1st Shift</v>
      </c>
    </row>
    <row r="1394" spans="1:11" x14ac:dyDescent="0.25">
      <c r="A1394" s="1">
        <v>1393</v>
      </c>
      <c r="B1394" s="1">
        <v>3</v>
      </c>
      <c r="C1394" s="3">
        <v>3115270343400</v>
      </c>
      <c r="D1394" s="2">
        <v>44440.381944444445</v>
      </c>
      <c r="E1394" s="2">
        <v>44440.565972222219</v>
      </c>
      <c r="F1394" s="23">
        <f t="shared" si="63"/>
        <v>0.18402777777373558</v>
      </c>
      <c r="G1394" s="24">
        <f t="shared" si="65"/>
        <v>67.924528303378764</v>
      </c>
      <c r="H1394" s="1" t="s">
        <v>1</v>
      </c>
      <c r="I1394" s="4" t="s">
        <v>2</v>
      </c>
      <c r="J1394" s="14">
        <v>0.38194444444444442</v>
      </c>
      <c r="K1394" s="20" t="str">
        <f t="shared" si="64"/>
        <v>1st Shift</v>
      </c>
    </row>
    <row r="1395" spans="1:11" x14ac:dyDescent="0.25">
      <c r="A1395" s="1">
        <v>1394</v>
      </c>
      <c r="B1395" s="1">
        <v>1</v>
      </c>
      <c r="C1395" s="3">
        <v>1115270130200</v>
      </c>
      <c r="D1395" s="2">
        <v>44440.381944444445</v>
      </c>
      <c r="E1395" s="2">
        <v>44440.565972222219</v>
      </c>
      <c r="F1395" s="23">
        <f t="shared" si="63"/>
        <v>0.18402777777373558</v>
      </c>
      <c r="G1395" s="24">
        <f t="shared" si="65"/>
        <v>67.924528303378764</v>
      </c>
      <c r="H1395" s="1" t="s">
        <v>1</v>
      </c>
      <c r="I1395" s="4" t="s">
        <v>2</v>
      </c>
      <c r="J1395" s="14">
        <v>0.38194444444444442</v>
      </c>
      <c r="K1395" s="20" t="str">
        <f t="shared" si="64"/>
        <v>1st Shift</v>
      </c>
    </row>
    <row r="1396" spans="1:11" x14ac:dyDescent="0.25">
      <c r="A1396" s="1">
        <v>1395</v>
      </c>
      <c r="B1396" s="1">
        <v>1</v>
      </c>
      <c r="C1396" s="3">
        <v>1115270133900</v>
      </c>
      <c r="D1396" s="2">
        <v>44440.659722222219</v>
      </c>
      <c r="E1396" s="2">
        <v>44440.690972222219</v>
      </c>
      <c r="F1396" s="23">
        <f t="shared" si="63"/>
        <v>3.125E-2</v>
      </c>
      <c r="G1396" s="24">
        <f t="shared" si="65"/>
        <v>400</v>
      </c>
      <c r="H1396" s="1" t="s">
        <v>1</v>
      </c>
      <c r="I1396" s="4" t="s">
        <v>2</v>
      </c>
      <c r="J1396" s="14">
        <v>0.65972222222222221</v>
      </c>
      <c r="K1396" s="20" t="str">
        <f t="shared" si="64"/>
        <v>2nd Shift</v>
      </c>
    </row>
    <row r="1397" spans="1:11" x14ac:dyDescent="0.25">
      <c r="A1397" s="1">
        <v>1396</v>
      </c>
      <c r="B1397" s="1">
        <v>14</v>
      </c>
      <c r="C1397" s="3">
        <v>14115271680111</v>
      </c>
      <c r="D1397" s="2">
        <v>44440.729166666664</v>
      </c>
      <c r="E1397" s="2">
        <v>44440.822916666664</v>
      </c>
      <c r="F1397" s="23">
        <f t="shared" si="63"/>
        <v>9.375E-2</v>
      </c>
      <c r="G1397" s="24">
        <f t="shared" si="65"/>
        <v>133.33333333333331</v>
      </c>
      <c r="H1397" s="1" t="s">
        <v>1</v>
      </c>
      <c r="I1397" s="4" t="s">
        <v>2</v>
      </c>
      <c r="J1397" s="14">
        <v>0.72916666666666663</v>
      </c>
      <c r="K1397" s="20" t="str">
        <f t="shared" si="64"/>
        <v>2nd Shift</v>
      </c>
    </row>
    <row r="1398" spans="1:11" x14ac:dyDescent="0.25">
      <c r="A1398" s="1">
        <v>1397</v>
      </c>
      <c r="B1398" s="1">
        <v>13</v>
      </c>
      <c r="C1398" s="3">
        <v>13115271623700</v>
      </c>
      <c r="D1398" s="2">
        <v>44440.729166666664</v>
      </c>
      <c r="E1398" s="2">
        <v>44440.822916666664</v>
      </c>
      <c r="F1398" s="23">
        <f t="shared" si="63"/>
        <v>9.375E-2</v>
      </c>
      <c r="G1398" s="24">
        <f t="shared" si="65"/>
        <v>133.33333333333331</v>
      </c>
      <c r="H1398" s="1" t="s">
        <v>1</v>
      </c>
      <c r="I1398" s="4" t="s">
        <v>2</v>
      </c>
      <c r="J1398" s="14">
        <v>0.72916666666666663</v>
      </c>
      <c r="K1398" s="20" t="str">
        <f t="shared" si="64"/>
        <v>2nd Shift</v>
      </c>
    </row>
    <row r="1399" spans="1:11" x14ac:dyDescent="0.25">
      <c r="A1399" s="1">
        <v>1398</v>
      </c>
      <c r="B1399" s="1">
        <v>9</v>
      </c>
      <c r="C1399" s="3">
        <v>9115271906910</v>
      </c>
      <c r="D1399" s="2">
        <v>44440.986111111109</v>
      </c>
      <c r="E1399" s="2">
        <v>44441.052083333336</v>
      </c>
      <c r="F1399" s="23">
        <f t="shared" si="63"/>
        <v>6.5972222226264421E-2</v>
      </c>
      <c r="G1399" s="24">
        <f t="shared" si="65"/>
        <v>189.47368419891703</v>
      </c>
      <c r="H1399" s="1" t="s">
        <v>1</v>
      </c>
      <c r="I1399" s="4" t="s">
        <v>2</v>
      </c>
      <c r="J1399" s="14">
        <v>0.98611111111111116</v>
      </c>
      <c r="K1399" s="20" t="str">
        <f t="shared" si="64"/>
        <v>3rd Shift</v>
      </c>
    </row>
    <row r="1400" spans="1:11" x14ac:dyDescent="0.25">
      <c r="A1400" s="1">
        <v>1399</v>
      </c>
      <c r="B1400" s="1">
        <v>13</v>
      </c>
      <c r="C1400" s="3">
        <v>13115271590600</v>
      </c>
      <c r="D1400" s="2">
        <v>44440.951388888891</v>
      </c>
      <c r="E1400" s="2">
        <v>44440.979166666664</v>
      </c>
      <c r="F1400" s="23">
        <f t="shared" si="63"/>
        <v>2.7777777773735579E-2</v>
      </c>
      <c r="G1400" s="24">
        <f t="shared" si="65"/>
        <v>450.00000006548362</v>
      </c>
      <c r="H1400" s="1" t="s">
        <v>1</v>
      </c>
      <c r="I1400" s="4" t="s">
        <v>4</v>
      </c>
      <c r="J1400" s="14">
        <v>0.95138888888888884</v>
      </c>
      <c r="K1400" s="20" t="str">
        <f t="shared" si="64"/>
        <v>3rd Shift</v>
      </c>
    </row>
    <row r="1401" spans="1:11" x14ac:dyDescent="0.25">
      <c r="A1401" s="1">
        <v>1400</v>
      </c>
      <c r="B1401" s="1">
        <v>11</v>
      </c>
      <c r="C1401" s="3">
        <v>11115271542604</v>
      </c>
      <c r="D1401" s="2">
        <v>44440.989583333336</v>
      </c>
      <c r="E1401" s="2">
        <v>44441.034722222219</v>
      </c>
      <c r="F1401" s="23">
        <f t="shared" si="63"/>
        <v>4.5138888883229811E-2</v>
      </c>
      <c r="G1401" s="24">
        <f t="shared" si="65"/>
        <v>276.92307695779488</v>
      </c>
      <c r="H1401" s="1" t="s">
        <v>1</v>
      </c>
      <c r="I1401" s="4" t="s">
        <v>2</v>
      </c>
      <c r="J1401" s="14">
        <v>0.98958333333333337</v>
      </c>
      <c r="K1401" s="20" t="str">
        <f t="shared" si="64"/>
        <v>3rd Shift</v>
      </c>
    </row>
    <row r="1402" spans="1:11" x14ac:dyDescent="0.25">
      <c r="A1402" s="1">
        <v>1401</v>
      </c>
      <c r="B1402" s="1">
        <v>6</v>
      </c>
      <c r="C1402" s="3">
        <v>6115271734504</v>
      </c>
      <c r="D1402" s="2">
        <v>44440.989583333336</v>
      </c>
      <c r="E1402" s="2">
        <v>44441.034722222219</v>
      </c>
      <c r="F1402" s="23">
        <f t="shared" si="63"/>
        <v>4.5138888883229811E-2</v>
      </c>
      <c r="G1402" s="24">
        <f t="shared" si="65"/>
        <v>276.92307695779488</v>
      </c>
      <c r="H1402" s="1" t="s">
        <v>1</v>
      </c>
      <c r="I1402" s="4" t="s">
        <v>2</v>
      </c>
      <c r="J1402" s="14">
        <v>0.98958333333333337</v>
      </c>
      <c r="K1402" s="20" t="str">
        <f t="shared" si="64"/>
        <v>3rd Shift</v>
      </c>
    </row>
    <row r="1403" spans="1:11" x14ac:dyDescent="0.25">
      <c r="A1403" s="1">
        <v>1402</v>
      </c>
      <c r="B1403" s="1">
        <v>3</v>
      </c>
      <c r="C1403" s="3">
        <v>3115270308000</v>
      </c>
      <c r="D1403" s="2">
        <v>44441.131944444445</v>
      </c>
      <c r="E1403" s="2">
        <v>44441.177083333336</v>
      </c>
      <c r="F1403" s="23">
        <f t="shared" si="63"/>
        <v>4.5138888890505768E-2</v>
      </c>
      <c r="G1403" s="24">
        <f t="shared" si="65"/>
        <v>276.9230769131575</v>
      </c>
      <c r="H1403" s="1" t="s">
        <v>1</v>
      </c>
      <c r="I1403" s="4" t="s">
        <v>2</v>
      </c>
      <c r="J1403" s="14">
        <v>0.13194444444444445</v>
      </c>
      <c r="K1403" s="20" t="str">
        <f t="shared" si="64"/>
        <v>3rd Shift</v>
      </c>
    </row>
    <row r="1404" spans="1:11" x14ac:dyDescent="0.25">
      <c r="A1404" s="1">
        <v>1403</v>
      </c>
      <c r="B1404" s="1">
        <v>9</v>
      </c>
      <c r="C1404" s="3">
        <v>9115270622000</v>
      </c>
      <c r="D1404" s="2">
        <v>44441.336805555555</v>
      </c>
      <c r="E1404" s="2">
        <v>44441.375</v>
      </c>
      <c r="F1404" s="23">
        <f t="shared" si="63"/>
        <v>3.8194444445252884E-2</v>
      </c>
      <c r="G1404" s="24">
        <f t="shared" si="65"/>
        <v>327.27272726580009</v>
      </c>
      <c r="H1404" s="1" t="s">
        <v>1</v>
      </c>
      <c r="I1404" s="4" t="s">
        <v>5</v>
      </c>
      <c r="J1404" s="14">
        <v>0.33680555555555558</v>
      </c>
      <c r="K1404" s="20" t="str">
        <f t="shared" si="64"/>
        <v>1st Shift</v>
      </c>
    </row>
    <row r="1405" spans="1:11" x14ac:dyDescent="0.25">
      <c r="A1405" s="1">
        <v>1404</v>
      </c>
      <c r="B1405" s="1">
        <v>11</v>
      </c>
      <c r="C1405" s="3">
        <v>11115271508506</v>
      </c>
      <c r="D1405" s="2">
        <v>44441.381944444445</v>
      </c>
      <c r="E1405" s="2">
        <v>44441.416666666664</v>
      </c>
      <c r="F1405" s="23">
        <f t="shared" si="63"/>
        <v>3.4722222218988463E-2</v>
      </c>
      <c r="G1405" s="24">
        <f t="shared" si="65"/>
        <v>360.00000003352761</v>
      </c>
      <c r="H1405" s="1" t="s">
        <v>1</v>
      </c>
      <c r="I1405" s="4" t="s">
        <v>2</v>
      </c>
      <c r="J1405" s="14">
        <v>0.38194444444444442</v>
      </c>
      <c r="K1405" s="20" t="str">
        <f t="shared" si="64"/>
        <v>1st Shift</v>
      </c>
    </row>
    <row r="1406" spans="1:11" x14ac:dyDescent="0.25">
      <c r="A1406" s="1">
        <v>1405</v>
      </c>
      <c r="B1406" s="1">
        <v>15</v>
      </c>
      <c r="C1406" s="3">
        <v>15115271743802</v>
      </c>
      <c r="D1406" s="2">
        <v>44441.458333333336</v>
      </c>
      <c r="E1406" s="2">
        <v>44441.572916666664</v>
      </c>
      <c r="F1406" s="23">
        <f t="shared" si="63"/>
        <v>0.11458333332848269</v>
      </c>
      <c r="G1406" s="24">
        <f t="shared" si="65"/>
        <v>109.09090909552721</v>
      </c>
      <c r="H1406" s="1" t="s">
        <v>1</v>
      </c>
      <c r="I1406" s="4" t="s">
        <v>8</v>
      </c>
      <c r="J1406" s="14">
        <v>0.45833333333333331</v>
      </c>
      <c r="K1406" s="20" t="str">
        <f t="shared" si="64"/>
        <v>1st Shift</v>
      </c>
    </row>
    <row r="1407" spans="1:11" x14ac:dyDescent="0.25">
      <c r="A1407" s="1">
        <v>1406</v>
      </c>
      <c r="B1407" s="1">
        <v>12</v>
      </c>
      <c r="C1407" s="3">
        <v>12115271560206</v>
      </c>
      <c r="D1407" s="2">
        <v>44441.458333333336</v>
      </c>
      <c r="E1407" s="2">
        <v>44441.572916666664</v>
      </c>
      <c r="F1407" s="23">
        <f t="shared" si="63"/>
        <v>0.11458333332848269</v>
      </c>
      <c r="G1407" s="24">
        <f t="shared" si="65"/>
        <v>109.09090909552721</v>
      </c>
      <c r="H1407" s="1" t="s">
        <v>1</v>
      </c>
      <c r="I1407" s="4" t="s">
        <v>2</v>
      </c>
      <c r="J1407" s="14">
        <v>0.45833333333333331</v>
      </c>
      <c r="K1407" s="20" t="str">
        <f t="shared" si="64"/>
        <v>1st Shift</v>
      </c>
    </row>
    <row r="1408" spans="1:11" x14ac:dyDescent="0.25">
      <c r="A1408" s="1">
        <v>1407</v>
      </c>
      <c r="B1408" s="1">
        <v>6</v>
      </c>
      <c r="C1408" s="3">
        <v>6115271746744</v>
      </c>
      <c r="D1408" s="2">
        <v>44441.458333333336</v>
      </c>
      <c r="E1408" s="2">
        <v>44441.572916666664</v>
      </c>
      <c r="F1408" s="23">
        <f t="shared" si="63"/>
        <v>0.11458333332848269</v>
      </c>
      <c r="G1408" s="24">
        <f t="shared" si="65"/>
        <v>109.09090909552721</v>
      </c>
      <c r="H1408" s="1" t="s">
        <v>1</v>
      </c>
      <c r="I1408" s="4" t="s">
        <v>2</v>
      </c>
      <c r="J1408" s="14">
        <v>0.45833333333333331</v>
      </c>
      <c r="K1408" s="20" t="str">
        <f t="shared" si="64"/>
        <v>1st Shift</v>
      </c>
    </row>
    <row r="1409" spans="1:11" x14ac:dyDescent="0.25">
      <c r="A1409" s="1">
        <v>1408</v>
      </c>
      <c r="B1409" s="1">
        <v>5</v>
      </c>
      <c r="C1409" s="3">
        <v>5115271261100</v>
      </c>
      <c r="D1409" s="2">
        <v>44441.458333333336</v>
      </c>
      <c r="E1409" s="2">
        <v>44441.572916666664</v>
      </c>
      <c r="F1409" s="23">
        <f t="shared" si="63"/>
        <v>0.11458333332848269</v>
      </c>
      <c r="G1409" s="24">
        <f t="shared" si="65"/>
        <v>109.09090909552721</v>
      </c>
      <c r="H1409" s="1" t="s">
        <v>1</v>
      </c>
      <c r="I1409" s="4" t="s">
        <v>2</v>
      </c>
      <c r="J1409" s="14">
        <v>0.45833333333333331</v>
      </c>
      <c r="K1409" s="20" t="str">
        <f t="shared" si="64"/>
        <v>1st Shift</v>
      </c>
    </row>
    <row r="1410" spans="1:11" x14ac:dyDescent="0.25">
      <c r="A1410" s="1">
        <v>1409</v>
      </c>
      <c r="B1410" s="1">
        <v>1</v>
      </c>
      <c r="C1410" s="3">
        <v>1115270372915</v>
      </c>
      <c r="D1410" s="2">
        <v>44441.458333333336</v>
      </c>
      <c r="E1410" s="2">
        <v>44441.572916666664</v>
      </c>
      <c r="F1410" s="23">
        <f t="shared" ref="F1410:F1473" si="66">E1410-D1410</f>
        <v>0.11458333332848269</v>
      </c>
      <c r="G1410" s="24">
        <f t="shared" si="65"/>
        <v>109.09090909552721</v>
      </c>
      <c r="H1410" s="1" t="s">
        <v>1</v>
      </c>
      <c r="I1410" s="4" t="s">
        <v>3</v>
      </c>
      <c r="J1410" s="14">
        <v>0.45833333333333331</v>
      </c>
      <c r="K1410" s="20" t="str">
        <f t="shared" ref="K1410:K1473" si="67">IF(AND(J1410&gt;=$M$3,J1410&lt;$M$4),"1st Shift",IF(AND(J1410&gt;=$M$4,J1410&lt;$M$5),"2nd Shift","3rd Shift"))</f>
        <v>1st Shift</v>
      </c>
    </row>
    <row r="1411" spans="1:11" x14ac:dyDescent="0.25">
      <c r="A1411" s="1">
        <v>1410</v>
      </c>
      <c r="B1411" s="1">
        <v>3</v>
      </c>
      <c r="C1411" s="3">
        <v>3115270360703</v>
      </c>
      <c r="D1411" s="2">
        <v>44441.625</v>
      </c>
      <c r="E1411" s="2">
        <v>44441.666666666664</v>
      </c>
      <c r="F1411" s="23">
        <f t="shared" si="66"/>
        <v>4.1666666664241347E-2</v>
      </c>
      <c r="G1411" s="24">
        <f t="shared" ref="G1411:G1474" si="68">$M$9/F1411*100</f>
        <v>300.0000000174623</v>
      </c>
      <c r="H1411" s="1" t="s">
        <v>1</v>
      </c>
      <c r="I1411" s="4" t="s">
        <v>5</v>
      </c>
      <c r="J1411" s="14">
        <v>0.625</v>
      </c>
      <c r="K1411" s="20" t="str">
        <f t="shared" si="67"/>
        <v>2nd Shift</v>
      </c>
    </row>
    <row r="1412" spans="1:11" x14ac:dyDescent="0.25">
      <c r="A1412" s="1">
        <v>1411</v>
      </c>
      <c r="B1412" s="1">
        <v>15</v>
      </c>
      <c r="C1412" s="3">
        <v>15115271751902</v>
      </c>
      <c r="D1412" s="2">
        <v>44441.725694444445</v>
      </c>
      <c r="E1412" s="2">
        <v>44441.930555555555</v>
      </c>
      <c r="F1412" s="23">
        <f t="shared" si="66"/>
        <v>0.20486111110949423</v>
      </c>
      <c r="G1412" s="24">
        <f t="shared" si="68"/>
        <v>61.016949153023958</v>
      </c>
      <c r="H1412" s="1" t="s">
        <v>1</v>
      </c>
      <c r="I1412" s="4" t="s">
        <v>2</v>
      </c>
      <c r="J1412" s="14">
        <v>0.72569444444444442</v>
      </c>
      <c r="K1412" s="20" t="str">
        <f t="shared" si="67"/>
        <v>2nd Shift</v>
      </c>
    </row>
    <row r="1413" spans="1:11" x14ac:dyDescent="0.25">
      <c r="A1413" s="1">
        <v>1412</v>
      </c>
      <c r="B1413" s="1">
        <v>14</v>
      </c>
      <c r="C1413" s="3">
        <v>14115271707809</v>
      </c>
      <c r="D1413" s="2">
        <v>44441.725694444445</v>
      </c>
      <c r="E1413" s="2">
        <v>44441.930555555555</v>
      </c>
      <c r="F1413" s="23">
        <f t="shared" si="66"/>
        <v>0.20486111110949423</v>
      </c>
      <c r="G1413" s="24">
        <f t="shared" si="68"/>
        <v>61.016949153023958</v>
      </c>
      <c r="H1413" s="1" t="s">
        <v>1</v>
      </c>
      <c r="I1413" s="4" t="s">
        <v>2</v>
      </c>
      <c r="J1413" s="14">
        <v>0.72569444444444442</v>
      </c>
      <c r="K1413" s="20" t="str">
        <f t="shared" si="67"/>
        <v>2nd Shift</v>
      </c>
    </row>
    <row r="1414" spans="1:11" x14ac:dyDescent="0.25">
      <c r="A1414" s="1">
        <v>1413</v>
      </c>
      <c r="B1414" s="1">
        <v>10</v>
      </c>
      <c r="C1414" s="3">
        <v>10115271456200</v>
      </c>
      <c r="D1414" s="2">
        <v>44441.725694444445</v>
      </c>
      <c r="E1414" s="2">
        <v>44441.930555555555</v>
      </c>
      <c r="F1414" s="23">
        <f t="shared" si="66"/>
        <v>0.20486111110949423</v>
      </c>
      <c r="G1414" s="24">
        <f t="shared" si="68"/>
        <v>61.016949153023958</v>
      </c>
      <c r="H1414" s="1" t="s">
        <v>1</v>
      </c>
      <c r="I1414" s="4" t="s">
        <v>2</v>
      </c>
      <c r="J1414" s="14">
        <v>0.72569444444444442</v>
      </c>
      <c r="K1414" s="20" t="str">
        <f t="shared" si="67"/>
        <v>2nd Shift</v>
      </c>
    </row>
    <row r="1415" spans="1:11" x14ac:dyDescent="0.25">
      <c r="A1415" s="1">
        <v>1414</v>
      </c>
      <c r="B1415" s="1">
        <v>7</v>
      </c>
      <c r="C1415" s="3">
        <v>7115271803505</v>
      </c>
      <c r="D1415" s="2">
        <v>44441.725694444445</v>
      </c>
      <c r="E1415" s="2">
        <v>44441.930555555555</v>
      </c>
      <c r="F1415" s="23">
        <f t="shared" si="66"/>
        <v>0.20486111110949423</v>
      </c>
      <c r="G1415" s="24">
        <f t="shared" si="68"/>
        <v>61.016949153023958</v>
      </c>
      <c r="H1415" s="1" t="s">
        <v>1</v>
      </c>
      <c r="I1415" s="4" t="s">
        <v>2</v>
      </c>
      <c r="J1415" s="14">
        <v>0.72569444444444442</v>
      </c>
      <c r="K1415" s="20" t="str">
        <f t="shared" si="67"/>
        <v>2nd Shift</v>
      </c>
    </row>
    <row r="1416" spans="1:11" x14ac:dyDescent="0.25">
      <c r="A1416" s="1">
        <v>1415</v>
      </c>
      <c r="B1416" s="1">
        <v>6</v>
      </c>
      <c r="C1416" s="3">
        <v>6115271750986</v>
      </c>
      <c r="D1416" s="2">
        <v>44441.725694444445</v>
      </c>
      <c r="E1416" s="2">
        <v>44441.930555555555</v>
      </c>
      <c r="F1416" s="23">
        <f t="shared" si="66"/>
        <v>0.20486111110949423</v>
      </c>
      <c r="G1416" s="24">
        <f t="shared" si="68"/>
        <v>61.016949153023958</v>
      </c>
      <c r="H1416" s="1" t="s">
        <v>1</v>
      </c>
      <c r="I1416" s="4" t="s">
        <v>3</v>
      </c>
      <c r="J1416" s="14">
        <v>0.72569444444444442</v>
      </c>
      <c r="K1416" s="20" t="str">
        <f t="shared" si="67"/>
        <v>2nd Shift</v>
      </c>
    </row>
    <row r="1417" spans="1:11" x14ac:dyDescent="0.25">
      <c r="A1417" s="1">
        <v>1416</v>
      </c>
      <c r="B1417" s="1">
        <v>5</v>
      </c>
      <c r="C1417" s="3">
        <v>5115271677805</v>
      </c>
      <c r="D1417" s="2">
        <v>44441.725694444445</v>
      </c>
      <c r="E1417" s="2">
        <v>44441.930555555555</v>
      </c>
      <c r="F1417" s="23">
        <f t="shared" si="66"/>
        <v>0.20486111110949423</v>
      </c>
      <c r="G1417" s="24">
        <f t="shared" si="68"/>
        <v>61.016949153023958</v>
      </c>
      <c r="H1417" s="1" t="s">
        <v>1</v>
      </c>
      <c r="I1417" s="4" t="s">
        <v>2</v>
      </c>
      <c r="J1417" s="14">
        <v>0.72569444444444442</v>
      </c>
      <c r="K1417" s="20" t="str">
        <f t="shared" si="67"/>
        <v>2nd Shift</v>
      </c>
    </row>
    <row r="1418" spans="1:11" x14ac:dyDescent="0.25">
      <c r="A1418" s="1">
        <v>1417</v>
      </c>
      <c r="B1418" s="1">
        <v>3</v>
      </c>
      <c r="C1418" s="3">
        <v>3115270308001</v>
      </c>
      <c r="D1418" s="2">
        <v>44441.725694444445</v>
      </c>
      <c r="E1418" s="2">
        <v>44441.930555555555</v>
      </c>
      <c r="F1418" s="23">
        <f t="shared" si="66"/>
        <v>0.20486111110949423</v>
      </c>
      <c r="G1418" s="24">
        <f t="shared" si="68"/>
        <v>61.016949153023958</v>
      </c>
      <c r="H1418" s="1" t="s">
        <v>1</v>
      </c>
      <c r="I1418" s="4" t="s">
        <v>2</v>
      </c>
      <c r="J1418" s="14">
        <v>0.72569444444444442</v>
      </c>
      <c r="K1418" s="20" t="str">
        <f t="shared" si="67"/>
        <v>2nd Shift</v>
      </c>
    </row>
    <row r="1419" spans="1:11" x14ac:dyDescent="0.25">
      <c r="A1419" s="1">
        <v>1418</v>
      </c>
      <c r="B1419" s="1">
        <v>2</v>
      </c>
      <c r="C1419" s="3">
        <v>2115270291201</v>
      </c>
      <c r="D1419" s="2">
        <v>44441.642361111109</v>
      </c>
      <c r="E1419" s="2">
        <v>44441.930555555555</v>
      </c>
      <c r="F1419" s="23">
        <f t="shared" si="66"/>
        <v>0.28819444444525288</v>
      </c>
      <c r="G1419" s="24">
        <f t="shared" si="68"/>
        <v>43.373493975781948</v>
      </c>
      <c r="H1419" s="1" t="s">
        <v>1</v>
      </c>
      <c r="I1419" s="4" t="s">
        <v>3</v>
      </c>
      <c r="J1419" s="14">
        <v>0.64236111111111116</v>
      </c>
      <c r="K1419" s="20" t="str">
        <f t="shared" si="67"/>
        <v>2nd Shift</v>
      </c>
    </row>
    <row r="1420" spans="1:11" x14ac:dyDescent="0.25">
      <c r="A1420" s="1">
        <v>1419</v>
      </c>
      <c r="B1420" s="1">
        <v>4</v>
      </c>
      <c r="C1420" s="3">
        <v>4115270852401</v>
      </c>
      <c r="D1420" s="2">
        <v>44441.979166666664</v>
      </c>
      <c r="E1420" s="2">
        <v>44442.128472222219</v>
      </c>
      <c r="F1420" s="23">
        <f t="shared" si="66"/>
        <v>0.14930555555474712</v>
      </c>
      <c r="G1420" s="24">
        <f t="shared" si="68"/>
        <v>83.720930233011458</v>
      </c>
      <c r="H1420" s="1" t="s">
        <v>1</v>
      </c>
      <c r="I1420" s="4" t="s">
        <v>3</v>
      </c>
      <c r="J1420" s="14">
        <v>0.97916666666666663</v>
      </c>
      <c r="K1420" s="20" t="str">
        <f t="shared" si="67"/>
        <v>3rd Shift</v>
      </c>
    </row>
    <row r="1421" spans="1:11" x14ac:dyDescent="0.25">
      <c r="A1421" s="1">
        <v>1420</v>
      </c>
      <c r="B1421" s="1">
        <v>3</v>
      </c>
      <c r="C1421" s="3">
        <v>3115270389400</v>
      </c>
      <c r="D1421" s="2">
        <v>44441.979166666664</v>
      </c>
      <c r="E1421" s="2">
        <v>44442.128472222219</v>
      </c>
      <c r="F1421" s="23">
        <f t="shared" si="66"/>
        <v>0.14930555555474712</v>
      </c>
      <c r="G1421" s="24">
        <f t="shared" si="68"/>
        <v>83.720930233011458</v>
      </c>
      <c r="H1421" s="1" t="s">
        <v>1</v>
      </c>
      <c r="I1421" s="4" t="s">
        <v>8</v>
      </c>
      <c r="J1421" s="14">
        <v>0.97916666666666663</v>
      </c>
      <c r="K1421" s="20" t="str">
        <f t="shared" si="67"/>
        <v>3rd Shift</v>
      </c>
    </row>
    <row r="1422" spans="1:11" x14ac:dyDescent="0.25">
      <c r="A1422" s="1">
        <v>1421</v>
      </c>
      <c r="B1422" s="1">
        <v>11</v>
      </c>
      <c r="C1422" s="3">
        <v>11115271560113</v>
      </c>
      <c r="D1422" s="2">
        <v>44442.381944444445</v>
      </c>
      <c r="E1422" s="2">
        <v>44442.555555555555</v>
      </c>
      <c r="F1422" s="23">
        <f t="shared" si="66"/>
        <v>0.17361111110949423</v>
      </c>
      <c r="G1422" s="24">
        <f t="shared" si="68"/>
        <v>72.000000000670553</v>
      </c>
      <c r="H1422" s="1" t="s">
        <v>1</v>
      </c>
      <c r="I1422" s="4" t="s">
        <v>3</v>
      </c>
      <c r="J1422" s="14">
        <v>0.38194444444444442</v>
      </c>
      <c r="K1422" s="20" t="str">
        <f t="shared" si="67"/>
        <v>1st Shift</v>
      </c>
    </row>
    <row r="1423" spans="1:11" x14ac:dyDescent="0.25">
      <c r="A1423" s="1">
        <v>1422</v>
      </c>
      <c r="B1423" s="1">
        <v>7</v>
      </c>
      <c r="C1423" s="3">
        <v>7115271774419</v>
      </c>
      <c r="D1423" s="2">
        <v>44442.381944444445</v>
      </c>
      <c r="E1423" s="2">
        <v>44442.555555555555</v>
      </c>
      <c r="F1423" s="23">
        <f t="shared" si="66"/>
        <v>0.17361111110949423</v>
      </c>
      <c r="G1423" s="24">
        <f t="shared" si="68"/>
        <v>72.000000000670553</v>
      </c>
      <c r="H1423" s="1" t="s">
        <v>1</v>
      </c>
      <c r="I1423" s="4" t="s">
        <v>2</v>
      </c>
      <c r="J1423" s="14">
        <v>0.38194444444444442</v>
      </c>
      <c r="K1423" s="20" t="str">
        <f t="shared" si="67"/>
        <v>1st Shift</v>
      </c>
    </row>
    <row r="1424" spans="1:11" x14ac:dyDescent="0.25">
      <c r="A1424" s="1">
        <v>1423</v>
      </c>
      <c r="B1424" s="1">
        <v>3</v>
      </c>
      <c r="C1424" s="3">
        <v>3115270379801</v>
      </c>
      <c r="D1424" s="2">
        <v>44442.381944444445</v>
      </c>
      <c r="E1424" s="2">
        <v>44442.555555555555</v>
      </c>
      <c r="F1424" s="23">
        <f t="shared" si="66"/>
        <v>0.17361111110949423</v>
      </c>
      <c r="G1424" s="24">
        <f t="shared" si="68"/>
        <v>72.000000000670553</v>
      </c>
      <c r="H1424" s="1" t="s">
        <v>1</v>
      </c>
      <c r="I1424" s="4" t="s">
        <v>2</v>
      </c>
      <c r="J1424" s="14">
        <v>0.38194444444444442</v>
      </c>
      <c r="K1424" s="20" t="str">
        <f t="shared" si="67"/>
        <v>1st Shift</v>
      </c>
    </row>
    <row r="1425" spans="1:11" x14ac:dyDescent="0.25">
      <c r="A1425" s="1">
        <v>1424</v>
      </c>
      <c r="B1425" s="1">
        <v>2</v>
      </c>
      <c r="C1425" s="3">
        <v>2115270229700</v>
      </c>
      <c r="D1425" s="2">
        <v>44442.381944444445</v>
      </c>
      <c r="E1425" s="2">
        <v>44442.555555555555</v>
      </c>
      <c r="F1425" s="23">
        <f t="shared" si="66"/>
        <v>0.17361111110949423</v>
      </c>
      <c r="G1425" s="24">
        <f t="shared" si="68"/>
        <v>72.000000000670553</v>
      </c>
      <c r="H1425" s="1" t="s">
        <v>1</v>
      </c>
      <c r="I1425" s="4" t="s">
        <v>2</v>
      </c>
      <c r="J1425" s="14">
        <v>0.38194444444444442</v>
      </c>
      <c r="K1425" s="20" t="str">
        <f t="shared" si="67"/>
        <v>1st Shift</v>
      </c>
    </row>
    <row r="1426" spans="1:11" x14ac:dyDescent="0.25">
      <c r="A1426" s="1">
        <v>1425</v>
      </c>
      <c r="B1426" s="1">
        <v>1</v>
      </c>
      <c r="C1426" s="3">
        <v>1115270141400</v>
      </c>
      <c r="D1426" s="2">
        <v>44442.381944444445</v>
      </c>
      <c r="E1426" s="2">
        <v>44442.555555555555</v>
      </c>
      <c r="F1426" s="23">
        <f t="shared" si="66"/>
        <v>0.17361111110949423</v>
      </c>
      <c r="G1426" s="24">
        <f t="shared" si="68"/>
        <v>72.000000000670553</v>
      </c>
      <c r="H1426" s="1" t="s">
        <v>1</v>
      </c>
      <c r="I1426" s="4" t="s">
        <v>2</v>
      </c>
      <c r="J1426" s="14">
        <v>0.38194444444444442</v>
      </c>
      <c r="K1426" s="20" t="str">
        <f t="shared" si="67"/>
        <v>1st Shift</v>
      </c>
    </row>
    <row r="1427" spans="1:11" x14ac:dyDescent="0.25">
      <c r="A1427" s="1">
        <v>1426</v>
      </c>
      <c r="B1427" s="1">
        <v>1</v>
      </c>
      <c r="C1427" s="3">
        <v>1115270122500</v>
      </c>
      <c r="D1427" s="2">
        <v>44442.381944444445</v>
      </c>
      <c r="E1427" s="2">
        <v>44442.555555555555</v>
      </c>
      <c r="F1427" s="23">
        <f t="shared" si="66"/>
        <v>0.17361111110949423</v>
      </c>
      <c r="G1427" s="24">
        <f t="shared" si="68"/>
        <v>72.000000000670553</v>
      </c>
      <c r="H1427" s="1" t="s">
        <v>1</v>
      </c>
      <c r="I1427" s="4" t="s">
        <v>2</v>
      </c>
      <c r="J1427" s="14">
        <v>0.38194444444444442</v>
      </c>
      <c r="K1427" s="20" t="str">
        <f t="shared" si="67"/>
        <v>1st Shift</v>
      </c>
    </row>
    <row r="1428" spans="1:11" x14ac:dyDescent="0.25">
      <c r="A1428" s="1">
        <v>1427</v>
      </c>
      <c r="B1428" s="1">
        <v>14</v>
      </c>
      <c r="C1428" s="3">
        <v>14115271732100</v>
      </c>
      <c r="D1428" s="2">
        <v>44442.701388888891</v>
      </c>
      <c r="E1428" s="2">
        <v>44442.965277777781</v>
      </c>
      <c r="F1428" s="23">
        <f t="shared" si="66"/>
        <v>0.26388888889050577</v>
      </c>
      <c r="G1428" s="24">
        <f t="shared" si="68"/>
        <v>47.368421052341347</v>
      </c>
      <c r="H1428" s="1" t="s">
        <v>1</v>
      </c>
      <c r="I1428" s="4" t="s">
        <v>2</v>
      </c>
      <c r="J1428" s="14">
        <v>0.70138888888888884</v>
      </c>
      <c r="K1428" s="20" t="str">
        <f t="shared" si="67"/>
        <v>2nd Shift</v>
      </c>
    </row>
    <row r="1429" spans="1:11" x14ac:dyDescent="0.25">
      <c r="A1429" s="1">
        <v>1428</v>
      </c>
      <c r="B1429" s="1">
        <v>12</v>
      </c>
      <c r="C1429" s="3">
        <v>12115271579400</v>
      </c>
      <c r="D1429" s="2">
        <v>44442.701388888891</v>
      </c>
      <c r="E1429" s="2">
        <v>44442.965277777781</v>
      </c>
      <c r="F1429" s="23">
        <f t="shared" si="66"/>
        <v>0.26388888889050577</v>
      </c>
      <c r="G1429" s="24">
        <f t="shared" si="68"/>
        <v>47.368421052341347</v>
      </c>
      <c r="H1429" s="1" t="s">
        <v>1</v>
      </c>
      <c r="I1429" s="4" t="s">
        <v>2</v>
      </c>
      <c r="J1429" s="14">
        <v>0.70138888888888884</v>
      </c>
      <c r="K1429" s="20" t="str">
        <f t="shared" si="67"/>
        <v>2nd Shift</v>
      </c>
    </row>
    <row r="1430" spans="1:11" x14ac:dyDescent="0.25">
      <c r="A1430" s="1">
        <v>1429</v>
      </c>
      <c r="B1430" s="1">
        <v>12</v>
      </c>
      <c r="C1430" s="3">
        <v>12115271506801</v>
      </c>
      <c r="D1430" s="2">
        <v>44442.701388888891</v>
      </c>
      <c r="E1430" s="2">
        <v>44442.965277777781</v>
      </c>
      <c r="F1430" s="23">
        <f t="shared" si="66"/>
        <v>0.26388888889050577</v>
      </c>
      <c r="G1430" s="24">
        <f t="shared" si="68"/>
        <v>47.368421052341347</v>
      </c>
      <c r="H1430" s="1" t="s">
        <v>1</v>
      </c>
      <c r="I1430" s="4" t="s">
        <v>2</v>
      </c>
      <c r="J1430" s="14">
        <v>0.70138888888888884</v>
      </c>
      <c r="K1430" s="20" t="str">
        <f t="shared" si="67"/>
        <v>2nd Shift</v>
      </c>
    </row>
    <row r="1431" spans="1:11" x14ac:dyDescent="0.25">
      <c r="A1431" s="1">
        <v>1430</v>
      </c>
      <c r="B1431" s="1">
        <v>10</v>
      </c>
      <c r="C1431" s="3">
        <v>10115271967600</v>
      </c>
      <c r="D1431" s="2">
        <v>44442.701388888891</v>
      </c>
      <c r="E1431" s="2">
        <v>44442.965277777781</v>
      </c>
      <c r="F1431" s="23">
        <f t="shared" si="66"/>
        <v>0.26388888889050577</v>
      </c>
      <c r="G1431" s="24">
        <f t="shared" si="68"/>
        <v>47.368421052341347</v>
      </c>
      <c r="H1431" s="1" t="s">
        <v>1</v>
      </c>
      <c r="I1431" s="4" t="s">
        <v>2</v>
      </c>
      <c r="J1431" s="14">
        <v>0.70138888888888884</v>
      </c>
      <c r="K1431" s="20" t="str">
        <f t="shared" si="67"/>
        <v>2nd Shift</v>
      </c>
    </row>
    <row r="1432" spans="1:11" x14ac:dyDescent="0.25">
      <c r="A1432" s="1">
        <v>1431</v>
      </c>
      <c r="B1432" s="1">
        <v>9</v>
      </c>
      <c r="C1432" s="3">
        <v>9115271906600</v>
      </c>
      <c r="D1432" s="2">
        <v>44442.701388888891</v>
      </c>
      <c r="E1432" s="2">
        <v>44442.965277777781</v>
      </c>
      <c r="F1432" s="23">
        <f t="shared" si="66"/>
        <v>0.26388888889050577</v>
      </c>
      <c r="G1432" s="24">
        <f t="shared" si="68"/>
        <v>47.368421052341347</v>
      </c>
      <c r="H1432" s="1" t="s">
        <v>1</v>
      </c>
      <c r="I1432" s="4" t="s">
        <v>3</v>
      </c>
      <c r="J1432" s="14">
        <v>0.70138888888888884</v>
      </c>
      <c r="K1432" s="20" t="str">
        <f t="shared" si="67"/>
        <v>2nd Shift</v>
      </c>
    </row>
    <row r="1433" spans="1:11" x14ac:dyDescent="0.25">
      <c r="A1433" s="1">
        <v>1432</v>
      </c>
      <c r="B1433" s="1">
        <v>7</v>
      </c>
      <c r="C1433" s="3">
        <v>7115271785911</v>
      </c>
      <c r="D1433" s="2">
        <v>44442.701388888891</v>
      </c>
      <c r="E1433" s="2">
        <v>44442.965277777781</v>
      </c>
      <c r="F1433" s="23">
        <f t="shared" si="66"/>
        <v>0.26388888889050577</v>
      </c>
      <c r="G1433" s="24">
        <f t="shared" si="68"/>
        <v>47.368421052341347</v>
      </c>
      <c r="H1433" s="1" t="s">
        <v>1</v>
      </c>
      <c r="I1433" s="4" t="s">
        <v>3</v>
      </c>
      <c r="J1433" s="14">
        <v>0.70138888888888884</v>
      </c>
      <c r="K1433" s="20" t="str">
        <f t="shared" si="67"/>
        <v>2nd Shift</v>
      </c>
    </row>
    <row r="1434" spans="1:11" x14ac:dyDescent="0.25">
      <c r="A1434" s="1">
        <v>1433</v>
      </c>
      <c r="B1434" s="1">
        <v>7</v>
      </c>
      <c r="C1434" s="3">
        <v>7115271760300</v>
      </c>
      <c r="D1434" s="2">
        <v>44442.701388888891</v>
      </c>
      <c r="E1434" s="2">
        <v>44442.965277777781</v>
      </c>
      <c r="F1434" s="23">
        <f t="shared" si="66"/>
        <v>0.26388888889050577</v>
      </c>
      <c r="G1434" s="24">
        <f t="shared" si="68"/>
        <v>47.368421052341347</v>
      </c>
      <c r="H1434" s="1" t="s">
        <v>1</v>
      </c>
      <c r="I1434" s="4" t="s">
        <v>3</v>
      </c>
      <c r="J1434" s="14">
        <v>0.70138888888888884</v>
      </c>
      <c r="K1434" s="20" t="str">
        <f t="shared" si="67"/>
        <v>2nd Shift</v>
      </c>
    </row>
    <row r="1435" spans="1:11" x14ac:dyDescent="0.25">
      <c r="A1435" s="1">
        <v>1434</v>
      </c>
      <c r="B1435" s="1">
        <v>3</v>
      </c>
      <c r="C1435" s="3">
        <v>3115270319202</v>
      </c>
      <c r="D1435" s="2">
        <v>44442.701388888891</v>
      </c>
      <c r="E1435" s="2">
        <v>44442.965277777781</v>
      </c>
      <c r="F1435" s="23">
        <f t="shared" si="66"/>
        <v>0.26388888889050577</v>
      </c>
      <c r="G1435" s="24">
        <f t="shared" si="68"/>
        <v>47.368421052341347</v>
      </c>
      <c r="H1435" s="1" t="s">
        <v>1</v>
      </c>
      <c r="I1435" s="4" t="s">
        <v>2</v>
      </c>
      <c r="J1435" s="14">
        <v>0.70138888888888884</v>
      </c>
      <c r="K1435" s="20" t="str">
        <f t="shared" si="67"/>
        <v>2nd Shift</v>
      </c>
    </row>
    <row r="1436" spans="1:11" x14ac:dyDescent="0.25">
      <c r="A1436" s="1">
        <v>1435</v>
      </c>
      <c r="B1436" s="1">
        <v>11</v>
      </c>
      <c r="C1436" s="3">
        <v>11115271542001</v>
      </c>
      <c r="D1436" s="2">
        <v>44443.034722222219</v>
      </c>
      <c r="E1436" s="2">
        <v>44443.079861111109</v>
      </c>
      <c r="F1436" s="23">
        <f t="shared" si="66"/>
        <v>4.5138888890505768E-2</v>
      </c>
      <c r="G1436" s="24">
        <f t="shared" si="68"/>
        <v>276.9230769131575</v>
      </c>
      <c r="H1436" s="1" t="s">
        <v>1</v>
      </c>
      <c r="I1436" s="4" t="s">
        <v>2</v>
      </c>
      <c r="J1436" s="14">
        <v>3.4722222222222224E-2</v>
      </c>
      <c r="K1436" s="20" t="str">
        <f t="shared" si="67"/>
        <v>3rd Shift</v>
      </c>
    </row>
    <row r="1437" spans="1:11" x14ac:dyDescent="0.25">
      <c r="A1437" s="1">
        <v>1436</v>
      </c>
      <c r="B1437" s="1">
        <v>1</v>
      </c>
      <c r="C1437" s="3">
        <v>1115270048600</v>
      </c>
      <c r="D1437" s="2">
        <v>44443.034722222219</v>
      </c>
      <c r="E1437" s="2">
        <v>44443.079861111109</v>
      </c>
      <c r="F1437" s="23">
        <f t="shared" si="66"/>
        <v>4.5138888890505768E-2</v>
      </c>
      <c r="G1437" s="24">
        <f t="shared" si="68"/>
        <v>276.9230769131575</v>
      </c>
      <c r="H1437" s="1" t="s">
        <v>1</v>
      </c>
      <c r="I1437" s="4" t="s">
        <v>2</v>
      </c>
      <c r="J1437" s="14">
        <v>3.4722222222222224E-2</v>
      </c>
      <c r="K1437" s="20" t="str">
        <f t="shared" si="67"/>
        <v>3rd Shift</v>
      </c>
    </row>
    <row r="1438" spans="1:11" x14ac:dyDescent="0.25">
      <c r="A1438" s="1">
        <v>1437</v>
      </c>
      <c r="B1438" s="1">
        <v>12</v>
      </c>
      <c r="C1438" s="3">
        <v>12115271567387</v>
      </c>
      <c r="D1438" s="2">
        <v>44443.423611111109</v>
      </c>
      <c r="E1438" s="2">
        <v>44443.520833333336</v>
      </c>
      <c r="F1438" s="23">
        <f t="shared" si="66"/>
        <v>9.7222222226264421E-2</v>
      </c>
      <c r="G1438" s="24">
        <f t="shared" si="68"/>
        <v>128.57142856608297</v>
      </c>
      <c r="H1438" s="1" t="s">
        <v>1</v>
      </c>
      <c r="I1438" s="4" t="s">
        <v>3</v>
      </c>
      <c r="J1438" s="14">
        <v>0.4236111111111111</v>
      </c>
      <c r="K1438" s="20" t="str">
        <f t="shared" si="67"/>
        <v>1st Shift</v>
      </c>
    </row>
    <row r="1439" spans="1:11" x14ac:dyDescent="0.25">
      <c r="A1439" s="1">
        <v>1438</v>
      </c>
      <c r="B1439" s="1">
        <v>11</v>
      </c>
      <c r="C1439" s="3">
        <v>11115271542301</v>
      </c>
      <c r="D1439" s="2">
        <v>44443.423611111109</v>
      </c>
      <c r="E1439" s="2">
        <v>44443.520833333336</v>
      </c>
      <c r="F1439" s="23">
        <f t="shared" si="66"/>
        <v>9.7222222226264421E-2</v>
      </c>
      <c r="G1439" s="24">
        <f t="shared" si="68"/>
        <v>128.57142856608297</v>
      </c>
      <c r="H1439" s="1" t="s">
        <v>1</v>
      </c>
      <c r="I1439" s="4" t="s">
        <v>2</v>
      </c>
      <c r="J1439" s="14">
        <v>0.4236111111111111</v>
      </c>
      <c r="K1439" s="20" t="str">
        <f t="shared" si="67"/>
        <v>1st Shift</v>
      </c>
    </row>
    <row r="1440" spans="1:11" x14ac:dyDescent="0.25">
      <c r="A1440" s="1">
        <v>1439</v>
      </c>
      <c r="B1440" s="1">
        <v>9</v>
      </c>
      <c r="C1440" s="3">
        <v>9115270628102</v>
      </c>
      <c r="D1440" s="2">
        <v>44443.423611111109</v>
      </c>
      <c r="E1440" s="2">
        <v>44443.520833333336</v>
      </c>
      <c r="F1440" s="23">
        <f t="shared" si="66"/>
        <v>9.7222222226264421E-2</v>
      </c>
      <c r="G1440" s="24">
        <f t="shared" si="68"/>
        <v>128.57142856608297</v>
      </c>
      <c r="H1440" s="1" t="s">
        <v>1</v>
      </c>
      <c r="I1440" s="4" t="s">
        <v>2</v>
      </c>
      <c r="J1440" s="14">
        <v>0.4236111111111111</v>
      </c>
      <c r="K1440" s="20" t="str">
        <f t="shared" si="67"/>
        <v>1st Shift</v>
      </c>
    </row>
    <row r="1441" spans="1:11" x14ac:dyDescent="0.25">
      <c r="A1441" s="1">
        <v>1440</v>
      </c>
      <c r="B1441" s="1">
        <v>8</v>
      </c>
      <c r="C1441" s="3">
        <v>8115271816502</v>
      </c>
      <c r="D1441" s="2">
        <v>44443.423611111109</v>
      </c>
      <c r="E1441" s="2">
        <v>44443.520833333336</v>
      </c>
      <c r="F1441" s="23">
        <f t="shared" si="66"/>
        <v>9.7222222226264421E-2</v>
      </c>
      <c r="G1441" s="24">
        <f t="shared" si="68"/>
        <v>128.57142856608297</v>
      </c>
      <c r="H1441" s="1" t="s">
        <v>1</v>
      </c>
      <c r="I1441" s="4" t="s">
        <v>2</v>
      </c>
      <c r="J1441" s="14">
        <v>0.4236111111111111</v>
      </c>
      <c r="K1441" s="20" t="str">
        <f t="shared" si="67"/>
        <v>1st Shift</v>
      </c>
    </row>
    <row r="1442" spans="1:11" x14ac:dyDescent="0.25">
      <c r="A1442" s="1">
        <v>1441</v>
      </c>
      <c r="B1442" s="1">
        <v>7</v>
      </c>
      <c r="C1442" s="3">
        <v>7115271771106</v>
      </c>
      <c r="D1442" s="2">
        <v>44443.423611111109</v>
      </c>
      <c r="E1442" s="2">
        <v>44443.520833333336</v>
      </c>
      <c r="F1442" s="23">
        <f t="shared" si="66"/>
        <v>9.7222222226264421E-2</v>
      </c>
      <c r="G1442" s="24">
        <f t="shared" si="68"/>
        <v>128.57142856608297</v>
      </c>
      <c r="H1442" s="1" t="s">
        <v>1</v>
      </c>
      <c r="I1442" s="4" t="s">
        <v>2</v>
      </c>
      <c r="J1442" s="14">
        <v>0.4236111111111111</v>
      </c>
      <c r="K1442" s="20" t="str">
        <f t="shared" si="67"/>
        <v>1st Shift</v>
      </c>
    </row>
    <row r="1443" spans="1:11" x14ac:dyDescent="0.25">
      <c r="A1443" s="1">
        <v>1442</v>
      </c>
      <c r="B1443" s="1">
        <v>3</v>
      </c>
      <c r="C1443" s="3">
        <v>3115270396300</v>
      </c>
      <c r="D1443" s="2">
        <v>44443.538194444445</v>
      </c>
      <c r="E1443" s="2">
        <v>44443.59375</v>
      </c>
      <c r="F1443" s="23">
        <f t="shared" si="66"/>
        <v>5.5555555554747116E-2</v>
      </c>
      <c r="G1443" s="24">
        <f t="shared" si="68"/>
        <v>225.00000000327418</v>
      </c>
      <c r="H1443" s="1" t="s">
        <v>1</v>
      </c>
      <c r="I1443" s="4" t="s">
        <v>3</v>
      </c>
      <c r="J1443" s="14">
        <v>0.53819444444444442</v>
      </c>
      <c r="K1443" s="20" t="str">
        <f t="shared" si="67"/>
        <v>1st Shift</v>
      </c>
    </row>
    <row r="1444" spans="1:11" x14ac:dyDescent="0.25">
      <c r="A1444" s="1">
        <v>1443</v>
      </c>
      <c r="B1444" s="1">
        <v>13</v>
      </c>
      <c r="C1444" s="3">
        <v>13115271606103</v>
      </c>
      <c r="D1444" s="2">
        <v>44443.704861111109</v>
      </c>
      <c r="E1444" s="2">
        <v>44443.916666666664</v>
      </c>
      <c r="F1444" s="23">
        <f t="shared" si="66"/>
        <v>0.21180555555474712</v>
      </c>
      <c r="G1444" s="24">
        <f t="shared" si="68"/>
        <v>59.016393442848212</v>
      </c>
      <c r="H1444" s="1" t="s">
        <v>1</v>
      </c>
      <c r="I1444" s="4" t="s">
        <v>3</v>
      </c>
      <c r="J1444" s="14">
        <v>0.70486111111111116</v>
      </c>
      <c r="K1444" s="20" t="str">
        <f t="shared" si="67"/>
        <v>2nd Shift</v>
      </c>
    </row>
    <row r="1445" spans="1:11" x14ac:dyDescent="0.25">
      <c r="A1445" s="1">
        <v>1444</v>
      </c>
      <c r="B1445" s="1">
        <v>13</v>
      </c>
      <c r="C1445" s="3">
        <v>13115271606003</v>
      </c>
      <c r="D1445" s="2">
        <v>44443.704861111109</v>
      </c>
      <c r="E1445" s="2">
        <v>44443.916666666664</v>
      </c>
      <c r="F1445" s="23">
        <f t="shared" si="66"/>
        <v>0.21180555555474712</v>
      </c>
      <c r="G1445" s="24">
        <f t="shared" si="68"/>
        <v>59.016393442848212</v>
      </c>
      <c r="H1445" s="1" t="s">
        <v>1</v>
      </c>
      <c r="I1445" s="4" t="s">
        <v>3</v>
      </c>
      <c r="J1445" s="14">
        <v>0.70486111111111116</v>
      </c>
      <c r="K1445" s="20" t="str">
        <f t="shared" si="67"/>
        <v>2nd Shift</v>
      </c>
    </row>
    <row r="1446" spans="1:11" x14ac:dyDescent="0.25">
      <c r="A1446" s="1">
        <v>1445</v>
      </c>
      <c r="B1446" s="1">
        <v>10</v>
      </c>
      <c r="C1446" s="3">
        <v>10115271958000</v>
      </c>
      <c r="D1446" s="2">
        <v>44443.788194444445</v>
      </c>
      <c r="E1446" s="2">
        <v>44443.916666666664</v>
      </c>
      <c r="F1446" s="23">
        <f t="shared" si="66"/>
        <v>0.12847222221898846</v>
      </c>
      <c r="G1446" s="24">
        <f t="shared" si="68"/>
        <v>97.297297299746361</v>
      </c>
      <c r="H1446" s="1" t="s">
        <v>1</v>
      </c>
      <c r="I1446" s="4" t="s">
        <v>3</v>
      </c>
      <c r="J1446" s="14">
        <v>0.78819444444444442</v>
      </c>
      <c r="K1446" s="20" t="str">
        <f t="shared" si="67"/>
        <v>2nd Shift</v>
      </c>
    </row>
    <row r="1447" spans="1:11" x14ac:dyDescent="0.25">
      <c r="A1447" s="1">
        <v>1446</v>
      </c>
      <c r="B1447" s="1">
        <v>8</v>
      </c>
      <c r="C1447" s="3">
        <v>8115271816503</v>
      </c>
      <c r="D1447" s="2">
        <v>44443.788194444445</v>
      </c>
      <c r="E1447" s="2">
        <v>44443.916666666664</v>
      </c>
      <c r="F1447" s="23">
        <f t="shared" si="66"/>
        <v>0.12847222221898846</v>
      </c>
      <c r="G1447" s="24">
        <f t="shared" si="68"/>
        <v>97.297297299746361</v>
      </c>
      <c r="H1447" s="1" t="s">
        <v>1</v>
      </c>
      <c r="I1447" s="4" t="s">
        <v>2</v>
      </c>
      <c r="J1447" s="14">
        <v>0.78819444444444442</v>
      </c>
      <c r="K1447" s="20" t="str">
        <f t="shared" si="67"/>
        <v>2nd Shift</v>
      </c>
    </row>
    <row r="1448" spans="1:11" x14ac:dyDescent="0.25">
      <c r="A1448" s="1">
        <v>1447</v>
      </c>
      <c r="B1448" s="1">
        <v>3</v>
      </c>
      <c r="C1448" s="3">
        <v>3115270324102</v>
      </c>
      <c r="D1448" s="2">
        <v>44443.704861111109</v>
      </c>
      <c r="E1448" s="2">
        <v>44443.916666666664</v>
      </c>
      <c r="F1448" s="23">
        <f t="shared" si="66"/>
        <v>0.21180555555474712</v>
      </c>
      <c r="G1448" s="24">
        <f t="shared" si="68"/>
        <v>59.016393442848212</v>
      </c>
      <c r="H1448" s="1" t="s">
        <v>1</v>
      </c>
      <c r="I1448" s="4" t="s">
        <v>3</v>
      </c>
      <c r="J1448" s="14">
        <v>0.70486111111111116</v>
      </c>
      <c r="K1448" s="20" t="str">
        <f t="shared" si="67"/>
        <v>2nd Shift</v>
      </c>
    </row>
    <row r="1449" spans="1:11" x14ac:dyDescent="0.25">
      <c r="A1449" s="1">
        <v>1448</v>
      </c>
      <c r="B1449" s="1">
        <v>7</v>
      </c>
      <c r="C1449" s="3">
        <v>7115271803800</v>
      </c>
      <c r="D1449" s="2">
        <v>44444.013888888891</v>
      </c>
      <c r="E1449" s="2">
        <v>44444.069444444445</v>
      </c>
      <c r="F1449" s="23">
        <f t="shared" si="66"/>
        <v>5.5555555554747116E-2</v>
      </c>
      <c r="G1449" s="24">
        <f t="shared" si="68"/>
        <v>225.00000000327418</v>
      </c>
      <c r="H1449" s="1" t="s">
        <v>1</v>
      </c>
      <c r="I1449" s="4" t="s">
        <v>3</v>
      </c>
      <c r="J1449" s="14">
        <v>1.3888888888888888E-2</v>
      </c>
      <c r="K1449" s="20" t="str">
        <f t="shared" si="67"/>
        <v>3rd Shift</v>
      </c>
    </row>
    <row r="1450" spans="1:11" x14ac:dyDescent="0.25">
      <c r="A1450" s="1">
        <v>1449</v>
      </c>
      <c r="B1450" s="1">
        <v>7</v>
      </c>
      <c r="C1450" s="3">
        <v>7115271795608</v>
      </c>
      <c r="D1450" s="2">
        <v>44444.013888888891</v>
      </c>
      <c r="E1450" s="2">
        <v>44444.069444444445</v>
      </c>
      <c r="F1450" s="23">
        <f t="shared" si="66"/>
        <v>5.5555555554747116E-2</v>
      </c>
      <c r="G1450" s="24">
        <f t="shared" si="68"/>
        <v>225.00000000327418</v>
      </c>
      <c r="H1450" s="1" t="s">
        <v>1</v>
      </c>
      <c r="I1450" s="4" t="s">
        <v>3</v>
      </c>
      <c r="J1450" s="14">
        <v>1.3888888888888888E-2</v>
      </c>
      <c r="K1450" s="20" t="str">
        <f t="shared" si="67"/>
        <v>3rd Shift</v>
      </c>
    </row>
    <row r="1451" spans="1:11" x14ac:dyDescent="0.25">
      <c r="A1451" s="1">
        <v>1450</v>
      </c>
      <c r="B1451" s="1">
        <v>11</v>
      </c>
      <c r="C1451" s="3">
        <v>11115271542101</v>
      </c>
      <c r="D1451" s="2">
        <v>44444.40625</v>
      </c>
      <c r="E1451" s="2">
        <v>44444.576388888891</v>
      </c>
      <c r="F1451" s="23">
        <f t="shared" si="66"/>
        <v>0.17013888889050577</v>
      </c>
      <c r="G1451" s="24">
        <f t="shared" si="68"/>
        <v>73.46938775440384</v>
      </c>
      <c r="H1451" s="1" t="s">
        <v>1</v>
      </c>
      <c r="I1451" s="4" t="s">
        <v>3</v>
      </c>
      <c r="J1451" s="14">
        <v>0.40625</v>
      </c>
      <c r="K1451" s="20" t="str">
        <f t="shared" si="67"/>
        <v>1st Shift</v>
      </c>
    </row>
    <row r="1452" spans="1:11" x14ac:dyDescent="0.25">
      <c r="A1452" s="1">
        <v>1451</v>
      </c>
      <c r="B1452" s="1">
        <v>10</v>
      </c>
      <c r="C1452" s="3">
        <v>10115271478600</v>
      </c>
      <c r="D1452" s="2">
        <v>44444.40625</v>
      </c>
      <c r="E1452" s="2">
        <v>44444.576388888891</v>
      </c>
      <c r="F1452" s="23">
        <f t="shared" si="66"/>
        <v>0.17013888889050577</v>
      </c>
      <c r="G1452" s="24">
        <f t="shared" si="68"/>
        <v>73.46938775440384</v>
      </c>
      <c r="H1452" s="1" t="s">
        <v>1</v>
      </c>
      <c r="I1452" s="4" t="s">
        <v>2</v>
      </c>
      <c r="J1452" s="14">
        <v>0.40625</v>
      </c>
      <c r="K1452" s="20" t="str">
        <f t="shared" si="67"/>
        <v>1st Shift</v>
      </c>
    </row>
    <row r="1453" spans="1:11" x14ac:dyDescent="0.25">
      <c r="A1453" s="1">
        <v>1452</v>
      </c>
      <c r="B1453" s="1">
        <v>6</v>
      </c>
      <c r="C1453" s="3">
        <v>6115271736200</v>
      </c>
      <c r="D1453" s="2">
        <v>44444.40625</v>
      </c>
      <c r="E1453" s="2">
        <v>44444.576388888891</v>
      </c>
      <c r="F1453" s="23">
        <f t="shared" si="66"/>
        <v>0.17013888889050577</v>
      </c>
      <c r="G1453" s="24">
        <f t="shared" si="68"/>
        <v>73.46938775440384</v>
      </c>
      <c r="H1453" s="1" t="s">
        <v>1</v>
      </c>
      <c r="I1453" s="4" t="s">
        <v>2</v>
      </c>
      <c r="J1453" s="14">
        <v>0.40625</v>
      </c>
      <c r="K1453" s="20" t="str">
        <f t="shared" si="67"/>
        <v>1st Shift</v>
      </c>
    </row>
    <row r="1454" spans="1:11" x14ac:dyDescent="0.25">
      <c r="A1454" s="1">
        <v>1453</v>
      </c>
      <c r="B1454" s="1">
        <v>6</v>
      </c>
      <c r="C1454" s="3">
        <v>6115271731400</v>
      </c>
      <c r="D1454" s="2">
        <v>44444.40625</v>
      </c>
      <c r="E1454" s="2">
        <v>44444.576388888891</v>
      </c>
      <c r="F1454" s="23">
        <f t="shared" si="66"/>
        <v>0.17013888889050577</v>
      </c>
      <c r="G1454" s="24">
        <f t="shared" si="68"/>
        <v>73.46938775440384</v>
      </c>
      <c r="H1454" s="1" t="s">
        <v>1</v>
      </c>
      <c r="I1454" s="4" t="s">
        <v>2</v>
      </c>
      <c r="J1454" s="14">
        <v>0.40625</v>
      </c>
      <c r="K1454" s="20" t="str">
        <f t="shared" si="67"/>
        <v>1st Shift</v>
      </c>
    </row>
    <row r="1455" spans="1:11" x14ac:dyDescent="0.25">
      <c r="A1455" s="1">
        <v>1454</v>
      </c>
      <c r="B1455" s="1">
        <v>3</v>
      </c>
      <c r="C1455" s="3">
        <v>3115270349800</v>
      </c>
      <c r="D1455" s="2">
        <v>44444.40625</v>
      </c>
      <c r="E1455" s="2">
        <v>44444.576388888891</v>
      </c>
      <c r="F1455" s="23">
        <f t="shared" si="66"/>
        <v>0.17013888889050577</v>
      </c>
      <c r="G1455" s="24">
        <f t="shared" si="68"/>
        <v>73.46938775440384</v>
      </c>
      <c r="H1455" s="1" t="s">
        <v>1</v>
      </c>
      <c r="I1455" s="4" t="s">
        <v>2</v>
      </c>
      <c r="J1455" s="14">
        <v>0.40625</v>
      </c>
      <c r="K1455" s="20" t="str">
        <f t="shared" si="67"/>
        <v>1st Shift</v>
      </c>
    </row>
    <row r="1456" spans="1:11" x14ac:dyDescent="0.25">
      <c r="A1456" s="1">
        <v>1455</v>
      </c>
      <c r="B1456" s="1">
        <v>3</v>
      </c>
      <c r="C1456" s="3">
        <v>3115270325300</v>
      </c>
      <c r="D1456" s="2">
        <v>44444.40625</v>
      </c>
      <c r="E1456" s="2">
        <v>44444.576388888891</v>
      </c>
      <c r="F1456" s="23">
        <f t="shared" si="66"/>
        <v>0.17013888889050577</v>
      </c>
      <c r="G1456" s="24">
        <f t="shared" si="68"/>
        <v>73.46938775440384</v>
      </c>
      <c r="H1456" s="1" t="s">
        <v>1</v>
      </c>
      <c r="I1456" s="4" t="s">
        <v>2</v>
      </c>
      <c r="J1456" s="14">
        <v>0.40625</v>
      </c>
      <c r="K1456" s="20" t="str">
        <f t="shared" si="67"/>
        <v>1st Shift</v>
      </c>
    </row>
    <row r="1457" spans="1:11" x14ac:dyDescent="0.25">
      <c r="A1457" s="1">
        <v>1456</v>
      </c>
      <c r="B1457" s="1">
        <v>1</v>
      </c>
      <c r="C1457" s="3">
        <v>1115270100600</v>
      </c>
      <c r="D1457" s="2">
        <v>44444.40625</v>
      </c>
      <c r="E1457" s="2">
        <v>44444.576388888891</v>
      </c>
      <c r="F1457" s="23">
        <f t="shared" si="66"/>
        <v>0.17013888889050577</v>
      </c>
      <c r="G1457" s="24">
        <f t="shared" si="68"/>
        <v>73.46938775440384</v>
      </c>
      <c r="H1457" s="1" t="s">
        <v>1</v>
      </c>
      <c r="I1457" s="4" t="s">
        <v>3</v>
      </c>
      <c r="J1457" s="14">
        <v>0.40625</v>
      </c>
      <c r="K1457" s="20" t="str">
        <f t="shared" si="67"/>
        <v>1st Shift</v>
      </c>
    </row>
    <row r="1458" spans="1:11" x14ac:dyDescent="0.25">
      <c r="A1458" s="1">
        <v>1457</v>
      </c>
      <c r="B1458" s="1">
        <v>5</v>
      </c>
      <c r="C1458" s="3">
        <v>5115271261001</v>
      </c>
      <c r="D1458" s="2">
        <v>44444.625</v>
      </c>
      <c r="E1458" s="2">
        <v>44444.677083333336</v>
      </c>
      <c r="F1458" s="23">
        <f t="shared" si="66"/>
        <v>5.2083333335758653E-2</v>
      </c>
      <c r="G1458" s="24">
        <f t="shared" si="68"/>
        <v>239.99999998882413</v>
      </c>
      <c r="H1458" s="1" t="s">
        <v>1</v>
      </c>
      <c r="I1458" s="4" t="s">
        <v>3</v>
      </c>
      <c r="J1458" s="14">
        <v>0.625</v>
      </c>
      <c r="K1458" s="20" t="str">
        <f t="shared" si="67"/>
        <v>2nd Shift</v>
      </c>
    </row>
    <row r="1459" spans="1:11" x14ac:dyDescent="0.25">
      <c r="A1459" s="1">
        <v>1458</v>
      </c>
      <c r="B1459" s="1">
        <v>3</v>
      </c>
      <c r="C1459" s="3">
        <v>3115270324200</v>
      </c>
      <c r="D1459" s="2">
        <v>44444.625</v>
      </c>
      <c r="E1459" s="2">
        <v>44444.677083333336</v>
      </c>
      <c r="F1459" s="23">
        <f t="shared" si="66"/>
        <v>5.2083333335758653E-2</v>
      </c>
      <c r="G1459" s="24">
        <f t="shared" si="68"/>
        <v>239.99999998882413</v>
      </c>
      <c r="H1459" s="1" t="s">
        <v>1</v>
      </c>
      <c r="I1459" s="4" t="s">
        <v>3</v>
      </c>
      <c r="J1459" s="14">
        <v>0.625</v>
      </c>
      <c r="K1459" s="20" t="str">
        <f t="shared" si="67"/>
        <v>2nd Shift</v>
      </c>
    </row>
    <row r="1460" spans="1:11" x14ac:dyDescent="0.25">
      <c r="A1460" s="1">
        <v>1459</v>
      </c>
      <c r="B1460" s="1">
        <v>1</v>
      </c>
      <c r="C1460" s="3">
        <v>1115270143300</v>
      </c>
      <c r="D1460" s="2">
        <v>44444.868055555555</v>
      </c>
      <c r="E1460" s="2">
        <v>44444.895833333336</v>
      </c>
      <c r="F1460" s="23">
        <f t="shared" si="66"/>
        <v>2.7777777781011537E-2</v>
      </c>
      <c r="G1460" s="24">
        <f t="shared" si="68"/>
        <v>449.99999994761311</v>
      </c>
      <c r="H1460" s="1" t="s">
        <v>1</v>
      </c>
      <c r="I1460" s="4" t="s">
        <v>2</v>
      </c>
      <c r="J1460" s="14">
        <v>0.86805555555555558</v>
      </c>
      <c r="K1460" s="20" t="str">
        <f t="shared" si="67"/>
        <v>2nd Shift</v>
      </c>
    </row>
    <row r="1461" spans="1:11" x14ac:dyDescent="0.25">
      <c r="A1461" s="1">
        <v>1460</v>
      </c>
      <c r="B1461" s="1">
        <v>1</v>
      </c>
      <c r="C1461" s="3">
        <v>1115270387014</v>
      </c>
      <c r="D1461" s="2">
        <v>44445.0625</v>
      </c>
      <c r="E1461" s="2">
        <v>44445.135416666664</v>
      </c>
      <c r="F1461" s="23">
        <f t="shared" si="66"/>
        <v>7.2916666664241347E-2</v>
      </c>
      <c r="G1461" s="24">
        <f t="shared" si="68"/>
        <v>171.42857143427341</v>
      </c>
      <c r="H1461" s="1" t="s">
        <v>1</v>
      </c>
      <c r="I1461" s="4" t="s">
        <v>2</v>
      </c>
      <c r="J1461" s="14">
        <v>6.25E-2</v>
      </c>
      <c r="K1461" s="20" t="str">
        <f t="shared" si="67"/>
        <v>3rd Shift</v>
      </c>
    </row>
    <row r="1462" spans="1:11" x14ac:dyDescent="0.25">
      <c r="A1462" s="1">
        <v>1461</v>
      </c>
      <c r="B1462" s="1">
        <v>15</v>
      </c>
      <c r="C1462" s="3">
        <v>15115271743402</v>
      </c>
      <c r="D1462" s="2">
        <v>44445.354166666664</v>
      </c>
      <c r="E1462" s="2">
        <v>44445.527777777781</v>
      </c>
      <c r="F1462" s="23">
        <f t="shared" si="66"/>
        <v>0.17361111111677019</v>
      </c>
      <c r="G1462" s="24">
        <f t="shared" si="68"/>
        <v>71.999999997653063</v>
      </c>
      <c r="H1462" s="1" t="s">
        <v>1</v>
      </c>
      <c r="I1462" s="4" t="s">
        <v>2</v>
      </c>
      <c r="J1462" s="14">
        <v>0.35416666666666669</v>
      </c>
      <c r="K1462" s="20" t="str">
        <f t="shared" si="67"/>
        <v>1st Shift</v>
      </c>
    </row>
    <row r="1463" spans="1:11" x14ac:dyDescent="0.25">
      <c r="A1463" s="1">
        <v>1462</v>
      </c>
      <c r="B1463" s="1">
        <v>13</v>
      </c>
      <c r="C1463" s="3">
        <v>13115271625701</v>
      </c>
      <c r="D1463" s="2">
        <v>44445.354166666664</v>
      </c>
      <c r="E1463" s="2">
        <v>44445.527777777781</v>
      </c>
      <c r="F1463" s="23">
        <f t="shared" si="66"/>
        <v>0.17361111111677019</v>
      </c>
      <c r="G1463" s="24">
        <f t="shared" si="68"/>
        <v>71.999999997653063</v>
      </c>
      <c r="H1463" s="1" t="s">
        <v>1</v>
      </c>
      <c r="I1463" s="4" t="s">
        <v>3</v>
      </c>
      <c r="J1463" s="14">
        <v>0.35416666666666669</v>
      </c>
      <c r="K1463" s="20" t="str">
        <f t="shared" si="67"/>
        <v>1st Shift</v>
      </c>
    </row>
    <row r="1464" spans="1:11" x14ac:dyDescent="0.25">
      <c r="A1464" s="1">
        <v>1463</v>
      </c>
      <c r="B1464" s="1">
        <v>10</v>
      </c>
      <c r="C1464" s="3">
        <v>10115271958401</v>
      </c>
      <c r="D1464" s="2">
        <v>44445.354166666664</v>
      </c>
      <c r="E1464" s="2">
        <v>44445.527777777781</v>
      </c>
      <c r="F1464" s="23">
        <f t="shared" si="66"/>
        <v>0.17361111111677019</v>
      </c>
      <c r="G1464" s="24">
        <f t="shared" si="68"/>
        <v>71.999999997653063</v>
      </c>
      <c r="H1464" s="1" t="s">
        <v>1</v>
      </c>
      <c r="I1464" s="4" t="s">
        <v>3</v>
      </c>
      <c r="J1464" s="14">
        <v>0.35416666666666669</v>
      </c>
      <c r="K1464" s="20" t="str">
        <f t="shared" si="67"/>
        <v>1st Shift</v>
      </c>
    </row>
    <row r="1465" spans="1:11" x14ac:dyDescent="0.25">
      <c r="A1465" s="1">
        <v>1464</v>
      </c>
      <c r="B1465" s="1">
        <v>10</v>
      </c>
      <c r="C1465" s="3">
        <v>10115271957700</v>
      </c>
      <c r="D1465" s="2">
        <v>44445.354166666664</v>
      </c>
      <c r="E1465" s="2">
        <v>44445.527777777781</v>
      </c>
      <c r="F1465" s="23">
        <f t="shared" si="66"/>
        <v>0.17361111111677019</v>
      </c>
      <c r="G1465" s="24">
        <f t="shared" si="68"/>
        <v>71.999999997653063</v>
      </c>
      <c r="H1465" s="1" t="s">
        <v>1</v>
      </c>
      <c r="I1465" s="4" t="s">
        <v>3</v>
      </c>
      <c r="J1465" s="14">
        <v>0.35416666666666669</v>
      </c>
      <c r="K1465" s="20" t="str">
        <f t="shared" si="67"/>
        <v>1st Shift</v>
      </c>
    </row>
    <row r="1466" spans="1:11" x14ac:dyDescent="0.25">
      <c r="A1466" s="1">
        <v>1465</v>
      </c>
      <c r="B1466" s="1">
        <v>3</v>
      </c>
      <c r="C1466" s="3">
        <v>3115270310703</v>
      </c>
      <c r="D1466" s="2">
        <v>44445.354166666664</v>
      </c>
      <c r="E1466" s="2">
        <v>44445.527777777781</v>
      </c>
      <c r="F1466" s="23">
        <f t="shared" si="66"/>
        <v>0.17361111111677019</v>
      </c>
      <c r="G1466" s="24">
        <f t="shared" si="68"/>
        <v>71.999999997653063</v>
      </c>
      <c r="H1466" s="1" t="s">
        <v>1</v>
      </c>
      <c r="I1466" s="4" t="s">
        <v>3</v>
      </c>
      <c r="J1466" s="14">
        <v>0.35416666666666669</v>
      </c>
      <c r="K1466" s="20" t="str">
        <f t="shared" si="67"/>
        <v>1st Shift</v>
      </c>
    </row>
    <row r="1467" spans="1:11" x14ac:dyDescent="0.25">
      <c r="A1467" s="1">
        <v>1466</v>
      </c>
      <c r="B1467" s="1">
        <v>3</v>
      </c>
      <c r="C1467" s="3">
        <v>3115270308100</v>
      </c>
      <c r="D1467" s="2">
        <v>44445.354166666664</v>
      </c>
      <c r="E1467" s="2">
        <v>44445.527777777781</v>
      </c>
      <c r="F1467" s="23">
        <f t="shared" si="66"/>
        <v>0.17361111111677019</v>
      </c>
      <c r="G1467" s="24">
        <f t="shared" si="68"/>
        <v>71.999999997653063</v>
      </c>
      <c r="H1467" s="1" t="s">
        <v>1</v>
      </c>
      <c r="I1467" s="4" t="s">
        <v>3</v>
      </c>
      <c r="J1467" s="14">
        <v>0.35416666666666669</v>
      </c>
      <c r="K1467" s="20" t="str">
        <f t="shared" si="67"/>
        <v>1st Shift</v>
      </c>
    </row>
    <row r="1468" spans="1:11" x14ac:dyDescent="0.25">
      <c r="A1468" s="1">
        <v>1467</v>
      </c>
      <c r="B1468" s="1">
        <v>15</v>
      </c>
      <c r="C1468" s="3">
        <v>15115271771605</v>
      </c>
      <c r="D1468" s="2">
        <v>44445.645833333336</v>
      </c>
      <c r="E1468" s="2">
        <v>44445.729166666664</v>
      </c>
      <c r="F1468" s="23">
        <f t="shared" si="66"/>
        <v>8.3333333328482695E-2</v>
      </c>
      <c r="G1468" s="24">
        <f t="shared" si="68"/>
        <v>150.00000000873115</v>
      </c>
      <c r="H1468" s="1" t="s">
        <v>1</v>
      </c>
      <c r="I1468" s="4" t="s">
        <v>3</v>
      </c>
      <c r="J1468" s="14">
        <v>0.64583333333333337</v>
      </c>
      <c r="K1468" s="20" t="str">
        <f t="shared" si="67"/>
        <v>2nd Shift</v>
      </c>
    </row>
    <row r="1469" spans="1:11" x14ac:dyDescent="0.25">
      <c r="A1469" s="1">
        <v>1468</v>
      </c>
      <c r="B1469" s="1">
        <v>1</v>
      </c>
      <c r="C1469" s="3">
        <v>1115271094101</v>
      </c>
      <c r="D1469" s="2">
        <v>44445.645833333336</v>
      </c>
      <c r="E1469" s="2">
        <v>44445.729166666664</v>
      </c>
      <c r="F1469" s="23">
        <f t="shared" si="66"/>
        <v>8.3333333328482695E-2</v>
      </c>
      <c r="G1469" s="24">
        <f t="shared" si="68"/>
        <v>150.00000000873115</v>
      </c>
      <c r="H1469" s="1" t="s">
        <v>1</v>
      </c>
      <c r="I1469" s="4" t="s">
        <v>2</v>
      </c>
      <c r="J1469" s="14">
        <v>0.64583333333333337</v>
      </c>
      <c r="K1469" s="20" t="str">
        <f t="shared" si="67"/>
        <v>2nd Shift</v>
      </c>
    </row>
    <row r="1470" spans="1:11" x14ac:dyDescent="0.25">
      <c r="A1470" s="1">
        <v>1469</v>
      </c>
      <c r="B1470" s="1">
        <v>11</v>
      </c>
      <c r="C1470" s="3">
        <v>11115271507900</v>
      </c>
      <c r="D1470" s="2">
        <v>44445.75</v>
      </c>
      <c r="E1470" s="2">
        <v>44445.805555555555</v>
      </c>
      <c r="F1470" s="23">
        <f t="shared" si="66"/>
        <v>5.5555555554747116E-2</v>
      </c>
      <c r="G1470" s="24">
        <f t="shared" si="68"/>
        <v>225.00000000327418</v>
      </c>
      <c r="H1470" s="1" t="s">
        <v>1</v>
      </c>
      <c r="I1470" s="4" t="s">
        <v>2</v>
      </c>
      <c r="J1470" s="14">
        <v>0.75</v>
      </c>
      <c r="K1470" s="20" t="str">
        <f t="shared" si="67"/>
        <v>2nd Shift</v>
      </c>
    </row>
    <row r="1471" spans="1:11" x14ac:dyDescent="0.25">
      <c r="A1471" s="1">
        <v>1470</v>
      </c>
      <c r="B1471" s="1">
        <v>6</v>
      </c>
      <c r="C1471" s="3">
        <v>6115271720110</v>
      </c>
      <c r="D1471" s="2">
        <v>44445.75</v>
      </c>
      <c r="E1471" s="2">
        <v>44445.805555555555</v>
      </c>
      <c r="F1471" s="23">
        <f t="shared" si="66"/>
        <v>5.5555555554747116E-2</v>
      </c>
      <c r="G1471" s="24">
        <f t="shared" si="68"/>
        <v>225.00000000327418</v>
      </c>
      <c r="H1471" s="1" t="s">
        <v>1</v>
      </c>
      <c r="I1471" s="4" t="s">
        <v>2</v>
      </c>
      <c r="J1471" s="14">
        <v>0.75</v>
      </c>
      <c r="K1471" s="20" t="str">
        <f t="shared" si="67"/>
        <v>2nd Shift</v>
      </c>
    </row>
    <row r="1472" spans="1:11" x14ac:dyDescent="0.25">
      <c r="A1472" s="1">
        <v>1471</v>
      </c>
      <c r="B1472" s="1">
        <v>15</v>
      </c>
      <c r="C1472" s="3">
        <v>15115271745851</v>
      </c>
      <c r="D1472" s="2">
        <v>44445.840277777781</v>
      </c>
      <c r="E1472" s="2">
        <v>44445.923611111109</v>
      </c>
      <c r="F1472" s="23">
        <f t="shared" si="66"/>
        <v>8.3333333328482695E-2</v>
      </c>
      <c r="G1472" s="24">
        <f t="shared" si="68"/>
        <v>150.00000000873115</v>
      </c>
      <c r="H1472" s="1" t="s">
        <v>1</v>
      </c>
      <c r="I1472" s="4" t="s">
        <v>3</v>
      </c>
      <c r="J1472" s="14">
        <v>0.84027777777777779</v>
      </c>
      <c r="K1472" s="20" t="str">
        <f t="shared" si="67"/>
        <v>2nd Shift</v>
      </c>
    </row>
    <row r="1473" spans="1:11" x14ac:dyDescent="0.25">
      <c r="A1473" s="1">
        <v>1472</v>
      </c>
      <c r="B1473" s="1">
        <v>12</v>
      </c>
      <c r="C1473" s="3">
        <v>12115271565401</v>
      </c>
      <c r="D1473" s="2">
        <v>44445.840277777781</v>
      </c>
      <c r="E1473" s="2">
        <v>44445.923611111109</v>
      </c>
      <c r="F1473" s="23">
        <f t="shared" si="66"/>
        <v>8.3333333328482695E-2</v>
      </c>
      <c r="G1473" s="24">
        <f t="shared" si="68"/>
        <v>150.00000000873115</v>
      </c>
      <c r="H1473" s="1" t="s">
        <v>1</v>
      </c>
      <c r="I1473" s="4" t="s">
        <v>2</v>
      </c>
      <c r="J1473" s="14">
        <v>0.84027777777777779</v>
      </c>
      <c r="K1473" s="20" t="str">
        <f t="shared" si="67"/>
        <v>2nd Shift</v>
      </c>
    </row>
    <row r="1474" spans="1:11" x14ac:dyDescent="0.25">
      <c r="A1474" s="1">
        <v>1473</v>
      </c>
      <c r="B1474" s="1">
        <v>1</v>
      </c>
      <c r="C1474" s="3">
        <v>1115270143100</v>
      </c>
      <c r="D1474" s="2">
        <v>44445.840277777781</v>
      </c>
      <c r="E1474" s="2">
        <v>44445.923611111109</v>
      </c>
      <c r="F1474" s="23">
        <f t="shared" ref="F1474:F1537" si="69">E1474-D1474</f>
        <v>8.3333333328482695E-2</v>
      </c>
      <c r="G1474" s="24">
        <f t="shared" si="68"/>
        <v>150.00000000873115</v>
      </c>
      <c r="H1474" s="1" t="s">
        <v>1</v>
      </c>
      <c r="I1474" s="4" t="s">
        <v>2</v>
      </c>
      <c r="J1474" s="14">
        <v>0.84027777777777779</v>
      </c>
      <c r="K1474" s="20" t="str">
        <f t="shared" ref="K1474:K1537" si="70">IF(AND(J1474&gt;=$M$3,J1474&lt;$M$4),"1st Shift",IF(AND(J1474&gt;=$M$4,J1474&lt;$M$5),"2nd Shift","3rd Shift"))</f>
        <v>2nd Shift</v>
      </c>
    </row>
    <row r="1475" spans="1:11" x14ac:dyDescent="0.25">
      <c r="A1475" s="1">
        <v>1474</v>
      </c>
      <c r="B1475" s="1">
        <v>1</v>
      </c>
      <c r="C1475" s="3">
        <v>1115270019601</v>
      </c>
      <c r="D1475" s="2">
        <v>44445.840277777781</v>
      </c>
      <c r="E1475" s="2">
        <v>44445.923611111109</v>
      </c>
      <c r="F1475" s="23">
        <f t="shared" si="69"/>
        <v>8.3333333328482695E-2</v>
      </c>
      <c r="G1475" s="24">
        <f t="shared" ref="G1475:G1538" si="71">$M$9/F1475*100</f>
        <v>150.00000000873115</v>
      </c>
      <c r="H1475" s="1" t="s">
        <v>1</v>
      </c>
      <c r="I1475" s="4" t="s">
        <v>2</v>
      </c>
      <c r="J1475" s="14">
        <v>0.84027777777777779</v>
      </c>
      <c r="K1475" s="20" t="str">
        <f t="shared" si="70"/>
        <v>2nd Shift</v>
      </c>
    </row>
    <row r="1476" spans="1:11" x14ac:dyDescent="0.25">
      <c r="A1476" s="1">
        <v>1475</v>
      </c>
      <c r="B1476" s="1">
        <v>15</v>
      </c>
      <c r="C1476" s="3">
        <v>15115271743600</v>
      </c>
      <c r="D1476" s="2">
        <v>44445.9375</v>
      </c>
      <c r="E1476" s="2">
        <v>44446.1875</v>
      </c>
      <c r="F1476" s="23">
        <f t="shared" si="69"/>
        <v>0.25</v>
      </c>
      <c r="G1476" s="24">
        <f t="shared" si="71"/>
        <v>50</v>
      </c>
      <c r="H1476" s="1" t="s">
        <v>1</v>
      </c>
      <c r="I1476" s="4" t="s">
        <v>3</v>
      </c>
      <c r="J1476" s="14">
        <v>0.9375</v>
      </c>
      <c r="K1476" s="20" t="str">
        <f t="shared" si="70"/>
        <v>3rd Shift</v>
      </c>
    </row>
    <row r="1477" spans="1:11" x14ac:dyDescent="0.25">
      <c r="A1477" s="1">
        <v>1476</v>
      </c>
      <c r="B1477" s="1">
        <v>12</v>
      </c>
      <c r="C1477" s="3">
        <v>12115271569208</v>
      </c>
      <c r="D1477" s="2">
        <v>44445.9375</v>
      </c>
      <c r="E1477" s="2">
        <v>44446.1875</v>
      </c>
      <c r="F1477" s="23">
        <f t="shared" si="69"/>
        <v>0.25</v>
      </c>
      <c r="G1477" s="24">
        <f t="shared" si="71"/>
        <v>50</v>
      </c>
      <c r="H1477" s="1" t="s">
        <v>1</v>
      </c>
      <c r="I1477" s="4" t="s">
        <v>3</v>
      </c>
      <c r="J1477" s="14">
        <v>0.9375</v>
      </c>
      <c r="K1477" s="20" t="str">
        <f t="shared" si="70"/>
        <v>3rd Shift</v>
      </c>
    </row>
    <row r="1478" spans="1:11" x14ac:dyDescent="0.25">
      <c r="A1478" s="1">
        <v>1477</v>
      </c>
      <c r="B1478" s="1">
        <v>3</v>
      </c>
      <c r="C1478" s="3">
        <v>3115270308700</v>
      </c>
      <c r="D1478" s="2">
        <v>44445.9375</v>
      </c>
      <c r="E1478" s="2">
        <v>44446.1875</v>
      </c>
      <c r="F1478" s="23">
        <f t="shared" si="69"/>
        <v>0.25</v>
      </c>
      <c r="G1478" s="24">
        <f t="shared" si="71"/>
        <v>50</v>
      </c>
      <c r="H1478" s="1" t="s">
        <v>1</v>
      </c>
      <c r="I1478" s="4" t="s">
        <v>2</v>
      </c>
      <c r="J1478" s="14">
        <v>0.9375</v>
      </c>
      <c r="K1478" s="20" t="str">
        <f t="shared" si="70"/>
        <v>3rd Shift</v>
      </c>
    </row>
    <row r="1479" spans="1:11" x14ac:dyDescent="0.25">
      <c r="A1479" s="1">
        <v>1478</v>
      </c>
      <c r="B1479" s="1">
        <v>1</v>
      </c>
      <c r="C1479" s="3">
        <v>1115270362320</v>
      </c>
      <c r="D1479" s="2">
        <v>44445.9375</v>
      </c>
      <c r="E1479" s="2">
        <v>44446.1875</v>
      </c>
      <c r="F1479" s="23">
        <f t="shared" si="69"/>
        <v>0.25</v>
      </c>
      <c r="G1479" s="24">
        <f t="shared" si="71"/>
        <v>50</v>
      </c>
      <c r="H1479" s="1" t="s">
        <v>1</v>
      </c>
      <c r="I1479" s="4" t="s">
        <v>3</v>
      </c>
      <c r="J1479" s="14">
        <v>0.9375</v>
      </c>
      <c r="K1479" s="20" t="str">
        <f t="shared" si="70"/>
        <v>3rd Shift</v>
      </c>
    </row>
    <row r="1480" spans="1:11" x14ac:dyDescent="0.25">
      <c r="A1480" s="1">
        <v>1479</v>
      </c>
      <c r="B1480" s="1">
        <v>12</v>
      </c>
      <c r="C1480" s="3">
        <v>12115271569320</v>
      </c>
      <c r="D1480" s="2">
        <v>44446.430555555555</v>
      </c>
      <c r="E1480" s="2">
        <v>44446.520833333336</v>
      </c>
      <c r="F1480" s="23">
        <f t="shared" si="69"/>
        <v>9.0277777781011537E-2</v>
      </c>
      <c r="G1480" s="24">
        <f t="shared" si="71"/>
        <v>138.46153845657875</v>
      </c>
      <c r="H1480" s="1" t="s">
        <v>1</v>
      </c>
      <c r="I1480" s="4" t="s">
        <v>2</v>
      </c>
      <c r="J1480" s="14">
        <v>0.43055555555555558</v>
      </c>
      <c r="K1480" s="20" t="str">
        <f t="shared" si="70"/>
        <v>1st Shift</v>
      </c>
    </row>
    <row r="1481" spans="1:11" x14ac:dyDescent="0.25">
      <c r="A1481" s="1">
        <v>1480</v>
      </c>
      <c r="B1481" s="1">
        <v>12</v>
      </c>
      <c r="C1481" s="3">
        <v>12115271569310</v>
      </c>
      <c r="D1481" s="2">
        <v>44446.430555555555</v>
      </c>
      <c r="E1481" s="2">
        <v>44446.520833333336</v>
      </c>
      <c r="F1481" s="23">
        <f t="shared" si="69"/>
        <v>9.0277777781011537E-2</v>
      </c>
      <c r="G1481" s="24">
        <f t="shared" si="71"/>
        <v>138.46153845657875</v>
      </c>
      <c r="H1481" s="1" t="s">
        <v>1</v>
      </c>
      <c r="I1481" s="4" t="s">
        <v>3</v>
      </c>
      <c r="J1481" s="14">
        <v>0.43055555555555558</v>
      </c>
      <c r="K1481" s="20" t="str">
        <f t="shared" si="70"/>
        <v>1st Shift</v>
      </c>
    </row>
    <row r="1482" spans="1:11" x14ac:dyDescent="0.25">
      <c r="A1482" s="1">
        <v>1481</v>
      </c>
      <c r="B1482" s="1">
        <v>12</v>
      </c>
      <c r="C1482" s="3">
        <v>12115271569308</v>
      </c>
      <c r="D1482" s="2">
        <v>44446.430555555555</v>
      </c>
      <c r="E1482" s="2">
        <v>44446.520833333336</v>
      </c>
      <c r="F1482" s="23">
        <f t="shared" si="69"/>
        <v>9.0277777781011537E-2</v>
      </c>
      <c r="G1482" s="24">
        <f t="shared" si="71"/>
        <v>138.46153845657875</v>
      </c>
      <c r="H1482" s="1" t="s">
        <v>1</v>
      </c>
      <c r="I1482" s="4" t="s">
        <v>2</v>
      </c>
      <c r="J1482" s="14">
        <v>0.43055555555555558</v>
      </c>
      <c r="K1482" s="20" t="str">
        <f t="shared" si="70"/>
        <v>1st Shift</v>
      </c>
    </row>
    <row r="1483" spans="1:11" x14ac:dyDescent="0.25">
      <c r="A1483" s="1">
        <v>1482</v>
      </c>
      <c r="B1483" s="1">
        <v>12</v>
      </c>
      <c r="C1483" s="3">
        <v>12115271569307</v>
      </c>
      <c r="D1483" s="2">
        <v>44446.430555555555</v>
      </c>
      <c r="E1483" s="2">
        <v>44446.520833333336</v>
      </c>
      <c r="F1483" s="23">
        <f t="shared" si="69"/>
        <v>9.0277777781011537E-2</v>
      </c>
      <c r="G1483" s="24">
        <f t="shared" si="71"/>
        <v>138.46153845657875</v>
      </c>
      <c r="H1483" s="1" t="s">
        <v>1</v>
      </c>
      <c r="I1483" s="4" t="s">
        <v>2</v>
      </c>
      <c r="J1483" s="14">
        <v>0.43055555555555558</v>
      </c>
      <c r="K1483" s="20" t="str">
        <f t="shared" si="70"/>
        <v>1st Shift</v>
      </c>
    </row>
    <row r="1484" spans="1:11" x14ac:dyDescent="0.25">
      <c r="A1484" s="1">
        <v>1483</v>
      </c>
      <c r="B1484" s="1">
        <v>12</v>
      </c>
      <c r="C1484" s="3">
        <v>12115271569302</v>
      </c>
      <c r="D1484" s="2">
        <v>44446.430555555555</v>
      </c>
      <c r="E1484" s="2">
        <v>44446.520833333336</v>
      </c>
      <c r="F1484" s="23">
        <f t="shared" si="69"/>
        <v>9.0277777781011537E-2</v>
      </c>
      <c r="G1484" s="24">
        <f t="shared" si="71"/>
        <v>138.46153845657875</v>
      </c>
      <c r="H1484" s="1" t="s">
        <v>1</v>
      </c>
      <c r="I1484" s="4" t="s">
        <v>2</v>
      </c>
      <c r="J1484" s="14">
        <v>0.43055555555555558</v>
      </c>
      <c r="K1484" s="20" t="str">
        <f t="shared" si="70"/>
        <v>1st Shift</v>
      </c>
    </row>
    <row r="1485" spans="1:11" x14ac:dyDescent="0.25">
      <c r="A1485" s="1">
        <v>1484</v>
      </c>
      <c r="B1485" s="1">
        <v>12</v>
      </c>
      <c r="C1485" s="3">
        <v>12115271569300</v>
      </c>
      <c r="D1485" s="2">
        <v>44446.430555555555</v>
      </c>
      <c r="E1485" s="2">
        <v>44446.520833333336</v>
      </c>
      <c r="F1485" s="23">
        <f t="shared" si="69"/>
        <v>9.0277777781011537E-2</v>
      </c>
      <c r="G1485" s="24">
        <f t="shared" si="71"/>
        <v>138.46153845657875</v>
      </c>
      <c r="H1485" s="1" t="s">
        <v>1</v>
      </c>
      <c r="I1485" s="4" t="s">
        <v>2</v>
      </c>
      <c r="J1485" s="14">
        <v>0.43055555555555558</v>
      </c>
      <c r="K1485" s="20" t="str">
        <f t="shared" si="70"/>
        <v>1st Shift</v>
      </c>
    </row>
    <row r="1486" spans="1:11" x14ac:dyDescent="0.25">
      <c r="A1486" s="1">
        <v>1485</v>
      </c>
      <c r="B1486" s="1">
        <v>3</v>
      </c>
      <c r="C1486" s="3">
        <v>3115270349729</v>
      </c>
      <c r="D1486" s="2">
        <v>44446.430555555555</v>
      </c>
      <c r="E1486" s="2">
        <v>44446.520833333336</v>
      </c>
      <c r="F1486" s="23">
        <f t="shared" si="69"/>
        <v>9.0277777781011537E-2</v>
      </c>
      <c r="G1486" s="24">
        <f t="shared" si="71"/>
        <v>138.46153845657875</v>
      </c>
      <c r="H1486" s="1" t="s">
        <v>1</v>
      </c>
      <c r="I1486" s="4" t="s">
        <v>3</v>
      </c>
      <c r="J1486" s="14">
        <v>0.43055555555555558</v>
      </c>
      <c r="K1486" s="20" t="str">
        <f t="shared" si="70"/>
        <v>1st Shift</v>
      </c>
    </row>
    <row r="1487" spans="1:11" x14ac:dyDescent="0.25">
      <c r="A1487" s="1">
        <v>1486</v>
      </c>
      <c r="B1487" s="1">
        <v>3</v>
      </c>
      <c r="C1487" s="3">
        <v>3115270349719</v>
      </c>
      <c r="D1487" s="2">
        <v>44446.430555555555</v>
      </c>
      <c r="E1487" s="2">
        <v>44446.520833333336</v>
      </c>
      <c r="F1487" s="23">
        <f t="shared" si="69"/>
        <v>9.0277777781011537E-2</v>
      </c>
      <c r="G1487" s="24">
        <f t="shared" si="71"/>
        <v>138.46153845657875</v>
      </c>
      <c r="H1487" s="1" t="s">
        <v>1</v>
      </c>
      <c r="I1487" s="4" t="s">
        <v>3</v>
      </c>
      <c r="J1487" s="14">
        <v>0.43055555555555558</v>
      </c>
      <c r="K1487" s="20" t="str">
        <f t="shared" si="70"/>
        <v>1st Shift</v>
      </c>
    </row>
    <row r="1488" spans="1:11" x14ac:dyDescent="0.25">
      <c r="A1488" s="1">
        <v>1487</v>
      </c>
      <c r="B1488" s="1">
        <v>3</v>
      </c>
      <c r="C1488" s="3">
        <v>3115270349709</v>
      </c>
      <c r="D1488" s="2">
        <v>44446.430555555555</v>
      </c>
      <c r="E1488" s="2">
        <v>44446.520833333336</v>
      </c>
      <c r="F1488" s="23">
        <f t="shared" si="69"/>
        <v>9.0277777781011537E-2</v>
      </c>
      <c r="G1488" s="24">
        <f t="shared" si="71"/>
        <v>138.46153845657875</v>
      </c>
      <c r="H1488" s="1" t="s">
        <v>1</v>
      </c>
      <c r="I1488" s="4" t="s">
        <v>3</v>
      </c>
      <c r="J1488" s="14">
        <v>0.43055555555555558</v>
      </c>
      <c r="K1488" s="20" t="str">
        <f t="shared" si="70"/>
        <v>1st Shift</v>
      </c>
    </row>
    <row r="1489" spans="1:11" x14ac:dyDescent="0.25">
      <c r="A1489" s="1">
        <v>1488</v>
      </c>
      <c r="B1489" s="1">
        <v>3</v>
      </c>
      <c r="C1489" s="3">
        <v>3115270349701</v>
      </c>
      <c r="D1489" s="2">
        <v>44446.430555555555</v>
      </c>
      <c r="E1489" s="2">
        <v>44446.520833333336</v>
      </c>
      <c r="F1489" s="23">
        <f t="shared" si="69"/>
        <v>9.0277777781011537E-2</v>
      </c>
      <c r="G1489" s="24">
        <f t="shared" si="71"/>
        <v>138.46153845657875</v>
      </c>
      <c r="H1489" s="1" t="s">
        <v>1</v>
      </c>
      <c r="I1489" s="4" t="s">
        <v>2</v>
      </c>
      <c r="J1489" s="14">
        <v>0.43055555555555558</v>
      </c>
      <c r="K1489" s="20" t="str">
        <f t="shared" si="70"/>
        <v>1st Shift</v>
      </c>
    </row>
    <row r="1490" spans="1:11" x14ac:dyDescent="0.25">
      <c r="A1490" s="1">
        <v>1489</v>
      </c>
      <c r="B1490" s="1">
        <v>3</v>
      </c>
      <c r="C1490" s="3">
        <v>3115270349700</v>
      </c>
      <c r="D1490" s="2">
        <v>44446.430555555555</v>
      </c>
      <c r="E1490" s="2">
        <v>44446.520833333336</v>
      </c>
      <c r="F1490" s="23">
        <f t="shared" si="69"/>
        <v>9.0277777781011537E-2</v>
      </c>
      <c r="G1490" s="24">
        <f t="shared" si="71"/>
        <v>138.46153845657875</v>
      </c>
      <c r="H1490" s="1" t="s">
        <v>1</v>
      </c>
      <c r="I1490" s="4" t="s">
        <v>2</v>
      </c>
      <c r="J1490" s="14">
        <v>0.43055555555555558</v>
      </c>
      <c r="K1490" s="20" t="str">
        <f t="shared" si="70"/>
        <v>1st Shift</v>
      </c>
    </row>
    <row r="1491" spans="1:11" x14ac:dyDescent="0.25">
      <c r="A1491" s="1">
        <v>1490</v>
      </c>
      <c r="B1491" s="1">
        <v>3</v>
      </c>
      <c r="C1491" s="3">
        <v>3115270370727</v>
      </c>
      <c r="D1491" s="2">
        <v>44446.645833333336</v>
      </c>
      <c r="E1491" s="2">
        <v>44446.6875</v>
      </c>
      <c r="F1491" s="23">
        <f t="shared" si="69"/>
        <v>4.1666666664241347E-2</v>
      </c>
      <c r="G1491" s="24">
        <f t="shared" si="71"/>
        <v>300.0000000174623</v>
      </c>
      <c r="H1491" s="1" t="s">
        <v>1</v>
      </c>
      <c r="I1491" s="4" t="s">
        <v>3</v>
      </c>
      <c r="J1491" s="14">
        <v>0.64583333333333337</v>
      </c>
      <c r="K1491" s="20" t="str">
        <f t="shared" si="70"/>
        <v>2nd Shift</v>
      </c>
    </row>
    <row r="1492" spans="1:11" x14ac:dyDescent="0.25">
      <c r="A1492" s="1">
        <v>1491</v>
      </c>
      <c r="B1492" s="1">
        <v>3</v>
      </c>
      <c r="C1492" s="3">
        <v>3115270370718</v>
      </c>
      <c r="D1492" s="2">
        <v>44446.645833333336</v>
      </c>
      <c r="E1492" s="2">
        <v>44446.6875</v>
      </c>
      <c r="F1492" s="23">
        <f t="shared" si="69"/>
        <v>4.1666666664241347E-2</v>
      </c>
      <c r="G1492" s="24">
        <f t="shared" si="71"/>
        <v>300.0000000174623</v>
      </c>
      <c r="H1492" s="1" t="s">
        <v>1</v>
      </c>
      <c r="I1492" s="4" t="s">
        <v>3</v>
      </c>
      <c r="J1492" s="14">
        <v>0.64583333333333337</v>
      </c>
      <c r="K1492" s="20" t="str">
        <f t="shared" si="70"/>
        <v>2nd Shift</v>
      </c>
    </row>
    <row r="1493" spans="1:11" x14ac:dyDescent="0.25">
      <c r="A1493" s="1">
        <v>1492</v>
      </c>
      <c r="B1493" s="1">
        <v>3</v>
      </c>
      <c r="C1493" s="3">
        <v>3115270370710</v>
      </c>
      <c r="D1493" s="2">
        <v>44446.645833333336</v>
      </c>
      <c r="E1493" s="2">
        <v>44446.6875</v>
      </c>
      <c r="F1493" s="23">
        <f t="shared" si="69"/>
        <v>4.1666666664241347E-2</v>
      </c>
      <c r="G1493" s="24">
        <f t="shared" si="71"/>
        <v>300.0000000174623</v>
      </c>
      <c r="H1493" s="1" t="s">
        <v>1</v>
      </c>
      <c r="I1493" s="4" t="s">
        <v>2</v>
      </c>
      <c r="J1493" s="14">
        <v>0.64583333333333337</v>
      </c>
      <c r="K1493" s="20" t="str">
        <f t="shared" si="70"/>
        <v>2nd Shift</v>
      </c>
    </row>
    <row r="1494" spans="1:11" x14ac:dyDescent="0.25">
      <c r="A1494" s="1">
        <v>1493</v>
      </c>
      <c r="B1494" s="1">
        <v>3</v>
      </c>
      <c r="C1494" s="3">
        <v>3115270370707</v>
      </c>
      <c r="D1494" s="2">
        <v>44446.645833333336</v>
      </c>
      <c r="E1494" s="2">
        <v>44446.6875</v>
      </c>
      <c r="F1494" s="23">
        <f t="shared" si="69"/>
        <v>4.1666666664241347E-2</v>
      </c>
      <c r="G1494" s="24">
        <f t="shared" si="71"/>
        <v>300.0000000174623</v>
      </c>
      <c r="H1494" s="1" t="s">
        <v>1</v>
      </c>
      <c r="I1494" s="4" t="s">
        <v>2</v>
      </c>
      <c r="J1494" s="14">
        <v>0.64583333333333337</v>
      </c>
      <c r="K1494" s="20" t="str">
        <f t="shared" si="70"/>
        <v>2nd Shift</v>
      </c>
    </row>
    <row r="1495" spans="1:11" x14ac:dyDescent="0.25">
      <c r="A1495" s="1">
        <v>1494</v>
      </c>
      <c r="B1495" s="1">
        <v>3</v>
      </c>
      <c r="C1495" s="3">
        <v>3115270370705</v>
      </c>
      <c r="D1495" s="2">
        <v>44446.645833333336</v>
      </c>
      <c r="E1495" s="2">
        <v>44446.6875</v>
      </c>
      <c r="F1495" s="23">
        <f t="shared" si="69"/>
        <v>4.1666666664241347E-2</v>
      </c>
      <c r="G1495" s="24">
        <f t="shared" si="71"/>
        <v>300.0000000174623</v>
      </c>
      <c r="H1495" s="1" t="s">
        <v>1</v>
      </c>
      <c r="I1495" s="4" t="s">
        <v>2</v>
      </c>
      <c r="J1495" s="14">
        <v>0.64583333333333337</v>
      </c>
      <c r="K1495" s="20" t="str">
        <f t="shared" si="70"/>
        <v>2nd Shift</v>
      </c>
    </row>
    <row r="1496" spans="1:11" x14ac:dyDescent="0.25">
      <c r="A1496" s="1">
        <v>1495</v>
      </c>
      <c r="B1496" s="1">
        <v>3</v>
      </c>
      <c r="C1496" s="3">
        <v>3115270370700</v>
      </c>
      <c r="D1496" s="2">
        <v>44446.645833333336</v>
      </c>
      <c r="E1496" s="2">
        <v>44446.6875</v>
      </c>
      <c r="F1496" s="23">
        <f t="shared" si="69"/>
        <v>4.1666666664241347E-2</v>
      </c>
      <c r="G1496" s="24">
        <f t="shared" si="71"/>
        <v>300.0000000174623</v>
      </c>
      <c r="H1496" s="1" t="s">
        <v>1</v>
      </c>
      <c r="I1496" s="4" t="s">
        <v>2</v>
      </c>
      <c r="J1496" s="14">
        <v>0.64583333333333337</v>
      </c>
      <c r="K1496" s="20" t="str">
        <f t="shared" si="70"/>
        <v>2nd Shift</v>
      </c>
    </row>
    <row r="1497" spans="1:11" x14ac:dyDescent="0.25">
      <c r="A1497" s="1">
        <v>1496</v>
      </c>
      <c r="B1497" s="1">
        <v>1</v>
      </c>
      <c r="C1497" s="3">
        <v>1115270026801</v>
      </c>
      <c r="D1497" s="2">
        <v>44447.520833333336</v>
      </c>
      <c r="E1497" s="2">
        <v>44447.569444444445</v>
      </c>
      <c r="F1497" s="23">
        <f t="shared" si="69"/>
        <v>4.8611111109494232E-2</v>
      </c>
      <c r="G1497" s="24">
        <f t="shared" si="71"/>
        <v>257.14285715141011</v>
      </c>
      <c r="H1497" s="1" t="s">
        <v>1</v>
      </c>
      <c r="I1497" s="4" t="s">
        <v>2</v>
      </c>
      <c r="J1497" s="14">
        <v>0.52083333333333337</v>
      </c>
      <c r="K1497" s="20" t="str">
        <f t="shared" si="70"/>
        <v>1st Shift</v>
      </c>
    </row>
    <row r="1498" spans="1:11" x14ac:dyDescent="0.25">
      <c r="A1498" s="1">
        <v>1497</v>
      </c>
      <c r="B1498" s="1">
        <v>1</v>
      </c>
      <c r="C1498" s="3">
        <v>1115270026800</v>
      </c>
      <c r="D1498" s="2">
        <v>44447.520833333336</v>
      </c>
      <c r="E1498" s="2">
        <v>44447.569444444445</v>
      </c>
      <c r="F1498" s="23">
        <f t="shared" si="69"/>
        <v>4.8611111109494232E-2</v>
      </c>
      <c r="G1498" s="24">
        <f t="shared" si="71"/>
        <v>257.14285715141011</v>
      </c>
      <c r="H1498" s="1" t="s">
        <v>1</v>
      </c>
      <c r="I1498" s="4" t="s">
        <v>3</v>
      </c>
      <c r="J1498" s="14">
        <v>0.52083333333333337</v>
      </c>
      <c r="K1498" s="20" t="str">
        <f t="shared" si="70"/>
        <v>1st Shift</v>
      </c>
    </row>
    <row r="1499" spans="1:11" x14ac:dyDescent="0.25">
      <c r="A1499" s="1">
        <v>1498</v>
      </c>
      <c r="B1499" s="1">
        <v>44</v>
      </c>
      <c r="C1499" s="3">
        <v>44115271685206</v>
      </c>
      <c r="D1499" s="2">
        <v>44447.684027777781</v>
      </c>
      <c r="E1499" s="2">
        <v>44447.802083333336</v>
      </c>
      <c r="F1499" s="23">
        <f t="shared" si="69"/>
        <v>0.11805555555474712</v>
      </c>
      <c r="G1499" s="24">
        <f t="shared" si="71"/>
        <v>105.88235294190156</v>
      </c>
      <c r="H1499" s="1" t="s">
        <v>1</v>
      </c>
      <c r="I1499" s="4" t="s">
        <v>2</v>
      </c>
      <c r="J1499" s="14">
        <v>0.68402777777777779</v>
      </c>
      <c r="K1499" s="20" t="str">
        <f t="shared" si="70"/>
        <v>2nd Shift</v>
      </c>
    </row>
    <row r="1500" spans="1:11" x14ac:dyDescent="0.25">
      <c r="A1500" s="1">
        <v>1499</v>
      </c>
      <c r="B1500" s="1">
        <v>44</v>
      </c>
      <c r="C1500" s="3">
        <v>44115271685205</v>
      </c>
      <c r="D1500" s="2">
        <v>44447.684027777781</v>
      </c>
      <c r="E1500" s="2">
        <v>44447.802083333336</v>
      </c>
      <c r="F1500" s="23">
        <f t="shared" si="69"/>
        <v>0.11805555555474712</v>
      </c>
      <c r="G1500" s="24">
        <f t="shared" si="71"/>
        <v>105.88235294190156</v>
      </c>
      <c r="H1500" s="1" t="s">
        <v>1</v>
      </c>
      <c r="I1500" s="4" t="s">
        <v>3</v>
      </c>
      <c r="J1500" s="14">
        <v>0.68402777777777779</v>
      </c>
      <c r="K1500" s="20" t="str">
        <f t="shared" si="70"/>
        <v>2nd Shift</v>
      </c>
    </row>
    <row r="1501" spans="1:11" x14ac:dyDescent="0.25">
      <c r="A1501" s="1">
        <v>1500</v>
      </c>
      <c r="B1501" s="1">
        <v>27</v>
      </c>
      <c r="C1501" s="3">
        <v>27115270490209</v>
      </c>
      <c r="D1501" s="2">
        <v>44447.684027777781</v>
      </c>
      <c r="E1501" s="2">
        <v>44447.802083333336</v>
      </c>
      <c r="F1501" s="23">
        <f t="shared" si="69"/>
        <v>0.11805555555474712</v>
      </c>
      <c r="G1501" s="24">
        <f t="shared" si="71"/>
        <v>105.88235294190156</v>
      </c>
      <c r="H1501" s="1" t="s">
        <v>1</v>
      </c>
      <c r="I1501" s="4" t="s">
        <v>2</v>
      </c>
      <c r="J1501" s="14">
        <v>0.68402777777777779</v>
      </c>
      <c r="K1501" s="20" t="str">
        <f t="shared" si="70"/>
        <v>2nd Shift</v>
      </c>
    </row>
    <row r="1502" spans="1:11" x14ac:dyDescent="0.25">
      <c r="A1502" s="1">
        <v>1501</v>
      </c>
      <c r="B1502" s="1">
        <v>27</v>
      </c>
      <c r="C1502" s="3">
        <v>27115270490208</v>
      </c>
      <c r="D1502" s="2">
        <v>44447.684027777781</v>
      </c>
      <c r="E1502" s="2">
        <v>44447.802083333336</v>
      </c>
      <c r="F1502" s="23">
        <f t="shared" si="69"/>
        <v>0.11805555555474712</v>
      </c>
      <c r="G1502" s="24">
        <f t="shared" si="71"/>
        <v>105.88235294190156</v>
      </c>
      <c r="H1502" s="1" t="s">
        <v>1</v>
      </c>
      <c r="I1502" s="4" t="s">
        <v>3</v>
      </c>
      <c r="J1502" s="14">
        <v>0.68402777777777779</v>
      </c>
      <c r="K1502" s="20" t="str">
        <f t="shared" si="70"/>
        <v>2nd Shift</v>
      </c>
    </row>
    <row r="1503" spans="1:11" x14ac:dyDescent="0.25">
      <c r="A1503" s="1">
        <v>1502</v>
      </c>
      <c r="B1503" s="1">
        <v>7</v>
      </c>
      <c r="C1503" s="3">
        <v>7115271760507</v>
      </c>
      <c r="D1503" s="2">
        <v>44447.684027777781</v>
      </c>
      <c r="E1503" s="2">
        <v>44447.802083333336</v>
      </c>
      <c r="F1503" s="23">
        <f t="shared" si="69"/>
        <v>0.11805555555474712</v>
      </c>
      <c r="G1503" s="24">
        <f t="shared" si="71"/>
        <v>105.88235294190156</v>
      </c>
      <c r="H1503" s="1" t="s">
        <v>1</v>
      </c>
      <c r="I1503" s="4" t="s">
        <v>3</v>
      </c>
      <c r="J1503" s="14">
        <v>0.68402777777777779</v>
      </c>
      <c r="K1503" s="20" t="str">
        <f t="shared" si="70"/>
        <v>2nd Shift</v>
      </c>
    </row>
    <row r="1504" spans="1:11" x14ac:dyDescent="0.25">
      <c r="A1504" s="1">
        <v>1503</v>
      </c>
      <c r="B1504" s="1">
        <v>7</v>
      </c>
      <c r="C1504" s="3">
        <v>7115271760501</v>
      </c>
      <c r="D1504" s="2">
        <v>44447.684027777781</v>
      </c>
      <c r="E1504" s="2">
        <v>44447.802083333336</v>
      </c>
      <c r="F1504" s="23">
        <f t="shared" si="69"/>
        <v>0.11805555555474712</v>
      </c>
      <c r="G1504" s="24">
        <f t="shared" si="71"/>
        <v>105.88235294190156</v>
      </c>
      <c r="H1504" s="1" t="s">
        <v>1</v>
      </c>
      <c r="I1504" s="4" t="s">
        <v>3</v>
      </c>
      <c r="J1504" s="14">
        <v>0.68402777777777779</v>
      </c>
      <c r="K1504" s="20" t="str">
        <f t="shared" si="70"/>
        <v>2nd Shift</v>
      </c>
    </row>
    <row r="1505" spans="1:11" x14ac:dyDescent="0.25">
      <c r="A1505" s="1">
        <v>1504</v>
      </c>
      <c r="B1505" s="1">
        <v>7</v>
      </c>
      <c r="C1505" s="3">
        <v>7115271760500</v>
      </c>
      <c r="D1505" s="2">
        <v>44447.684027777781</v>
      </c>
      <c r="E1505" s="2">
        <v>44447.802083333336</v>
      </c>
      <c r="F1505" s="23">
        <f t="shared" si="69"/>
        <v>0.11805555555474712</v>
      </c>
      <c r="G1505" s="24">
        <f t="shared" si="71"/>
        <v>105.88235294190156</v>
      </c>
      <c r="H1505" s="1" t="s">
        <v>1</v>
      </c>
      <c r="I1505" s="4" t="s">
        <v>3</v>
      </c>
      <c r="J1505" s="14">
        <v>0.68402777777777779</v>
      </c>
      <c r="K1505" s="20" t="str">
        <f t="shared" si="70"/>
        <v>2nd Shift</v>
      </c>
    </row>
    <row r="1506" spans="1:11" x14ac:dyDescent="0.25">
      <c r="A1506" s="1">
        <v>1505</v>
      </c>
      <c r="B1506" s="1">
        <v>12</v>
      </c>
      <c r="C1506" s="3">
        <v>12115271573202</v>
      </c>
      <c r="D1506" s="2">
        <v>44447.8125</v>
      </c>
      <c r="E1506" s="2">
        <v>44447.916666666664</v>
      </c>
      <c r="F1506" s="23">
        <f t="shared" si="69"/>
        <v>0.10416666666424135</v>
      </c>
      <c r="G1506" s="24">
        <f t="shared" si="71"/>
        <v>120.00000000279397</v>
      </c>
      <c r="H1506" s="1" t="s">
        <v>1</v>
      </c>
      <c r="I1506" s="4" t="s">
        <v>2</v>
      </c>
      <c r="J1506" s="14">
        <v>0.8125</v>
      </c>
      <c r="K1506" s="20" t="str">
        <f t="shared" si="70"/>
        <v>2nd Shift</v>
      </c>
    </row>
    <row r="1507" spans="1:11" x14ac:dyDescent="0.25">
      <c r="A1507" s="1">
        <v>1506</v>
      </c>
      <c r="B1507" s="1">
        <v>12</v>
      </c>
      <c r="C1507" s="3">
        <v>12115271573201</v>
      </c>
      <c r="D1507" s="2">
        <v>44447.8125</v>
      </c>
      <c r="E1507" s="2">
        <v>44447.916666666664</v>
      </c>
      <c r="F1507" s="23">
        <f t="shared" si="69"/>
        <v>0.10416666666424135</v>
      </c>
      <c r="G1507" s="24">
        <f t="shared" si="71"/>
        <v>120.00000000279397</v>
      </c>
      <c r="H1507" s="1" t="s">
        <v>1</v>
      </c>
      <c r="I1507" s="4" t="s">
        <v>2</v>
      </c>
      <c r="J1507" s="14">
        <v>0.8125</v>
      </c>
      <c r="K1507" s="20" t="str">
        <f t="shared" si="70"/>
        <v>2nd Shift</v>
      </c>
    </row>
    <row r="1508" spans="1:11" x14ac:dyDescent="0.25">
      <c r="A1508" s="1">
        <v>1507</v>
      </c>
      <c r="B1508" s="1">
        <v>12</v>
      </c>
      <c r="C1508" s="3">
        <v>12115271560114</v>
      </c>
      <c r="D1508" s="2">
        <v>44447.8125</v>
      </c>
      <c r="E1508" s="2">
        <v>44447.916666666664</v>
      </c>
      <c r="F1508" s="23">
        <f t="shared" si="69"/>
        <v>0.10416666666424135</v>
      </c>
      <c r="G1508" s="24">
        <f t="shared" si="71"/>
        <v>120.00000000279397</v>
      </c>
      <c r="H1508" s="1" t="s">
        <v>1</v>
      </c>
      <c r="I1508" s="4" t="s">
        <v>3</v>
      </c>
      <c r="J1508" s="14">
        <v>0.8125</v>
      </c>
      <c r="K1508" s="20" t="str">
        <f t="shared" si="70"/>
        <v>2nd Shift</v>
      </c>
    </row>
    <row r="1509" spans="1:11" x14ac:dyDescent="0.25">
      <c r="A1509" s="1">
        <v>1508</v>
      </c>
      <c r="B1509" s="1">
        <v>12</v>
      </c>
      <c r="C1509" s="3">
        <v>12115271560113</v>
      </c>
      <c r="D1509" s="2">
        <v>44447.8125</v>
      </c>
      <c r="E1509" s="2">
        <v>44447.916666666664</v>
      </c>
      <c r="F1509" s="23">
        <f t="shared" si="69"/>
        <v>0.10416666666424135</v>
      </c>
      <c r="G1509" s="24">
        <f t="shared" si="71"/>
        <v>120.00000000279397</v>
      </c>
      <c r="H1509" s="1" t="s">
        <v>1</v>
      </c>
      <c r="I1509" s="4" t="s">
        <v>3</v>
      </c>
      <c r="J1509" s="14">
        <v>0.8125</v>
      </c>
      <c r="K1509" s="20" t="str">
        <f t="shared" si="70"/>
        <v>2nd Shift</v>
      </c>
    </row>
    <row r="1510" spans="1:11" x14ac:dyDescent="0.25">
      <c r="A1510" s="1">
        <v>1509</v>
      </c>
      <c r="B1510" s="1">
        <v>10</v>
      </c>
      <c r="C1510" s="3">
        <v>10115271958202</v>
      </c>
      <c r="D1510" s="2">
        <v>44447.8125</v>
      </c>
      <c r="E1510" s="2">
        <v>44447.916666666664</v>
      </c>
      <c r="F1510" s="23">
        <f t="shared" si="69"/>
        <v>0.10416666666424135</v>
      </c>
      <c r="G1510" s="24">
        <f t="shared" si="71"/>
        <v>120.00000000279397</v>
      </c>
      <c r="H1510" s="1" t="s">
        <v>1</v>
      </c>
      <c r="I1510" s="4" t="s">
        <v>3</v>
      </c>
      <c r="J1510" s="14">
        <v>0.8125</v>
      </c>
      <c r="K1510" s="20" t="str">
        <f t="shared" si="70"/>
        <v>2nd Shift</v>
      </c>
    </row>
    <row r="1511" spans="1:11" x14ac:dyDescent="0.25">
      <c r="A1511" s="1">
        <v>1510</v>
      </c>
      <c r="B1511" s="1">
        <v>10</v>
      </c>
      <c r="C1511" s="3">
        <v>10115271958201</v>
      </c>
      <c r="D1511" s="2">
        <v>44447.8125</v>
      </c>
      <c r="E1511" s="2">
        <v>44447.916666666664</v>
      </c>
      <c r="F1511" s="23">
        <f t="shared" si="69"/>
        <v>0.10416666666424135</v>
      </c>
      <c r="G1511" s="24">
        <f t="shared" si="71"/>
        <v>120.00000000279397</v>
      </c>
      <c r="H1511" s="1" t="s">
        <v>1</v>
      </c>
      <c r="I1511" s="4" t="s">
        <v>3</v>
      </c>
      <c r="J1511" s="14">
        <v>0.8125</v>
      </c>
      <c r="K1511" s="20" t="str">
        <f t="shared" si="70"/>
        <v>2nd Shift</v>
      </c>
    </row>
    <row r="1512" spans="1:11" x14ac:dyDescent="0.25">
      <c r="A1512" s="1">
        <v>1511</v>
      </c>
      <c r="B1512" s="1">
        <v>9</v>
      </c>
      <c r="C1512" s="3">
        <v>9115270642404</v>
      </c>
      <c r="D1512" s="2">
        <v>44447.8125</v>
      </c>
      <c r="E1512" s="2">
        <v>44447.916666666664</v>
      </c>
      <c r="F1512" s="23">
        <f t="shared" si="69"/>
        <v>0.10416666666424135</v>
      </c>
      <c r="G1512" s="24">
        <f t="shared" si="71"/>
        <v>120.00000000279397</v>
      </c>
      <c r="H1512" s="1" t="s">
        <v>1</v>
      </c>
      <c r="I1512" s="4" t="s">
        <v>3</v>
      </c>
      <c r="J1512" s="14">
        <v>0.8125</v>
      </c>
      <c r="K1512" s="20" t="str">
        <f t="shared" si="70"/>
        <v>2nd Shift</v>
      </c>
    </row>
    <row r="1513" spans="1:11" x14ac:dyDescent="0.25">
      <c r="A1513" s="1">
        <v>1512</v>
      </c>
      <c r="B1513" s="1">
        <v>9</v>
      </c>
      <c r="C1513" s="3">
        <v>9115270642403</v>
      </c>
      <c r="D1513" s="2">
        <v>44447.8125</v>
      </c>
      <c r="E1513" s="2">
        <v>44447.916666666664</v>
      </c>
      <c r="F1513" s="23">
        <f t="shared" si="69"/>
        <v>0.10416666666424135</v>
      </c>
      <c r="G1513" s="24">
        <f t="shared" si="71"/>
        <v>120.00000000279397</v>
      </c>
      <c r="H1513" s="1" t="s">
        <v>1</v>
      </c>
      <c r="I1513" s="4" t="s">
        <v>2</v>
      </c>
      <c r="J1513" s="14">
        <v>0.8125</v>
      </c>
      <c r="K1513" s="20" t="str">
        <f t="shared" si="70"/>
        <v>2nd Shift</v>
      </c>
    </row>
    <row r="1514" spans="1:11" x14ac:dyDescent="0.25">
      <c r="A1514" s="1">
        <v>1513</v>
      </c>
      <c r="B1514" s="1">
        <v>13</v>
      </c>
      <c r="C1514" s="3">
        <v>13115271590500</v>
      </c>
      <c r="D1514" s="2">
        <v>44447.930555555555</v>
      </c>
      <c r="E1514" s="2">
        <v>44447.965277777781</v>
      </c>
      <c r="F1514" s="23">
        <f t="shared" si="69"/>
        <v>3.4722222226264421E-2</v>
      </c>
      <c r="G1514" s="24">
        <f t="shared" si="71"/>
        <v>359.99999995809048</v>
      </c>
      <c r="H1514" s="1" t="s">
        <v>1</v>
      </c>
      <c r="I1514" s="4" t="s">
        <v>2</v>
      </c>
      <c r="J1514" s="14">
        <v>0.93055555555555558</v>
      </c>
      <c r="K1514" s="20" t="str">
        <f t="shared" si="70"/>
        <v>3rd Shift</v>
      </c>
    </row>
    <row r="1515" spans="1:11" x14ac:dyDescent="0.25">
      <c r="A1515" s="1">
        <v>1514</v>
      </c>
      <c r="B1515" s="1">
        <v>14</v>
      </c>
      <c r="C1515" s="3">
        <v>14115271673161</v>
      </c>
      <c r="D1515" s="2">
        <v>44448.673611111109</v>
      </c>
      <c r="E1515" s="2">
        <v>44448.809027777781</v>
      </c>
      <c r="F1515" s="23">
        <f t="shared" si="69"/>
        <v>0.13541666667151731</v>
      </c>
      <c r="G1515" s="24">
        <f t="shared" si="71"/>
        <v>92.307692304385839</v>
      </c>
      <c r="H1515" s="1" t="s">
        <v>1</v>
      </c>
      <c r="I1515" s="4" t="s">
        <v>2</v>
      </c>
      <c r="J1515" s="14">
        <v>0.67361111111111116</v>
      </c>
      <c r="K1515" s="20" t="str">
        <f t="shared" si="70"/>
        <v>2nd Shift</v>
      </c>
    </row>
    <row r="1516" spans="1:11" x14ac:dyDescent="0.25">
      <c r="A1516" s="1">
        <v>1515</v>
      </c>
      <c r="B1516" s="1">
        <v>14</v>
      </c>
      <c r="C1516" s="3">
        <v>14115271673148</v>
      </c>
      <c r="D1516" s="2">
        <v>44448.673611111109</v>
      </c>
      <c r="E1516" s="2">
        <v>44448.809027777781</v>
      </c>
      <c r="F1516" s="23">
        <f t="shared" si="69"/>
        <v>0.13541666667151731</v>
      </c>
      <c r="G1516" s="24">
        <f t="shared" si="71"/>
        <v>92.307692304385839</v>
      </c>
      <c r="H1516" s="1" t="s">
        <v>1</v>
      </c>
      <c r="I1516" s="4" t="s">
        <v>2</v>
      </c>
      <c r="J1516" s="14">
        <v>0.67361111111111116</v>
      </c>
      <c r="K1516" s="20" t="str">
        <f t="shared" si="70"/>
        <v>2nd Shift</v>
      </c>
    </row>
    <row r="1517" spans="1:11" x14ac:dyDescent="0.25">
      <c r="A1517" s="1">
        <v>1516</v>
      </c>
      <c r="B1517" s="1">
        <v>12</v>
      </c>
      <c r="C1517" s="3">
        <v>12115271560158</v>
      </c>
      <c r="D1517" s="2">
        <v>44448.673611111109</v>
      </c>
      <c r="E1517" s="2">
        <v>44448.809027777781</v>
      </c>
      <c r="F1517" s="23">
        <f t="shared" si="69"/>
        <v>0.13541666667151731</v>
      </c>
      <c r="G1517" s="24">
        <f t="shared" si="71"/>
        <v>92.307692304385839</v>
      </c>
      <c r="H1517" s="1" t="s">
        <v>1</v>
      </c>
      <c r="I1517" s="4" t="s">
        <v>2</v>
      </c>
      <c r="J1517" s="14">
        <v>0.67361111111111116</v>
      </c>
      <c r="K1517" s="20" t="str">
        <f t="shared" si="70"/>
        <v>2nd Shift</v>
      </c>
    </row>
    <row r="1518" spans="1:11" x14ac:dyDescent="0.25">
      <c r="A1518" s="1">
        <v>1517</v>
      </c>
      <c r="B1518" s="1">
        <v>11</v>
      </c>
      <c r="C1518" s="3">
        <v>11115271542302</v>
      </c>
      <c r="D1518" s="2">
        <v>44448.673611111109</v>
      </c>
      <c r="E1518" s="2">
        <v>44448.809027777781</v>
      </c>
      <c r="F1518" s="23">
        <f t="shared" si="69"/>
        <v>0.13541666667151731</v>
      </c>
      <c r="G1518" s="24">
        <f t="shared" si="71"/>
        <v>92.307692304385839</v>
      </c>
      <c r="H1518" s="1" t="s">
        <v>1</v>
      </c>
      <c r="I1518" s="4" t="s">
        <v>2</v>
      </c>
      <c r="J1518" s="14">
        <v>0.67361111111111116</v>
      </c>
      <c r="K1518" s="20" t="str">
        <f t="shared" si="70"/>
        <v>2nd Shift</v>
      </c>
    </row>
    <row r="1519" spans="1:11" x14ac:dyDescent="0.25">
      <c r="A1519" s="1">
        <v>1518</v>
      </c>
      <c r="B1519" s="1">
        <v>6</v>
      </c>
      <c r="C1519" s="3">
        <v>6115271720801</v>
      </c>
      <c r="D1519" s="2">
        <v>44448.673611111109</v>
      </c>
      <c r="E1519" s="2">
        <v>44448.809027777781</v>
      </c>
      <c r="F1519" s="23">
        <f t="shared" si="69"/>
        <v>0.13541666667151731</v>
      </c>
      <c r="G1519" s="24">
        <f t="shared" si="71"/>
        <v>92.307692304385839</v>
      </c>
      <c r="H1519" s="1" t="s">
        <v>1</v>
      </c>
      <c r="I1519" s="4" t="s">
        <v>2</v>
      </c>
      <c r="J1519" s="14">
        <v>0.67361111111111116</v>
      </c>
      <c r="K1519" s="20" t="str">
        <f t="shared" si="70"/>
        <v>2nd Shift</v>
      </c>
    </row>
    <row r="1520" spans="1:11" x14ac:dyDescent="0.25">
      <c r="A1520" s="1">
        <v>1519</v>
      </c>
      <c r="B1520" s="1">
        <v>3</v>
      </c>
      <c r="C1520" s="3">
        <v>3115270347400</v>
      </c>
      <c r="D1520" s="2">
        <v>44448.673611111109</v>
      </c>
      <c r="E1520" s="2">
        <v>44448.809027777781</v>
      </c>
      <c r="F1520" s="23">
        <f t="shared" si="69"/>
        <v>0.13541666667151731</v>
      </c>
      <c r="G1520" s="24">
        <f t="shared" si="71"/>
        <v>92.307692304385839</v>
      </c>
      <c r="H1520" s="1" t="s">
        <v>1</v>
      </c>
      <c r="I1520" s="4" t="s">
        <v>2</v>
      </c>
      <c r="J1520" s="14">
        <v>0.67361111111111116</v>
      </c>
      <c r="K1520" s="20" t="str">
        <f t="shared" si="70"/>
        <v>2nd Shift</v>
      </c>
    </row>
    <row r="1521" spans="1:11" x14ac:dyDescent="0.25">
      <c r="A1521" s="1">
        <v>1520</v>
      </c>
      <c r="B1521" s="1">
        <v>1</v>
      </c>
      <c r="C1521" s="3">
        <v>1115270127100</v>
      </c>
      <c r="D1521" s="2">
        <v>44448.673611111109</v>
      </c>
      <c r="E1521" s="2">
        <v>44448.809027777781</v>
      </c>
      <c r="F1521" s="23">
        <f t="shared" si="69"/>
        <v>0.13541666667151731</v>
      </c>
      <c r="G1521" s="24">
        <f t="shared" si="71"/>
        <v>92.307692304385839</v>
      </c>
      <c r="H1521" s="1" t="s">
        <v>1</v>
      </c>
      <c r="I1521" s="4" t="s">
        <v>3</v>
      </c>
      <c r="J1521" s="14">
        <v>0.67361111111111116</v>
      </c>
      <c r="K1521" s="20" t="str">
        <f t="shared" si="70"/>
        <v>2nd Shift</v>
      </c>
    </row>
    <row r="1522" spans="1:11" x14ac:dyDescent="0.25">
      <c r="A1522" s="1">
        <v>1521</v>
      </c>
      <c r="B1522" s="1">
        <v>15</v>
      </c>
      <c r="C1522" s="3">
        <v>15115271778601</v>
      </c>
      <c r="D1522" s="2">
        <v>44448.822916666664</v>
      </c>
      <c r="E1522" s="2">
        <v>44448.909722222219</v>
      </c>
      <c r="F1522" s="23">
        <f t="shared" si="69"/>
        <v>8.6805555554747116E-2</v>
      </c>
      <c r="G1522" s="24">
        <f t="shared" si="71"/>
        <v>144.00000000134111</v>
      </c>
      <c r="H1522" s="1" t="s">
        <v>1</v>
      </c>
      <c r="I1522" s="4" t="s">
        <v>2</v>
      </c>
      <c r="J1522" s="14">
        <v>0.82291666666666663</v>
      </c>
      <c r="K1522" s="20" t="str">
        <f t="shared" si="70"/>
        <v>2nd Shift</v>
      </c>
    </row>
    <row r="1523" spans="1:11" x14ac:dyDescent="0.25">
      <c r="A1523" s="1">
        <v>1522</v>
      </c>
      <c r="B1523" s="1">
        <v>15</v>
      </c>
      <c r="C1523" s="3">
        <v>15115271766713</v>
      </c>
      <c r="D1523" s="2">
        <v>44448.822916666664</v>
      </c>
      <c r="E1523" s="2">
        <v>44448.909722222219</v>
      </c>
      <c r="F1523" s="23">
        <f t="shared" si="69"/>
        <v>8.6805555554747116E-2</v>
      </c>
      <c r="G1523" s="24">
        <f t="shared" si="71"/>
        <v>144.00000000134111</v>
      </c>
      <c r="H1523" s="1" t="s">
        <v>1</v>
      </c>
      <c r="I1523" s="4" t="s">
        <v>3</v>
      </c>
      <c r="J1523" s="14">
        <v>0.82291666666666663</v>
      </c>
      <c r="K1523" s="20" t="str">
        <f t="shared" si="70"/>
        <v>2nd Shift</v>
      </c>
    </row>
    <row r="1524" spans="1:11" x14ac:dyDescent="0.25">
      <c r="A1524" s="1">
        <v>1523</v>
      </c>
      <c r="B1524" s="1">
        <v>15</v>
      </c>
      <c r="C1524" s="3">
        <v>15115271747901</v>
      </c>
      <c r="D1524" s="2">
        <v>44448.822916666664</v>
      </c>
      <c r="E1524" s="2">
        <v>44448.909722222219</v>
      </c>
      <c r="F1524" s="23">
        <f t="shared" si="69"/>
        <v>8.6805555554747116E-2</v>
      </c>
      <c r="G1524" s="24">
        <f t="shared" si="71"/>
        <v>144.00000000134111</v>
      </c>
      <c r="H1524" s="1" t="s">
        <v>1</v>
      </c>
      <c r="I1524" s="4" t="s">
        <v>3</v>
      </c>
      <c r="J1524" s="14">
        <v>0.82291666666666663</v>
      </c>
      <c r="K1524" s="20" t="str">
        <f t="shared" si="70"/>
        <v>2nd Shift</v>
      </c>
    </row>
    <row r="1525" spans="1:11" x14ac:dyDescent="0.25">
      <c r="A1525" s="1">
        <v>1524</v>
      </c>
      <c r="B1525" s="1">
        <v>14</v>
      </c>
      <c r="C1525" s="3">
        <v>14115271710816</v>
      </c>
      <c r="D1525" s="2">
        <v>44448.822916666664</v>
      </c>
      <c r="E1525" s="2">
        <v>44448.909722222219</v>
      </c>
      <c r="F1525" s="23">
        <f t="shared" si="69"/>
        <v>8.6805555554747116E-2</v>
      </c>
      <c r="G1525" s="24">
        <f t="shared" si="71"/>
        <v>144.00000000134111</v>
      </c>
      <c r="H1525" s="1" t="s">
        <v>1</v>
      </c>
      <c r="I1525" s="4" t="s">
        <v>3</v>
      </c>
      <c r="J1525" s="14">
        <v>0.82291666666666663</v>
      </c>
      <c r="K1525" s="20" t="str">
        <f t="shared" si="70"/>
        <v>2nd Shift</v>
      </c>
    </row>
    <row r="1526" spans="1:11" x14ac:dyDescent="0.25">
      <c r="A1526" s="1">
        <v>1525</v>
      </c>
      <c r="B1526" s="1">
        <v>11</v>
      </c>
      <c r="C1526" s="3">
        <v>11115271542604</v>
      </c>
      <c r="D1526" s="2">
        <v>44448.822916666664</v>
      </c>
      <c r="E1526" s="2">
        <v>44448.909722222219</v>
      </c>
      <c r="F1526" s="23">
        <f t="shared" si="69"/>
        <v>8.6805555554747116E-2</v>
      </c>
      <c r="G1526" s="24">
        <f t="shared" si="71"/>
        <v>144.00000000134111</v>
      </c>
      <c r="H1526" s="1" t="s">
        <v>1</v>
      </c>
      <c r="I1526" s="4" t="s">
        <v>2</v>
      </c>
      <c r="J1526" s="14">
        <v>0.82291666666666663</v>
      </c>
      <c r="K1526" s="20" t="str">
        <f t="shared" si="70"/>
        <v>2nd Shift</v>
      </c>
    </row>
    <row r="1527" spans="1:11" x14ac:dyDescent="0.25">
      <c r="A1527" s="1">
        <v>1526</v>
      </c>
      <c r="B1527" s="1">
        <v>10</v>
      </c>
      <c r="C1527" s="3">
        <v>10115271449901</v>
      </c>
      <c r="D1527" s="2">
        <v>44448.822916666664</v>
      </c>
      <c r="E1527" s="2">
        <v>44448.909722222219</v>
      </c>
      <c r="F1527" s="23">
        <f t="shared" si="69"/>
        <v>8.6805555554747116E-2</v>
      </c>
      <c r="G1527" s="24">
        <f t="shared" si="71"/>
        <v>144.00000000134111</v>
      </c>
      <c r="H1527" s="1" t="s">
        <v>1</v>
      </c>
      <c r="I1527" s="4" t="s">
        <v>2</v>
      </c>
      <c r="J1527" s="14">
        <v>0.82291666666666663</v>
      </c>
      <c r="K1527" s="20" t="str">
        <f t="shared" si="70"/>
        <v>2nd Shift</v>
      </c>
    </row>
    <row r="1528" spans="1:11" x14ac:dyDescent="0.25">
      <c r="A1528" s="1">
        <v>1527</v>
      </c>
      <c r="B1528" s="1">
        <v>1</v>
      </c>
      <c r="C1528" s="3">
        <v>1115270114700</v>
      </c>
      <c r="D1528" s="2">
        <v>44448.822916666664</v>
      </c>
      <c r="E1528" s="2">
        <v>44448.909722222219</v>
      </c>
      <c r="F1528" s="23">
        <f t="shared" si="69"/>
        <v>8.6805555554747116E-2</v>
      </c>
      <c r="G1528" s="24">
        <f t="shared" si="71"/>
        <v>144.00000000134111</v>
      </c>
      <c r="H1528" s="1" t="s">
        <v>1</v>
      </c>
      <c r="I1528" s="4" t="s">
        <v>2</v>
      </c>
      <c r="J1528" s="14">
        <v>0.82291666666666663</v>
      </c>
      <c r="K1528" s="20" t="str">
        <f t="shared" si="70"/>
        <v>2nd Shift</v>
      </c>
    </row>
    <row r="1529" spans="1:11" x14ac:dyDescent="0.25">
      <c r="A1529" s="1">
        <v>1528</v>
      </c>
      <c r="B1529" s="1">
        <v>1</v>
      </c>
      <c r="C1529" s="3">
        <v>1115270075300</v>
      </c>
      <c r="D1529" s="2">
        <v>44448.822916666664</v>
      </c>
      <c r="E1529" s="2">
        <v>44448.909722222219</v>
      </c>
      <c r="F1529" s="23">
        <f t="shared" si="69"/>
        <v>8.6805555554747116E-2</v>
      </c>
      <c r="G1529" s="24">
        <f t="shared" si="71"/>
        <v>144.00000000134111</v>
      </c>
      <c r="H1529" s="1" t="s">
        <v>1</v>
      </c>
      <c r="I1529" s="4" t="s">
        <v>2</v>
      </c>
      <c r="J1529" s="14">
        <v>0.82291666666666663</v>
      </c>
      <c r="K1529" s="20" t="str">
        <f t="shared" si="70"/>
        <v>2nd Shift</v>
      </c>
    </row>
    <row r="1530" spans="1:11" x14ac:dyDescent="0.25">
      <c r="A1530" s="1">
        <v>1529</v>
      </c>
      <c r="B1530" s="1">
        <v>3</v>
      </c>
      <c r="C1530" s="3">
        <v>3115270310509</v>
      </c>
      <c r="D1530" s="2">
        <v>44448.9375</v>
      </c>
      <c r="E1530" s="2">
        <v>44448.972222222219</v>
      </c>
      <c r="F1530" s="23">
        <f t="shared" si="69"/>
        <v>3.4722222218988463E-2</v>
      </c>
      <c r="G1530" s="24">
        <f t="shared" si="71"/>
        <v>360.00000003352761</v>
      </c>
      <c r="H1530" s="1" t="s">
        <v>1</v>
      </c>
      <c r="I1530" s="4" t="s">
        <v>4</v>
      </c>
      <c r="J1530" s="14">
        <v>0.9375</v>
      </c>
      <c r="K1530" s="20" t="str">
        <f t="shared" si="70"/>
        <v>3rd Shift</v>
      </c>
    </row>
    <row r="1531" spans="1:11" x14ac:dyDescent="0.25">
      <c r="A1531" s="1">
        <v>1530</v>
      </c>
      <c r="B1531" s="1">
        <v>3</v>
      </c>
      <c r="C1531" s="3">
        <v>3115270396000</v>
      </c>
      <c r="D1531" s="2">
        <v>44448.989583333336</v>
      </c>
      <c r="E1531" s="2">
        <v>44449.0625</v>
      </c>
      <c r="F1531" s="23">
        <f t="shared" si="69"/>
        <v>7.2916666664241347E-2</v>
      </c>
      <c r="G1531" s="24">
        <f t="shared" si="71"/>
        <v>171.42857143427341</v>
      </c>
      <c r="H1531" s="1" t="s">
        <v>1</v>
      </c>
      <c r="I1531" s="4" t="s">
        <v>2</v>
      </c>
      <c r="J1531" s="14">
        <v>0.98958333333333337</v>
      </c>
      <c r="K1531" s="20" t="str">
        <f t="shared" si="70"/>
        <v>3rd Shift</v>
      </c>
    </row>
    <row r="1532" spans="1:11" x14ac:dyDescent="0.25">
      <c r="A1532" s="1">
        <v>1531</v>
      </c>
      <c r="B1532" s="1">
        <v>1</v>
      </c>
      <c r="C1532" s="3">
        <v>1115270141100</v>
      </c>
      <c r="D1532" s="2">
        <v>44448.989583333336</v>
      </c>
      <c r="E1532" s="2">
        <v>44449.0625</v>
      </c>
      <c r="F1532" s="23">
        <f t="shared" si="69"/>
        <v>7.2916666664241347E-2</v>
      </c>
      <c r="G1532" s="24">
        <f t="shared" si="71"/>
        <v>171.42857143427341</v>
      </c>
      <c r="H1532" s="1" t="s">
        <v>1</v>
      </c>
      <c r="I1532" s="4" t="s">
        <v>2</v>
      </c>
      <c r="J1532" s="14">
        <v>0.98958333333333337</v>
      </c>
      <c r="K1532" s="20" t="str">
        <f t="shared" si="70"/>
        <v>3rd Shift</v>
      </c>
    </row>
    <row r="1533" spans="1:11" x14ac:dyDescent="0.25">
      <c r="A1533" s="1">
        <v>1532</v>
      </c>
      <c r="B1533" s="1">
        <v>10</v>
      </c>
      <c r="C1533" s="3">
        <v>10115271963400</v>
      </c>
      <c r="D1533" s="2">
        <v>44449.354166666664</v>
      </c>
      <c r="E1533" s="2">
        <v>44449.434027777781</v>
      </c>
      <c r="F1533" s="23">
        <f t="shared" si="69"/>
        <v>7.9861111116770189E-2</v>
      </c>
      <c r="G1533" s="24">
        <f t="shared" si="71"/>
        <v>156.52173911934341</v>
      </c>
      <c r="H1533" s="1" t="s">
        <v>1</v>
      </c>
      <c r="I1533" s="4" t="s">
        <v>4</v>
      </c>
      <c r="J1533" s="14">
        <v>0.35416666666666669</v>
      </c>
      <c r="K1533" s="20" t="str">
        <f t="shared" si="70"/>
        <v>1st Shift</v>
      </c>
    </row>
    <row r="1534" spans="1:11" x14ac:dyDescent="0.25">
      <c r="A1534" s="1">
        <v>1533</v>
      </c>
      <c r="B1534" s="1">
        <v>7</v>
      </c>
      <c r="C1534" s="3">
        <v>7115271802909</v>
      </c>
      <c r="D1534" s="2">
        <v>44449.354166666664</v>
      </c>
      <c r="E1534" s="2">
        <v>44449.434027777781</v>
      </c>
      <c r="F1534" s="23">
        <f t="shared" si="69"/>
        <v>7.9861111116770189E-2</v>
      </c>
      <c r="G1534" s="24">
        <f t="shared" si="71"/>
        <v>156.52173911934341</v>
      </c>
      <c r="H1534" s="1" t="s">
        <v>1</v>
      </c>
      <c r="I1534" s="4" t="s">
        <v>3</v>
      </c>
      <c r="J1534" s="14">
        <v>0.35416666666666669</v>
      </c>
      <c r="K1534" s="20" t="str">
        <f t="shared" si="70"/>
        <v>1st Shift</v>
      </c>
    </row>
    <row r="1535" spans="1:11" x14ac:dyDescent="0.25">
      <c r="A1535" s="1">
        <v>1534</v>
      </c>
      <c r="B1535" s="1">
        <v>1</v>
      </c>
      <c r="C1535" s="3">
        <v>1115270147200</v>
      </c>
      <c r="D1535" s="2">
        <v>44449.354166666664</v>
      </c>
      <c r="E1535" s="2">
        <v>44449.434027777781</v>
      </c>
      <c r="F1535" s="23">
        <f t="shared" si="69"/>
        <v>7.9861111116770189E-2</v>
      </c>
      <c r="G1535" s="24">
        <f t="shared" si="71"/>
        <v>156.52173911934341</v>
      </c>
      <c r="H1535" s="1" t="s">
        <v>1</v>
      </c>
      <c r="I1535" s="4" t="s">
        <v>2</v>
      </c>
      <c r="J1535" s="14">
        <v>0.35416666666666669</v>
      </c>
      <c r="K1535" s="20" t="str">
        <f t="shared" si="70"/>
        <v>1st Shift</v>
      </c>
    </row>
    <row r="1536" spans="1:11" x14ac:dyDescent="0.25">
      <c r="A1536" s="1">
        <v>1535</v>
      </c>
      <c r="B1536" s="1">
        <v>14</v>
      </c>
      <c r="C1536" s="3">
        <v>14115271672401</v>
      </c>
      <c r="D1536" s="2">
        <v>44449.458333333336</v>
      </c>
      <c r="E1536" s="2">
        <v>44449.576388888891</v>
      </c>
      <c r="F1536" s="23">
        <f t="shared" si="69"/>
        <v>0.11805555555474712</v>
      </c>
      <c r="G1536" s="24">
        <f t="shared" si="71"/>
        <v>105.88235294190156</v>
      </c>
      <c r="H1536" s="1" t="s">
        <v>1</v>
      </c>
      <c r="I1536" s="4" t="s">
        <v>2</v>
      </c>
      <c r="J1536" s="14">
        <v>0.45833333333333331</v>
      </c>
      <c r="K1536" s="20" t="str">
        <f t="shared" si="70"/>
        <v>1st Shift</v>
      </c>
    </row>
    <row r="1537" spans="1:11" x14ac:dyDescent="0.25">
      <c r="A1537" s="1">
        <v>1536</v>
      </c>
      <c r="B1537" s="1">
        <v>12</v>
      </c>
      <c r="C1537" s="3">
        <v>12115271561331</v>
      </c>
      <c r="D1537" s="2">
        <v>44449.458333333336</v>
      </c>
      <c r="E1537" s="2">
        <v>44449.576388888891</v>
      </c>
      <c r="F1537" s="23">
        <f t="shared" si="69"/>
        <v>0.11805555555474712</v>
      </c>
      <c r="G1537" s="24">
        <f t="shared" si="71"/>
        <v>105.88235294190156</v>
      </c>
      <c r="H1537" s="1" t="s">
        <v>1</v>
      </c>
      <c r="I1537" s="4" t="s">
        <v>3</v>
      </c>
      <c r="J1537" s="14">
        <v>0.45833333333333331</v>
      </c>
      <c r="K1537" s="20" t="str">
        <f t="shared" si="70"/>
        <v>1st Shift</v>
      </c>
    </row>
    <row r="1538" spans="1:11" x14ac:dyDescent="0.25">
      <c r="A1538" s="1">
        <v>1537</v>
      </c>
      <c r="B1538" s="1">
        <v>10</v>
      </c>
      <c r="C1538" s="3">
        <v>10115271958201</v>
      </c>
      <c r="D1538" s="2">
        <v>44449.458333333336</v>
      </c>
      <c r="E1538" s="2">
        <v>44449.576388888891</v>
      </c>
      <c r="F1538" s="23">
        <f t="shared" ref="F1538:F1601" si="72">E1538-D1538</f>
        <v>0.11805555555474712</v>
      </c>
      <c r="G1538" s="24">
        <f t="shared" si="71"/>
        <v>105.88235294190156</v>
      </c>
      <c r="H1538" s="1" t="s">
        <v>1</v>
      </c>
      <c r="I1538" s="4" t="s">
        <v>2</v>
      </c>
      <c r="J1538" s="14">
        <v>0.45833333333333331</v>
      </c>
      <c r="K1538" s="20" t="str">
        <f t="shared" ref="K1538:K1601" si="73">IF(AND(J1538&gt;=$M$3,J1538&lt;$M$4),"1st Shift",IF(AND(J1538&gt;=$M$4,J1538&lt;$M$5),"2nd Shift","3rd Shift"))</f>
        <v>1st Shift</v>
      </c>
    </row>
    <row r="1539" spans="1:11" x14ac:dyDescent="0.25">
      <c r="A1539" s="1">
        <v>1538</v>
      </c>
      <c r="B1539" s="1">
        <v>10</v>
      </c>
      <c r="C1539" s="3">
        <v>10115271439601</v>
      </c>
      <c r="D1539" s="2">
        <v>44449.458333333336</v>
      </c>
      <c r="E1539" s="2">
        <v>44449.576388888891</v>
      </c>
      <c r="F1539" s="23">
        <f t="shared" si="72"/>
        <v>0.11805555555474712</v>
      </c>
      <c r="G1539" s="24">
        <f t="shared" ref="G1539:G1602" si="74">$M$9/F1539*100</f>
        <v>105.88235294190156</v>
      </c>
      <c r="H1539" s="1" t="s">
        <v>1</v>
      </c>
      <c r="I1539" s="4" t="s">
        <v>3</v>
      </c>
      <c r="J1539" s="14">
        <v>0.45833333333333331</v>
      </c>
      <c r="K1539" s="20" t="str">
        <f t="shared" si="73"/>
        <v>1st Shift</v>
      </c>
    </row>
    <row r="1540" spans="1:11" x14ac:dyDescent="0.25">
      <c r="A1540" s="1">
        <v>1539</v>
      </c>
      <c r="B1540" s="1">
        <v>8</v>
      </c>
      <c r="C1540" s="3">
        <v>8115271841402</v>
      </c>
      <c r="D1540" s="2">
        <v>44449.458333333336</v>
      </c>
      <c r="E1540" s="2">
        <v>44449.576388888891</v>
      </c>
      <c r="F1540" s="23">
        <f t="shared" si="72"/>
        <v>0.11805555555474712</v>
      </c>
      <c r="G1540" s="24">
        <f t="shared" si="74"/>
        <v>105.88235294190156</v>
      </c>
      <c r="H1540" s="1" t="s">
        <v>1</v>
      </c>
      <c r="I1540" s="4" t="s">
        <v>3</v>
      </c>
      <c r="J1540" s="14">
        <v>0.45833333333333331</v>
      </c>
      <c r="K1540" s="20" t="str">
        <f t="shared" si="73"/>
        <v>1st Shift</v>
      </c>
    </row>
    <row r="1541" spans="1:11" x14ac:dyDescent="0.25">
      <c r="A1541" s="1">
        <v>1540</v>
      </c>
      <c r="B1541" s="1">
        <v>7</v>
      </c>
      <c r="C1541" s="3">
        <v>7115271792410</v>
      </c>
      <c r="D1541" s="2">
        <v>44449.458333333336</v>
      </c>
      <c r="E1541" s="2">
        <v>44449.576388888891</v>
      </c>
      <c r="F1541" s="23">
        <f t="shared" si="72"/>
        <v>0.11805555555474712</v>
      </c>
      <c r="G1541" s="24">
        <f t="shared" si="74"/>
        <v>105.88235294190156</v>
      </c>
      <c r="H1541" s="1" t="s">
        <v>1</v>
      </c>
      <c r="I1541" s="4" t="s">
        <v>3</v>
      </c>
      <c r="J1541" s="14">
        <v>0.45833333333333331</v>
      </c>
      <c r="K1541" s="20" t="str">
        <f t="shared" si="73"/>
        <v>1st Shift</v>
      </c>
    </row>
    <row r="1542" spans="1:11" x14ac:dyDescent="0.25">
      <c r="A1542" s="1">
        <v>1541</v>
      </c>
      <c r="B1542" s="1">
        <v>6</v>
      </c>
      <c r="C1542" s="3">
        <v>6115271745000</v>
      </c>
      <c r="D1542" s="2">
        <v>44449.458333333336</v>
      </c>
      <c r="E1542" s="2">
        <v>44449.576388888891</v>
      </c>
      <c r="F1542" s="23">
        <f t="shared" si="72"/>
        <v>0.11805555555474712</v>
      </c>
      <c r="G1542" s="24">
        <f t="shared" si="74"/>
        <v>105.88235294190156</v>
      </c>
      <c r="H1542" s="1" t="s">
        <v>1</v>
      </c>
      <c r="I1542" s="4" t="s">
        <v>3</v>
      </c>
      <c r="J1542" s="14">
        <v>0.45833333333333331</v>
      </c>
      <c r="K1542" s="20" t="str">
        <f t="shared" si="73"/>
        <v>1st Shift</v>
      </c>
    </row>
    <row r="1543" spans="1:11" x14ac:dyDescent="0.25">
      <c r="A1543" s="1">
        <v>1542</v>
      </c>
      <c r="B1543" s="1">
        <v>3</v>
      </c>
      <c r="C1543" s="3">
        <v>3115270306801</v>
      </c>
      <c r="D1543" s="2">
        <v>44449.458333333336</v>
      </c>
      <c r="E1543" s="2">
        <v>44449.576388888891</v>
      </c>
      <c r="F1543" s="23">
        <f t="shared" si="72"/>
        <v>0.11805555555474712</v>
      </c>
      <c r="G1543" s="24">
        <f t="shared" si="74"/>
        <v>105.88235294190156</v>
      </c>
      <c r="H1543" s="1" t="s">
        <v>1</v>
      </c>
      <c r="I1543" s="4" t="s">
        <v>8</v>
      </c>
      <c r="J1543" s="14">
        <v>0.45833333333333331</v>
      </c>
      <c r="K1543" s="20" t="str">
        <f t="shared" si="73"/>
        <v>1st Shift</v>
      </c>
    </row>
    <row r="1544" spans="1:11" x14ac:dyDescent="0.25">
      <c r="A1544" s="1">
        <v>1543</v>
      </c>
      <c r="B1544" s="1">
        <v>6</v>
      </c>
      <c r="C1544" s="3">
        <v>6115271725410</v>
      </c>
      <c r="D1544" s="2">
        <v>44449.822916666664</v>
      </c>
      <c r="E1544" s="2">
        <v>44449.902777777781</v>
      </c>
      <c r="F1544" s="23">
        <f t="shared" si="72"/>
        <v>7.9861111116770189E-2</v>
      </c>
      <c r="G1544" s="24">
        <f t="shared" si="74"/>
        <v>156.52173911934341</v>
      </c>
      <c r="H1544" s="1" t="s">
        <v>1</v>
      </c>
      <c r="I1544" s="4" t="s">
        <v>3</v>
      </c>
      <c r="J1544" s="14">
        <v>0.82291666666666663</v>
      </c>
      <c r="K1544" s="20" t="str">
        <f t="shared" si="73"/>
        <v>2nd Shift</v>
      </c>
    </row>
    <row r="1545" spans="1:11" x14ac:dyDescent="0.25">
      <c r="A1545" s="1">
        <v>1544</v>
      </c>
      <c r="B1545" s="1">
        <v>3</v>
      </c>
      <c r="C1545" s="3">
        <v>3115270396400</v>
      </c>
      <c r="D1545" s="2">
        <v>44449.822916666664</v>
      </c>
      <c r="E1545" s="2">
        <v>44449.902777777781</v>
      </c>
      <c r="F1545" s="23">
        <f t="shared" si="72"/>
        <v>7.9861111116770189E-2</v>
      </c>
      <c r="G1545" s="24">
        <f t="shared" si="74"/>
        <v>156.52173911934341</v>
      </c>
      <c r="H1545" s="1" t="s">
        <v>1</v>
      </c>
      <c r="I1545" s="4" t="s">
        <v>3</v>
      </c>
      <c r="J1545" s="14">
        <v>0.82291666666666663</v>
      </c>
      <c r="K1545" s="20" t="str">
        <f t="shared" si="73"/>
        <v>2nd Shift</v>
      </c>
    </row>
    <row r="1546" spans="1:11" x14ac:dyDescent="0.25">
      <c r="A1546" s="1">
        <v>1545</v>
      </c>
      <c r="B1546" s="1">
        <v>1</v>
      </c>
      <c r="C1546" s="3">
        <v>1115270135600</v>
      </c>
      <c r="D1546" s="2">
        <v>44449.822916666664</v>
      </c>
      <c r="E1546" s="2">
        <v>44449.902777777781</v>
      </c>
      <c r="F1546" s="23">
        <f t="shared" si="72"/>
        <v>7.9861111116770189E-2</v>
      </c>
      <c r="G1546" s="24">
        <f t="shared" si="74"/>
        <v>156.52173911934341</v>
      </c>
      <c r="H1546" s="1" t="s">
        <v>1</v>
      </c>
      <c r="I1546" s="4" t="s">
        <v>2</v>
      </c>
      <c r="J1546" s="14">
        <v>0.82291666666666663</v>
      </c>
      <c r="K1546" s="20" t="str">
        <f t="shared" si="73"/>
        <v>2nd Shift</v>
      </c>
    </row>
    <row r="1547" spans="1:11" x14ac:dyDescent="0.25">
      <c r="A1547" s="1">
        <v>1546</v>
      </c>
      <c r="B1547" s="1">
        <v>11</v>
      </c>
      <c r="C1547" s="3">
        <v>11115271550504</v>
      </c>
      <c r="D1547" s="2">
        <v>44449.951388888891</v>
      </c>
      <c r="E1547" s="2">
        <v>44449.979166666664</v>
      </c>
      <c r="F1547" s="23">
        <f t="shared" si="72"/>
        <v>2.7777777773735579E-2</v>
      </c>
      <c r="G1547" s="24">
        <f t="shared" si="74"/>
        <v>450.00000006548362</v>
      </c>
      <c r="H1547" s="1" t="s">
        <v>1</v>
      </c>
      <c r="I1547" s="4" t="s">
        <v>2</v>
      </c>
      <c r="J1547" s="14">
        <v>0.95138888888888884</v>
      </c>
      <c r="K1547" s="20" t="str">
        <f t="shared" si="73"/>
        <v>3rd Shift</v>
      </c>
    </row>
    <row r="1548" spans="1:11" x14ac:dyDescent="0.25">
      <c r="A1548" s="1">
        <v>1547</v>
      </c>
      <c r="B1548" s="1">
        <v>6</v>
      </c>
      <c r="C1548" s="3">
        <v>6115271740819</v>
      </c>
      <c r="D1548" s="2">
        <v>44450.351388888892</v>
      </c>
      <c r="E1548" s="2">
        <v>44450.416666666664</v>
      </c>
      <c r="F1548" s="23">
        <f t="shared" si="72"/>
        <v>6.5277777772280388E-2</v>
      </c>
      <c r="G1548" s="24">
        <f t="shared" si="74"/>
        <v>191.489361718254</v>
      </c>
      <c r="H1548" s="1" t="s">
        <v>1</v>
      </c>
      <c r="I1548" s="4" t="s">
        <v>3</v>
      </c>
      <c r="J1548" s="14">
        <v>0.35138888888888886</v>
      </c>
      <c r="K1548" s="20" t="str">
        <f t="shared" si="73"/>
        <v>1st Shift</v>
      </c>
    </row>
    <row r="1549" spans="1:11" x14ac:dyDescent="0.25">
      <c r="A1549" s="1">
        <v>1548</v>
      </c>
      <c r="B1549" s="1">
        <v>6</v>
      </c>
      <c r="C1549" s="3">
        <v>6115271740818</v>
      </c>
      <c r="D1549" s="2">
        <v>44450.351388888892</v>
      </c>
      <c r="E1549" s="2">
        <v>44450.416666666664</v>
      </c>
      <c r="F1549" s="23">
        <f t="shared" si="72"/>
        <v>6.5277777772280388E-2</v>
      </c>
      <c r="G1549" s="24">
        <f t="shared" si="74"/>
        <v>191.489361718254</v>
      </c>
      <c r="H1549" s="1" t="s">
        <v>1</v>
      </c>
      <c r="I1549" s="4" t="s">
        <v>4</v>
      </c>
      <c r="J1549" s="14">
        <v>0.35138888888888886</v>
      </c>
      <c r="K1549" s="20" t="str">
        <f t="shared" si="73"/>
        <v>1st Shift</v>
      </c>
    </row>
    <row r="1550" spans="1:11" x14ac:dyDescent="0.25">
      <c r="A1550" s="1">
        <v>1549</v>
      </c>
      <c r="B1550" s="1">
        <v>6</v>
      </c>
      <c r="C1550" s="3">
        <v>6115271740810</v>
      </c>
      <c r="D1550" s="2">
        <v>44450.351388888892</v>
      </c>
      <c r="E1550" s="2">
        <v>44450.416666666664</v>
      </c>
      <c r="F1550" s="23">
        <f t="shared" si="72"/>
        <v>6.5277777772280388E-2</v>
      </c>
      <c r="G1550" s="24">
        <f t="shared" si="74"/>
        <v>191.489361718254</v>
      </c>
      <c r="H1550" s="1" t="s">
        <v>1</v>
      </c>
      <c r="I1550" s="4" t="s">
        <v>3</v>
      </c>
      <c r="J1550" s="14">
        <v>0.35138888888888886</v>
      </c>
      <c r="K1550" s="20" t="str">
        <f t="shared" si="73"/>
        <v>1st Shift</v>
      </c>
    </row>
    <row r="1551" spans="1:11" x14ac:dyDescent="0.25">
      <c r="A1551" s="1">
        <v>1550</v>
      </c>
      <c r="B1551" s="1">
        <v>27</v>
      </c>
      <c r="C1551" s="3">
        <v>27115270571708</v>
      </c>
      <c r="D1551" s="2">
        <v>44450.475694444445</v>
      </c>
      <c r="E1551" s="2">
        <v>44450.496527777781</v>
      </c>
      <c r="F1551" s="23">
        <f t="shared" si="72"/>
        <v>2.0833333335758653E-2</v>
      </c>
      <c r="G1551" s="24">
        <f t="shared" si="74"/>
        <v>599.99999993015081</v>
      </c>
      <c r="H1551" s="1" t="s">
        <v>1</v>
      </c>
      <c r="I1551" s="4" t="s">
        <v>3</v>
      </c>
      <c r="J1551" s="14">
        <v>0.47569444444444442</v>
      </c>
      <c r="K1551" s="20" t="str">
        <f t="shared" si="73"/>
        <v>1st Shift</v>
      </c>
    </row>
    <row r="1552" spans="1:11" x14ac:dyDescent="0.25">
      <c r="A1552" s="1">
        <v>1551</v>
      </c>
      <c r="B1552" s="1">
        <v>27</v>
      </c>
      <c r="C1552" s="3">
        <v>27115270571707</v>
      </c>
      <c r="D1552" s="2">
        <v>44450.475694444445</v>
      </c>
      <c r="E1552" s="2">
        <v>44450.579861111109</v>
      </c>
      <c r="F1552" s="23">
        <f t="shared" si="72"/>
        <v>0.10416666666424135</v>
      </c>
      <c r="G1552" s="24">
        <f t="shared" si="74"/>
        <v>120.00000000279397</v>
      </c>
      <c r="H1552" s="1" t="s">
        <v>1</v>
      </c>
      <c r="I1552" s="4" t="s">
        <v>3</v>
      </c>
      <c r="J1552" s="14">
        <v>0.47569444444444442</v>
      </c>
      <c r="K1552" s="20" t="str">
        <f t="shared" si="73"/>
        <v>1st Shift</v>
      </c>
    </row>
    <row r="1553" spans="1:11" x14ac:dyDescent="0.25">
      <c r="A1553" s="1">
        <v>1552</v>
      </c>
      <c r="B1553" s="1">
        <v>27</v>
      </c>
      <c r="C1553" s="3">
        <v>27115270571700</v>
      </c>
      <c r="D1553" s="2">
        <v>44450.475694444445</v>
      </c>
      <c r="E1553" s="2">
        <v>44450.579861111109</v>
      </c>
      <c r="F1553" s="23">
        <f t="shared" si="72"/>
        <v>0.10416666666424135</v>
      </c>
      <c r="G1553" s="24">
        <f t="shared" si="74"/>
        <v>120.00000000279397</v>
      </c>
      <c r="H1553" s="1" t="s">
        <v>1</v>
      </c>
      <c r="I1553" s="4" t="s">
        <v>3</v>
      </c>
      <c r="J1553" s="14">
        <v>0.47569444444444442</v>
      </c>
      <c r="K1553" s="20" t="str">
        <f t="shared" si="73"/>
        <v>1st Shift</v>
      </c>
    </row>
    <row r="1554" spans="1:11" x14ac:dyDescent="0.25">
      <c r="A1554" s="1">
        <v>1553</v>
      </c>
      <c r="B1554" s="1">
        <v>11</v>
      </c>
      <c r="C1554" s="3">
        <v>11115271542609</v>
      </c>
      <c r="D1554" s="2">
        <v>44450.739583333336</v>
      </c>
      <c r="E1554" s="2">
        <v>44450.850694444445</v>
      </c>
      <c r="F1554" s="23">
        <f t="shared" si="72"/>
        <v>0.11111111110949423</v>
      </c>
      <c r="G1554" s="24">
        <f t="shared" si="74"/>
        <v>112.50000000163709</v>
      </c>
      <c r="H1554" s="1" t="s">
        <v>1</v>
      </c>
      <c r="I1554" s="4" t="s">
        <v>2</v>
      </c>
      <c r="J1554" s="14">
        <v>0.73958333333333337</v>
      </c>
      <c r="K1554" s="20" t="str">
        <f t="shared" si="73"/>
        <v>2nd Shift</v>
      </c>
    </row>
    <row r="1555" spans="1:11" x14ac:dyDescent="0.25">
      <c r="A1555" s="1">
        <v>1554</v>
      </c>
      <c r="B1555" s="1">
        <v>11</v>
      </c>
      <c r="C1555" s="3">
        <v>11115271542606</v>
      </c>
      <c r="D1555" s="2">
        <v>44450.739583333336</v>
      </c>
      <c r="E1555" s="2">
        <v>44450.850694444445</v>
      </c>
      <c r="F1555" s="23">
        <f t="shared" si="72"/>
        <v>0.11111111110949423</v>
      </c>
      <c r="G1555" s="24">
        <f t="shared" si="74"/>
        <v>112.50000000163709</v>
      </c>
      <c r="H1555" s="1" t="s">
        <v>1</v>
      </c>
      <c r="I1555" s="4" t="s">
        <v>2</v>
      </c>
      <c r="J1555" s="14">
        <v>0.73958333333333337</v>
      </c>
      <c r="K1555" s="20" t="str">
        <f t="shared" si="73"/>
        <v>2nd Shift</v>
      </c>
    </row>
    <row r="1556" spans="1:11" x14ac:dyDescent="0.25">
      <c r="A1556" s="1">
        <v>1555</v>
      </c>
      <c r="B1556" s="1">
        <v>11</v>
      </c>
      <c r="C1556" s="3">
        <v>11115271542605</v>
      </c>
      <c r="D1556" s="2">
        <v>44450.739583333336</v>
      </c>
      <c r="E1556" s="2">
        <v>44450.850694444445</v>
      </c>
      <c r="F1556" s="23">
        <f t="shared" si="72"/>
        <v>0.11111111110949423</v>
      </c>
      <c r="G1556" s="24">
        <f t="shared" si="74"/>
        <v>112.50000000163709</v>
      </c>
      <c r="H1556" s="1" t="s">
        <v>1</v>
      </c>
      <c r="I1556" s="4" t="s">
        <v>4</v>
      </c>
      <c r="J1556" s="14">
        <v>0.73958333333333337</v>
      </c>
      <c r="K1556" s="20" t="str">
        <f t="shared" si="73"/>
        <v>2nd Shift</v>
      </c>
    </row>
    <row r="1557" spans="1:11" x14ac:dyDescent="0.25">
      <c r="A1557" s="1">
        <v>1556</v>
      </c>
      <c r="B1557" s="1">
        <v>10</v>
      </c>
      <c r="C1557" s="3">
        <v>10115271958901</v>
      </c>
      <c r="D1557" s="2">
        <v>44450.739583333336</v>
      </c>
      <c r="E1557" s="2">
        <v>44450.850694444445</v>
      </c>
      <c r="F1557" s="23">
        <f t="shared" si="72"/>
        <v>0.11111111110949423</v>
      </c>
      <c r="G1557" s="24">
        <f t="shared" si="74"/>
        <v>112.50000000163709</v>
      </c>
      <c r="H1557" s="1" t="s">
        <v>1</v>
      </c>
      <c r="I1557" s="4" t="s">
        <v>4</v>
      </c>
      <c r="J1557" s="14">
        <v>0.73958333333333337</v>
      </c>
      <c r="K1557" s="20" t="str">
        <f t="shared" si="73"/>
        <v>2nd Shift</v>
      </c>
    </row>
    <row r="1558" spans="1:11" x14ac:dyDescent="0.25">
      <c r="A1558" s="1">
        <v>1557</v>
      </c>
      <c r="B1558" s="1">
        <v>10</v>
      </c>
      <c r="C1558" s="3">
        <v>10115271958901</v>
      </c>
      <c r="D1558" s="2">
        <v>44450.739583333336</v>
      </c>
      <c r="E1558" s="2">
        <v>44450.850694444445</v>
      </c>
      <c r="F1558" s="23">
        <f t="shared" si="72"/>
        <v>0.11111111110949423</v>
      </c>
      <c r="G1558" s="24">
        <f t="shared" si="74"/>
        <v>112.50000000163709</v>
      </c>
      <c r="H1558" s="1" t="s">
        <v>1</v>
      </c>
      <c r="I1558" s="4" t="s">
        <v>2</v>
      </c>
      <c r="J1558" s="14">
        <v>0.73958333333333337</v>
      </c>
      <c r="K1558" s="20" t="str">
        <f t="shared" si="73"/>
        <v>2nd Shift</v>
      </c>
    </row>
    <row r="1559" spans="1:11" x14ac:dyDescent="0.25">
      <c r="A1559" s="1">
        <v>1558</v>
      </c>
      <c r="B1559" s="1">
        <v>10</v>
      </c>
      <c r="C1559" s="3">
        <v>10115271958900</v>
      </c>
      <c r="D1559" s="2">
        <v>44450.739583333336</v>
      </c>
      <c r="E1559" s="2">
        <v>44450.850694444445</v>
      </c>
      <c r="F1559" s="23">
        <f t="shared" si="72"/>
        <v>0.11111111110949423</v>
      </c>
      <c r="G1559" s="24">
        <f t="shared" si="74"/>
        <v>112.50000000163709</v>
      </c>
      <c r="H1559" s="1" t="s">
        <v>1</v>
      </c>
      <c r="I1559" s="4" t="s">
        <v>2</v>
      </c>
      <c r="J1559" s="14">
        <v>0.73958333333333337</v>
      </c>
      <c r="K1559" s="20" t="str">
        <f t="shared" si="73"/>
        <v>2nd Shift</v>
      </c>
    </row>
    <row r="1560" spans="1:11" x14ac:dyDescent="0.25">
      <c r="A1560" s="1">
        <v>1559</v>
      </c>
      <c r="B1560" s="1">
        <v>6</v>
      </c>
      <c r="C1560" s="3">
        <v>6115271743202</v>
      </c>
      <c r="D1560" s="2">
        <v>44450.739583333336</v>
      </c>
      <c r="E1560" s="2">
        <v>44450.850694444445</v>
      </c>
      <c r="F1560" s="23">
        <f t="shared" si="72"/>
        <v>0.11111111110949423</v>
      </c>
      <c r="G1560" s="24">
        <f t="shared" si="74"/>
        <v>112.50000000163709</v>
      </c>
      <c r="H1560" s="1" t="s">
        <v>1</v>
      </c>
      <c r="I1560" s="4" t="s">
        <v>2</v>
      </c>
      <c r="J1560" s="14">
        <v>0.73958333333333337</v>
      </c>
      <c r="K1560" s="20" t="str">
        <f t="shared" si="73"/>
        <v>2nd Shift</v>
      </c>
    </row>
    <row r="1561" spans="1:11" x14ac:dyDescent="0.25">
      <c r="A1561" s="1">
        <v>1560</v>
      </c>
      <c r="B1561" s="1">
        <v>6</v>
      </c>
      <c r="C1561" s="3">
        <v>6115271743202</v>
      </c>
      <c r="D1561" s="2">
        <v>44450.739583333336</v>
      </c>
      <c r="E1561" s="2">
        <v>44450.850694444445</v>
      </c>
      <c r="F1561" s="23">
        <f t="shared" si="72"/>
        <v>0.11111111110949423</v>
      </c>
      <c r="G1561" s="24">
        <f t="shared" si="74"/>
        <v>112.50000000163709</v>
      </c>
      <c r="H1561" s="1" t="s">
        <v>1</v>
      </c>
      <c r="I1561" s="4" t="s">
        <v>3</v>
      </c>
      <c r="J1561" s="14">
        <v>0.73958333333333337</v>
      </c>
      <c r="K1561" s="20" t="str">
        <f t="shared" si="73"/>
        <v>2nd Shift</v>
      </c>
    </row>
    <row r="1562" spans="1:11" x14ac:dyDescent="0.25">
      <c r="A1562" s="1">
        <v>1561</v>
      </c>
      <c r="B1562" s="1">
        <v>6</v>
      </c>
      <c r="C1562" s="3">
        <v>6115271743201</v>
      </c>
      <c r="D1562" s="2">
        <v>44450.739583333336</v>
      </c>
      <c r="E1562" s="2">
        <v>44450.850694444445</v>
      </c>
      <c r="F1562" s="23">
        <f t="shared" si="72"/>
        <v>0.11111111110949423</v>
      </c>
      <c r="G1562" s="24">
        <f t="shared" si="74"/>
        <v>112.50000000163709</v>
      </c>
      <c r="H1562" s="1" t="s">
        <v>1</v>
      </c>
      <c r="I1562" s="4" t="s">
        <v>2</v>
      </c>
      <c r="J1562" s="14">
        <v>0.73958333333333337</v>
      </c>
      <c r="K1562" s="20" t="str">
        <f t="shared" si="73"/>
        <v>2nd Shift</v>
      </c>
    </row>
    <row r="1563" spans="1:11" x14ac:dyDescent="0.25">
      <c r="A1563" s="1">
        <v>1562</v>
      </c>
      <c r="B1563" s="1">
        <v>3</v>
      </c>
      <c r="C1563" s="3">
        <v>3115270350703</v>
      </c>
      <c r="D1563" s="2">
        <v>44450.739583333336</v>
      </c>
      <c r="E1563" s="2">
        <v>44450.850694444445</v>
      </c>
      <c r="F1563" s="23">
        <f t="shared" si="72"/>
        <v>0.11111111110949423</v>
      </c>
      <c r="G1563" s="24">
        <f t="shared" si="74"/>
        <v>112.50000000163709</v>
      </c>
      <c r="H1563" s="1" t="s">
        <v>1</v>
      </c>
      <c r="I1563" s="4" t="s">
        <v>2</v>
      </c>
      <c r="J1563" s="14">
        <v>0.73958333333333337</v>
      </c>
      <c r="K1563" s="20" t="str">
        <f t="shared" si="73"/>
        <v>2nd Shift</v>
      </c>
    </row>
    <row r="1564" spans="1:11" x14ac:dyDescent="0.25">
      <c r="A1564" s="1">
        <v>1563</v>
      </c>
      <c r="B1564" s="1">
        <v>3</v>
      </c>
      <c r="C1564" s="3">
        <v>3115270350701</v>
      </c>
      <c r="D1564" s="2">
        <v>44450.739583333336</v>
      </c>
      <c r="E1564" s="2">
        <v>44450.850694444445</v>
      </c>
      <c r="F1564" s="23">
        <f t="shared" si="72"/>
        <v>0.11111111110949423</v>
      </c>
      <c r="G1564" s="24">
        <f t="shared" si="74"/>
        <v>112.50000000163709</v>
      </c>
      <c r="H1564" s="1" t="s">
        <v>1</v>
      </c>
      <c r="I1564" s="4" t="s">
        <v>2</v>
      </c>
      <c r="J1564" s="14">
        <v>0.73958333333333337</v>
      </c>
      <c r="K1564" s="20" t="str">
        <f t="shared" si="73"/>
        <v>2nd Shift</v>
      </c>
    </row>
    <row r="1565" spans="1:11" x14ac:dyDescent="0.25">
      <c r="A1565" s="1">
        <v>1564</v>
      </c>
      <c r="B1565" s="1">
        <v>3</v>
      </c>
      <c r="C1565" s="3">
        <v>3115270350700</v>
      </c>
      <c r="D1565" s="2">
        <v>44450.739583333336</v>
      </c>
      <c r="E1565" s="2">
        <v>44450.850694444445</v>
      </c>
      <c r="F1565" s="23">
        <f t="shared" si="72"/>
        <v>0.11111111110949423</v>
      </c>
      <c r="G1565" s="24">
        <f t="shared" si="74"/>
        <v>112.50000000163709</v>
      </c>
      <c r="H1565" s="1" t="s">
        <v>1</v>
      </c>
      <c r="I1565" s="4" t="s">
        <v>3</v>
      </c>
      <c r="J1565" s="14">
        <v>0.73958333333333337</v>
      </c>
      <c r="K1565" s="20" t="str">
        <f t="shared" si="73"/>
        <v>2nd Shift</v>
      </c>
    </row>
    <row r="1566" spans="1:11" x14ac:dyDescent="0.25">
      <c r="A1566" s="1">
        <v>1565</v>
      </c>
      <c r="B1566" s="1">
        <v>7</v>
      </c>
      <c r="C1566" s="3">
        <v>7115271774717</v>
      </c>
      <c r="D1566" s="2">
        <v>44450.854166666664</v>
      </c>
      <c r="E1566" s="2">
        <v>44450.986111111109</v>
      </c>
      <c r="F1566" s="23">
        <f t="shared" si="72"/>
        <v>0.13194444444525288</v>
      </c>
      <c r="G1566" s="24">
        <f t="shared" si="74"/>
        <v>94.736842104682694</v>
      </c>
      <c r="H1566" s="1" t="s">
        <v>1</v>
      </c>
      <c r="I1566" s="4" t="s">
        <v>2</v>
      </c>
      <c r="J1566" s="14">
        <v>0.85416666666666663</v>
      </c>
      <c r="K1566" s="20" t="str">
        <f t="shared" si="73"/>
        <v>2nd Shift</v>
      </c>
    </row>
    <row r="1567" spans="1:11" x14ac:dyDescent="0.25">
      <c r="A1567" s="1">
        <v>1566</v>
      </c>
      <c r="B1567" s="1">
        <v>7</v>
      </c>
      <c r="C1567" s="3">
        <v>7115271774713</v>
      </c>
      <c r="D1567" s="2">
        <v>44450.854166666664</v>
      </c>
      <c r="E1567" s="2">
        <v>44450.986111111109</v>
      </c>
      <c r="F1567" s="23">
        <f t="shared" si="72"/>
        <v>0.13194444444525288</v>
      </c>
      <c r="G1567" s="24">
        <f t="shared" si="74"/>
        <v>94.736842104682694</v>
      </c>
      <c r="H1567" s="1" t="s">
        <v>1</v>
      </c>
      <c r="I1567" s="4" t="s">
        <v>4</v>
      </c>
      <c r="J1567" s="14">
        <v>0.85416666666666663</v>
      </c>
      <c r="K1567" s="20" t="str">
        <f t="shared" si="73"/>
        <v>2nd Shift</v>
      </c>
    </row>
    <row r="1568" spans="1:11" x14ac:dyDescent="0.25">
      <c r="A1568" s="1">
        <v>1567</v>
      </c>
      <c r="B1568" s="1">
        <v>6</v>
      </c>
      <c r="C1568" s="3">
        <v>6115271749100</v>
      </c>
      <c r="D1568" s="2">
        <v>44451.354166666664</v>
      </c>
      <c r="E1568" s="2">
        <v>44451.444444444445</v>
      </c>
      <c r="F1568" s="23">
        <f t="shared" si="72"/>
        <v>9.0277777781011537E-2</v>
      </c>
      <c r="G1568" s="24">
        <f t="shared" si="74"/>
        <v>138.46153845657875</v>
      </c>
      <c r="H1568" s="1" t="s">
        <v>1</v>
      </c>
      <c r="I1568" s="4" t="s">
        <v>3</v>
      </c>
      <c r="J1568" s="14">
        <v>0.35416666666666669</v>
      </c>
      <c r="K1568" s="20" t="str">
        <f t="shared" si="73"/>
        <v>1st Shift</v>
      </c>
    </row>
    <row r="1569" spans="1:11" x14ac:dyDescent="0.25">
      <c r="A1569" s="1">
        <v>1568</v>
      </c>
      <c r="B1569" s="1">
        <v>3</v>
      </c>
      <c r="C1569" s="3">
        <v>3115270315800</v>
      </c>
      <c r="D1569" s="2">
        <v>44451.354166666664</v>
      </c>
      <c r="E1569" s="2">
        <v>44451.444444444445</v>
      </c>
      <c r="F1569" s="23">
        <f t="shared" si="72"/>
        <v>9.0277777781011537E-2</v>
      </c>
      <c r="G1569" s="24">
        <f t="shared" si="74"/>
        <v>138.46153845657875</v>
      </c>
      <c r="H1569" s="1" t="s">
        <v>1</v>
      </c>
      <c r="I1569" s="4" t="s">
        <v>3</v>
      </c>
      <c r="J1569" s="14">
        <v>0.35416666666666669</v>
      </c>
      <c r="K1569" s="20" t="str">
        <f t="shared" si="73"/>
        <v>1st Shift</v>
      </c>
    </row>
    <row r="1570" spans="1:11" x14ac:dyDescent="0.25">
      <c r="A1570" s="1">
        <v>1569</v>
      </c>
      <c r="B1570" s="1">
        <v>3</v>
      </c>
      <c r="C1570" s="3">
        <v>3115270308000</v>
      </c>
      <c r="D1570" s="2">
        <v>44451.354166666664</v>
      </c>
      <c r="E1570" s="2">
        <v>44451.444444444445</v>
      </c>
      <c r="F1570" s="23">
        <f t="shared" si="72"/>
        <v>9.0277777781011537E-2</v>
      </c>
      <c r="G1570" s="24">
        <f t="shared" si="74"/>
        <v>138.46153845657875</v>
      </c>
      <c r="H1570" s="1" t="s">
        <v>1</v>
      </c>
      <c r="I1570" s="4" t="s">
        <v>3</v>
      </c>
      <c r="J1570" s="14">
        <v>0.35416666666666669</v>
      </c>
      <c r="K1570" s="20" t="str">
        <f t="shared" si="73"/>
        <v>1st Shift</v>
      </c>
    </row>
    <row r="1571" spans="1:11" x14ac:dyDescent="0.25">
      <c r="A1571" s="1">
        <v>1570</v>
      </c>
      <c r="B1571" s="1">
        <v>1</v>
      </c>
      <c r="C1571" s="3">
        <v>1115270001800</v>
      </c>
      <c r="D1571" s="2">
        <v>44451.541666666664</v>
      </c>
      <c r="E1571" s="2">
        <v>44451.5625</v>
      </c>
      <c r="F1571" s="23">
        <f t="shared" si="72"/>
        <v>2.0833333335758653E-2</v>
      </c>
      <c r="G1571" s="24">
        <f t="shared" si="74"/>
        <v>599.99999993015081</v>
      </c>
      <c r="H1571" s="1" t="s">
        <v>1</v>
      </c>
      <c r="I1571" s="4" t="s">
        <v>3</v>
      </c>
      <c r="J1571" s="14">
        <v>0.54166666666666663</v>
      </c>
      <c r="K1571" s="20" t="str">
        <f t="shared" si="73"/>
        <v>1st Shift</v>
      </c>
    </row>
    <row r="1572" spans="1:11" x14ac:dyDescent="0.25">
      <c r="A1572" s="1">
        <v>1571</v>
      </c>
      <c r="B1572" s="1">
        <v>10</v>
      </c>
      <c r="C1572" s="3">
        <v>10115271963500</v>
      </c>
      <c r="D1572" s="2">
        <v>44451.625</v>
      </c>
      <c r="E1572" s="2">
        <v>44451.694444444445</v>
      </c>
      <c r="F1572" s="23">
        <f t="shared" si="72"/>
        <v>6.9444444445252884E-2</v>
      </c>
      <c r="G1572" s="24">
        <f t="shared" si="74"/>
        <v>179.99999999790452</v>
      </c>
      <c r="H1572" s="1" t="s">
        <v>1</v>
      </c>
      <c r="I1572" s="4" t="s">
        <v>3</v>
      </c>
      <c r="J1572" s="14">
        <v>0.625</v>
      </c>
      <c r="K1572" s="20" t="str">
        <f t="shared" si="73"/>
        <v>2nd Shift</v>
      </c>
    </row>
    <row r="1573" spans="1:11" x14ac:dyDescent="0.25">
      <c r="A1573" s="1">
        <v>1572</v>
      </c>
      <c r="B1573" s="1">
        <v>6</v>
      </c>
      <c r="C1573" s="3">
        <v>6115271735307</v>
      </c>
      <c r="D1573" s="2">
        <v>44451.625</v>
      </c>
      <c r="E1573" s="2">
        <v>44451.694444444445</v>
      </c>
      <c r="F1573" s="23">
        <f t="shared" si="72"/>
        <v>6.9444444445252884E-2</v>
      </c>
      <c r="G1573" s="24">
        <f t="shared" si="74"/>
        <v>179.99999999790452</v>
      </c>
      <c r="H1573" s="1" t="s">
        <v>1</v>
      </c>
      <c r="I1573" s="4" t="s">
        <v>2</v>
      </c>
      <c r="J1573" s="14">
        <v>0.625</v>
      </c>
      <c r="K1573" s="20" t="str">
        <f t="shared" si="73"/>
        <v>2nd Shift</v>
      </c>
    </row>
    <row r="1574" spans="1:11" x14ac:dyDescent="0.25">
      <c r="A1574" s="1">
        <v>1573</v>
      </c>
      <c r="B1574" s="1">
        <v>1</v>
      </c>
      <c r="C1574" s="3">
        <v>1115270143300</v>
      </c>
      <c r="D1574" s="2">
        <v>44451.625</v>
      </c>
      <c r="E1574" s="2">
        <v>44451.694444444445</v>
      </c>
      <c r="F1574" s="23">
        <f t="shared" si="72"/>
        <v>6.9444444445252884E-2</v>
      </c>
      <c r="G1574" s="24">
        <f t="shared" si="74"/>
        <v>179.99999999790452</v>
      </c>
      <c r="H1574" s="1" t="s">
        <v>1</v>
      </c>
      <c r="I1574" s="4" t="s">
        <v>2</v>
      </c>
      <c r="J1574" s="14">
        <v>0.625</v>
      </c>
      <c r="K1574" s="20" t="str">
        <f t="shared" si="73"/>
        <v>2nd Shift</v>
      </c>
    </row>
    <row r="1575" spans="1:11" x14ac:dyDescent="0.25">
      <c r="A1575" s="1">
        <v>1574</v>
      </c>
      <c r="B1575" s="1">
        <v>8</v>
      </c>
      <c r="C1575" s="3">
        <v>8115271810101</v>
      </c>
      <c r="D1575" s="2">
        <v>44451.708333333336</v>
      </c>
      <c r="E1575" s="2">
        <v>44451.791666666664</v>
      </c>
      <c r="F1575" s="23">
        <f t="shared" si="72"/>
        <v>8.3333333328482695E-2</v>
      </c>
      <c r="G1575" s="24">
        <f t="shared" si="74"/>
        <v>150.00000000873115</v>
      </c>
      <c r="H1575" s="1" t="s">
        <v>1</v>
      </c>
      <c r="I1575" s="4" t="s">
        <v>4</v>
      </c>
      <c r="J1575" s="14">
        <v>0.70833333333333337</v>
      </c>
      <c r="K1575" s="20" t="str">
        <f t="shared" si="73"/>
        <v>2nd Shift</v>
      </c>
    </row>
    <row r="1576" spans="1:11" x14ac:dyDescent="0.25">
      <c r="A1576" s="1">
        <v>1575</v>
      </c>
      <c r="B1576" s="1">
        <v>7</v>
      </c>
      <c r="C1576" s="3">
        <v>7115271774601</v>
      </c>
      <c r="D1576" s="2">
        <v>44451.708333333336</v>
      </c>
      <c r="E1576" s="2">
        <v>44451.791666666664</v>
      </c>
      <c r="F1576" s="23">
        <f t="shared" si="72"/>
        <v>8.3333333328482695E-2</v>
      </c>
      <c r="G1576" s="24">
        <f t="shared" si="74"/>
        <v>150.00000000873115</v>
      </c>
      <c r="H1576" s="1" t="s">
        <v>1</v>
      </c>
      <c r="I1576" s="4" t="s">
        <v>2</v>
      </c>
      <c r="J1576" s="14">
        <v>0.70833333333333337</v>
      </c>
      <c r="K1576" s="20" t="str">
        <f t="shared" si="73"/>
        <v>2nd Shift</v>
      </c>
    </row>
    <row r="1577" spans="1:11" x14ac:dyDescent="0.25">
      <c r="A1577" s="1">
        <v>1576</v>
      </c>
      <c r="B1577" s="1">
        <v>4</v>
      </c>
      <c r="C1577" s="3">
        <v>4115270845300</v>
      </c>
      <c r="D1577" s="2">
        <v>44451.708333333336</v>
      </c>
      <c r="E1577" s="2">
        <v>44451.791666666664</v>
      </c>
      <c r="F1577" s="23">
        <f t="shared" si="72"/>
        <v>8.3333333328482695E-2</v>
      </c>
      <c r="G1577" s="24">
        <f t="shared" si="74"/>
        <v>150.00000000873115</v>
      </c>
      <c r="H1577" s="1" t="s">
        <v>1</v>
      </c>
      <c r="I1577" s="4" t="s">
        <v>3</v>
      </c>
      <c r="J1577" s="14">
        <v>0.70833333333333337</v>
      </c>
      <c r="K1577" s="20" t="str">
        <f t="shared" si="73"/>
        <v>2nd Shift</v>
      </c>
    </row>
    <row r="1578" spans="1:11" x14ac:dyDescent="0.25">
      <c r="A1578" s="1">
        <v>1577</v>
      </c>
      <c r="B1578" s="1">
        <v>15</v>
      </c>
      <c r="C1578" s="3">
        <v>15115271771700</v>
      </c>
      <c r="D1578" s="2">
        <v>44451.8125</v>
      </c>
      <c r="E1578" s="2">
        <v>44451.899305555555</v>
      </c>
      <c r="F1578" s="23">
        <f t="shared" si="72"/>
        <v>8.6805555554747116E-2</v>
      </c>
      <c r="G1578" s="24">
        <f t="shared" si="74"/>
        <v>144.00000000134111</v>
      </c>
      <c r="H1578" s="1" t="s">
        <v>1</v>
      </c>
      <c r="I1578" s="4" t="s">
        <v>2</v>
      </c>
      <c r="J1578" s="14">
        <v>0.8125</v>
      </c>
      <c r="K1578" s="20" t="str">
        <f t="shared" si="73"/>
        <v>2nd Shift</v>
      </c>
    </row>
    <row r="1579" spans="1:11" x14ac:dyDescent="0.25">
      <c r="A1579" s="1">
        <v>1578</v>
      </c>
      <c r="B1579" s="1">
        <v>15</v>
      </c>
      <c r="C1579" s="3">
        <v>15115271743705</v>
      </c>
      <c r="D1579" s="2">
        <v>44451.8125</v>
      </c>
      <c r="E1579" s="2">
        <v>44451.899305555555</v>
      </c>
      <c r="F1579" s="23">
        <f t="shared" si="72"/>
        <v>8.6805555554747116E-2</v>
      </c>
      <c r="G1579" s="24">
        <f t="shared" si="74"/>
        <v>144.00000000134111</v>
      </c>
      <c r="H1579" s="1" t="s">
        <v>1</v>
      </c>
      <c r="I1579" s="4" t="s">
        <v>4</v>
      </c>
      <c r="J1579" s="14">
        <v>0.8125</v>
      </c>
      <c r="K1579" s="20" t="str">
        <f t="shared" si="73"/>
        <v>2nd Shift</v>
      </c>
    </row>
    <row r="1580" spans="1:11" x14ac:dyDescent="0.25">
      <c r="A1580" s="1">
        <v>1579</v>
      </c>
      <c r="B1580" s="1">
        <v>7</v>
      </c>
      <c r="C1580" s="3">
        <v>7115271774419</v>
      </c>
      <c r="D1580" s="2">
        <v>44451.8125</v>
      </c>
      <c r="E1580" s="2">
        <v>44451.899305555555</v>
      </c>
      <c r="F1580" s="23">
        <f t="shared" si="72"/>
        <v>8.6805555554747116E-2</v>
      </c>
      <c r="G1580" s="24">
        <f t="shared" si="74"/>
        <v>144.00000000134111</v>
      </c>
      <c r="H1580" s="1" t="s">
        <v>1</v>
      </c>
      <c r="I1580" s="4" t="s">
        <v>4</v>
      </c>
      <c r="J1580" s="14">
        <v>0.8125</v>
      </c>
      <c r="K1580" s="20" t="str">
        <f t="shared" si="73"/>
        <v>2nd Shift</v>
      </c>
    </row>
    <row r="1581" spans="1:11" x14ac:dyDescent="0.25">
      <c r="A1581" s="1">
        <v>1580</v>
      </c>
      <c r="B1581" s="1">
        <v>9</v>
      </c>
      <c r="C1581" s="3">
        <v>9115271903904</v>
      </c>
      <c r="D1581" s="2">
        <v>44452.395833333336</v>
      </c>
      <c r="E1581" s="2">
        <v>44452.479166666664</v>
      </c>
      <c r="F1581" s="23">
        <f t="shared" si="72"/>
        <v>8.3333333328482695E-2</v>
      </c>
      <c r="G1581" s="24">
        <f t="shared" si="74"/>
        <v>150.00000000873115</v>
      </c>
      <c r="H1581" s="1" t="s">
        <v>1</v>
      </c>
      <c r="I1581" s="4" t="s">
        <v>2</v>
      </c>
      <c r="J1581" s="14">
        <v>0.39583333333333331</v>
      </c>
      <c r="K1581" s="20" t="str">
        <f t="shared" si="73"/>
        <v>1st Shift</v>
      </c>
    </row>
    <row r="1582" spans="1:11" x14ac:dyDescent="0.25">
      <c r="A1582" s="1">
        <v>1581</v>
      </c>
      <c r="B1582" s="1">
        <v>9</v>
      </c>
      <c r="C1582" s="3">
        <v>9115271903900</v>
      </c>
      <c r="D1582" s="2">
        <v>44452.395833333336</v>
      </c>
      <c r="E1582" s="2">
        <v>44452.479166666664</v>
      </c>
      <c r="F1582" s="23">
        <f t="shared" si="72"/>
        <v>8.3333333328482695E-2</v>
      </c>
      <c r="G1582" s="24">
        <f t="shared" si="74"/>
        <v>150.00000000873115</v>
      </c>
      <c r="H1582" s="1" t="s">
        <v>1</v>
      </c>
      <c r="I1582" s="4" t="s">
        <v>2</v>
      </c>
      <c r="J1582" s="14">
        <v>0.39583333333333331</v>
      </c>
      <c r="K1582" s="20" t="str">
        <f t="shared" si="73"/>
        <v>1st Shift</v>
      </c>
    </row>
    <row r="1583" spans="1:11" x14ac:dyDescent="0.25">
      <c r="A1583" s="1">
        <v>1582</v>
      </c>
      <c r="B1583" s="1">
        <v>7</v>
      </c>
      <c r="C1583" s="3">
        <v>7115271771007</v>
      </c>
      <c r="D1583" s="2">
        <v>44452.395833333336</v>
      </c>
      <c r="E1583" s="2">
        <v>44452.479166666664</v>
      </c>
      <c r="F1583" s="23">
        <f t="shared" si="72"/>
        <v>8.3333333328482695E-2</v>
      </c>
      <c r="G1583" s="24">
        <f t="shared" si="74"/>
        <v>150.00000000873115</v>
      </c>
      <c r="H1583" s="1" t="s">
        <v>1</v>
      </c>
      <c r="I1583" s="4" t="s">
        <v>2</v>
      </c>
      <c r="J1583" s="14">
        <v>0.39583333333333331</v>
      </c>
      <c r="K1583" s="20" t="str">
        <f t="shared" si="73"/>
        <v>1st Shift</v>
      </c>
    </row>
    <row r="1584" spans="1:11" x14ac:dyDescent="0.25">
      <c r="A1584" s="1">
        <v>1583</v>
      </c>
      <c r="B1584" s="1">
        <v>7</v>
      </c>
      <c r="C1584" s="3">
        <v>7115271771002</v>
      </c>
      <c r="D1584" s="2">
        <v>44452.395833333336</v>
      </c>
      <c r="E1584" s="2">
        <v>44452.479166666664</v>
      </c>
      <c r="F1584" s="23">
        <f t="shared" si="72"/>
        <v>8.3333333328482695E-2</v>
      </c>
      <c r="G1584" s="24">
        <f t="shared" si="74"/>
        <v>150.00000000873115</v>
      </c>
      <c r="H1584" s="1" t="s">
        <v>1</v>
      </c>
      <c r="I1584" s="4" t="s">
        <v>2</v>
      </c>
      <c r="J1584" s="14">
        <v>0.39583333333333331</v>
      </c>
      <c r="K1584" s="20" t="str">
        <f t="shared" si="73"/>
        <v>1st Shift</v>
      </c>
    </row>
    <row r="1585" spans="1:11" x14ac:dyDescent="0.25">
      <c r="A1585" s="1">
        <v>1584</v>
      </c>
      <c r="B1585" s="1">
        <v>2</v>
      </c>
      <c r="C1585" s="3">
        <v>2115270250401</v>
      </c>
      <c r="D1585" s="2">
        <v>44452.395833333336</v>
      </c>
      <c r="E1585" s="2">
        <v>44452.479166666664</v>
      </c>
      <c r="F1585" s="23">
        <f t="shared" si="72"/>
        <v>8.3333333328482695E-2</v>
      </c>
      <c r="G1585" s="24">
        <f t="shared" si="74"/>
        <v>150.00000000873115</v>
      </c>
      <c r="H1585" s="1" t="s">
        <v>1</v>
      </c>
      <c r="I1585" s="4" t="s">
        <v>3</v>
      </c>
      <c r="J1585" s="14">
        <v>0.39583333333333331</v>
      </c>
      <c r="K1585" s="20" t="str">
        <f t="shared" si="73"/>
        <v>1st Shift</v>
      </c>
    </row>
    <row r="1586" spans="1:11" x14ac:dyDescent="0.25">
      <c r="A1586" s="1">
        <v>1585</v>
      </c>
      <c r="B1586" s="1">
        <v>2</v>
      </c>
      <c r="C1586" s="3">
        <v>2115270250400</v>
      </c>
      <c r="D1586" s="2">
        <v>44452.395833333336</v>
      </c>
      <c r="E1586" s="2">
        <v>44452.479166666664</v>
      </c>
      <c r="F1586" s="23">
        <f t="shared" si="72"/>
        <v>8.3333333328482695E-2</v>
      </c>
      <c r="G1586" s="24">
        <f t="shared" si="74"/>
        <v>150.00000000873115</v>
      </c>
      <c r="H1586" s="1" t="s">
        <v>1</v>
      </c>
      <c r="I1586" s="4" t="s">
        <v>4</v>
      </c>
      <c r="J1586" s="14">
        <v>0.39583333333333331</v>
      </c>
      <c r="K1586" s="20" t="str">
        <f t="shared" si="73"/>
        <v>1st Shift</v>
      </c>
    </row>
    <row r="1587" spans="1:11" x14ac:dyDescent="0.25">
      <c r="A1587" s="1">
        <v>1586</v>
      </c>
      <c r="B1587" s="1">
        <v>14</v>
      </c>
      <c r="C1587" s="3">
        <v>14115271672417</v>
      </c>
      <c r="D1587" s="2">
        <v>44452.503472222219</v>
      </c>
      <c r="E1587" s="2">
        <v>44452.583333333336</v>
      </c>
      <c r="F1587" s="23">
        <f t="shared" si="72"/>
        <v>7.9861111116770189E-2</v>
      </c>
      <c r="G1587" s="24">
        <f t="shared" si="74"/>
        <v>156.52173911934341</v>
      </c>
      <c r="H1587" s="1" t="s">
        <v>1</v>
      </c>
      <c r="I1587" s="4" t="s">
        <v>3</v>
      </c>
      <c r="J1587" s="14">
        <v>0.50347222222222221</v>
      </c>
      <c r="K1587" s="20" t="str">
        <f t="shared" si="73"/>
        <v>1st Shift</v>
      </c>
    </row>
    <row r="1588" spans="1:11" x14ac:dyDescent="0.25">
      <c r="A1588" s="1">
        <v>1587</v>
      </c>
      <c r="B1588" s="1">
        <v>14</v>
      </c>
      <c r="C1588" s="3">
        <v>14115271672410</v>
      </c>
      <c r="D1588" s="2">
        <v>44452.503472222219</v>
      </c>
      <c r="E1588" s="2">
        <v>44452.583333333336</v>
      </c>
      <c r="F1588" s="23">
        <f t="shared" si="72"/>
        <v>7.9861111116770189E-2</v>
      </c>
      <c r="G1588" s="24">
        <f t="shared" si="74"/>
        <v>156.52173911934341</v>
      </c>
      <c r="H1588" s="1" t="s">
        <v>1</v>
      </c>
      <c r="I1588" s="4" t="s">
        <v>3</v>
      </c>
      <c r="J1588" s="14">
        <v>0.50347222222222221</v>
      </c>
      <c r="K1588" s="20" t="str">
        <f t="shared" si="73"/>
        <v>1st Shift</v>
      </c>
    </row>
    <row r="1589" spans="1:11" x14ac:dyDescent="0.25">
      <c r="A1589" s="1">
        <v>1588</v>
      </c>
      <c r="B1589" s="1">
        <v>3</v>
      </c>
      <c r="C1589" s="3">
        <v>3115270382405</v>
      </c>
      <c r="D1589" s="2">
        <v>44452.503472222219</v>
      </c>
      <c r="E1589" s="2">
        <v>44452.583333333336</v>
      </c>
      <c r="F1589" s="23">
        <f t="shared" si="72"/>
        <v>7.9861111116770189E-2</v>
      </c>
      <c r="G1589" s="24">
        <f t="shared" si="74"/>
        <v>156.52173911934341</v>
      </c>
      <c r="H1589" s="1" t="s">
        <v>1</v>
      </c>
      <c r="I1589" s="4" t="s">
        <v>3</v>
      </c>
      <c r="J1589" s="14">
        <v>0.50347222222222221</v>
      </c>
      <c r="K1589" s="20" t="str">
        <f t="shared" si="73"/>
        <v>1st Shift</v>
      </c>
    </row>
    <row r="1590" spans="1:11" x14ac:dyDescent="0.25">
      <c r="A1590" s="1">
        <v>1589</v>
      </c>
      <c r="B1590" s="1">
        <v>3</v>
      </c>
      <c r="C1590" s="3">
        <v>3115270382400</v>
      </c>
      <c r="D1590" s="2">
        <v>44452.503472222219</v>
      </c>
      <c r="E1590" s="2">
        <v>44452.583333333336</v>
      </c>
      <c r="F1590" s="23">
        <f t="shared" si="72"/>
        <v>7.9861111116770189E-2</v>
      </c>
      <c r="G1590" s="24">
        <f t="shared" si="74"/>
        <v>156.52173911934341</v>
      </c>
      <c r="H1590" s="1" t="s">
        <v>1</v>
      </c>
      <c r="I1590" s="4" t="s">
        <v>8</v>
      </c>
      <c r="J1590" s="14">
        <v>0.50347222222222221</v>
      </c>
      <c r="K1590" s="20" t="str">
        <f t="shared" si="73"/>
        <v>1st Shift</v>
      </c>
    </row>
    <row r="1591" spans="1:11" x14ac:dyDescent="0.25">
      <c r="A1591" s="1">
        <v>1590</v>
      </c>
      <c r="B1591" s="1">
        <v>3</v>
      </c>
      <c r="C1591" s="3">
        <v>3115270324503</v>
      </c>
      <c r="D1591" s="2">
        <v>44452.503472222219</v>
      </c>
      <c r="E1591" s="2">
        <v>44452.583333333336</v>
      </c>
      <c r="F1591" s="23">
        <f t="shared" si="72"/>
        <v>7.9861111116770189E-2</v>
      </c>
      <c r="G1591" s="24">
        <f t="shared" si="74"/>
        <v>156.52173911934341</v>
      </c>
      <c r="H1591" s="1" t="s">
        <v>1</v>
      </c>
      <c r="I1591" s="4" t="s">
        <v>2</v>
      </c>
      <c r="J1591" s="14">
        <v>0.50347222222222221</v>
      </c>
      <c r="K1591" s="20" t="str">
        <f t="shared" si="73"/>
        <v>1st Shift</v>
      </c>
    </row>
    <row r="1592" spans="1:11" x14ac:dyDescent="0.25">
      <c r="A1592" s="1">
        <v>1591</v>
      </c>
      <c r="B1592" s="1">
        <v>3</v>
      </c>
      <c r="C1592" s="3">
        <v>3115270324502</v>
      </c>
      <c r="D1592" s="2">
        <v>44452.503472222219</v>
      </c>
      <c r="E1592" s="2">
        <v>44452.583333333336</v>
      </c>
      <c r="F1592" s="23">
        <f t="shared" si="72"/>
        <v>7.9861111116770189E-2</v>
      </c>
      <c r="G1592" s="24">
        <f t="shared" si="74"/>
        <v>156.52173911934341</v>
      </c>
      <c r="H1592" s="1" t="s">
        <v>1</v>
      </c>
      <c r="I1592" s="4" t="s">
        <v>2</v>
      </c>
      <c r="J1592" s="14">
        <v>0.50347222222222221</v>
      </c>
      <c r="K1592" s="20" t="str">
        <f t="shared" si="73"/>
        <v>1st Shift</v>
      </c>
    </row>
    <row r="1593" spans="1:11" x14ac:dyDescent="0.25">
      <c r="A1593" s="1">
        <v>1592</v>
      </c>
      <c r="B1593" s="1">
        <v>3</v>
      </c>
      <c r="C1593" s="3">
        <v>3115270324409</v>
      </c>
      <c r="D1593" s="2">
        <v>44452.819444444445</v>
      </c>
      <c r="E1593" s="2">
        <v>44452.850694444445</v>
      </c>
      <c r="F1593" s="23">
        <f t="shared" si="72"/>
        <v>3.125E-2</v>
      </c>
      <c r="G1593" s="24">
        <f t="shared" si="74"/>
        <v>400</v>
      </c>
      <c r="H1593" s="1" t="s">
        <v>1</v>
      </c>
      <c r="I1593" s="4" t="s">
        <v>3</v>
      </c>
      <c r="J1593" s="14">
        <v>0.81944444444444442</v>
      </c>
      <c r="K1593" s="20" t="str">
        <f t="shared" si="73"/>
        <v>2nd Shift</v>
      </c>
    </row>
    <row r="1594" spans="1:11" x14ac:dyDescent="0.25">
      <c r="A1594" s="1">
        <v>1593</v>
      </c>
      <c r="B1594" s="1">
        <v>3</v>
      </c>
      <c r="C1594" s="3">
        <v>3115270324405</v>
      </c>
      <c r="D1594" s="2">
        <v>44452.819444444445</v>
      </c>
      <c r="E1594" s="2">
        <v>44452.850694444445</v>
      </c>
      <c r="F1594" s="23">
        <f t="shared" si="72"/>
        <v>3.125E-2</v>
      </c>
      <c r="G1594" s="24">
        <f t="shared" si="74"/>
        <v>400</v>
      </c>
      <c r="H1594" s="1" t="s">
        <v>1</v>
      </c>
      <c r="I1594" s="4" t="s">
        <v>2</v>
      </c>
      <c r="J1594" s="14">
        <v>0.81944444444444442</v>
      </c>
      <c r="K1594" s="20" t="str">
        <f t="shared" si="73"/>
        <v>2nd Shift</v>
      </c>
    </row>
    <row r="1595" spans="1:11" x14ac:dyDescent="0.25">
      <c r="A1595" s="1">
        <v>1594</v>
      </c>
      <c r="B1595" s="1">
        <v>3</v>
      </c>
      <c r="C1595" s="3">
        <v>3115270324401</v>
      </c>
      <c r="D1595" s="2">
        <v>44452.819444444445</v>
      </c>
      <c r="E1595" s="2">
        <v>44452.850694444445</v>
      </c>
      <c r="F1595" s="23">
        <f t="shared" si="72"/>
        <v>3.125E-2</v>
      </c>
      <c r="G1595" s="24">
        <f t="shared" si="74"/>
        <v>400</v>
      </c>
      <c r="H1595" s="1" t="s">
        <v>1</v>
      </c>
      <c r="I1595" s="4" t="s">
        <v>2</v>
      </c>
      <c r="J1595" s="14">
        <v>0.81944444444444442</v>
      </c>
      <c r="K1595" s="20" t="str">
        <f t="shared" si="73"/>
        <v>2nd Shift</v>
      </c>
    </row>
    <row r="1596" spans="1:11" x14ac:dyDescent="0.25">
      <c r="A1596" s="1">
        <v>1595</v>
      </c>
      <c r="B1596" s="1">
        <v>7</v>
      </c>
      <c r="C1596" s="3">
        <v>7115271802208</v>
      </c>
      <c r="D1596" s="2">
        <v>44452.885416666664</v>
      </c>
      <c r="E1596" s="2">
        <v>44452.909722222219</v>
      </c>
      <c r="F1596" s="23">
        <f t="shared" si="72"/>
        <v>2.4305555554747116E-2</v>
      </c>
      <c r="G1596" s="24">
        <f t="shared" si="74"/>
        <v>514.28571430282022</v>
      </c>
      <c r="H1596" s="1" t="s">
        <v>1</v>
      </c>
      <c r="I1596" s="4" t="s">
        <v>3</v>
      </c>
      <c r="J1596" s="14">
        <v>0.88541666666666663</v>
      </c>
      <c r="K1596" s="20" t="str">
        <f t="shared" si="73"/>
        <v>2nd Shift</v>
      </c>
    </row>
    <row r="1597" spans="1:11" x14ac:dyDescent="0.25">
      <c r="A1597" s="1">
        <v>1596</v>
      </c>
      <c r="B1597" s="1">
        <v>7</v>
      </c>
      <c r="C1597" s="3">
        <v>7115271802208</v>
      </c>
      <c r="D1597" s="2">
        <v>44452.885416666664</v>
      </c>
      <c r="E1597" s="2">
        <v>44452.909722222219</v>
      </c>
      <c r="F1597" s="23">
        <f t="shared" si="72"/>
        <v>2.4305555554747116E-2</v>
      </c>
      <c r="G1597" s="24">
        <f t="shared" si="74"/>
        <v>514.28571430282022</v>
      </c>
      <c r="H1597" s="1" t="s">
        <v>1</v>
      </c>
      <c r="I1597" s="4" t="s">
        <v>8</v>
      </c>
      <c r="J1597" s="14">
        <v>0.88541666666666663</v>
      </c>
      <c r="K1597" s="20" t="str">
        <f t="shared" si="73"/>
        <v>2nd Shift</v>
      </c>
    </row>
    <row r="1598" spans="1:11" x14ac:dyDescent="0.25">
      <c r="A1598" s="1">
        <v>1597</v>
      </c>
      <c r="B1598" s="1">
        <v>7</v>
      </c>
      <c r="C1598" s="3">
        <v>7115271802204</v>
      </c>
      <c r="D1598" s="2">
        <v>44452.885416666664</v>
      </c>
      <c r="E1598" s="2">
        <v>44452.909722222219</v>
      </c>
      <c r="F1598" s="23">
        <f t="shared" si="72"/>
        <v>2.4305555554747116E-2</v>
      </c>
      <c r="G1598" s="24">
        <f t="shared" si="74"/>
        <v>514.28571430282022</v>
      </c>
      <c r="H1598" s="1" t="s">
        <v>1</v>
      </c>
      <c r="I1598" s="4" t="s">
        <v>3</v>
      </c>
      <c r="J1598" s="14">
        <v>0.88541666666666663</v>
      </c>
      <c r="K1598" s="20" t="str">
        <f t="shared" si="73"/>
        <v>2nd Shift</v>
      </c>
    </row>
    <row r="1599" spans="1:11" x14ac:dyDescent="0.25">
      <c r="A1599" s="1">
        <v>1598</v>
      </c>
      <c r="B1599" s="1">
        <v>3</v>
      </c>
      <c r="C1599" s="3">
        <v>3115270350307</v>
      </c>
      <c r="D1599" s="2">
        <v>44452.9375</v>
      </c>
      <c r="E1599" s="2">
        <v>44452.96875</v>
      </c>
      <c r="F1599" s="23">
        <f t="shared" si="72"/>
        <v>3.125E-2</v>
      </c>
      <c r="G1599" s="24">
        <f t="shared" si="74"/>
        <v>400</v>
      </c>
      <c r="H1599" s="1" t="s">
        <v>1</v>
      </c>
      <c r="I1599" s="4" t="s">
        <v>3</v>
      </c>
      <c r="J1599" s="14">
        <v>0.9375</v>
      </c>
      <c r="K1599" s="20" t="str">
        <f t="shared" si="73"/>
        <v>3rd Shift</v>
      </c>
    </row>
    <row r="1600" spans="1:11" x14ac:dyDescent="0.25">
      <c r="A1600" s="1">
        <v>1599</v>
      </c>
      <c r="B1600" s="1">
        <v>3</v>
      </c>
      <c r="C1600" s="3">
        <v>3115270350300</v>
      </c>
      <c r="D1600" s="2">
        <v>44452.9375</v>
      </c>
      <c r="E1600" s="2">
        <v>44452.96875</v>
      </c>
      <c r="F1600" s="23">
        <f t="shared" si="72"/>
        <v>3.125E-2</v>
      </c>
      <c r="G1600" s="24">
        <f t="shared" si="74"/>
        <v>400</v>
      </c>
      <c r="H1600" s="1" t="s">
        <v>1</v>
      </c>
      <c r="I1600" s="4" t="s">
        <v>8</v>
      </c>
      <c r="J1600" s="14">
        <v>0.9375</v>
      </c>
      <c r="K1600" s="20" t="str">
        <f t="shared" si="73"/>
        <v>3rd Shift</v>
      </c>
    </row>
    <row r="1601" spans="1:11" x14ac:dyDescent="0.25">
      <c r="A1601" s="1">
        <v>1600</v>
      </c>
      <c r="B1601" s="1">
        <v>10</v>
      </c>
      <c r="C1601" s="3">
        <v>10115271964012</v>
      </c>
      <c r="D1601" s="2">
        <v>44453.013888888891</v>
      </c>
      <c r="E1601" s="2">
        <v>44453.072916666664</v>
      </c>
      <c r="F1601" s="23">
        <f t="shared" si="72"/>
        <v>5.9027777773735579E-2</v>
      </c>
      <c r="G1601" s="24">
        <f t="shared" si="74"/>
        <v>211.76470589685451</v>
      </c>
      <c r="H1601" s="1" t="s">
        <v>1</v>
      </c>
      <c r="I1601" s="4" t="s">
        <v>2</v>
      </c>
      <c r="J1601" s="14">
        <v>1.3888888888888888E-2</v>
      </c>
      <c r="K1601" s="20" t="str">
        <f t="shared" si="73"/>
        <v>3rd Shift</v>
      </c>
    </row>
    <row r="1602" spans="1:11" x14ac:dyDescent="0.25">
      <c r="A1602" s="1">
        <v>1601</v>
      </c>
      <c r="B1602" s="1">
        <v>10</v>
      </c>
      <c r="C1602" s="3">
        <v>10115271964010</v>
      </c>
      <c r="D1602" s="2">
        <v>44453.013888888891</v>
      </c>
      <c r="E1602" s="2">
        <v>44453.072916666664</v>
      </c>
      <c r="F1602" s="23">
        <f t="shared" ref="F1602:F1665" si="75">E1602-D1602</f>
        <v>5.9027777773735579E-2</v>
      </c>
      <c r="G1602" s="24">
        <f t="shared" si="74"/>
        <v>211.76470589685451</v>
      </c>
      <c r="H1602" s="1" t="s">
        <v>1</v>
      </c>
      <c r="I1602" s="4" t="s">
        <v>3</v>
      </c>
      <c r="J1602" s="14">
        <v>1.3888888888888888E-2</v>
      </c>
      <c r="K1602" s="20" t="str">
        <f t="shared" ref="K1602:K1665" si="76">IF(AND(J1602&gt;=$M$3,J1602&lt;$M$4),"1st Shift",IF(AND(J1602&gt;=$M$4,J1602&lt;$M$5),"2nd Shift","3rd Shift"))</f>
        <v>3rd Shift</v>
      </c>
    </row>
    <row r="1603" spans="1:11" x14ac:dyDescent="0.25">
      <c r="A1603" s="1">
        <v>1602</v>
      </c>
      <c r="B1603" s="1">
        <v>10</v>
      </c>
      <c r="C1603" s="3">
        <v>10115271964002</v>
      </c>
      <c r="D1603" s="2">
        <v>44453.013888888891</v>
      </c>
      <c r="E1603" s="2">
        <v>44453.072916666664</v>
      </c>
      <c r="F1603" s="23">
        <f t="shared" si="75"/>
        <v>5.9027777773735579E-2</v>
      </c>
      <c r="G1603" s="24">
        <f t="shared" ref="G1603:G1666" si="77">$M$9/F1603*100</f>
        <v>211.76470589685451</v>
      </c>
      <c r="H1603" s="1" t="s">
        <v>1</v>
      </c>
      <c r="I1603" s="4" t="s">
        <v>2</v>
      </c>
      <c r="J1603" s="14">
        <v>1.3888888888888888E-2</v>
      </c>
      <c r="K1603" s="20" t="str">
        <f t="shared" si="76"/>
        <v>3rd Shift</v>
      </c>
    </row>
    <row r="1604" spans="1:11" x14ac:dyDescent="0.25">
      <c r="A1604" s="1">
        <v>1603</v>
      </c>
      <c r="B1604" s="1">
        <v>10</v>
      </c>
      <c r="C1604" s="3">
        <v>10115271964001</v>
      </c>
      <c r="D1604" s="2">
        <v>44453.013888888891</v>
      </c>
      <c r="E1604" s="2">
        <v>44453.072916666664</v>
      </c>
      <c r="F1604" s="23">
        <f t="shared" si="75"/>
        <v>5.9027777773735579E-2</v>
      </c>
      <c r="G1604" s="24">
        <f t="shared" si="77"/>
        <v>211.76470589685451</v>
      </c>
      <c r="H1604" s="1" t="s">
        <v>1</v>
      </c>
      <c r="I1604" s="4" t="s">
        <v>3</v>
      </c>
      <c r="J1604" s="14">
        <v>1.3888888888888888E-2</v>
      </c>
      <c r="K1604" s="20" t="str">
        <f t="shared" si="76"/>
        <v>3rd Shift</v>
      </c>
    </row>
    <row r="1605" spans="1:11" x14ac:dyDescent="0.25">
      <c r="A1605" s="1">
        <v>1604</v>
      </c>
      <c r="B1605" s="1">
        <v>10</v>
      </c>
      <c r="C1605" s="3">
        <v>10115271964000</v>
      </c>
      <c r="D1605" s="2">
        <v>44453.013888888891</v>
      </c>
      <c r="E1605" s="2">
        <v>44453.072916666664</v>
      </c>
      <c r="F1605" s="23">
        <f t="shared" si="75"/>
        <v>5.9027777773735579E-2</v>
      </c>
      <c r="G1605" s="24">
        <f t="shared" si="77"/>
        <v>211.76470589685451</v>
      </c>
      <c r="H1605" s="1" t="s">
        <v>1</v>
      </c>
      <c r="I1605" s="4" t="s">
        <v>3</v>
      </c>
      <c r="J1605" s="14">
        <v>1.3888888888888888E-2</v>
      </c>
      <c r="K1605" s="20" t="str">
        <f t="shared" si="76"/>
        <v>3rd Shift</v>
      </c>
    </row>
    <row r="1606" spans="1:11" x14ac:dyDescent="0.25">
      <c r="A1606" s="1">
        <v>1605</v>
      </c>
      <c r="B1606" s="1">
        <v>7</v>
      </c>
      <c r="C1606" s="3">
        <v>7115271799228</v>
      </c>
      <c r="D1606" s="2">
        <v>44453.013888888891</v>
      </c>
      <c r="E1606" s="2">
        <v>44453.072916666664</v>
      </c>
      <c r="F1606" s="23">
        <f t="shared" si="75"/>
        <v>5.9027777773735579E-2</v>
      </c>
      <c r="G1606" s="24">
        <f t="shared" si="77"/>
        <v>211.76470589685451</v>
      </c>
      <c r="H1606" s="1" t="s">
        <v>1</v>
      </c>
      <c r="I1606" s="4" t="s">
        <v>3</v>
      </c>
      <c r="J1606" s="14">
        <v>1.3888888888888888E-2</v>
      </c>
      <c r="K1606" s="20" t="str">
        <f t="shared" si="76"/>
        <v>3rd Shift</v>
      </c>
    </row>
    <row r="1607" spans="1:11" x14ac:dyDescent="0.25">
      <c r="A1607" s="1">
        <v>1606</v>
      </c>
      <c r="B1607" s="1">
        <v>7</v>
      </c>
      <c r="C1607" s="3">
        <v>7115271799227</v>
      </c>
      <c r="D1607" s="2">
        <v>44453.013888888891</v>
      </c>
      <c r="E1607" s="2">
        <v>44453.072916666664</v>
      </c>
      <c r="F1607" s="23">
        <f t="shared" si="75"/>
        <v>5.9027777773735579E-2</v>
      </c>
      <c r="G1607" s="24">
        <f t="shared" si="77"/>
        <v>211.76470589685451</v>
      </c>
      <c r="H1607" s="1" t="s">
        <v>1</v>
      </c>
      <c r="I1607" s="4" t="s">
        <v>4</v>
      </c>
      <c r="J1607" s="14">
        <v>1.3888888888888888E-2</v>
      </c>
      <c r="K1607" s="20" t="str">
        <f t="shared" si="76"/>
        <v>3rd Shift</v>
      </c>
    </row>
    <row r="1608" spans="1:11" x14ac:dyDescent="0.25">
      <c r="A1608" s="1">
        <v>1607</v>
      </c>
      <c r="B1608" s="1">
        <v>7</v>
      </c>
      <c r="C1608" s="3">
        <v>7115271799226</v>
      </c>
      <c r="D1608" s="2">
        <v>44453.013888888891</v>
      </c>
      <c r="E1608" s="2">
        <v>44453.072916666664</v>
      </c>
      <c r="F1608" s="23">
        <f t="shared" si="75"/>
        <v>5.9027777773735579E-2</v>
      </c>
      <c r="G1608" s="24">
        <f t="shared" si="77"/>
        <v>211.76470589685451</v>
      </c>
      <c r="H1608" s="1" t="s">
        <v>1</v>
      </c>
      <c r="I1608" s="4" t="s">
        <v>3</v>
      </c>
      <c r="J1608" s="14">
        <v>1.3888888888888888E-2</v>
      </c>
      <c r="K1608" s="20" t="str">
        <f t="shared" si="76"/>
        <v>3rd Shift</v>
      </c>
    </row>
    <row r="1609" spans="1:11" x14ac:dyDescent="0.25">
      <c r="A1609" s="1">
        <v>1608</v>
      </c>
      <c r="B1609" s="1">
        <v>7</v>
      </c>
      <c r="C1609" s="3">
        <v>7115271799216</v>
      </c>
      <c r="D1609" s="2">
        <v>44453.013888888891</v>
      </c>
      <c r="E1609" s="2">
        <v>44453.072916666664</v>
      </c>
      <c r="F1609" s="23">
        <f t="shared" si="75"/>
        <v>5.9027777773735579E-2</v>
      </c>
      <c r="G1609" s="24">
        <f t="shared" si="77"/>
        <v>211.76470589685451</v>
      </c>
      <c r="H1609" s="1" t="s">
        <v>1</v>
      </c>
      <c r="I1609" s="4" t="s">
        <v>3</v>
      </c>
      <c r="J1609" s="14">
        <v>1.3888888888888888E-2</v>
      </c>
      <c r="K1609" s="20" t="str">
        <f t="shared" si="76"/>
        <v>3rd Shift</v>
      </c>
    </row>
    <row r="1610" spans="1:11" x14ac:dyDescent="0.25">
      <c r="A1610" s="1">
        <v>1609</v>
      </c>
      <c r="B1610" s="1">
        <v>11</v>
      </c>
      <c r="C1610" s="3">
        <v>11115271547014</v>
      </c>
      <c r="D1610" s="2">
        <v>44453.520833333336</v>
      </c>
      <c r="E1610" s="2">
        <v>44453.541666666664</v>
      </c>
      <c r="F1610" s="23">
        <f t="shared" si="75"/>
        <v>2.0833333328482695E-2</v>
      </c>
      <c r="G1610" s="24">
        <f t="shared" si="77"/>
        <v>600.00000013969839</v>
      </c>
      <c r="H1610" s="1" t="s">
        <v>1</v>
      </c>
      <c r="I1610" s="4" t="s">
        <v>3</v>
      </c>
      <c r="J1610" s="14">
        <v>0.52083333333333337</v>
      </c>
      <c r="K1610" s="20" t="str">
        <f t="shared" si="76"/>
        <v>1st Shift</v>
      </c>
    </row>
    <row r="1611" spans="1:11" x14ac:dyDescent="0.25">
      <c r="A1611" s="1">
        <v>1610</v>
      </c>
      <c r="B1611" s="1">
        <v>11</v>
      </c>
      <c r="C1611" s="3">
        <v>11115271547012</v>
      </c>
      <c r="D1611" s="2">
        <v>44453.520833333336</v>
      </c>
      <c r="E1611" s="2">
        <v>44453.541666666664</v>
      </c>
      <c r="F1611" s="23">
        <f t="shared" si="75"/>
        <v>2.0833333328482695E-2</v>
      </c>
      <c r="G1611" s="24">
        <f t="shared" si="77"/>
        <v>600.00000013969839</v>
      </c>
      <c r="H1611" s="1" t="s">
        <v>1</v>
      </c>
      <c r="I1611" s="4" t="s">
        <v>3</v>
      </c>
      <c r="J1611" s="14">
        <v>0.52083333333333337</v>
      </c>
      <c r="K1611" s="20" t="str">
        <f t="shared" si="76"/>
        <v>1st Shift</v>
      </c>
    </row>
    <row r="1612" spans="1:11" x14ac:dyDescent="0.25">
      <c r="A1612" s="1">
        <v>1611</v>
      </c>
      <c r="B1612" s="1">
        <v>11</v>
      </c>
      <c r="C1612" s="3">
        <v>11115271547004</v>
      </c>
      <c r="D1612" s="2">
        <v>44453.520833333336</v>
      </c>
      <c r="E1612" s="2">
        <v>44453.541666666664</v>
      </c>
      <c r="F1612" s="23">
        <f t="shared" si="75"/>
        <v>2.0833333328482695E-2</v>
      </c>
      <c r="G1612" s="24">
        <f t="shared" si="77"/>
        <v>600.00000013969839</v>
      </c>
      <c r="H1612" s="1" t="s">
        <v>1</v>
      </c>
      <c r="I1612" s="4" t="s">
        <v>2</v>
      </c>
      <c r="J1612" s="14">
        <v>0.52083333333333337</v>
      </c>
      <c r="K1612" s="20" t="str">
        <f t="shared" si="76"/>
        <v>1st Shift</v>
      </c>
    </row>
    <row r="1613" spans="1:11" x14ac:dyDescent="0.25">
      <c r="A1613" s="1">
        <v>1612</v>
      </c>
      <c r="B1613" s="1">
        <v>11</v>
      </c>
      <c r="C1613" s="3">
        <v>11115271547003</v>
      </c>
      <c r="D1613" s="2">
        <v>44453.520833333336</v>
      </c>
      <c r="E1613" s="2">
        <v>44453.541666666664</v>
      </c>
      <c r="F1613" s="23">
        <f t="shared" si="75"/>
        <v>2.0833333328482695E-2</v>
      </c>
      <c r="G1613" s="24">
        <f t="shared" si="77"/>
        <v>600.00000013969839</v>
      </c>
      <c r="H1613" s="1" t="s">
        <v>1</v>
      </c>
      <c r="I1613" s="4" t="s">
        <v>2</v>
      </c>
      <c r="J1613" s="14">
        <v>0.52083333333333337</v>
      </c>
      <c r="K1613" s="20" t="str">
        <f t="shared" si="76"/>
        <v>1st Shift</v>
      </c>
    </row>
    <row r="1614" spans="1:11" x14ac:dyDescent="0.25">
      <c r="A1614" s="1">
        <v>1613</v>
      </c>
      <c r="B1614" s="1">
        <v>11</v>
      </c>
      <c r="C1614" s="3">
        <v>11115271547002</v>
      </c>
      <c r="D1614" s="2">
        <v>44453.520833333336</v>
      </c>
      <c r="E1614" s="2">
        <v>44453.541666666664</v>
      </c>
      <c r="F1614" s="23">
        <f t="shared" si="75"/>
        <v>2.0833333328482695E-2</v>
      </c>
      <c r="G1614" s="24">
        <f t="shared" si="77"/>
        <v>600.00000013969839</v>
      </c>
      <c r="H1614" s="1" t="s">
        <v>1</v>
      </c>
      <c r="I1614" s="4" t="s">
        <v>2</v>
      </c>
      <c r="J1614" s="14">
        <v>0.52083333333333337</v>
      </c>
      <c r="K1614" s="20" t="str">
        <f t="shared" si="76"/>
        <v>1st Shift</v>
      </c>
    </row>
    <row r="1615" spans="1:11" x14ac:dyDescent="0.25">
      <c r="A1615" s="1">
        <v>1614</v>
      </c>
      <c r="B1615" s="1">
        <v>11</v>
      </c>
      <c r="C1615" s="3">
        <v>11115271536201</v>
      </c>
      <c r="D1615" s="2">
        <v>44454.354166666664</v>
      </c>
      <c r="E1615" s="2">
        <v>44454.416666666664</v>
      </c>
      <c r="F1615" s="23">
        <f t="shared" si="75"/>
        <v>6.25E-2</v>
      </c>
      <c r="G1615" s="24">
        <f t="shared" si="77"/>
        <v>200</v>
      </c>
      <c r="H1615" s="1" t="s">
        <v>1</v>
      </c>
      <c r="I1615" s="4" t="s">
        <v>2</v>
      </c>
      <c r="J1615" s="14">
        <v>0.35416666666666669</v>
      </c>
      <c r="K1615" s="20" t="str">
        <f t="shared" si="76"/>
        <v>1st Shift</v>
      </c>
    </row>
    <row r="1616" spans="1:11" x14ac:dyDescent="0.25">
      <c r="A1616" s="1">
        <v>1615</v>
      </c>
      <c r="B1616" s="1">
        <v>11</v>
      </c>
      <c r="C1616" s="3">
        <v>11115271536200</v>
      </c>
      <c r="D1616" s="2">
        <v>44454.354166666664</v>
      </c>
      <c r="E1616" s="2">
        <v>44454.416666666664</v>
      </c>
      <c r="F1616" s="23">
        <f t="shared" si="75"/>
        <v>6.25E-2</v>
      </c>
      <c r="G1616" s="24">
        <f t="shared" si="77"/>
        <v>200</v>
      </c>
      <c r="H1616" s="1" t="s">
        <v>1</v>
      </c>
      <c r="I1616" s="4" t="s">
        <v>2</v>
      </c>
      <c r="J1616" s="14">
        <v>0.35416666666666669</v>
      </c>
      <c r="K1616" s="20" t="str">
        <f t="shared" si="76"/>
        <v>1st Shift</v>
      </c>
    </row>
    <row r="1617" spans="1:11" x14ac:dyDescent="0.25">
      <c r="A1617" s="1">
        <v>1616</v>
      </c>
      <c r="B1617" s="1">
        <v>1</v>
      </c>
      <c r="C1617" s="3">
        <v>1115270027801</v>
      </c>
      <c r="D1617" s="2">
        <v>44454.354166666664</v>
      </c>
      <c r="E1617" s="2">
        <v>44454.416666666664</v>
      </c>
      <c r="F1617" s="23">
        <f t="shared" si="75"/>
        <v>6.25E-2</v>
      </c>
      <c r="G1617" s="24">
        <f t="shared" si="77"/>
        <v>200</v>
      </c>
      <c r="H1617" s="1" t="s">
        <v>1</v>
      </c>
      <c r="I1617" s="4" t="s">
        <v>2</v>
      </c>
      <c r="J1617" s="14">
        <v>0.35416666666666669</v>
      </c>
      <c r="K1617" s="20" t="str">
        <f t="shared" si="76"/>
        <v>1st Shift</v>
      </c>
    </row>
    <row r="1618" spans="1:11" x14ac:dyDescent="0.25">
      <c r="A1618" s="1">
        <v>1617</v>
      </c>
      <c r="B1618" s="1">
        <v>1</v>
      </c>
      <c r="C1618" s="3">
        <v>1115270027800</v>
      </c>
      <c r="D1618" s="2">
        <v>44454.354166666664</v>
      </c>
      <c r="E1618" s="2">
        <v>44454.416666666664</v>
      </c>
      <c r="F1618" s="23">
        <f t="shared" si="75"/>
        <v>6.25E-2</v>
      </c>
      <c r="G1618" s="24">
        <f t="shared" si="77"/>
        <v>200</v>
      </c>
      <c r="H1618" s="1" t="s">
        <v>1</v>
      </c>
      <c r="I1618" s="4" t="s">
        <v>2</v>
      </c>
      <c r="J1618" s="14">
        <v>0.35416666666666669</v>
      </c>
      <c r="K1618" s="20" t="str">
        <f t="shared" si="76"/>
        <v>1st Shift</v>
      </c>
    </row>
    <row r="1619" spans="1:11" x14ac:dyDescent="0.25">
      <c r="A1619" s="1">
        <v>1618</v>
      </c>
      <c r="B1619" s="1">
        <v>15</v>
      </c>
      <c r="C1619" s="3">
        <v>15115271745851</v>
      </c>
      <c r="D1619" s="2">
        <v>44454.4375</v>
      </c>
      <c r="E1619" s="2">
        <v>44454.489583333336</v>
      </c>
      <c r="F1619" s="23">
        <f t="shared" si="75"/>
        <v>5.2083333335758653E-2</v>
      </c>
      <c r="G1619" s="24">
        <f t="shared" si="77"/>
        <v>239.99999998882413</v>
      </c>
      <c r="H1619" s="1" t="s">
        <v>1</v>
      </c>
      <c r="I1619" s="4" t="s">
        <v>2</v>
      </c>
      <c r="J1619" s="14">
        <v>0.4375</v>
      </c>
      <c r="K1619" s="20" t="str">
        <f t="shared" si="76"/>
        <v>1st Shift</v>
      </c>
    </row>
    <row r="1620" spans="1:11" x14ac:dyDescent="0.25">
      <c r="A1620" s="1">
        <v>1619</v>
      </c>
      <c r="B1620" s="1">
        <v>15</v>
      </c>
      <c r="C1620" s="3">
        <v>15115271745850</v>
      </c>
      <c r="D1620" s="2">
        <v>44454.4375</v>
      </c>
      <c r="E1620" s="2">
        <v>44454.489583333336</v>
      </c>
      <c r="F1620" s="23">
        <f t="shared" si="75"/>
        <v>5.2083333335758653E-2</v>
      </c>
      <c r="G1620" s="24">
        <f t="shared" si="77"/>
        <v>239.99999998882413</v>
      </c>
      <c r="H1620" s="1" t="s">
        <v>1</v>
      </c>
      <c r="I1620" s="4" t="s">
        <v>8</v>
      </c>
      <c r="J1620" s="14">
        <v>0.4375</v>
      </c>
      <c r="K1620" s="20" t="str">
        <f t="shared" si="76"/>
        <v>1st Shift</v>
      </c>
    </row>
    <row r="1621" spans="1:11" x14ac:dyDescent="0.25">
      <c r="A1621" s="1">
        <v>1620</v>
      </c>
      <c r="B1621" s="1">
        <v>15</v>
      </c>
      <c r="C1621" s="3">
        <v>15115271572971</v>
      </c>
      <c r="D1621" s="2">
        <v>44454.4375</v>
      </c>
      <c r="E1621" s="2">
        <v>44454.489583333336</v>
      </c>
      <c r="F1621" s="23">
        <f t="shared" si="75"/>
        <v>5.2083333335758653E-2</v>
      </c>
      <c r="G1621" s="24">
        <f t="shared" si="77"/>
        <v>239.99999998882413</v>
      </c>
      <c r="H1621" s="1" t="s">
        <v>1</v>
      </c>
      <c r="I1621" s="4" t="s">
        <v>2</v>
      </c>
      <c r="J1621" s="14">
        <v>0.4375</v>
      </c>
      <c r="K1621" s="20" t="str">
        <f t="shared" si="76"/>
        <v>1st Shift</v>
      </c>
    </row>
    <row r="1622" spans="1:11" x14ac:dyDescent="0.25">
      <c r="A1622" s="1">
        <v>1621</v>
      </c>
      <c r="B1622" s="1">
        <v>15</v>
      </c>
      <c r="C1622" s="3">
        <v>15115271572970</v>
      </c>
      <c r="D1622" s="2">
        <v>44454.4375</v>
      </c>
      <c r="E1622" s="2">
        <v>44454.489583333336</v>
      </c>
      <c r="F1622" s="23">
        <f t="shared" si="75"/>
        <v>5.2083333335758653E-2</v>
      </c>
      <c r="G1622" s="24">
        <f t="shared" si="77"/>
        <v>239.99999998882413</v>
      </c>
      <c r="H1622" s="1" t="s">
        <v>1</v>
      </c>
      <c r="I1622" s="4" t="s">
        <v>2</v>
      </c>
      <c r="J1622" s="14">
        <v>0.4375</v>
      </c>
      <c r="K1622" s="20" t="str">
        <f t="shared" si="76"/>
        <v>1st Shift</v>
      </c>
    </row>
    <row r="1623" spans="1:11" x14ac:dyDescent="0.25">
      <c r="A1623" s="1">
        <v>1622</v>
      </c>
      <c r="B1623" s="1">
        <v>2</v>
      </c>
      <c r="C1623" s="3">
        <v>2115270192701</v>
      </c>
      <c r="D1623" s="2">
        <v>44454.541666666664</v>
      </c>
      <c r="E1623" s="2">
        <v>44454.607638888891</v>
      </c>
      <c r="F1623" s="23">
        <f t="shared" si="75"/>
        <v>6.5972222226264421E-2</v>
      </c>
      <c r="G1623" s="24">
        <f t="shared" si="77"/>
        <v>189.47368419891703</v>
      </c>
      <c r="H1623" s="1" t="s">
        <v>1</v>
      </c>
      <c r="I1623" s="4" t="s">
        <v>3</v>
      </c>
      <c r="J1623" s="14">
        <v>0.54166666666666663</v>
      </c>
      <c r="K1623" s="20" t="str">
        <f t="shared" si="76"/>
        <v>1st Shift</v>
      </c>
    </row>
    <row r="1624" spans="1:11" x14ac:dyDescent="0.25">
      <c r="A1624" s="1">
        <v>1623</v>
      </c>
      <c r="B1624" s="1">
        <v>2</v>
      </c>
      <c r="C1624" s="3">
        <v>2115270192700</v>
      </c>
      <c r="D1624" s="2">
        <v>44454.541666666664</v>
      </c>
      <c r="E1624" s="2">
        <v>44454.607638888891</v>
      </c>
      <c r="F1624" s="23">
        <f t="shared" si="75"/>
        <v>6.5972222226264421E-2</v>
      </c>
      <c r="G1624" s="24">
        <f t="shared" si="77"/>
        <v>189.47368419891703</v>
      </c>
      <c r="H1624" s="1" t="s">
        <v>1</v>
      </c>
      <c r="I1624" s="4" t="s">
        <v>3</v>
      </c>
      <c r="J1624" s="14">
        <v>0.54166666666666663</v>
      </c>
      <c r="K1624" s="20" t="str">
        <f t="shared" si="76"/>
        <v>1st Shift</v>
      </c>
    </row>
    <row r="1625" spans="1:11" x14ac:dyDescent="0.25">
      <c r="A1625" s="1">
        <v>1624</v>
      </c>
      <c r="B1625" s="1">
        <v>1</v>
      </c>
      <c r="C1625" s="3">
        <v>1115270146802</v>
      </c>
      <c r="D1625" s="2">
        <v>44454.541666666664</v>
      </c>
      <c r="E1625" s="2">
        <v>44454.607638888891</v>
      </c>
      <c r="F1625" s="23">
        <f t="shared" si="75"/>
        <v>6.5972222226264421E-2</v>
      </c>
      <c r="G1625" s="24">
        <f t="shared" si="77"/>
        <v>189.47368419891703</v>
      </c>
      <c r="H1625" s="1" t="s">
        <v>1</v>
      </c>
      <c r="I1625" s="4" t="s">
        <v>3</v>
      </c>
      <c r="J1625" s="14">
        <v>0.54166666666666663</v>
      </c>
      <c r="K1625" s="20" t="str">
        <f t="shared" si="76"/>
        <v>1st Shift</v>
      </c>
    </row>
    <row r="1626" spans="1:11" x14ac:dyDescent="0.25">
      <c r="A1626" s="1">
        <v>1625</v>
      </c>
      <c r="B1626" s="1">
        <v>1</v>
      </c>
      <c r="C1626" s="3">
        <v>1115270146801</v>
      </c>
      <c r="D1626" s="2">
        <v>44454.541666666664</v>
      </c>
      <c r="E1626" s="2">
        <v>44454.607638888891</v>
      </c>
      <c r="F1626" s="23">
        <f t="shared" si="75"/>
        <v>6.5972222226264421E-2</v>
      </c>
      <c r="G1626" s="24">
        <f t="shared" si="77"/>
        <v>189.47368419891703</v>
      </c>
      <c r="H1626" s="1" t="s">
        <v>1</v>
      </c>
      <c r="I1626" s="4" t="s">
        <v>2</v>
      </c>
      <c r="J1626" s="14">
        <v>0.54166666666666663</v>
      </c>
      <c r="K1626" s="20" t="str">
        <f t="shared" si="76"/>
        <v>1st Shift</v>
      </c>
    </row>
    <row r="1627" spans="1:11" x14ac:dyDescent="0.25">
      <c r="A1627" s="1">
        <v>1626</v>
      </c>
      <c r="B1627" s="1">
        <v>13</v>
      </c>
      <c r="C1627" s="3">
        <v>13115271590302</v>
      </c>
      <c r="D1627" s="2">
        <v>44454.743055555555</v>
      </c>
      <c r="E1627" s="2">
        <v>44454.809027777781</v>
      </c>
      <c r="F1627" s="23">
        <f t="shared" si="75"/>
        <v>6.5972222226264421E-2</v>
      </c>
      <c r="G1627" s="24">
        <f t="shared" si="77"/>
        <v>189.47368419891703</v>
      </c>
      <c r="H1627" s="1" t="s">
        <v>1</v>
      </c>
      <c r="I1627" s="4" t="s">
        <v>2</v>
      </c>
      <c r="J1627" s="14">
        <v>0.74305555555555558</v>
      </c>
      <c r="K1627" s="20" t="str">
        <f t="shared" si="76"/>
        <v>2nd Shift</v>
      </c>
    </row>
    <row r="1628" spans="1:11" x14ac:dyDescent="0.25">
      <c r="A1628" s="1">
        <v>1627</v>
      </c>
      <c r="B1628" s="1">
        <v>13</v>
      </c>
      <c r="C1628" s="3">
        <v>13115271590300</v>
      </c>
      <c r="D1628" s="2">
        <v>44454.743055555555</v>
      </c>
      <c r="E1628" s="2">
        <v>44454.809027777781</v>
      </c>
      <c r="F1628" s="23">
        <f t="shared" si="75"/>
        <v>6.5972222226264421E-2</v>
      </c>
      <c r="G1628" s="24">
        <f t="shared" si="77"/>
        <v>189.47368419891703</v>
      </c>
      <c r="H1628" s="1" t="s">
        <v>1</v>
      </c>
      <c r="I1628" s="4" t="s">
        <v>2</v>
      </c>
      <c r="J1628" s="14">
        <v>0.74305555555555558</v>
      </c>
      <c r="K1628" s="20" t="str">
        <f t="shared" si="76"/>
        <v>2nd Shift</v>
      </c>
    </row>
    <row r="1629" spans="1:11" x14ac:dyDescent="0.25">
      <c r="A1629" s="1">
        <v>1628</v>
      </c>
      <c r="B1629" s="1">
        <v>11</v>
      </c>
      <c r="C1629" s="3">
        <v>11115271542303</v>
      </c>
      <c r="D1629" s="2">
        <v>44454.743055555555</v>
      </c>
      <c r="E1629" s="2">
        <v>44454.809027777781</v>
      </c>
      <c r="F1629" s="23">
        <f t="shared" si="75"/>
        <v>6.5972222226264421E-2</v>
      </c>
      <c r="G1629" s="24">
        <f t="shared" si="77"/>
        <v>189.47368419891703</v>
      </c>
      <c r="H1629" s="1" t="s">
        <v>1</v>
      </c>
      <c r="I1629" s="4" t="s">
        <v>2</v>
      </c>
      <c r="J1629" s="14">
        <v>0.74305555555555558</v>
      </c>
      <c r="K1629" s="20" t="str">
        <f t="shared" si="76"/>
        <v>2nd Shift</v>
      </c>
    </row>
    <row r="1630" spans="1:11" x14ac:dyDescent="0.25">
      <c r="A1630" s="1">
        <v>1629</v>
      </c>
      <c r="B1630" s="1">
        <v>11</v>
      </c>
      <c r="C1630" s="3">
        <v>11115271542302</v>
      </c>
      <c r="D1630" s="2">
        <v>44454.743055555555</v>
      </c>
      <c r="E1630" s="2">
        <v>44454.809027777781</v>
      </c>
      <c r="F1630" s="23">
        <f t="shared" si="75"/>
        <v>6.5972222226264421E-2</v>
      </c>
      <c r="G1630" s="24">
        <f t="shared" si="77"/>
        <v>189.47368419891703</v>
      </c>
      <c r="H1630" s="1" t="s">
        <v>1</v>
      </c>
      <c r="I1630" s="4" t="s">
        <v>2</v>
      </c>
      <c r="J1630" s="14">
        <v>0.74305555555555558</v>
      </c>
      <c r="K1630" s="20" t="str">
        <f t="shared" si="76"/>
        <v>2nd Shift</v>
      </c>
    </row>
    <row r="1631" spans="1:11" x14ac:dyDescent="0.25">
      <c r="A1631" s="1">
        <v>1630</v>
      </c>
      <c r="B1631" s="1">
        <v>3</v>
      </c>
      <c r="C1631" s="3">
        <v>3115270350001</v>
      </c>
      <c r="D1631" s="2">
        <v>44454.743055555555</v>
      </c>
      <c r="E1631" s="2">
        <v>44454.809027777781</v>
      </c>
      <c r="F1631" s="23">
        <f t="shared" si="75"/>
        <v>6.5972222226264421E-2</v>
      </c>
      <c r="G1631" s="24">
        <f t="shared" si="77"/>
        <v>189.47368419891703</v>
      </c>
      <c r="H1631" s="1" t="s">
        <v>1</v>
      </c>
      <c r="I1631" s="4" t="s">
        <v>3</v>
      </c>
      <c r="J1631" s="14">
        <v>0.74305555555555558</v>
      </c>
      <c r="K1631" s="20" t="str">
        <f t="shared" si="76"/>
        <v>2nd Shift</v>
      </c>
    </row>
    <row r="1632" spans="1:11" x14ac:dyDescent="0.25">
      <c r="A1632" s="1">
        <v>1631</v>
      </c>
      <c r="B1632" s="1">
        <v>3</v>
      </c>
      <c r="C1632" s="3">
        <v>3115270350000</v>
      </c>
      <c r="D1632" s="2">
        <v>44454.743055555555</v>
      </c>
      <c r="E1632" s="2">
        <v>44454.809027777781</v>
      </c>
      <c r="F1632" s="23">
        <f t="shared" si="75"/>
        <v>6.5972222226264421E-2</v>
      </c>
      <c r="G1632" s="24">
        <f t="shared" si="77"/>
        <v>189.47368419891703</v>
      </c>
      <c r="H1632" s="1" t="s">
        <v>1</v>
      </c>
      <c r="I1632" s="4" t="s">
        <v>2</v>
      </c>
      <c r="J1632" s="14">
        <v>0.74305555555555558</v>
      </c>
      <c r="K1632" s="20" t="str">
        <f t="shared" si="76"/>
        <v>2nd Shift</v>
      </c>
    </row>
    <row r="1633" spans="1:11" x14ac:dyDescent="0.25">
      <c r="A1633" s="1">
        <v>1632</v>
      </c>
      <c r="B1633" s="1">
        <v>13</v>
      </c>
      <c r="C1633" s="3">
        <v>13115271592303</v>
      </c>
      <c r="D1633" s="2">
        <v>44455.4375</v>
      </c>
      <c r="E1633" s="2">
        <v>44455.565972222219</v>
      </c>
      <c r="F1633" s="23">
        <f t="shared" si="75"/>
        <v>0.12847222221898846</v>
      </c>
      <c r="G1633" s="24">
        <f t="shared" si="77"/>
        <v>97.297297299746361</v>
      </c>
      <c r="H1633" s="1" t="s">
        <v>1</v>
      </c>
      <c r="I1633" s="4" t="s">
        <v>3</v>
      </c>
      <c r="J1633" s="14">
        <v>0.4375</v>
      </c>
      <c r="K1633" s="20" t="str">
        <f t="shared" si="76"/>
        <v>1st Shift</v>
      </c>
    </row>
    <row r="1634" spans="1:11" x14ac:dyDescent="0.25">
      <c r="A1634" s="1">
        <v>1633</v>
      </c>
      <c r="B1634" s="1">
        <v>12</v>
      </c>
      <c r="C1634" s="3">
        <v>12115271569206</v>
      </c>
      <c r="D1634" s="2">
        <v>44455.4375</v>
      </c>
      <c r="E1634" s="2">
        <v>44455.565972222219</v>
      </c>
      <c r="F1634" s="23">
        <f t="shared" si="75"/>
        <v>0.12847222221898846</v>
      </c>
      <c r="G1634" s="24">
        <f t="shared" si="77"/>
        <v>97.297297299746361</v>
      </c>
      <c r="H1634" s="1" t="s">
        <v>1</v>
      </c>
      <c r="I1634" s="4" t="s">
        <v>2</v>
      </c>
      <c r="J1634" s="14">
        <v>0.4375</v>
      </c>
      <c r="K1634" s="20" t="str">
        <f t="shared" si="76"/>
        <v>1st Shift</v>
      </c>
    </row>
    <row r="1635" spans="1:11" x14ac:dyDescent="0.25">
      <c r="A1635" s="1">
        <v>1634</v>
      </c>
      <c r="B1635" s="1">
        <v>8</v>
      </c>
      <c r="C1635" s="3">
        <v>8115271809905</v>
      </c>
      <c r="D1635" s="2">
        <v>44455.4375</v>
      </c>
      <c r="E1635" s="2">
        <v>44455.565972222219</v>
      </c>
      <c r="F1635" s="23">
        <f t="shared" si="75"/>
        <v>0.12847222221898846</v>
      </c>
      <c r="G1635" s="24">
        <f t="shared" si="77"/>
        <v>97.297297299746361</v>
      </c>
      <c r="H1635" s="1" t="s">
        <v>1</v>
      </c>
      <c r="I1635" s="4" t="s">
        <v>3</v>
      </c>
      <c r="J1635" s="14">
        <v>0.4375</v>
      </c>
      <c r="K1635" s="20" t="str">
        <f t="shared" si="76"/>
        <v>1st Shift</v>
      </c>
    </row>
    <row r="1636" spans="1:11" x14ac:dyDescent="0.25">
      <c r="A1636" s="1">
        <v>1635</v>
      </c>
      <c r="B1636" s="1">
        <v>8</v>
      </c>
      <c r="C1636" s="3">
        <v>8115271809904</v>
      </c>
      <c r="D1636" s="2">
        <v>44455.4375</v>
      </c>
      <c r="E1636" s="2">
        <v>44455.565972222219</v>
      </c>
      <c r="F1636" s="23">
        <f t="shared" si="75"/>
        <v>0.12847222221898846</v>
      </c>
      <c r="G1636" s="24">
        <f t="shared" si="77"/>
        <v>97.297297299746361</v>
      </c>
      <c r="H1636" s="1" t="s">
        <v>1</v>
      </c>
      <c r="I1636" s="4" t="s">
        <v>2</v>
      </c>
      <c r="J1636" s="14">
        <v>0.4375</v>
      </c>
      <c r="K1636" s="20" t="str">
        <f t="shared" si="76"/>
        <v>1st Shift</v>
      </c>
    </row>
    <row r="1637" spans="1:11" x14ac:dyDescent="0.25">
      <c r="A1637" s="1">
        <v>1636</v>
      </c>
      <c r="B1637" s="1">
        <v>5</v>
      </c>
      <c r="C1637" s="3">
        <v>5115271685518</v>
      </c>
      <c r="D1637" s="2">
        <v>44455.4375</v>
      </c>
      <c r="E1637" s="2">
        <v>44455.565972222219</v>
      </c>
      <c r="F1637" s="23">
        <f t="shared" si="75"/>
        <v>0.12847222221898846</v>
      </c>
      <c r="G1637" s="24">
        <f t="shared" si="77"/>
        <v>97.297297299746361</v>
      </c>
      <c r="H1637" s="1" t="s">
        <v>1</v>
      </c>
      <c r="I1637" s="4" t="s">
        <v>2</v>
      </c>
      <c r="J1637" s="14">
        <v>0.4375</v>
      </c>
      <c r="K1637" s="20" t="str">
        <f t="shared" si="76"/>
        <v>1st Shift</v>
      </c>
    </row>
    <row r="1638" spans="1:11" x14ac:dyDescent="0.25">
      <c r="A1638" s="1">
        <v>1637</v>
      </c>
      <c r="B1638" s="1">
        <v>5</v>
      </c>
      <c r="C1638" s="3">
        <v>5115271685517</v>
      </c>
      <c r="D1638" s="2">
        <v>44455.4375</v>
      </c>
      <c r="E1638" s="2">
        <v>44455.565972222219</v>
      </c>
      <c r="F1638" s="23">
        <f t="shared" si="75"/>
        <v>0.12847222221898846</v>
      </c>
      <c r="G1638" s="24">
        <f t="shared" si="77"/>
        <v>97.297297299746361</v>
      </c>
      <c r="H1638" s="1" t="s">
        <v>1</v>
      </c>
      <c r="I1638" s="4" t="s">
        <v>2</v>
      </c>
      <c r="J1638" s="14">
        <v>0.4375</v>
      </c>
      <c r="K1638" s="20" t="str">
        <f t="shared" si="76"/>
        <v>1st Shift</v>
      </c>
    </row>
    <row r="1639" spans="1:11" x14ac:dyDescent="0.25">
      <c r="A1639" s="1">
        <v>1638</v>
      </c>
      <c r="B1639" s="1">
        <v>1</v>
      </c>
      <c r="C1639" s="3">
        <v>1115270019001</v>
      </c>
      <c r="D1639" s="2">
        <v>44455.4375</v>
      </c>
      <c r="E1639" s="2">
        <v>44455.565972222219</v>
      </c>
      <c r="F1639" s="23">
        <f t="shared" si="75"/>
        <v>0.12847222221898846</v>
      </c>
      <c r="G1639" s="24">
        <f t="shared" si="77"/>
        <v>97.297297299746361</v>
      </c>
      <c r="H1639" s="1" t="s">
        <v>1</v>
      </c>
      <c r="I1639" s="4" t="s">
        <v>2</v>
      </c>
      <c r="J1639" s="14">
        <v>0.4375</v>
      </c>
      <c r="K1639" s="20" t="str">
        <f t="shared" si="76"/>
        <v>1st Shift</v>
      </c>
    </row>
    <row r="1640" spans="1:11" x14ac:dyDescent="0.25">
      <c r="A1640" s="1">
        <v>1639</v>
      </c>
      <c r="B1640" s="1">
        <v>1</v>
      </c>
      <c r="C1640" s="3">
        <v>1115270019000</v>
      </c>
      <c r="D1640" s="2">
        <v>44455.4375</v>
      </c>
      <c r="E1640" s="2">
        <v>44455.565972222219</v>
      </c>
      <c r="F1640" s="23">
        <f t="shared" si="75"/>
        <v>0.12847222221898846</v>
      </c>
      <c r="G1640" s="24">
        <f t="shared" si="77"/>
        <v>97.297297299746361</v>
      </c>
      <c r="H1640" s="1" t="s">
        <v>1</v>
      </c>
      <c r="I1640" s="4" t="s">
        <v>2</v>
      </c>
      <c r="J1640" s="14">
        <v>0.4375</v>
      </c>
      <c r="K1640" s="20" t="str">
        <f t="shared" si="76"/>
        <v>1st Shift</v>
      </c>
    </row>
    <row r="1641" spans="1:11" x14ac:dyDescent="0.25">
      <c r="A1641" s="1">
        <v>1640</v>
      </c>
      <c r="B1641" s="1">
        <v>12</v>
      </c>
      <c r="C1641" s="3">
        <v>12115271569301</v>
      </c>
      <c r="D1641" s="2">
        <v>44455.694444444445</v>
      </c>
      <c r="E1641" s="2">
        <v>44455.753472222219</v>
      </c>
      <c r="F1641" s="23">
        <f t="shared" si="75"/>
        <v>5.9027777773735579E-2</v>
      </c>
      <c r="G1641" s="24">
        <f t="shared" si="77"/>
        <v>211.76470589685451</v>
      </c>
      <c r="H1641" s="1" t="s">
        <v>1</v>
      </c>
      <c r="I1641" s="4" t="s">
        <v>2</v>
      </c>
      <c r="J1641" s="14">
        <v>0.69444444444444442</v>
      </c>
      <c r="K1641" s="20" t="str">
        <f t="shared" si="76"/>
        <v>2nd Shift</v>
      </c>
    </row>
    <row r="1642" spans="1:11" x14ac:dyDescent="0.25">
      <c r="A1642" s="1">
        <v>1641</v>
      </c>
      <c r="B1642" s="1">
        <v>12</v>
      </c>
      <c r="C1642" s="3">
        <v>12115271569300</v>
      </c>
      <c r="D1642" s="2">
        <v>44455.694444444445</v>
      </c>
      <c r="E1642" s="2">
        <v>44455.753472222219</v>
      </c>
      <c r="F1642" s="23">
        <f t="shared" si="75"/>
        <v>5.9027777773735579E-2</v>
      </c>
      <c r="G1642" s="24">
        <f t="shared" si="77"/>
        <v>211.76470589685451</v>
      </c>
      <c r="H1642" s="1" t="s">
        <v>1</v>
      </c>
      <c r="I1642" s="4" t="s">
        <v>2</v>
      </c>
      <c r="J1642" s="14">
        <v>0.69444444444444442</v>
      </c>
      <c r="K1642" s="20" t="str">
        <f t="shared" si="76"/>
        <v>2nd Shift</v>
      </c>
    </row>
    <row r="1643" spans="1:11" x14ac:dyDescent="0.25">
      <c r="A1643" s="1">
        <v>1642</v>
      </c>
      <c r="B1643" s="1">
        <v>6</v>
      </c>
      <c r="C1643" s="3">
        <v>6115271743100</v>
      </c>
      <c r="D1643" s="2">
        <v>44455.694444444445</v>
      </c>
      <c r="E1643" s="2">
        <v>44455.753472222219</v>
      </c>
      <c r="F1643" s="23">
        <f t="shared" si="75"/>
        <v>5.9027777773735579E-2</v>
      </c>
      <c r="G1643" s="24">
        <f t="shared" si="77"/>
        <v>211.76470589685451</v>
      </c>
      <c r="H1643" s="1" t="s">
        <v>1</v>
      </c>
      <c r="I1643" s="4" t="s">
        <v>2</v>
      </c>
      <c r="J1643" s="14">
        <v>0.69444444444444442</v>
      </c>
      <c r="K1643" s="20" t="str">
        <f t="shared" si="76"/>
        <v>2nd Shift</v>
      </c>
    </row>
    <row r="1644" spans="1:11" x14ac:dyDescent="0.25">
      <c r="A1644" s="1">
        <v>1643</v>
      </c>
      <c r="B1644" s="1">
        <v>12</v>
      </c>
      <c r="C1644" s="3">
        <v>12115271571043</v>
      </c>
      <c r="D1644" s="2">
        <v>44455.784722222219</v>
      </c>
      <c r="E1644" s="2">
        <v>44455.850694444445</v>
      </c>
      <c r="F1644" s="23">
        <f t="shared" si="75"/>
        <v>6.5972222226264421E-2</v>
      </c>
      <c r="G1644" s="24">
        <f t="shared" si="77"/>
        <v>189.47368419891703</v>
      </c>
      <c r="H1644" s="1" t="s">
        <v>1</v>
      </c>
      <c r="I1644" s="4" t="s">
        <v>4</v>
      </c>
      <c r="J1644" s="14">
        <v>0.78472222222222221</v>
      </c>
      <c r="K1644" s="20" t="str">
        <f t="shared" si="76"/>
        <v>2nd Shift</v>
      </c>
    </row>
    <row r="1645" spans="1:11" x14ac:dyDescent="0.25">
      <c r="A1645" s="1">
        <v>1644</v>
      </c>
      <c r="B1645" s="1">
        <v>12</v>
      </c>
      <c r="C1645" s="3">
        <v>12115271571040</v>
      </c>
      <c r="D1645" s="2">
        <v>44455.784722222219</v>
      </c>
      <c r="E1645" s="2">
        <v>44455.850694444445</v>
      </c>
      <c r="F1645" s="23">
        <f t="shared" si="75"/>
        <v>6.5972222226264421E-2</v>
      </c>
      <c r="G1645" s="24">
        <f t="shared" si="77"/>
        <v>189.47368419891703</v>
      </c>
      <c r="H1645" s="1" t="s">
        <v>1</v>
      </c>
      <c r="I1645" s="4" t="s">
        <v>3</v>
      </c>
      <c r="J1645" s="14">
        <v>0.78472222222222221</v>
      </c>
      <c r="K1645" s="20" t="str">
        <f t="shared" si="76"/>
        <v>2nd Shift</v>
      </c>
    </row>
    <row r="1646" spans="1:11" x14ac:dyDescent="0.25">
      <c r="A1646" s="1">
        <v>1645</v>
      </c>
      <c r="B1646" s="1">
        <v>12</v>
      </c>
      <c r="C1646" s="3">
        <v>12115271561609</v>
      </c>
      <c r="D1646" s="2">
        <v>44455.784722222219</v>
      </c>
      <c r="E1646" s="2">
        <v>44455.850694444445</v>
      </c>
      <c r="F1646" s="23">
        <f t="shared" si="75"/>
        <v>6.5972222226264421E-2</v>
      </c>
      <c r="G1646" s="24">
        <f t="shared" si="77"/>
        <v>189.47368419891703</v>
      </c>
      <c r="H1646" s="1" t="s">
        <v>1</v>
      </c>
      <c r="I1646" s="4" t="s">
        <v>2</v>
      </c>
      <c r="J1646" s="14">
        <v>0.78472222222222221</v>
      </c>
      <c r="K1646" s="20" t="str">
        <f t="shared" si="76"/>
        <v>2nd Shift</v>
      </c>
    </row>
    <row r="1647" spans="1:11" x14ac:dyDescent="0.25">
      <c r="A1647" s="1">
        <v>1646</v>
      </c>
      <c r="B1647" s="1">
        <v>12</v>
      </c>
      <c r="C1647" s="3">
        <v>12115271561607</v>
      </c>
      <c r="D1647" s="2">
        <v>44455.784722222219</v>
      </c>
      <c r="E1647" s="2">
        <v>44455.850694444445</v>
      </c>
      <c r="F1647" s="23">
        <f t="shared" si="75"/>
        <v>6.5972222226264421E-2</v>
      </c>
      <c r="G1647" s="24">
        <f t="shared" si="77"/>
        <v>189.47368419891703</v>
      </c>
      <c r="H1647" s="1" t="s">
        <v>1</v>
      </c>
      <c r="I1647" s="4" t="s">
        <v>2</v>
      </c>
      <c r="J1647" s="14">
        <v>0.78472222222222221</v>
      </c>
      <c r="K1647" s="20" t="str">
        <f t="shared" si="76"/>
        <v>2nd Shift</v>
      </c>
    </row>
    <row r="1648" spans="1:11" x14ac:dyDescent="0.25">
      <c r="A1648" s="1">
        <v>1647</v>
      </c>
      <c r="B1648" s="1">
        <v>7</v>
      </c>
      <c r="C1648" s="3">
        <v>7115271771006</v>
      </c>
      <c r="D1648" s="2">
        <v>44455.784722222219</v>
      </c>
      <c r="E1648" s="2">
        <v>44455.850694444445</v>
      </c>
      <c r="F1648" s="23">
        <f t="shared" si="75"/>
        <v>6.5972222226264421E-2</v>
      </c>
      <c r="G1648" s="24">
        <f t="shared" si="77"/>
        <v>189.47368419891703</v>
      </c>
      <c r="H1648" s="1" t="s">
        <v>1</v>
      </c>
      <c r="I1648" s="4" t="s">
        <v>2</v>
      </c>
      <c r="J1648" s="14">
        <v>0.78472222222222221</v>
      </c>
      <c r="K1648" s="20" t="str">
        <f t="shared" si="76"/>
        <v>2nd Shift</v>
      </c>
    </row>
    <row r="1649" spans="1:11" x14ac:dyDescent="0.25">
      <c r="A1649" s="1">
        <v>1648</v>
      </c>
      <c r="B1649" s="1">
        <v>7</v>
      </c>
      <c r="C1649" s="3">
        <v>7115271771004</v>
      </c>
      <c r="D1649" s="2">
        <v>44455.784722222219</v>
      </c>
      <c r="E1649" s="2">
        <v>44455.850694444445</v>
      </c>
      <c r="F1649" s="23">
        <f t="shared" si="75"/>
        <v>6.5972222226264421E-2</v>
      </c>
      <c r="G1649" s="24">
        <f t="shared" si="77"/>
        <v>189.47368419891703</v>
      </c>
      <c r="H1649" s="1" t="s">
        <v>1</v>
      </c>
      <c r="I1649" s="4" t="s">
        <v>2</v>
      </c>
      <c r="J1649" s="14">
        <v>0.78472222222222221</v>
      </c>
      <c r="K1649" s="20" t="str">
        <f t="shared" si="76"/>
        <v>2nd Shift</v>
      </c>
    </row>
    <row r="1650" spans="1:11" x14ac:dyDescent="0.25">
      <c r="A1650" s="1">
        <v>1649</v>
      </c>
      <c r="B1650" s="1">
        <v>6</v>
      </c>
      <c r="C1650" s="3">
        <v>6115271742505</v>
      </c>
      <c r="D1650" s="2">
        <v>44455.784722222219</v>
      </c>
      <c r="E1650" s="2">
        <v>44455.850694444445</v>
      </c>
      <c r="F1650" s="23">
        <f t="shared" si="75"/>
        <v>6.5972222226264421E-2</v>
      </c>
      <c r="G1650" s="24">
        <f t="shared" si="77"/>
        <v>189.47368419891703</v>
      </c>
      <c r="H1650" s="1" t="s">
        <v>1</v>
      </c>
      <c r="I1650" s="4" t="s">
        <v>2</v>
      </c>
      <c r="J1650" s="14">
        <v>0.78472222222222221</v>
      </c>
      <c r="K1650" s="20" t="str">
        <f t="shared" si="76"/>
        <v>2nd Shift</v>
      </c>
    </row>
    <row r="1651" spans="1:11" x14ac:dyDescent="0.25">
      <c r="A1651" s="1">
        <v>1650</v>
      </c>
      <c r="B1651" s="1">
        <v>6</v>
      </c>
      <c r="C1651" s="3">
        <v>6115271742504</v>
      </c>
      <c r="D1651" s="2">
        <v>44455.784722222219</v>
      </c>
      <c r="E1651" s="2">
        <v>44455.850694444445</v>
      </c>
      <c r="F1651" s="23">
        <f t="shared" si="75"/>
        <v>6.5972222226264421E-2</v>
      </c>
      <c r="G1651" s="24">
        <f t="shared" si="77"/>
        <v>189.47368419891703</v>
      </c>
      <c r="H1651" s="1" t="s">
        <v>1</v>
      </c>
      <c r="I1651" s="4" t="s">
        <v>3</v>
      </c>
      <c r="J1651" s="14">
        <v>0.78472222222222221</v>
      </c>
      <c r="K1651" s="20" t="str">
        <f t="shared" si="76"/>
        <v>2nd Shift</v>
      </c>
    </row>
    <row r="1652" spans="1:11" x14ac:dyDescent="0.25">
      <c r="A1652" s="1">
        <v>1651</v>
      </c>
      <c r="B1652" s="1">
        <v>6</v>
      </c>
      <c r="C1652" s="3">
        <v>6115271733308</v>
      </c>
      <c r="D1652" s="2">
        <v>44455.784722222219</v>
      </c>
      <c r="E1652" s="2">
        <v>44455.850694444445</v>
      </c>
      <c r="F1652" s="23">
        <f t="shared" si="75"/>
        <v>6.5972222226264421E-2</v>
      </c>
      <c r="G1652" s="24">
        <f t="shared" si="77"/>
        <v>189.47368419891703</v>
      </c>
      <c r="H1652" s="1" t="s">
        <v>1</v>
      </c>
      <c r="I1652" s="4" t="s">
        <v>2</v>
      </c>
      <c r="J1652" s="14">
        <v>0.78472222222222221</v>
      </c>
      <c r="K1652" s="20" t="str">
        <f t="shared" si="76"/>
        <v>2nd Shift</v>
      </c>
    </row>
    <row r="1653" spans="1:11" x14ac:dyDescent="0.25">
      <c r="A1653" s="1">
        <v>1652</v>
      </c>
      <c r="B1653" s="1">
        <v>6</v>
      </c>
      <c r="C1653" s="3">
        <v>6115271733307</v>
      </c>
      <c r="D1653" s="2">
        <v>44455.784722222219</v>
      </c>
      <c r="E1653" s="2">
        <v>44455.850694444445</v>
      </c>
      <c r="F1653" s="23">
        <f t="shared" si="75"/>
        <v>6.5972222226264421E-2</v>
      </c>
      <c r="G1653" s="24">
        <f t="shared" si="77"/>
        <v>189.47368419891703</v>
      </c>
      <c r="H1653" s="1" t="s">
        <v>1</v>
      </c>
      <c r="I1653" s="4" t="s">
        <v>4</v>
      </c>
      <c r="J1653" s="14">
        <v>0.78472222222222221</v>
      </c>
      <c r="K1653" s="20" t="str">
        <f t="shared" si="76"/>
        <v>2nd Shift</v>
      </c>
    </row>
    <row r="1654" spans="1:11" x14ac:dyDescent="0.25">
      <c r="A1654" s="1">
        <v>1653</v>
      </c>
      <c r="B1654" s="1">
        <v>13</v>
      </c>
      <c r="C1654" s="3">
        <v>13115271534403</v>
      </c>
      <c r="D1654" s="2">
        <v>44456.381944444445</v>
      </c>
      <c r="E1654" s="2">
        <v>44456.503472222219</v>
      </c>
      <c r="F1654" s="23">
        <f t="shared" si="75"/>
        <v>0.12152777777373558</v>
      </c>
      <c r="G1654" s="24">
        <f t="shared" si="77"/>
        <v>102.85714286056404</v>
      </c>
      <c r="H1654" s="1" t="s">
        <v>1</v>
      </c>
      <c r="I1654" s="4" t="s">
        <v>2</v>
      </c>
      <c r="J1654" s="14">
        <v>0.38194444444444442</v>
      </c>
      <c r="K1654" s="20" t="str">
        <f t="shared" si="76"/>
        <v>1st Shift</v>
      </c>
    </row>
    <row r="1655" spans="1:11" x14ac:dyDescent="0.25">
      <c r="A1655" s="1">
        <v>1654</v>
      </c>
      <c r="B1655" s="1">
        <v>12</v>
      </c>
      <c r="C1655" s="3">
        <v>12115271561503</v>
      </c>
      <c r="D1655" s="2">
        <v>44456.381944444445</v>
      </c>
      <c r="E1655" s="2">
        <v>44456.503472222219</v>
      </c>
      <c r="F1655" s="23">
        <f t="shared" si="75"/>
        <v>0.12152777777373558</v>
      </c>
      <c r="G1655" s="24">
        <f t="shared" si="77"/>
        <v>102.85714286056404</v>
      </c>
      <c r="H1655" s="1" t="s">
        <v>1</v>
      </c>
      <c r="I1655" s="4" t="s">
        <v>2</v>
      </c>
      <c r="J1655" s="14">
        <v>0.38194444444444442</v>
      </c>
      <c r="K1655" s="20" t="str">
        <f t="shared" si="76"/>
        <v>1st Shift</v>
      </c>
    </row>
    <row r="1656" spans="1:11" x14ac:dyDescent="0.25">
      <c r="A1656" s="1">
        <v>1655</v>
      </c>
      <c r="B1656" s="1">
        <v>10</v>
      </c>
      <c r="C1656" s="3">
        <v>10115271962800</v>
      </c>
      <c r="D1656" s="2">
        <v>44456.381944444445</v>
      </c>
      <c r="E1656" s="2">
        <v>44456.503472222219</v>
      </c>
      <c r="F1656" s="23">
        <f t="shared" si="75"/>
        <v>0.12152777777373558</v>
      </c>
      <c r="G1656" s="24">
        <f t="shared" si="77"/>
        <v>102.85714286056404</v>
      </c>
      <c r="H1656" s="1" t="s">
        <v>1</v>
      </c>
      <c r="I1656" s="4" t="s">
        <v>4</v>
      </c>
      <c r="J1656" s="14">
        <v>0.38194444444444442</v>
      </c>
      <c r="K1656" s="20" t="str">
        <f t="shared" si="76"/>
        <v>1st Shift</v>
      </c>
    </row>
    <row r="1657" spans="1:11" x14ac:dyDescent="0.25">
      <c r="A1657" s="1">
        <v>1656</v>
      </c>
      <c r="B1657" s="1">
        <v>7</v>
      </c>
      <c r="C1657" s="3">
        <v>7115271774609</v>
      </c>
      <c r="D1657" s="2">
        <v>44456.381944444445</v>
      </c>
      <c r="E1657" s="2">
        <v>44456.503472222219</v>
      </c>
      <c r="F1657" s="23">
        <f t="shared" si="75"/>
        <v>0.12152777777373558</v>
      </c>
      <c r="G1657" s="24">
        <f t="shared" si="77"/>
        <v>102.85714286056404</v>
      </c>
      <c r="H1657" s="1" t="s">
        <v>1</v>
      </c>
      <c r="I1657" s="4" t="s">
        <v>2</v>
      </c>
      <c r="J1657" s="14">
        <v>0.38194444444444442</v>
      </c>
      <c r="K1657" s="20" t="str">
        <f t="shared" si="76"/>
        <v>1st Shift</v>
      </c>
    </row>
    <row r="1658" spans="1:11" x14ac:dyDescent="0.25">
      <c r="A1658" s="1">
        <v>1657</v>
      </c>
      <c r="B1658" s="1">
        <v>6</v>
      </c>
      <c r="C1658" s="3">
        <v>6115271720800</v>
      </c>
      <c r="D1658" s="2">
        <v>44456.381944444445</v>
      </c>
      <c r="E1658" s="2">
        <v>44456.503472222219</v>
      </c>
      <c r="F1658" s="23">
        <f t="shared" si="75"/>
        <v>0.12152777777373558</v>
      </c>
      <c r="G1658" s="24">
        <f t="shared" si="77"/>
        <v>102.85714286056404</v>
      </c>
      <c r="H1658" s="1" t="s">
        <v>1</v>
      </c>
      <c r="I1658" s="4" t="s">
        <v>2</v>
      </c>
      <c r="J1658" s="14">
        <v>0.38194444444444442</v>
      </c>
      <c r="K1658" s="20" t="str">
        <f t="shared" si="76"/>
        <v>1st Shift</v>
      </c>
    </row>
    <row r="1659" spans="1:11" x14ac:dyDescent="0.25">
      <c r="A1659" s="1">
        <v>1658</v>
      </c>
      <c r="B1659" s="1">
        <v>3</v>
      </c>
      <c r="C1659" s="3">
        <v>3115270437200</v>
      </c>
      <c r="D1659" s="2">
        <v>44456.381944444445</v>
      </c>
      <c r="E1659" s="2">
        <v>44456.503472222219</v>
      </c>
      <c r="F1659" s="23">
        <f t="shared" si="75"/>
        <v>0.12152777777373558</v>
      </c>
      <c r="G1659" s="24">
        <f t="shared" si="77"/>
        <v>102.85714286056404</v>
      </c>
      <c r="H1659" s="1" t="s">
        <v>1</v>
      </c>
      <c r="I1659" s="4" t="s">
        <v>2</v>
      </c>
      <c r="J1659" s="14">
        <v>0.38194444444444442</v>
      </c>
      <c r="K1659" s="20" t="str">
        <f t="shared" si="76"/>
        <v>1st Shift</v>
      </c>
    </row>
    <row r="1660" spans="1:11" x14ac:dyDescent="0.25">
      <c r="A1660" s="1">
        <v>1659</v>
      </c>
      <c r="B1660" s="1">
        <v>1</v>
      </c>
      <c r="C1660" s="3">
        <v>1115270131500</v>
      </c>
      <c r="D1660" s="2">
        <v>44456.381944444445</v>
      </c>
      <c r="E1660" s="2">
        <v>44456.503472222219</v>
      </c>
      <c r="F1660" s="23">
        <f t="shared" si="75"/>
        <v>0.12152777777373558</v>
      </c>
      <c r="G1660" s="24">
        <f t="shared" si="77"/>
        <v>102.85714286056404</v>
      </c>
      <c r="H1660" s="1" t="s">
        <v>1</v>
      </c>
      <c r="I1660" s="4" t="s">
        <v>3</v>
      </c>
      <c r="J1660" s="14">
        <v>0.38194444444444442</v>
      </c>
      <c r="K1660" s="20" t="str">
        <f t="shared" si="76"/>
        <v>1st Shift</v>
      </c>
    </row>
    <row r="1661" spans="1:11" x14ac:dyDescent="0.25">
      <c r="A1661" s="1">
        <v>1660</v>
      </c>
      <c r="B1661" s="1">
        <v>12</v>
      </c>
      <c r="C1661" s="3">
        <v>12115271559930</v>
      </c>
      <c r="D1661" s="2">
        <v>44456.510416666664</v>
      </c>
      <c r="E1661" s="2">
        <v>44456.579861111109</v>
      </c>
      <c r="F1661" s="23">
        <f t="shared" si="75"/>
        <v>6.9444444445252884E-2</v>
      </c>
      <c r="G1661" s="24">
        <f t="shared" si="77"/>
        <v>179.99999999790452</v>
      </c>
      <c r="H1661" s="1" t="s">
        <v>1</v>
      </c>
      <c r="I1661" s="4" t="s">
        <v>2</v>
      </c>
      <c r="J1661" s="14">
        <v>0.51041666666666663</v>
      </c>
      <c r="K1661" s="20" t="str">
        <f t="shared" si="76"/>
        <v>1st Shift</v>
      </c>
    </row>
    <row r="1662" spans="1:11" x14ac:dyDescent="0.25">
      <c r="A1662" s="1">
        <v>1661</v>
      </c>
      <c r="B1662" s="1">
        <v>8</v>
      </c>
      <c r="C1662" s="3">
        <v>8115271808906</v>
      </c>
      <c r="D1662" s="2">
        <v>44456.510416666664</v>
      </c>
      <c r="E1662" s="2">
        <v>44456.579861111109</v>
      </c>
      <c r="F1662" s="23">
        <f t="shared" si="75"/>
        <v>6.9444444445252884E-2</v>
      </c>
      <c r="G1662" s="24">
        <f t="shared" si="77"/>
        <v>179.99999999790452</v>
      </c>
      <c r="H1662" s="1" t="s">
        <v>1</v>
      </c>
      <c r="I1662" s="4" t="s">
        <v>2</v>
      </c>
      <c r="J1662" s="14">
        <v>0.51041666666666663</v>
      </c>
      <c r="K1662" s="20" t="str">
        <f t="shared" si="76"/>
        <v>1st Shift</v>
      </c>
    </row>
    <row r="1663" spans="1:11" x14ac:dyDescent="0.25">
      <c r="A1663" s="1">
        <v>1662</v>
      </c>
      <c r="B1663" s="1">
        <v>11</v>
      </c>
      <c r="C1663" s="3">
        <v>11115271505300</v>
      </c>
      <c r="D1663" s="2">
        <v>44456.701388888891</v>
      </c>
      <c r="E1663" s="2">
        <v>44456.736111111109</v>
      </c>
      <c r="F1663" s="23">
        <f t="shared" si="75"/>
        <v>3.4722222218988463E-2</v>
      </c>
      <c r="G1663" s="24">
        <f t="shared" si="77"/>
        <v>360.00000003352761</v>
      </c>
      <c r="H1663" s="1" t="s">
        <v>1</v>
      </c>
      <c r="I1663" s="4" t="s">
        <v>2</v>
      </c>
      <c r="J1663" s="14">
        <v>0.70138888888888884</v>
      </c>
      <c r="K1663" s="20" t="str">
        <f t="shared" si="76"/>
        <v>2nd Shift</v>
      </c>
    </row>
    <row r="1664" spans="1:11" x14ac:dyDescent="0.25">
      <c r="A1664" s="1">
        <v>1663</v>
      </c>
      <c r="B1664" s="1">
        <v>7</v>
      </c>
      <c r="C1664" s="3">
        <v>7115271786600</v>
      </c>
      <c r="D1664" s="2">
        <v>44456.78125</v>
      </c>
      <c r="E1664" s="2">
        <v>44456.875</v>
      </c>
      <c r="F1664" s="23">
        <f t="shared" si="75"/>
        <v>9.375E-2</v>
      </c>
      <c r="G1664" s="24">
        <f t="shared" si="77"/>
        <v>133.33333333333331</v>
      </c>
      <c r="H1664" s="1" t="s">
        <v>1</v>
      </c>
      <c r="I1664" s="4" t="s">
        <v>2</v>
      </c>
      <c r="J1664" s="14">
        <v>0.78125</v>
      </c>
      <c r="K1664" s="20" t="str">
        <f t="shared" si="76"/>
        <v>2nd Shift</v>
      </c>
    </row>
    <row r="1665" spans="1:11" x14ac:dyDescent="0.25">
      <c r="A1665" s="1">
        <v>1664</v>
      </c>
      <c r="B1665" s="1">
        <v>3</v>
      </c>
      <c r="C1665" s="3">
        <v>3115270349500</v>
      </c>
      <c r="D1665" s="2">
        <v>44456.78125</v>
      </c>
      <c r="E1665" s="2">
        <v>44456.875</v>
      </c>
      <c r="F1665" s="23">
        <f t="shared" si="75"/>
        <v>9.375E-2</v>
      </c>
      <c r="G1665" s="24">
        <f t="shared" si="77"/>
        <v>133.33333333333331</v>
      </c>
      <c r="H1665" s="1" t="s">
        <v>1</v>
      </c>
      <c r="I1665" s="4" t="s">
        <v>3</v>
      </c>
      <c r="J1665" s="14">
        <v>0.78125</v>
      </c>
      <c r="K1665" s="20" t="str">
        <f t="shared" si="76"/>
        <v>2nd Shift</v>
      </c>
    </row>
    <row r="1666" spans="1:11" x14ac:dyDescent="0.25">
      <c r="A1666" s="1">
        <v>1665</v>
      </c>
      <c r="B1666" s="1">
        <v>12</v>
      </c>
      <c r="C1666" s="3">
        <v>12115271560121</v>
      </c>
      <c r="D1666" s="2">
        <v>44457.010416666664</v>
      </c>
      <c r="E1666" s="2">
        <v>44457.069444444445</v>
      </c>
      <c r="F1666" s="23">
        <f t="shared" ref="F1666:F1729" si="78">E1666-D1666</f>
        <v>5.9027777781011537E-2</v>
      </c>
      <c r="G1666" s="24">
        <f t="shared" si="77"/>
        <v>211.7647058707517</v>
      </c>
      <c r="H1666" s="1" t="s">
        <v>1</v>
      </c>
      <c r="I1666" s="4" t="s">
        <v>2</v>
      </c>
      <c r="J1666" s="14">
        <v>1.0416666666666666E-2</v>
      </c>
      <c r="K1666" s="20" t="str">
        <f t="shared" ref="K1666:K1729" si="79">IF(AND(J1666&gt;=$M$3,J1666&lt;$M$4),"1st Shift",IF(AND(J1666&gt;=$M$4,J1666&lt;$M$5),"2nd Shift","3rd Shift"))</f>
        <v>3rd Shift</v>
      </c>
    </row>
    <row r="1667" spans="1:11" x14ac:dyDescent="0.25">
      <c r="A1667" s="1">
        <v>1666</v>
      </c>
      <c r="B1667" s="1">
        <v>3</v>
      </c>
      <c r="C1667" s="3">
        <v>3115270306701</v>
      </c>
      <c r="D1667" s="2">
        <v>44457.010416666664</v>
      </c>
      <c r="E1667" s="2">
        <v>44457.069444444445</v>
      </c>
      <c r="F1667" s="23">
        <f t="shared" si="78"/>
        <v>5.9027777781011537E-2</v>
      </c>
      <c r="G1667" s="24">
        <f t="shared" ref="G1667:G1730" si="80">$M$9/F1667*100</f>
        <v>211.7647058707517</v>
      </c>
      <c r="H1667" s="1" t="s">
        <v>1</v>
      </c>
      <c r="I1667" s="4" t="s">
        <v>2</v>
      </c>
      <c r="J1667" s="14">
        <v>1.0416666666666666E-2</v>
      </c>
      <c r="K1667" s="20" t="str">
        <f t="shared" si="79"/>
        <v>3rd Shift</v>
      </c>
    </row>
    <row r="1668" spans="1:11" x14ac:dyDescent="0.25">
      <c r="A1668" s="1">
        <v>1667</v>
      </c>
      <c r="B1668" s="1">
        <v>15</v>
      </c>
      <c r="C1668" s="3">
        <v>15115271771601</v>
      </c>
      <c r="D1668" s="2">
        <v>44457.409722222219</v>
      </c>
      <c r="E1668" s="2">
        <v>44457.455555555556</v>
      </c>
      <c r="F1668" s="23">
        <f t="shared" si="78"/>
        <v>4.5833333337213844E-2</v>
      </c>
      <c r="G1668" s="24">
        <f t="shared" si="80"/>
        <v>272.72727270418204</v>
      </c>
      <c r="H1668" s="1" t="s">
        <v>1</v>
      </c>
      <c r="I1668" s="4" t="s">
        <v>2</v>
      </c>
      <c r="J1668" s="14">
        <v>0.40972222222222221</v>
      </c>
      <c r="K1668" s="20" t="str">
        <f t="shared" si="79"/>
        <v>1st Shift</v>
      </c>
    </row>
    <row r="1669" spans="1:11" x14ac:dyDescent="0.25">
      <c r="A1669" s="1">
        <v>1668</v>
      </c>
      <c r="B1669" s="1">
        <v>10</v>
      </c>
      <c r="C1669" s="3">
        <v>10115271963102</v>
      </c>
      <c r="D1669" s="2">
        <v>44457.409722222219</v>
      </c>
      <c r="E1669" s="2">
        <v>44457.455555555556</v>
      </c>
      <c r="F1669" s="23">
        <f t="shared" si="78"/>
        <v>4.5833333337213844E-2</v>
      </c>
      <c r="G1669" s="24">
        <f t="shared" si="80"/>
        <v>272.72727270418204</v>
      </c>
      <c r="H1669" s="1" t="s">
        <v>1</v>
      </c>
      <c r="I1669" s="4" t="s">
        <v>4</v>
      </c>
      <c r="J1669" s="14">
        <v>0.40972222222222221</v>
      </c>
      <c r="K1669" s="20" t="str">
        <f t="shared" si="79"/>
        <v>1st Shift</v>
      </c>
    </row>
    <row r="1670" spans="1:11" x14ac:dyDescent="0.25">
      <c r="A1670" s="1">
        <v>1669</v>
      </c>
      <c r="B1670" s="1">
        <v>8</v>
      </c>
      <c r="C1670" s="3">
        <v>8115271816514</v>
      </c>
      <c r="D1670" s="2">
        <v>44457.409722222219</v>
      </c>
      <c r="E1670" s="2">
        <v>44457.455555555556</v>
      </c>
      <c r="F1670" s="23">
        <f t="shared" si="78"/>
        <v>4.5833333337213844E-2</v>
      </c>
      <c r="G1670" s="24">
        <f t="shared" si="80"/>
        <v>272.72727270418204</v>
      </c>
      <c r="H1670" s="1" t="s">
        <v>1</v>
      </c>
      <c r="I1670" s="4" t="s">
        <v>3</v>
      </c>
      <c r="J1670" s="14">
        <v>0.40972222222222221</v>
      </c>
      <c r="K1670" s="20" t="str">
        <f t="shared" si="79"/>
        <v>1st Shift</v>
      </c>
    </row>
    <row r="1671" spans="1:11" x14ac:dyDescent="0.25">
      <c r="A1671" s="1">
        <v>1670</v>
      </c>
      <c r="B1671" s="1">
        <v>4</v>
      </c>
      <c r="C1671" s="3">
        <v>4115270854600</v>
      </c>
      <c r="D1671" s="2">
        <v>44457.479166666664</v>
      </c>
      <c r="E1671" s="2">
        <v>44457.576388888891</v>
      </c>
      <c r="F1671" s="23">
        <f t="shared" si="78"/>
        <v>9.7222222226264421E-2</v>
      </c>
      <c r="G1671" s="24">
        <f t="shared" si="80"/>
        <v>128.57142856608297</v>
      </c>
      <c r="H1671" s="1" t="s">
        <v>1</v>
      </c>
      <c r="I1671" s="4" t="s">
        <v>2</v>
      </c>
      <c r="J1671" s="14">
        <v>0.47916666666666669</v>
      </c>
      <c r="K1671" s="20" t="str">
        <f t="shared" si="79"/>
        <v>1st Shift</v>
      </c>
    </row>
    <row r="1672" spans="1:11" x14ac:dyDescent="0.25">
      <c r="A1672" s="1">
        <v>1671</v>
      </c>
      <c r="B1672" s="1">
        <v>3</v>
      </c>
      <c r="C1672" s="3">
        <v>3115270393500</v>
      </c>
      <c r="D1672" s="2">
        <v>44457.479166666664</v>
      </c>
      <c r="E1672" s="2">
        <v>44457.576388888891</v>
      </c>
      <c r="F1672" s="23">
        <f t="shared" si="78"/>
        <v>9.7222222226264421E-2</v>
      </c>
      <c r="G1672" s="24">
        <f t="shared" si="80"/>
        <v>128.57142856608297</v>
      </c>
      <c r="H1672" s="1" t="s">
        <v>1</v>
      </c>
      <c r="I1672" s="4" t="s">
        <v>5</v>
      </c>
      <c r="J1672" s="14">
        <v>0.47916666666666669</v>
      </c>
      <c r="K1672" s="20" t="str">
        <f t="shared" si="79"/>
        <v>1st Shift</v>
      </c>
    </row>
    <row r="1673" spans="1:11" x14ac:dyDescent="0.25">
      <c r="A1673" s="1">
        <v>1672</v>
      </c>
      <c r="B1673" s="1">
        <v>1</v>
      </c>
      <c r="C1673" s="3">
        <v>1115270126000</v>
      </c>
      <c r="D1673" s="2">
        <v>44457.479166666664</v>
      </c>
      <c r="E1673" s="2">
        <v>44457.576388888891</v>
      </c>
      <c r="F1673" s="23">
        <f t="shared" si="78"/>
        <v>9.7222222226264421E-2</v>
      </c>
      <c r="G1673" s="24">
        <f t="shared" si="80"/>
        <v>128.57142856608297</v>
      </c>
      <c r="H1673" s="1" t="s">
        <v>1</v>
      </c>
      <c r="I1673" s="4" t="s">
        <v>2</v>
      </c>
      <c r="J1673" s="14">
        <v>0.47916666666666669</v>
      </c>
      <c r="K1673" s="20" t="str">
        <f t="shared" si="79"/>
        <v>1st Shift</v>
      </c>
    </row>
    <row r="1674" spans="1:11" x14ac:dyDescent="0.25">
      <c r="A1674" s="1">
        <v>1673</v>
      </c>
      <c r="B1674" s="1">
        <v>11</v>
      </c>
      <c r="C1674" s="3">
        <v>11115271542604</v>
      </c>
      <c r="D1674" s="2">
        <v>44457.645833333336</v>
      </c>
      <c r="E1674" s="2">
        <v>44457.677083333336</v>
      </c>
      <c r="F1674" s="23">
        <f t="shared" si="78"/>
        <v>3.125E-2</v>
      </c>
      <c r="G1674" s="24">
        <f t="shared" si="80"/>
        <v>400</v>
      </c>
      <c r="H1674" s="1" t="s">
        <v>1</v>
      </c>
      <c r="I1674" s="4" t="s">
        <v>5</v>
      </c>
      <c r="J1674" s="14">
        <v>0.64583333333333337</v>
      </c>
      <c r="K1674" s="20" t="str">
        <f t="shared" si="79"/>
        <v>2nd Shift</v>
      </c>
    </row>
    <row r="1675" spans="1:11" x14ac:dyDescent="0.25">
      <c r="A1675" s="1">
        <v>1674</v>
      </c>
      <c r="B1675" s="1">
        <v>7</v>
      </c>
      <c r="C1675" s="3">
        <v>7115271801904</v>
      </c>
      <c r="D1675" s="2">
        <v>44457.645833333336</v>
      </c>
      <c r="E1675" s="2">
        <v>44457.677083333336</v>
      </c>
      <c r="F1675" s="23">
        <f t="shared" si="78"/>
        <v>3.125E-2</v>
      </c>
      <c r="G1675" s="24">
        <f t="shared" si="80"/>
        <v>400</v>
      </c>
      <c r="H1675" s="1" t="s">
        <v>1</v>
      </c>
      <c r="I1675" s="4" t="s">
        <v>3</v>
      </c>
      <c r="J1675" s="14">
        <v>0.64583333333333337</v>
      </c>
      <c r="K1675" s="20" t="str">
        <f t="shared" si="79"/>
        <v>2nd Shift</v>
      </c>
    </row>
    <row r="1676" spans="1:11" x14ac:dyDescent="0.25">
      <c r="A1676" s="1">
        <v>1675</v>
      </c>
      <c r="B1676" s="1">
        <v>11</v>
      </c>
      <c r="C1676" s="3">
        <v>11115271559123</v>
      </c>
      <c r="D1676" s="2">
        <v>44457.847222222219</v>
      </c>
      <c r="E1676" s="2">
        <v>44457.909722222219</v>
      </c>
      <c r="F1676" s="23">
        <f t="shared" si="78"/>
        <v>6.25E-2</v>
      </c>
      <c r="G1676" s="24">
        <f t="shared" si="80"/>
        <v>200</v>
      </c>
      <c r="H1676" s="1" t="s">
        <v>1</v>
      </c>
      <c r="I1676" s="4" t="s">
        <v>2</v>
      </c>
      <c r="J1676" s="14">
        <v>0.84722222222222221</v>
      </c>
      <c r="K1676" s="20" t="str">
        <f t="shared" si="79"/>
        <v>2nd Shift</v>
      </c>
    </row>
    <row r="1677" spans="1:11" x14ac:dyDescent="0.25">
      <c r="A1677" s="1">
        <v>1676</v>
      </c>
      <c r="B1677" s="1">
        <v>7</v>
      </c>
      <c r="C1677" s="3">
        <v>7115271774720</v>
      </c>
      <c r="D1677" s="2">
        <v>44457.847222222219</v>
      </c>
      <c r="E1677" s="2">
        <v>44457.909722222219</v>
      </c>
      <c r="F1677" s="23">
        <f t="shared" si="78"/>
        <v>6.25E-2</v>
      </c>
      <c r="G1677" s="24">
        <f t="shared" si="80"/>
        <v>200</v>
      </c>
      <c r="H1677" s="1" t="s">
        <v>1</v>
      </c>
      <c r="I1677" s="4" t="s">
        <v>2</v>
      </c>
      <c r="J1677" s="14">
        <v>0.84722222222222221</v>
      </c>
      <c r="K1677" s="20" t="str">
        <f t="shared" si="79"/>
        <v>2nd Shift</v>
      </c>
    </row>
    <row r="1678" spans="1:11" x14ac:dyDescent="0.25">
      <c r="A1678" s="1">
        <v>1677</v>
      </c>
      <c r="B1678" s="1">
        <v>9</v>
      </c>
      <c r="C1678" s="3">
        <v>9115271960800</v>
      </c>
      <c r="D1678" s="2">
        <v>44457.993055555555</v>
      </c>
      <c r="E1678" s="2">
        <v>44458.055555555555</v>
      </c>
      <c r="F1678" s="23">
        <f t="shared" si="78"/>
        <v>6.25E-2</v>
      </c>
      <c r="G1678" s="24">
        <f t="shared" si="80"/>
        <v>200</v>
      </c>
      <c r="H1678" s="1" t="s">
        <v>1</v>
      </c>
      <c r="I1678" s="4" t="s">
        <v>2</v>
      </c>
      <c r="J1678" s="14">
        <v>0.99305555555555558</v>
      </c>
      <c r="K1678" s="20" t="str">
        <f t="shared" si="79"/>
        <v>3rd Shift</v>
      </c>
    </row>
    <row r="1679" spans="1:11" x14ac:dyDescent="0.25">
      <c r="A1679" s="1">
        <v>1678</v>
      </c>
      <c r="B1679" s="1">
        <v>1</v>
      </c>
      <c r="C1679" s="3">
        <v>1115270087900</v>
      </c>
      <c r="D1679" s="2">
        <v>44457.993055555555</v>
      </c>
      <c r="E1679" s="2">
        <v>44458.055555555555</v>
      </c>
      <c r="F1679" s="23">
        <f t="shared" si="78"/>
        <v>6.25E-2</v>
      </c>
      <c r="G1679" s="24">
        <f t="shared" si="80"/>
        <v>200</v>
      </c>
      <c r="H1679" s="1" t="s">
        <v>1</v>
      </c>
      <c r="I1679" s="4" t="s">
        <v>2</v>
      </c>
      <c r="J1679" s="14">
        <v>0.99305555555555558</v>
      </c>
      <c r="K1679" s="20" t="str">
        <f t="shared" si="79"/>
        <v>3rd Shift</v>
      </c>
    </row>
    <row r="1680" spans="1:11" x14ac:dyDescent="0.25">
      <c r="A1680" s="1">
        <v>1679</v>
      </c>
      <c r="B1680" s="1">
        <v>11</v>
      </c>
      <c r="C1680" s="3">
        <v>11115271507709</v>
      </c>
      <c r="D1680" s="2">
        <v>44458.409722222219</v>
      </c>
      <c r="E1680" s="2">
        <v>44458.46875</v>
      </c>
      <c r="F1680" s="23">
        <f t="shared" si="78"/>
        <v>5.9027777781011537E-2</v>
      </c>
      <c r="G1680" s="24">
        <f t="shared" si="80"/>
        <v>211.7647058707517</v>
      </c>
      <c r="H1680" s="1" t="s">
        <v>1</v>
      </c>
      <c r="I1680" s="4" t="s">
        <v>2</v>
      </c>
      <c r="J1680" s="14">
        <v>0.40972222222222221</v>
      </c>
      <c r="K1680" s="20" t="str">
        <f t="shared" si="79"/>
        <v>1st Shift</v>
      </c>
    </row>
    <row r="1681" spans="1:11" x14ac:dyDescent="0.25">
      <c r="A1681" s="1">
        <v>1680</v>
      </c>
      <c r="B1681" s="1">
        <v>11</v>
      </c>
      <c r="C1681" s="3">
        <v>11115271507702</v>
      </c>
      <c r="D1681" s="2">
        <v>44458.409722222219</v>
      </c>
      <c r="E1681" s="2">
        <v>44458.46875</v>
      </c>
      <c r="F1681" s="23">
        <f t="shared" si="78"/>
        <v>5.9027777781011537E-2</v>
      </c>
      <c r="G1681" s="24">
        <f t="shared" si="80"/>
        <v>211.7647058707517</v>
      </c>
      <c r="H1681" s="1" t="s">
        <v>1</v>
      </c>
      <c r="I1681" s="4" t="s">
        <v>3</v>
      </c>
      <c r="J1681" s="14">
        <v>0.40972222222222221</v>
      </c>
      <c r="K1681" s="20" t="str">
        <f t="shared" si="79"/>
        <v>1st Shift</v>
      </c>
    </row>
    <row r="1682" spans="1:11" x14ac:dyDescent="0.25">
      <c r="A1682" s="1">
        <v>1681</v>
      </c>
      <c r="B1682" s="1">
        <v>11</v>
      </c>
      <c r="C1682" s="3">
        <v>11115271507701</v>
      </c>
      <c r="D1682" s="2">
        <v>44458.409722222219</v>
      </c>
      <c r="E1682" s="2">
        <v>44458.46875</v>
      </c>
      <c r="F1682" s="23">
        <f t="shared" si="78"/>
        <v>5.9027777781011537E-2</v>
      </c>
      <c r="G1682" s="24">
        <f t="shared" si="80"/>
        <v>211.7647058707517</v>
      </c>
      <c r="H1682" s="1" t="s">
        <v>1</v>
      </c>
      <c r="I1682" s="4" t="s">
        <v>2</v>
      </c>
      <c r="J1682" s="14">
        <v>0.40972222222222221</v>
      </c>
      <c r="K1682" s="20" t="str">
        <f t="shared" si="79"/>
        <v>1st Shift</v>
      </c>
    </row>
    <row r="1683" spans="1:11" x14ac:dyDescent="0.25">
      <c r="A1683" s="1">
        <v>1682</v>
      </c>
      <c r="B1683" s="1">
        <v>2</v>
      </c>
      <c r="C1683" s="3">
        <v>2115270254202</v>
      </c>
      <c r="D1683" s="2">
        <v>44458.409722222219</v>
      </c>
      <c r="E1683" s="2">
        <v>44458.46875</v>
      </c>
      <c r="F1683" s="23">
        <f t="shared" si="78"/>
        <v>5.9027777781011537E-2</v>
      </c>
      <c r="G1683" s="24">
        <f t="shared" si="80"/>
        <v>211.7647058707517</v>
      </c>
      <c r="H1683" s="1" t="s">
        <v>1</v>
      </c>
      <c r="I1683" s="4" t="s">
        <v>2</v>
      </c>
      <c r="J1683" s="14">
        <v>0.40972222222222221</v>
      </c>
      <c r="K1683" s="20" t="str">
        <f t="shared" si="79"/>
        <v>1st Shift</v>
      </c>
    </row>
    <row r="1684" spans="1:11" x14ac:dyDescent="0.25">
      <c r="A1684" s="1">
        <v>1683</v>
      </c>
      <c r="B1684" s="1">
        <v>2</v>
      </c>
      <c r="C1684" s="3">
        <v>2115270254201</v>
      </c>
      <c r="D1684" s="2">
        <v>44458.409722222219</v>
      </c>
      <c r="E1684" s="2">
        <v>44458.46875</v>
      </c>
      <c r="F1684" s="23">
        <f t="shared" si="78"/>
        <v>5.9027777781011537E-2</v>
      </c>
      <c r="G1684" s="24">
        <f t="shared" si="80"/>
        <v>211.7647058707517</v>
      </c>
      <c r="H1684" s="1" t="s">
        <v>1</v>
      </c>
      <c r="I1684" s="4" t="s">
        <v>2</v>
      </c>
      <c r="J1684" s="14">
        <v>0.40972222222222221</v>
      </c>
      <c r="K1684" s="20" t="str">
        <f t="shared" si="79"/>
        <v>1st Shift</v>
      </c>
    </row>
    <row r="1685" spans="1:11" x14ac:dyDescent="0.25">
      <c r="A1685" s="1">
        <v>1684</v>
      </c>
      <c r="B1685" s="1">
        <v>2</v>
      </c>
      <c r="C1685" s="3">
        <v>2115270254200</v>
      </c>
      <c r="D1685" s="2">
        <v>44458.409722222219</v>
      </c>
      <c r="E1685" s="2">
        <v>44458.46875</v>
      </c>
      <c r="F1685" s="23">
        <f t="shared" si="78"/>
        <v>5.9027777781011537E-2</v>
      </c>
      <c r="G1685" s="24">
        <f t="shared" si="80"/>
        <v>211.7647058707517</v>
      </c>
      <c r="H1685" s="1" t="s">
        <v>1</v>
      </c>
      <c r="I1685" s="4" t="s">
        <v>2</v>
      </c>
      <c r="J1685" s="14">
        <v>0.40972222222222221</v>
      </c>
      <c r="K1685" s="20" t="str">
        <f t="shared" si="79"/>
        <v>1st Shift</v>
      </c>
    </row>
    <row r="1686" spans="1:11" x14ac:dyDescent="0.25">
      <c r="A1686" s="1">
        <v>1685</v>
      </c>
      <c r="B1686" s="1">
        <v>8</v>
      </c>
      <c r="C1686" s="3">
        <v>8115271809913</v>
      </c>
      <c r="D1686" s="2">
        <v>44458.503472222219</v>
      </c>
      <c r="E1686" s="2">
        <v>44458.576388888891</v>
      </c>
      <c r="F1686" s="23">
        <f t="shared" si="78"/>
        <v>7.2916666671517305E-2</v>
      </c>
      <c r="G1686" s="24">
        <f t="shared" si="80"/>
        <v>171.42857141716746</v>
      </c>
      <c r="H1686" s="1" t="s">
        <v>1</v>
      </c>
      <c r="I1686" s="4" t="s">
        <v>3</v>
      </c>
      <c r="J1686" s="14">
        <v>0.50347222222222221</v>
      </c>
      <c r="K1686" s="20" t="str">
        <f t="shared" si="79"/>
        <v>1st Shift</v>
      </c>
    </row>
    <row r="1687" spans="1:11" x14ac:dyDescent="0.25">
      <c r="A1687" s="1">
        <v>1686</v>
      </c>
      <c r="B1687" s="1">
        <v>8</v>
      </c>
      <c r="C1687" s="3">
        <v>8115271809912</v>
      </c>
      <c r="D1687" s="2">
        <v>44458.503472222219</v>
      </c>
      <c r="E1687" s="2">
        <v>44458.576388888891</v>
      </c>
      <c r="F1687" s="23">
        <f t="shared" si="78"/>
        <v>7.2916666671517305E-2</v>
      </c>
      <c r="G1687" s="24">
        <f t="shared" si="80"/>
        <v>171.42857141716746</v>
      </c>
      <c r="H1687" s="1" t="s">
        <v>1</v>
      </c>
      <c r="I1687" s="4" t="s">
        <v>3</v>
      </c>
      <c r="J1687" s="14">
        <v>0.50347222222222221</v>
      </c>
      <c r="K1687" s="20" t="str">
        <f t="shared" si="79"/>
        <v>1st Shift</v>
      </c>
    </row>
    <row r="1688" spans="1:11" x14ac:dyDescent="0.25">
      <c r="A1688" s="1">
        <v>1687</v>
      </c>
      <c r="B1688" s="1">
        <v>3</v>
      </c>
      <c r="C1688" s="3">
        <v>3115270350101</v>
      </c>
      <c r="D1688" s="2">
        <v>44458.503472222219</v>
      </c>
      <c r="E1688" s="2">
        <v>44458.576388888891</v>
      </c>
      <c r="F1688" s="23">
        <f t="shared" si="78"/>
        <v>7.2916666671517305E-2</v>
      </c>
      <c r="G1688" s="24">
        <f t="shared" si="80"/>
        <v>171.42857141716746</v>
      </c>
      <c r="H1688" s="1" t="s">
        <v>1</v>
      </c>
      <c r="I1688" s="4" t="s">
        <v>8</v>
      </c>
      <c r="J1688" s="14">
        <v>0.50347222222222221</v>
      </c>
      <c r="K1688" s="20" t="str">
        <f t="shared" si="79"/>
        <v>1st Shift</v>
      </c>
    </row>
    <row r="1689" spans="1:11" x14ac:dyDescent="0.25">
      <c r="A1689" s="1">
        <v>1688</v>
      </c>
      <c r="B1689" s="1">
        <v>3</v>
      </c>
      <c r="C1689" s="3">
        <v>3115270350100</v>
      </c>
      <c r="D1689" s="2">
        <v>44458.503472222219</v>
      </c>
      <c r="E1689" s="2">
        <v>44458.576388888891</v>
      </c>
      <c r="F1689" s="23">
        <f t="shared" si="78"/>
        <v>7.2916666671517305E-2</v>
      </c>
      <c r="G1689" s="24">
        <f t="shared" si="80"/>
        <v>171.42857141716746</v>
      </c>
      <c r="H1689" s="1" t="s">
        <v>1</v>
      </c>
      <c r="I1689" s="4" t="s">
        <v>4</v>
      </c>
      <c r="J1689" s="14">
        <v>0.50347222222222221</v>
      </c>
      <c r="K1689" s="20" t="str">
        <f t="shared" si="79"/>
        <v>1st Shift</v>
      </c>
    </row>
    <row r="1690" spans="1:11" x14ac:dyDescent="0.25">
      <c r="A1690" s="1">
        <v>1689</v>
      </c>
      <c r="B1690" s="1">
        <v>1</v>
      </c>
      <c r="C1690" s="3">
        <v>1115270122207</v>
      </c>
      <c r="D1690" s="2">
        <v>44458.503472222219</v>
      </c>
      <c r="E1690" s="2">
        <v>44458.576388888891</v>
      </c>
      <c r="F1690" s="23">
        <f t="shared" si="78"/>
        <v>7.2916666671517305E-2</v>
      </c>
      <c r="G1690" s="24">
        <f t="shared" si="80"/>
        <v>171.42857141716746</v>
      </c>
      <c r="H1690" s="1" t="s">
        <v>1</v>
      </c>
      <c r="I1690" s="4" t="s">
        <v>3</v>
      </c>
      <c r="J1690" s="14">
        <v>0.50347222222222221</v>
      </c>
      <c r="K1690" s="20" t="str">
        <f t="shared" si="79"/>
        <v>1st Shift</v>
      </c>
    </row>
    <row r="1691" spans="1:11" x14ac:dyDescent="0.25">
      <c r="A1691" s="1">
        <v>1690</v>
      </c>
      <c r="B1691" s="1">
        <v>1</v>
      </c>
      <c r="C1691" s="3">
        <v>1115270122201</v>
      </c>
      <c r="D1691" s="2">
        <v>44458.503472222219</v>
      </c>
      <c r="E1691" s="2">
        <v>44458.576388888891</v>
      </c>
      <c r="F1691" s="23">
        <f t="shared" si="78"/>
        <v>7.2916666671517305E-2</v>
      </c>
      <c r="G1691" s="24">
        <f t="shared" si="80"/>
        <v>171.42857141716746</v>
      </c>
      <c r="H1691" s="1" t="s">
        <v>1</v>
      </c>
      <c r="I1691" s="4" t="s">
        <v>3</v>
      </c>
      <c r="J1691" s="14">
        <v>0.50347222222222221</v>
      </c>
      <c r="K1691" s="20" t="str">
        <f t="shared" si="79"/>
        <v>1st Shift</v>
      </c>
    </row>
    <row r="1692" spans="1:11" x14ac:dyDescent="0.25">
      <c r="A1692" s="1">
        <v>1691</v>
      </c>
      <c r="B1692" s="1">
        <v>1</v>
      </c>
      <c r="C1692" s="3">
        <v>1115270122200</v>
      </c>
      <c r="D1692" s="2">
        <v>44458.503472222219</v>
      </c>
      <c r="E1692" s="2">
        <v>44458.576388888891</v>
      </c>
      <c r="F1692" s="23">
        <f t="shared" si="78"/>
        <v>7.2916666671517305E-2</v>
      </c>
      <c r="G1692" s="24">
        <f t="shared" si="80"/>
        <v>171.42857141716746</v>
      </c>
      <c r="H1692" s="1" t="s">
        <v>1</v>
      </c>
      <c r="I1692" s="4" t="s">
        <v>4</v>
      </c>
      <c r="J1692" s="14">
        <v>0.50347222222222221</v>
      </c>
      <c r="K1692" s="20" t="str">
        <f t="shared" si="79"/>
        <v>1st Shift</v>
      </c>
    </row>
    <row r="1693" spans="1:11" x14ac:dyDescent="0.25">
      <c r="A1693" s="1">
        <v>1692</v>
      </c>
      <c r="B1693" s="1">
        <v>5</v>
      </c>
      <c r="C1693" s="3">
        <v>5115271677902</v>
      </c>
      <c r="D1693" s="2">
        <v>44458.784722222219</v>
      </c>
      <c r="E1693" s="2">
        <v>44458.822916666664</v>
      </c>
      <c r="F1693" s="23">
        <f t="shared" si="78"/>
        <v>3.8194444445252884E-2</v>
      </c>
      <c r="G1693" s="24">
        <f t="shared" si="80"/>
        <v>327.27272726580009</v>
      </c>
      <c r="H1693" s="1" t="s">
        <v>1</v>
      </c>
      <c r="I1693" s="4" t="s">
        <v>4</v>
      </c>
      <c r="J1693" s="14">
        <v>0.78472222222222221</v>
      </c>
      <c r="K1693" s="20" t="str">
        <f t="shared" si="79"/>
        <v>2nd Shift</v>
      </c>
    </row>
    <row r="1694" spans="1:11" x14ac:dyDescent="0.25">
      <c r="A1694" s="1">
        <v>1693</v>
      </c>
      <c r="B1694" s="1">
        <v>5</v>
      </c>
      <c r="C1694" s="3">
        <v>5115271677901</v>
      </c>
      <c r="D1694" s="2">
        <v>44458.784722222219</v>
      </c>
      <c r="E1694" s="2">
        <v>44458.822916666664</v>
      </c>
      <c r="F1694" s="23">
        <f t="shared" si="78"/>
        <v>3.8194444445252884E-2</v>
      </c>
      <c r="G1694" s="24">
        <f t="shared" si="80"/>
        <v>327.27272726580009</v>
      </c>
      <c r="H1694" s="1" t="s">
        <v>1</v>
      </c>
      <c r="I1694" s="4" t="s">
        <v>4</v>
      </c>
      <c r="J1694" s="14">
        <v>0.78472222222222221</v>
      </c>
      <c r="K1694" s="20" t="str">
        <f t="shared" si="79"/>
        <v>2nd Shift</v>
      </c>
    </row>
    <row r="1695" spans="1:11" x14ac:dyDescent="0.25">
      <c r="A1695" s="1">
        <v>1694</v>
      </c>
      <c r="B1695" s="1">
        <v>13</v>
      </c>
      <c r="C1695" s="3">
        <v>13115271590300</v>
      </c>
      <c r="D1695" s="2">
        <v>44459.409722222219</v>
      </c>
      <c r="E1695" s="2">
        <v>44459.506944444445</v>
      </c>
      <c r="F1695" s="23">
        <f t="shared" si="78"/>
        <v>9.7222222226264421E-2</v>
      </c>
      <c r="G1695" s="24">
        <f t="shared" si="80"/>
        <v>128.57142856608297</v>
      </c>
      <c r="H1695" s="1" t="s">
        <v>1</v>
      </c>
      <c r="I1695" s="4" t="s">
        <v>4</v>
      </c>
      <c r="J1695" s="14">
        <v>0.40972222222222221</v>
      </c>
      <c r="K1695" s="20" t="str">
        <f t="shared" si="79"/>
        <v>1st Shift</v>
      </c>
    </row>
    <row r="1696" spans="1:11" x14ac:dyDescent="0.25">
      <c r="A1696" s="1">
        <v>1695</v>
      </c>
      <c r="B1696" s="1">
        <v>11</v>
      </c>
      <c r="C1696" s="3">
        <v>11115271542511</v>
      </c>
      <c r="D1696" s="2">
        <v>44459.409722222219</v>
      </c>
      <c r="E1696" s="2">
        <v>44459.506944444445</v>
      </c>
      <c r="F1696" s="23">
        <f t="shared" si="78"/>
        <v>9.7222222226264421E-2</v>
      </c>
      <c r="G1696" s="24">
        <f t="shared" si="80"/>
        <v>128.57142856608297</v>
      </c>
      <c r="H1696" s="1" t="s">
        <v>1</v>
      </c>
      <c r="I1696" s="4" t="s">
        <v>2</v>
      </c>
      <c r="J1696" s="14">
        <v>0.40972222222222221</v>
      </c>
      <c r="K1696" s="20" t="str">
        <f t="shared" si="79"/>
        <v>1st Shift</v>
      </c>
    </row>
    <row r="1697" spans="1:11" x14ac:dyDescent="0.25">
      <c r="A1697" s="1">
        <v>1696</v>
      </c>
      <c r="B1697" s="1">
        <v>7</v>
      </c>
      <c r="C1697" s="3">
        <v>7115271779300</v>
      </c>
      <c r="D1697" s="2">
        <v>44459.409722222219</v>
      </c>
      <c r="E1697" s="2">
        <v>44459.506944444445</v>
      </c>
      <c r="F1697" s="23">
        <f t="shared" si="78"/>
        <v>9.7222222226264421E-2</v>
      </c>
      <c r="G1697" s="24">
        <f t="shared" si="80"/>
        <v>128.57142856608297</v>
      </c>
      <c r="H1697" s="1" t="s">
        <v>1</v>
      </c>
      <c r="I1697" s="4" t="s">
        <v>2</v>
      </c>
      <c r="J1697" s="14">
        <v>0.40972222222222221</v>
      </c>
      <c r="K1697" s="20" t="str">
        <f t="shared" si="79"/>
        <v>1st Shift</v>
      </c>
    </row>
    <row r="1698" spans="1:11" x14ac:dyDescent="0.25">
      <c r="A1698" s="1">
        <v>1697</v>
      </c>
      <c r="B1698" s="1">
        <v>2</v>
      </c>
      <c r="C1698" s="3">
        <v>2115270291800</v>
      </c>
      <c r="D1698" s="2">
        <v>44459.409722222219</v>
      </c>
      <c r="E1698" s="2">
        <v>44459.506944444445</v>
      </c>
      <c r="F1698" s="23">
        <f t="shared" si="78"/>
        <v>9.7222222226264421E-2</v>
      </c>
      <c r="G1698" s="24">
        <f t="shared" si="80"/>
        <v>128.57142856608297</v>
      </c>
      <c r="H1698" s="1" t="s">
        <v>1</v>
      </c>
      <c r="I1698" s="4" t="s">
        <v>5</v>
      </c>
      <c r="J1698" s="14">
        <v>0.40972222222222221</v>
      </c>
      <c r="K1698" s="20" t="str">
        <f t="shared" si="79"/>
        <v>1st Shift</v>
      </c>
    </row>
    <row r="1699" spans="1:11" x14ac:dyDescent="0.25">
      <c r="A1699" s="1">
        <v>1698</v>
      </c>
      <c r="B1699" s="1">
        <v>1</v>
      </c>
      <c r="C1699" s="3">
        <v>1115270183400</v>
      </c>
      <c r="D1699" s="2">
        <v>44459.409722222219</v>
      </c>
      <c r="E1699" s="2">
        <v>44459.506944444445</v>
      </c>
      <c r="F1699" s="23">
        <f t="shared" si="78"/>
        <v>9.7222222226264421E-2</v>
      </c>
      <c r="G1699" s="24">
        <f t="shared" si="80"/>
        <v>128.57142856608297</v>
      </c>
      <c r="H1699" s="1" t="s">
        <v>1</v>
      </c>
      <c r="I1699" s="4" t="s">
        <v>3</v>
      </c>
      <c r="J1699" s="14">
        <v>0.40972222222222221</v>
      </c>
      <c r="K1699" s="20" t="str">
        <f t="shared" si="79"/>
        <v>1st Shift</v>
      </c>
    </row>
    <row r="1700" spans="1:11" x14ac:dyDescent="0.25">
      <c r="A1700" s="1">
        <v>1699</v>
      </c>
      <c r="B1700" s="1">
        <v>2</v>
      </c>
      <c r="C1700" s="3">
        <v>2115270299402</v>
      </c>
      <c r="D1700" s="2">
        <v>44459.541666666664</v>
      </c>
      <c r="E1700" s="2">
        <v>44459.583333333336</v>
      </c>
      <c r="F1700" s="23">
        <f t="shared" si="78"/>
        <v>4.1666666671517305E-2</v>
      </c>
      <c r="G1700" s="24">
        <f t="shared" si="80"/>
        <v>299.9999999650754</v>
      </c>
      <c r="H1700" s="1" t="s">
        <v>1</v>
      </c>
      <c r="I1700" s="4" t="s">
        <v>2</v>
      </c>
      <c r="J1700" s="14">
        <v>0.54166666666666663</v>
      </c>
      <c r="K1700" s="20" t="str">
        <f t="shared" si="79"/>
        <v>1st Shift</v>
      </c>
    </row>
    <row r="1701" spans="1:11" x14ac:dyDescent="0.25">
      <c r="A1701" s="1">
        <v>1700</v>
      </c>
      <c r="B1701" s="1">
        <v>6</v>
      </c>
      <c r="C1701" s="3">
        <v>6115271727404</v>
      </c>
      <c r="D1701" s="2">
        <v>44459.638888888891</v>
      </c>
      <c r="E1701" s="2">
        <v>44459.684027777781</v>
      </c>
      <c r="F1701" s="23">
        <f t="shared" si="78"/>
        <v>4.5138888890505768E-2</v>
      </c>
      <c r="G1701" s="24">
        <f t="shared" si="80"/>
        <v>276.9230769131575</v>
      </c>
      <c r="H1701" s="1" t="s">
        <v>1</v>
      </c>
      <c r="I1701" s="4" t="s">
        <v>4</v>
      </c>
      <c r="J1701" s="14">
        <v>0.63888888888888884</v>
      </c>
      <c r="K1701" s="20" t="str">
        <f t="shared" si="79"/>
        <v>2nd Shift</v>
      </c>
    </row>
    <row r="1702" spans="1:11" x14ac:dyDescent="0.25">
      <c r="A1702" s="1">
        <v>1701</v>
      </c>
      <c r="B1702" s="1">
        <v>4</v>
      </c>
      <c r="C1702" s="3">
        <v>4115270829607</v>
      </c>
      <c r="D1702" s="2">
        <v>44459.638888888891</v>
      </c>
      <c r="E1702" s="2">
        <v>44459.684027777781</v>
      </c>
      <c r="F1702" s="23">
        <f t="shared" si="78"/>
        <v>4.5138888890505768E-2</v>
      </c>
      <c r="G1702" s="24">
        <f t="shared" si="80"/>
        <v>276.9230769131575</v>
      </c>
      <c r="H1702" s="1" t="s">
        <v>1</v>
      </c>
      <c r="I1702" s="4" t="s">
        <v>3</v>
      </c>
      <c r="J1702" s="14">
        <v>0.63888888888888884</v>
      </c>
      <c r="K1702" s="20" t="str">
        <f t="shared" si="79"/>
        <v>2nd Shift</v>
      </c>
    </row>
    <row r="1703" spans="1:11" x14ac:dyDescent="0.25">
      <c r="A1703" s="1">
        <v>1702</v>
      </c>
      <c r="B1703" s="1">
        <v>15</v>
      </c>
      <c r="C1703" s="3">
        <v>15115271771300</v>
      </c>
      <c r="D1703" s="2">
        <v>44459.673611111109</v>
      </c>
      <c r="E1703" s="2">
        <v>44459.822916666664</v>
      </c>
      <c r="F1703" s="23">
        <f t="shared" si="78"/>
        <v>0.14930555555474712</v>
      </c>
      <c r="G1703" s="24">
        <f t="shared" si="80"/>
        <v>83.720930233011458</v>
      </c>
      <c r="H1703" s="1" t="s">
        <v>1</v>
      </c>
      <c r="I1703" s="4" t="s">
        <v>2</v>
      </c>
      <c r="J1703" s="14">
        <v>0.67361111111111116</v>
      </c>
      <c r="K1703" s="20" t="str">
        <f t="shared" si="79"/>
        <v>2nd Shift</v>
      </c>
    </row>
    <row r="1704" spans="1:11" x14ac:dyDescent="0.25">
      <c r="A1704" s="1">
        <v>1703</v>
      </c>
      <c r="B1704" s="1">
        <v>7</v>
      </c>
      <c r="C1704" s="3">
        <v>7115271774713</v>
      </c>
      <c r="D1704" s="2">
        <v>44459.673611111109</v>
      </c>
      <c r="E1704" s="2">
        <v>44459.822916666664</v>
      </c>
      <c r="F1704" s="23">
        <f t="shared" si="78"/>
        <v>0.14930555555474712</v>
      </c>
      <c r="G1704" s="24">
        <f t="shared" si="80"/>
        <v>83.720930233011458</v>
      </c>
      <c r="H1704" s="1" t="s">
        <v>1</v>
      </c>
      <c r="I1704" s="4" t="s">
        <v>2</v>
      </c>
      <c r="J1704" s="14">
        <v>0.67361111111111116</v>
      </c>
      <c r="K1704" s="20" t="str">
        <f t="shared" si="79"/>
        <v>2nd Shift</v>
      </c>
    </row>
    <row r="1705" spans="1:11" x14ac:dyDescent="0.25">
      <c r="A1705" s="1">
        <v>1704</v>
      </c>
      <c r="B1705" s="1">
        <v>6</v>
      </c>
      <c r="C1705" s="3">
        <v>6115271720807</v>
      </c>
      <c r="D1705" s="2">
        <v>44459.673611111109</v>
      </c>
      <c r="E1705" s="2">
        <v>44459.822916666664</v>
      </c>
      <c r="F1705" s="23">
        <f t="shared" si="78"/>
        <v>0.14930555555474712</v>
      </c>
      <c r="G1705" s="24">
        <f t="shared" si="80"/>
        <v>83.720930233011458</v>
      </c>
      <c r="H1705" s="1" t="s">
        <v>1</v>
      </c>
      <c r="I1705" s="4" t="s">
        <v>2</v>
      </c>
      <c r="J1705" s="14">
        <v>0.67361111111111116</v>
      </c>
      <c r="K1705" s="20" t="str">
        <f t="shared" si="79"/>
        <v>2nd Shift</v>
      </c>
    </row>
    <row r="1706" spans="1:11" x14ac:dyDescent="0.25">
      <c r="A1706" s="1">
        <v>1705</v>
      </c>
      <c r="B1706" s="1">
        <v>1</v>
      </c>
      <c r="C1706" s="3">
        <v>1115270086900</v>
      </c>
      <c r="D1706" s="2">
        <v>44459.673611111109</v>
      </c>
      <c r="E1706" s="2">
        <v>44459.822916666664</v>
      </c>
      <c r="F1706" s="23">
        <f t="shared" si="78"/>
        <v>0.14930555555474712</v>
      </c>
      <c r="G1706" s="24">
        <f t="shared" si="80"/>
        <v>83.720930233011458</v>
      </c>
      <c r="H1706" s="1" t="s">
        <v>1</v>
      </c>
      <c r="I1706" s="4" t="s">
        <v>2</v>
      </c>
      <c r="J1706" s="14">
        <v>0.67361111111111116</v>
      </c>
      <c r="K1706" s="20" t="str">
        <f t="shared" si="79"/>
        <v>2nd Shift</v>
      </c>
    </row>
    <row r="1707" spans="1:11" x14ac:dyDescent="0.25">
      <c r="A1707" s="1">
        <v>1706</v>
      </c>
      <c r="B1707" s="1">
        <v>9</v>
      </c>
      <c r="C1707" s="3">
        <v>9115271947710</v>
      </c>
      <c r="D1707" s="2">
        <v>44460.395833333336</v>
      </c>
      <c r="E1707" s="2">
        <v>44460.506944444445</v>
      </c>
      <c r="F1707" s="23">
        <f t="shared" si="78"/>
        <v>0.11111111110949423</v>
      </c>
      <c r="G1707" s="24">
        <f t="shared" si="80"/>
        <v>112.50000000163709</v>
      </c>
      <c r="H1707" s="1" t="s">
        <v>1</v>
      </c>
      <c r="I1707" s="4" t="s">
        <v>5</v>
      </c>
      <c r="J1707" s="14">
        <v>0.39583333333333331</v>
      </c>
      <c r="K1707" s="20" t="str">
        <f t="shared" si="79"/>
        <v>1st Shift</v>
      </c>
    </row>
    <row r="1708" spans="1:11" x14ac:dyDescent="0.25">
      <c r="A1708" s="1">
        <v>1707</v>
      </c>
      <c r="B1708" s="1">
        <v>9</v>
      </c>
      <c r="C1708" s="3">
        <v>9115271947706</v>
      </c>
      <c r="D1708" s="2">
        <v>44460.395833333336</v>
      </c>
      <c r="E1708" s="2">
        <v>44460.506944444445</v>
      </c>
      <c r="F1708" s="23">
        <f t="shared" si="78"/>
        <v>0.11111111110949423</v>
      </c>
      <c r="G1708" s="24">
        <f t="shared" si="80"/>
        <v>112.50000000163709</v>
      </c>
      <c r="H1708" s="1" t="s">
        <v>1</v>
      </c>
      <c r="I1708" s="4" t="s">
        <v>3</v>
      </c>
      <c r="J1708" s="14">
        <v>0.39583333333333331</v>
      </c>
      <c r="K1708" s="20" t="str">
        <f t="shared" si="79"/>
        <v>1st Shift</v>
      </c>
    </row>
    <row r="1709" spans="1:11" x14ac:dyDescent="0.25">
      <c r="A1709" s="1">
        <v>1708</v>
      </c>
      <c r="B1709" s="1">
        <v>9</v>
      </c>
      <c r="C1709" s="3">
        <v>9115271947703</v>
      </c>
      <c r="D1709" s="2">
        <v>44460.395833333336</v>
      </c>
      <c r="E1709" s="2">
        <v>44460.506944444445</v>
      </c>
      <c r="F1709" s="23">
        <f t="shared" si="78"/>
        <v>0.11111111110949423</v>
      </c>
      <c r="G1709" s="24">
        <f t="shared" si="80"/>
        <v>112.50000000163709</v>
      </c>
      <c r="H1709" s="1" t="s">
        <v>1</v>
      </c>
      <c r="I1709" s="4" t="s">
        <v>2</v>
      </c>
      <c r="J1709" s="14">
        <v>0.39583333333333331</v>
      </c>
      <c r="K1709" s="20" t="str">
        <f t="shared" si="79"/>
        <v>1st Shift</v>
      </c>
    </row>
    <row r="1710" spans="1:11" x14ac:dyDescent="0.25">
      <c r="A1710" s="1">
        <v>1709</v>
      </c>
      <c r="B1710" s="1">
        <v>9</v>
      </c>
      <c r="C1710" s="3">
        <v>9115271947702</v>
      </c>
      <c r="D1710" s="2">
        <v>44460.395833333336</v>
      </c>
      <c r="E1710" s="2">
        <v>44460.506944444445</v>
      </c>
      <c r="F1710" s="23">
        <f t="shared" si="78"/>
        <v>0.11111111110949423</v>
      </c>
      <c r="G1710" s="24">
        <f t="shared" si="80"/>
        <v>112.50000000163709</v>
      </c>
      <c r="H1710" s="1" t="s">
        <v>1</v>
      </c>
      <c r="I1710" s="4" t="s">
        <v>3</v>
      </c>
      <c r="J1710" s="14">
        <v>0.39583333333333331</v>
      </c>
      <c r="K1710" s="20" t="str">
        <f t="shared" si="79"/>
        <v>1st Shift</v>
      </c>
    </row>
    <row r="1711" spans="1:11" x14ac:dyDescent="0.25">
      <c r="A1711" s="1">
        <v>1710</v>
      </c>
      <c r="B1711" s="1">
        <v>9</v>
      </c>
      <c r="C1711" s="3">
        <v>9115271947701</v>
      </c>
      <c r="D1711" s="2">
        <v>44460.395833333336</v>
      </c>
      <c r="E1711" s="2">
        <v>44460.506944444445</v>
      </c>
      <c r="F1711" s="23">
        <f t="shared" si="78"/>
        <v>0.11111111110949423</v>
      </c>
      <c r="G1711" s="24">
        <f t="shared" si="80"/>
        <v>112.50000000163709</v>
      </c>
      <c r="H1711" s="1" t="s">
        <v>1</v>
      </c>
      <c r="I1711" s="4" t="s">
        <v>4</v>
      </c>
      <c r="J1711" s="14">
        <v>0.39583333333333331</v>
      </c>
      <c r="K1711" s="20" t="str">
        <f t="shared" si="79"/>
        <v>1st Shift</v>
      </c>
    </row>
    <row r="1712" spans="1:11" x14ac:dyDescent="0.25">
      <c r="A1712" s="1">
        <v>1711</v>
      </c>
      <c r="B1712" s="1">
        <v>9</v>
      </c>
      <c r="C1712" s="3">
        <v>9115271947700</v>
      </c>
      <c r="D1712" s="2">
        <v>44460.395833333336</v>
      </c>
      <c r="E1712" s="2">
        <v>44460.506944444445</v>
      </c>
      <c r="F1712" s="23">
        <f t="shared" si="78"/>
        <v>0.11111111110949423</v>
      </c>
      <c r="G1712" s="24">
        <f t="shared" si="80"/>
        <v>112.50000000163709</v>
      </c>
      <c r="H1712" s="1" t="s">
        <v>1</v>
      </c>
      <c r="I1712" s="4" t="s">
        <v>4</v>
      </c>
      <c r="J1712" s="14">
        <v>0.39583333333333331</v>
      </c>
      <c r="K1712" s="20" t="str">
        <f t="shared" si="79"/>
        <v>1st Shift</v>
      </c>
    </row>
    <row r="1713" spans="1:11" x14ac:dyDescent="0.25">
      <c r="A1713" s="1">
        <v>1712</v>
      </c>
      <c r="B1713" s="1">
        <v>7</v>
      </c>
      <c r="C1713" s="3">
        <v>7115271791119</v>
      </c>
      <c r="D1713" s="2">
        <v>44460.395833333336</v>
      </c>
      <c r="E1713" s="2">
        <v>44460.506944444445</v>
      </c>
      <c r="F1713" s="23">
        <f t="shared" si="78"/>
        <v>0.11111111110949423</v>
      </c>
      <c r="G1713" s="24">
        <f t="shared" si="80"/>
        <v>112.50000000163709</v>
      </c>
      <c r="H1713" s="1" t="s">
        <v>1</v>
      </c>
      <c r="I1713" s="4" t="s">
        <v>3</v>
      </c>
      <c r="J1713" s="14">
        <v>0.39583333333333331</v>
      </c>
      <c r="K1713" s="20" t="str">
        <f t="shared" si="79"/>
        <v>1st Shift</v>
      </c>
    </row>
    <row r="1714" spans="1:11" x14ac:dyDescent="0.25">
      <c r="A1714" s="1">
        <v>1713</v>
      </c>
      <c r="B1714" s="1">
        <v>7</v>
      </c>
      <c r="C1714" s="3">
        <v>7115271791109</v>
      </c>
      <c r="D1714" s="2">
        <v>44460.395833333336</v>
      </c>
      <c r="E1714" s="2">
        <v>44460.506944444445</v>
      </c>
      <c r="F1714" s="23">
        <f t="shared" si="78"/>
        <v>0.11111111110949423</v>
      </c>
      <c r="G1714" s="24">
        <f t="shared" si="80"/>
        <v>112.50000000163709</v>
      </c>
      <c r="H1714" s="1" t="s">
        <v>1</v>
      </c>
      <c r="I1714" s="4" t="s">
        <v>3</v>
      </c>
      <c r="J1714" s="14">
        <v>0.39583333333333331</v>
      </c>
      <c r="K1714" s="20" t="str">
        <f t="shared" si="79"/>
        <v>1st Shift</v>
      </c>
    </row>
    <row r="1715" spans="1:11" x14ac:dyDescent="0.25">
      <c r="A1715" s="1">
        <v>1714</v>
      </c>
      <c r="B1715" s="1">
        <v>7</v>
      </c>
      <c r="C1715" s="3">
        <v>7115271791108</v>
      </c>
      <c r="D1715" s="2">
        <v>44460.395833333336</v>
      </c>
      <c r="E1715" s="2">
        <v>44460.506944444445</v>
      </c>
      <c r="F1715" s="23">
        <f t="shared" si="78"/>
        <v>0.11111111110949423</v>
      </c>
      <c r="G1715" s="24">
        <f t="shared" si="80"/>
        <v>112.50000000163709</v>
      </c>
      <c r="H1715" s="1" t="s">
        <v>1</v>
      </c>
      <c r="I1715" s="4" t="s">
        <v>2</v>
      </c>
      <c r="J1715" s="14">
        <v>0.39583333333333331</v>
      </c>
      <c r="K1715" s="20" t="str">
        <f t="shared" si="79"/>
        <v>1st Shift</v>
      </c>
    </row>
    <row r="1716" spans="1:11" x14ac:dyDescent="0.25">
      <c r="A1716" s="1">
        <v>1715</v>
      </c>
      <c r="B1716" s="1">
        <v>7</v>
      </c>
      <c r="C1716" s="3">
        <v>7115271791107</v>
      </c>
      <c r="D1716" s="2">
        <v>44460.395833333336</v>
      </c>
      <c r="E1716" s="2">
        <v>44460.506944444445</v>
      </c>
      <c r="F1716" s="23">
        <f t="shared" si="78"/>
        <v>0.11111111110949423</v>
      </c>
      <c r="G1716" s="24">
        <f t="shared" si="80"/>
        <v>112.50000000163709</v>
      </c>
      <c r="H1716" s="1" t="s">
        <v>1</v>
      </c>
      <c r="I1716" s="4" t="s">
        <v>2</v>
      </c>
      <c r="J1716" s="14">
        <v>0.39583333333333331</v>
      </c>
      <c r="K1716" s="20" t="str">
        <f t="shared" si="79"/>
        <v>1st Shift</v>
      </c>
    </row>
    <row r="1717" spans="1:11" x14ac:dyDescent="0.25">
      <c r="A1717" s="1">
        <v>1716</v>
      </c>
      <c r="B1717" s="1">
        <v>7</v>
      </c>
      <c r="C1717" s="3">
        <v>7115271791106</v>
      </c>
      <c r="D1717" s="2">
        <v>44460.395833333336</v>
      </c>
      <c r="E1717" s="2">
        <v>44460.506944444445</v>
      </c>
      <c r="F1717" s="23">
        <f t="shared" si="78"/>
        <v>0.11111111110949423</v>
      </c>
      <c r="G1717" s="24">
        <f t="shared" si="80"/>
        <v>112.50000000163709</v>
      </c>
      <c r="H1717" s="1" t="s">
        <v>1</v>
      </c>
      <c r="I1717" s="4" t="s">
        <v>2</v>
      </c>
      <c r="J1717" s="14">
        <v>0.39583333333333331</v>
      </c>
      <c r="K1717" s="20" t="str">
        <f t="shared" si="79"/>
        <v>1st Shift</v>
      </c>
    </row>
    <row r="1718" spans="1:11" x14ac:dyDescent="0.25">
      <c r="A1718" s="1">
        <v>1717</v>
      </c>
      <c r="B1718" s="1">
        <v>2</v>
      </c>
      <c r="C1718" s="3">
        <v>2115270222210</v>
      </c>
      <c r="D1718" s="2">
        <v>44460.395833333336</v>
      </c>
      <c r="E1718" s="2">
        <v>44460.506944444445</v>
      </c>
      <c r="F1718" s="23">
        <f t="shared" si="78"/>
        <v>0.11111111110949423</v>
      </c>
      <c r="G1718" s="24">
        <f t="shared" si="80"/>
        <v>112.50000000163709</v>
      </c>
      <c r="H1718" s="1" t="s">
        <v>1</v>
      </c>
      <c r="I1718" s="4" t="s">
        <v>3</v>
      </c>
      <c r="J1718" s="14">
        <v>0.39583333333333331</v>
      </c>
      <c r="K1718" s="20" t="str">
        <f t="shared" si="79"/>
        <v>1st Shift</v>
      </c>
    </row>
    <row r="1719" spans="1:11" x14ac:dyDescent="0.25">
      <c r="A1719" s="1">
        <v>1718</v>
      </c>
      <c r="B1719" s="1">
        <v>2</v>
      </c>
      <c r="C1719" s="3">
        <v>2115270222203</v>
      </c>
      <c r="D1719" s="2">
        <v>44460.395833333336</v>
      </c>
      <c r="E1719" s="2">
        <v>44460.506944444445</v>
      </c>
      <c r="F1719" s="23">
        <f t="shared" si="78"/>
        <v>0.11111111110949423</v>
      </c>
      <c r="G1719" s="24">
        <f t="shared" si="80"/>
        <v>112.50000000163709</v>
      </c>
      <c r="H1719" s="1" t="s">
        <v>1</v>
      </c>
      <c r="I1719" s="4" t="s">
        <v>3</v>
      </c>
      <c r="J1719" s="14">
        <v>0.39583333333333331</v>
      </c>
      <c r="K1719" s="20" t="str">
        <f t="shared" si="79"/>
        <v>1st Shift</v>
      </c>
    </row>
    <row r="1720" spans="1:11" x14ac:dyDescent="0.25">
      <c r="A1720" s="1">
        <v>1719</v>
      </c>
      <c r="B1720" s="1">
        <v>2</v>
      </c>
      <c r="C1720" s="3">
        <v>2115270222202</v>
      </c>
      <c r="D1720" s="2">
        <v>44460.395833333336</v>
      </c>
      <c r="E1720" s="2">
        <v>44460.506944444445</v>
      </c>
      <c r="F1720" s="23">
        <f t="shared" si="78"/>
        <v>0.11111111110949423</v>
      </c>
      <c r="G1720" s="24">
        <f t="shared" si="80"/>
        <v>112.50000000163709</v>
      </c>
      <c r="H1720" s="1" t="s">
        <v>1</v>
      </c>
      <c r="I1720" s="4" t="s">
        <v>2</v>
      </c>
      <c r="J1720" s="14">
        <v>0.39583333333333331</v>
      </c>
      <c r="K1720" s="20" t="str">
        <f t="shared" si="79"/>
        <v>1st Shift</v>
      </c>
    </row>
    <row r="1721" spans="1:11" x14ac:dyDescent="0.25">
      <c r="A1721" s="1">
        <v>1720</v>
      </c>
      <c r="B1721" s="1">
        <v>2</v>
      </c>
      <c r="C1721" s="3">
        <v>2115270222201</v>
      </c>
      <c r="D1721" s="2">
        <v>44460.395833333336</v>
      </c>
      <c r="E1721" s="2">
        <v>44460.506944444445</v>
      </c>
      <c r="F1721" s="23">
        <f t="shared" si="78"/>
        <v>0.11111111110949423</v>
      </c>
      <c r="G1721" s="24">
        <f t="shared" si="80"/>
        <v>112.50000000163709</v>
      </c>
      <c r="H1721" s="1" t="s">
        <v>1</v>
      </c>
      <c r="I1721" s="4" t="s">
        <v>2</v>
      </c>
      <c r="J1721" s="14">
        <v>0.39583333333333331</v>
      </c>
      <c r="K1721" s="20" t="str">
        <f t="shared" si="79"/>
        <v>1st Shift</v>
      </c>
    </row>
    <row r="1722" spans="1:11" x14ac:dyDescent="0.25">
      <c r="A1722" s="1">
        <v>1721</v>
      </c>
      <c r="B1722" s="1">
        <v>2</v>
      </c>
      <c r="C1722" s="3">
        <v>2115270222200</v>
      </c>
      <c r="D1722" s="2">
        <v>44460.395833333336</v>
      </c>
      <c r="E1722" s="2">
        <v>44460.506944444445</v>
      </c>
      <c r="F1722" s="23">
        <f t="shared" si="78"/>
        <v>0.11111111110949423</v>
      </c>
      <c r="G1722" s="24">
        <f t="shared" si="80"/>
        <v>112.50000000163709</v>
      </c>
      <c r="H1722" s="1" t="s">
        <v>1</v>
      </c>
      <c r="I1722" s="4" t="s">
        <v>2</v>
      </c>
      <c r="J1722" s="14">
        <v>0.39583333333333331</v>
      </c>
      <c r="K1722" s="20" t="str">
        <f t="shared" si="79"/>
        <v>1st Shift</v>
      </c>
    </row>
    <row r="1723" spans="1:11" x14ac:dyDescent="0.25">
      <c r="A1723" s="1">
        <v>1722</v>
      </c>
      <c r="B1723" s="1">
        <v>13</v>
      </c>
      <c r="C1723" s="3">
        <v>13115271611901</v>
      </c>
      <c r="D1723" s="2">
        <v>44461.375</v>
      </c>
      <c r="E1723" s="2">
        <v>44461.569444444445</v>
      </c>
      <c r="F1723" s="23">
        <f t="shared" si="78"/>
        <v>0.19444444444525288</v>
      </c>
      <c r="G1723" s="24">
        <f t="shared" si="80"/>
        <v>64.285714285447</v>
      </c>
      <c r="H1723" s="1" t="s">
        <v>1</v>
      </c>
      <c r="I1723" s="4" t="s">
        <v>3</v>
      </c>
      <c r="J1723" s="14">
        <v>0.375</v>
      </c>
      <c r="K1723" s="20" t="str">
        <f t="shared" si="79"/>
        <v>1st Shift</v>
      </c>
    </row>
    <row r="1724" spans="1:11" x14ac:dyDescent="0.25">
      <c r="A1724" s="1">
        <v>1723</v>
      </c>
      <c r="B1724" s="1">
        <v>13</v>
      </c>
      <c r="C1724" s="3">
        <v>13115271611900</v>
      </c>
      <c r="D1724" s="2">
        <v>44461.375</v>
      </c>
      <c r="E1724" s="2">
        <v>44461.569444444445</v>
      </c>
      <c r="F1724" s="23">
        <f t="shared" si="78"/>
        <v>0.19444444444525288</v>
      </c>
      <c r="G1724" s="24">
        <f t="shared" si="80"/>
        <v>64.285714285447</v>
      </c>
      <c r="H1724" s="1" t="s">
        <v>1</v>
      </c>
      <c r="I1724" s="4" t="s">
        <v>2</v>
      </c>
      <c r="J1724" s="14">
        <v>0.375</v>
      </c>
      <c r="K1724" s="20" t="str">
        <f t="shared" si="79"/>
        <v>1st Shift</v>
      </c>
    </row>
    <row r="1725" spans="1:11" x14ac:dyDescent="0.25">
      <c r="A1725" s="1">
        <v>1724</v>
      </c>
      <c r="B1725" s="1">
        <v>8</v>
      </c>
      <c r="C1725" s="3">
        <v>8115271865706</v>
      </c>
      <c r="D1725" s="2">
        <v>44461.375</v>
      </c>
      <c r="E1725" s="2">
        <v>44461.569444444445</v>
      </c>
      <c r="F1725" s="23">
        <f t="shared" si="78"/>
        <v>0.19444444444525288</v>
      </c>
      <c r="G1725" s="24">
        <f t="shared" si="80"/>
        <v>64.285714285447</v>
      </c>
      <c r="H1725" s="1" t="s">
        <v>1</v>
      </c>
      <c r="I1725" s="4" t="s">
        <v>4</v>
      </c>
      <c r="J1725" s="14">
        <v>0.375</v>
      </c>
      <c r="K1725" s="20" t="str">
        <f t="shared" si="79"/>
        <v>1st Shift</v>
      </c>
    </row>
    <row r="1726" spans="1:11" x14ac:dyDescent="0.25">
      <c r="A1726" s="1">
        <v>1725</v>
      </c>
      <c r="B1726" s="1">
        <v>8</v>
      </c>
      <c r="C1726" s="3">
        <v>8115271865703</v>
      </c>
      <c r="D1726" s="2">
        <v>44461.375</v>
      </c>
      <c r="E1726" s="2">
        <v>44461.569444444445</v>
      </c>
      <c r="F1726" s="23">
        <f t="shared" si="78"/>
        <v>0.19444444444525288</v>
      </c>
      <c r="G1726" s="24">
        <f t="shared" si="80"/>
        <v>64.285714285447</v>
      </c>
      <c r="H1726" s="1" t="s">
        <v>1</v>
      </c>
      <c r="I1726" s="4" t="s">
        <v>3</v>
      </c>
      <c r="J1726" s="14">
        <v>0.375</v>
      </c>
      <c r="K1726" s="20" t="str">
        <f t="shared" si="79"/>
        <v>1st Shift</v>
      </c>
    </row>
    <row r="1727" spans="1:11" x14ac:dyDescent="0.25">
      <c r="A1727" s="1">
        <v>1726</v>
      </c>
      <c r="B1727" s="1">
        <v>5</v>
      </c>
      <c r="C1727" s="3">
        <v>5115271270007</v>
      </c>
      <c r="D1727" s="2">
        <v>44461.375</v>
      </c>
      <c r="E1727" s="2">
        <v>44461.569444444445</v>
      </c>
      <c r="F1727" s="23">
        <f t="shared" si="78"/>
        <v>0.19444444444525288</v>
      </c>
      <c r="G1727" s="24">
        <f t="shared" si="80"/>
        <v>64.285714285447</v>
      </c>
      <c r="H1727" s="1" t="s">
        <v>1</v>
      </c>
      <c r="I1727" s="4" t="s">
        <v>4</v>
      </c>
      <c r="J1727" s="14">
        <v>0.375</v>
      </c>
      <c r="K1727" s="20" t="str">
        <f t="shared" si="79"/>
        <v>1st Shift</v>
      </c>
    </row>
    <row r="1728" spans="1:11" x14ac:dyDescent="0.25">
      <c r="A1728" s="1">
        <v>1727</v>
      </c>
      <c r="B1728" s="1">
        <v>5</v>
      </c>
      <c r="C1728" s="3">
        <v>5115271270002</v>
      </c>
      <c r="D1728" s="2">
        <v>44461.375</v>
      </c>
      <c r="E1728" s="2">
        <v>44461.569444444445</v>
      </c>
      <c r="F1728" s="23">
        <f t="shared" si="78"/>
        <v>0.19444444444525288</v>
      </c>
      <c r="G1728" s="24">
        <f t="shared" si="80"/>
        <v>64.285714285447</v>
      </c>
      <c r="H1728" s="1" t="s">
        <v>1</v>
      </c>
      <c r="I1728" s="4" t="s">
        <v>3</v>
      </c>
      <c r="J1728" s="14">
        <v>0.375</v>
      </c>
      <c r="K1728" s="20" t="str">
        <f t="shared" si="79"/>
        <v>1st Shift</v>
      </c>
    </row>
    <row r="1729" spans="1:11" x14ac:dyDescent="0.25">
      <c r="A1729" s="1">
        <v>1728</v>
      </c>
      <c r="B1729" s="1">
        <v>3</v>
      </c>
      <c r="C1729" s="3">
        <v>3115270392901</v>
      </c>
      <c r="D1729" s="2">
        <v>44461.375</v>
      </c>
      <c r="E1729" s="2">
        <v>44461.569444444445</v>
      </c>
      <c r="F1729" s="23">
        <f t="shared" si="78"/>
        <v>0.19444444444525288</v>
      </c>
      <c r="G1729" s="24">
        <f t="shared" si="80"/>
        <v>64.285714285447</v>
      </c>
      <c r="H1729" s="1" t="s">
        <v>1</v>
      </c>
      <c r="I1729" s="4" t="s">
        <v>3</v>
      </c>
      <c r="J1729" s="14">
        <v>0.375</v>
      </c>
      <c r="K1729" s="20" t="str">
        <f t="shared" si="79"/>
        <v>1st Shift</v>
      </c>
    </row>
    <row r="1730" spans="1:11" x14ac:dyDescent="0.25">
      <c r="A1730" s="1">
        <v>1729</v>
      </c>
      <c r="B1730" s="1">
        <v>3</v>
      </c>
      <c r="C1730" s="3">
        <v>3115270392900</v>
      </c>
      <c r="D1730" s="2">
        <v>44461.375</v>
      </c>
      <c r="E1730" s="2">
        <v>44461.569444444445</v>
      </c>
      <c r="F1730" s="23">
        <f t="shared" ref="F1730:F1793" si="81">E1730-D1730</f>
        <v>0.19444444444525288</v>
      </c>
      <c r="G1730" s="24">
        <f t="shared" si="80"/>
        <v>64.285714285447</v>
      </c>
      <c r="H1730" s="1" t="s">
        <v>1</v>
      </c>
      <c r="I1730" s="4" t="s">
        <v>2</v>
      </c>
      <c r="J1730" s="14">
        <v>0.375</v>
      </c>
      <c r="K1730" s="20" t="str">
        <f t="shared" ref="K1730:K1793" si="82">IF(AND(J1730&gt;=$M$3,J1730&lt;$M$4),"1st Shift",IF(AND(J1730&gt;=$M$4,J1730&lt;$M$5),"2nd Shift","3rd Shift"))</f>
        <v>1st Shift</v>
      </c>
    </row>
    <row r="1731" spans="1:11" x14ac:dyDescent="0.25">
      <c r="A1731" s="1">
        <v>1730</v>
      </c>
      <c r="B1731" s="1">
        <v>2</v>
      </c>
      <c r="C1731" s="3">
        <v>2115270291801</v>
      </c>
      <c r="D1731" s="2">
        <v>44461.375</v>
      </c>
      <c r="E1731" s="2">
        <v>44461.569444444445</v>
      </c>
      <c r="F1731" s="23">
        <f t="shared" si="81"/>
        <v>0.19444444444525288</v>
      </c>
      <c r="G1731" s="24">
        <f t="shared" ref="G1731:G1794" si="83">$M$9/F1731*100</f>
        <v>64.285714285447</v>
      </c>
      <c r="H1731" s="1" t="s">
        <v>1</v>
      </c>
      <c r="I1731" s="4" t="s">
        <v>3</v>
      </c>
      <c r="J1731" s="14">
        <v>0.375</v>
      </c>
      <c r="K1731" s="20" t="str">
        <f t="shared" si="82"/>
        <v>1st Shift</v>
      </c>
    </row>
    <row r="1732" spans="1:11" x14ac:dyDescent="0.25">
      <c r="A1732" s="1">
        <v>1731</v>
      </c>
      <c r="B1732" s="1">
        <v>2</v>
      </c>
      <c r="C1732" s="3">
        <v>2115270291800</v>
      </c>
      <c r="D1732" s="2">
        <v>44461.375</v>
      </c>
      <c r="E1732" s="2">
        <v>44461.569444444445</v>
      </c>
      <c r="F1732" s="23">
        <f t="shared" si="81"/>
        <v>0.19444444444525288</v>
      </c>
      <c r="G1732" s="24">
        <f t="shared" si="83"/>
        <v>64.285714285447</v>
      </c>
      <c r="H1732" s="1" t="s">
        <v>1</v>
      </c>
      <c r="I1732" s="4" t="s">
        <v>2</v>
      </c>
      <c r="J1732" s="14">
        <v>0.375</v>
      </c>
      <c r="K1732" s="20" t="str">
        <f t="shared" si="82"/>
        <v>1st Shift</v>
      </c>
    </row>
    <row r="1733" spans="1:11" x14ac:dyDescent="0.25">
      <c r="A1733" s="1">
        <v>1732</v>
      </c>
      <c r="B1733" s="1">
        <v>7</v>
      </c>
      <c r="C1733" s="3">
        <v>7115271758605</v>
      </c>
      <c r="D1733" s="2">
        <v>44461.625</v>
      </c>
      <c r="E1733" s="2">
        <v>44461.78125</v>
      </c>
      <c r="F1733" s="23">
        <f t="shared" si="81"/>
        <v>0.15625</v>
      </c>
      <c r="G1733" s="24">
        <f t="shared" si="83"/>
        <v>80</v>
      </c>
      <c r="H1733" s="1" t="s">
        <v>1</v>
      </c>
      <c r="I1733" s="4" t="s">
        <v>2</v>
      </c>
      <c r="J1733" s="14">
        <v>0.625</v>
      </c>
      <c r="K1733" s="20" t="str">
        <f t="shared" si="82"/>
        <v>2nd Shift</v>
      </c>
    </row>
    <row r="1734" spans="1:11" x14ac:dyDescent="0.25">
      <c r="A1734" s="1">
        <v>1733</v>
      </c>
      <c r="B1734" s="1">
        <v>7</v>
      </c>
      <c r="C1734" s="3">
        <v>7115271758601</v>
      </c>
      <c r="D1734" s="2">
        <v>44461.625</v>
      </c>
      <c r="E1734" s="2">
        <v>44461.78125</v>
      </c>
      <c r="F1734" s="23">
        <f t="shared" si="81"/>
        <v>0.15625</v>
      </c>
      <c r="G1734" s="24">
        <f t="shared" si="83"/>
        <v>80</v>
      </c>
      <c r="H1734" s="1" t="s">
        <v>1</v>
      </c>
      <c r="I1734" s="4" t="s">
        <v>4</v>
      </c>
      <c r="J1734" s="14">
        <v>0.625</v>
      </c>
      <c r="K1734" s="20" t="str">
        <f t="shared" si="82"/>
        <v>2nd Shift</v>
      </c>
    </row>
    <row r="1735" spans="1:11" x14ac:dyDescent="0.25">
      <c r="A1735" s="1">
        <v>1734</v>
      </c>
      <c r="B1735" s="1">
        <v>6</v>
      </c>
      <c r="C1735" s="3">
        <v>6115271720705</v>
      </c>
      <c r="D1735" s="2">
        <v>44461.625</v>
      </c>
      <c r="E1735" s="2">
        <v>44461.78125</v>
      </c>
      <c r="F1735" s="23">
        <f t="shared" si="81"/>
        <v>0.15625</v>
      </c>
      <c r="G1735" s="24">
        <f t="shared" si="83"/>
        <v>80</v>
      </c>
      <c r="H1735" s="1" t="s">
        <v>1</v>
      </c>
      <c r="I1735" s="4" t="s">
        <v>3</v>
      </c>
      <c r="J1735" s="14">
        <v>0.625</v>
      </c>
      <c r="K1735" s="20" t="str">
        <f t="shared" si="82"/>
        <v>2nd Shift</v>
      </c>
    </row>
    <row r="1736" spans="1:11" x14ac:dyDescent="0.25">
      <c r="A1736" s="1">
        <v>1735</v>
      </c>
      <c r="B1736" s="1">
        <v>6</v>
      </c>
      <c r="C1736" s="3">
        <v>6115271720702</v>
      </c>
      <c r="D1736" s="2">
        <v>44461.625</v>
      </c>
      <c r="E1736" s="2">
        <v>44461.78125</v>
      </c>
      <c r="F1736" s="23">
        <f t="shared" si="81"/>
        <v>0.15625</v>
      </c>
      <c r="G1736" s="24">
        <f t="shared" si="83"/>
        <v>80</v>
      </c>
      <c r="H1736" s="1" t="s">
        <v>1</v>
      </c>
      <c r="I1736" s="4" t="s">
        <v>2</v>
      </c>
      <c r="J1736" s="14">
        <v>0.625</v>
      </c>
      <c r="K1736" s="20" t="str">
        <f t="shared" si="82"/>
        <v>2nd Shift</v>
      </c>
    </row>
    <row r="1737" spans="1:11" x14ac:dyDescent="0.25">
      <c r="A1737" s="1">
        <v>1736</v>
      </c>
      <c r="B1737" s="1">
        <v>12</v>
      </c>
      <c r="C1737" s="3">
        <v>12115271573212</v>
      </c>
      <c r="D1737" s="2">
        <v>44461.802083333336</v>
      </c>
      <c r="E1737" s="2">
        <v>44461.868055555555</v>
      </c>
      <c r="F1737" s="23">
        <f t="shared" si="81"/>
        <v>6.5972222218988463E-2</v>
      </c>
      <c r="G1737" s="24">
        <f t="shared" si="83"/>
        <v>189.47368421981375</v>
      </c>
      <c r="H1737" s="1" t="s">
        <v>1</v>
      </c>
      <c r="I1737" s="4" t="s">
        <v>8</v>
      </c>
      <c r="J1737" s="14">
        <v>0.80208333333333337</v>
      </c>
      <c r="K1737" s="20" t="str">
        <f t="shared" si="82"/>
        <v>2nd Shift</v>
      </c>
    </row>
    <row r="1738" spans="1:11" x14ac:dyDescent="0.25">
      <c r="A1738" s="1">
        <v>1737</v>
      </c>
      <c r="B1738" s="1">
        <v>12</v>
      </c>
      <c r="C1738" s="3">
        <v>12115271573210</v>
      </c>
      <c r="D1738" s="2">
        <v>44461.802083333336</v>
      </c>
      <c r="E1738" s="2">
        <v>44461.868055555555</v>
      </c>
      <c r="F1738" s="23">
        <f t="shared" si="81"/>
        <v>6.5972222218988463E-2</v>
      </c>
      <c r="G1738" s="24">
        <f t="shared" si="83"/>
        <v>189.47368421981375</v>
      </c>
      <c r="H1738" s="1" t="s">
        <v>1</v>
      </c>
      <c r="I1738" s="4" t="s">
        <v>3</v>
      </c>
      <c r="J1738" s="14">
        <v>0.80208333333333337</v>
      </c>
      <c r="K1738" s="20" t="str">
        <f t="shared" si="82"/>
        <v>2nd Shift</v>
      </c>
    </row>
    <row r="1739" spans="1:11" x14ac:dyDescent="0.25">
      <c r="A1739" s="1">
        <v>1738</v>
      </c>
      <c r="B1739" s="1">
        <v>2</v>
      </c>
      <c r="C1739" s="3">
        <v>2115270292601</v>
      </c>
      <c r="D1739" s="2">
        <v>44461.802083333336</v>
      </c>
      <c r="E1739" s="2">
        <v>44461.868055555555</v>
      </c>
      <c r="F1739" s="23">
        <f t="shared" si="81"/>
        <v>6.5972222218988463E-2</v>
      </c>
      <c r="G1739" s="24">
        <f t="shared" si="83"/>
        <v>189.47368421981375</v>
      </c>
      <c r="H1739" s="1" t="s">
        <v>1</v>
      </c>
      <c r="I1739" s="4" t="s">
        <v>3</v>
      </c>
      <c r="J1739" s="14">
        <v>0.80208333333333337</v>
      </c>
      <c r="K1739" s="20" t="str">
        <f t="shared" si="82"/>
        <v>2nd Shift</v>
      </c>
    </row>
    <row r="1740" spans="1:11" x14ac:dyDescent="0.25">
      <c r="A1740" s="1">
        <v>1739</v>
      </c>
      <c r="B1740" s="1">
        <v>2</v>
      </c>
      <c r="C1740" s="3">
        <v>2115270292600</v>
      </c>
      <c r="D1740" s="2">
        <v>44461.802083333336</v>
      </c>
      <c r="E1740" s="2">
        <v>44461.868055555555</v>
      </c>
      <c r="F1740" s="23">
        <f t="shared" si="81"/>
        <v>6.5972222218988463E-2</v>
      </c>
      <c r="G1740" s="24">
        <f t="shared" si="83"/>
        <v>189.47368421981375</v>
      </c>
      <c r="H1740" s="1" t="s">
        <v>1</v>
      </c>
      <c r="I1740" s="4" t="s">
        <v>3</v>
      </c>
      <c r="J1740" s="14">
        <v>0.80208333333333337</v>
      </c>
      <c r="K1740" s="20" t="str">
        <f t="shared" si="82"/>
        <v>2nd Shift</v>
      </c>
    </row>
    <row r="1741" spans="1:11" x14ac:dyDescent="0.25">
      <c r="A1741" s="1">
        <v>1740</v>
      </c>
      <c r="B1741" s="1">
        <v>15</v>
      </c>
      <c r="C1741" s="3">
        <v>15115271771603</v>
      </c>
      <c r="D1741" s="2">
        <v>44462.326388888891</v>
      </c>
      <c r="E1741" s="2">
        <v>44462.583333333336</v>
      </c>
      <c r="F1741" s="23">
        <f t="shared" si="81"/>
        <v>0.25694444444525288</v>
      </c>
      <c r="G1741" s="24">
        <f t="shared" si="83"/>
        <v>48.648648648495588</v>
      </c>
      <c r="H1741" s="1" t="s">
        <v>1</v>
      </c>
      <c r="I1741" s="4" t="s">
        <v>2</v>
      </c>
      <c r="J1741" s="14">
        <v>0.3263888888888889</v>
      </c>
      <c r="K1741" s="20" t="str">
        <f t="shared" si="82"/>
        <v>1st Shift</v>
      </c>
    </row>
    <row r="1742" spans="1:11" x14ac:dyDescent="0.25">
      <c r="A1742" s="1">
        <v>1741</v>
      </c>
      <c r="B1742" s="1">
        <v>15</v>
      </c>
      <c r="C1742" s="3">
        <v>15115271771601</v>
      </c>
      <c r="D1742" s="2">
        <v>44462.326388888891</v>
      </c>
      <c r="E1742" s="2">
        <v>44462.583333333336</v>
      </c>
      <c r="F1742" s="23">
        <f t="shared" si="81"/>
        <v>0.25694444444525288</v>
      </c>
      <c r="G1742" s="24">
        <f t="shared" si="83"/>
        <v>48.648648648495588</v>
      </c>
      <c r="H1742" s="1" t="s">
        <v>1</v>
      </c>
      <c r="I1742" s="4" t="s">
        <v>3</v>
      </c>
      <c r="J1742" s="14">
        <v>0.3263888888888889</v>
      </c>
      <c r="K1742" s="20" t="str">
        <f t="shared" si="82"/>
        <v>1st Shift</v>
      </c>
    </row>
    <row r="1743" spans="1:11" x14ac:dyDescent="0.25">
      <c r="A1743" s="1">
        <v>1742</v>
      </c>
      <c r="B1743" s="1">
        <v>12</v>
      </c>
      <c r="C1743" s="3">
        <v>12115271565412</v>
      </c>
      <c r="D1743" s="2">
        <v>44462.326388888891</v>
      </c>
      <c r="E1743" s="2">
        <v>44462.583333333336</v>
      </c>
      <c r="F1743" s="23">
        <f t="shared" si="81"/>
        <v>0.25694444444525288</v>
      </c>
      <c r="G1743" s="24">
        <f t="shared" si="83"/>
        <v>48.648648648495588</v>
      </c>
      <c r="H1743" s="1" t="s">
        <v>1</v>
      </c>
      <c r="I1743" s="4" t="s">
        <v>2</v>
      </c>
      <c r="J1743" s="14">
        <v>0.3263888888888889</v>
      </c>
      <c r="K1743" s="20" t="str">
        <f t="shared" si="82"/>
        <v>1st Shift</v>
      </c>
    </row>
    <row r="1744" spans="1:11" x14ac:dyDescent="0.25">
      <c r="A1744" s="1">
        <v>1743</v>
      </c>
      <c r="B1744" s="1">
        <v>12</v>
      </c>
      <c r="C1744" s="3">
        <v>12115271565411</v>
      </c>
      <c r="D1744" s="2">
        <v>44462.326388888891</v>
      </c>
      <c r="E1744" s="2">
        <v>44462.583333333336</v>
      </c>
      <c r="F1744" s="23">
        <f t="shared" si="81"/>
        <v>0.25694444444525288</v>
      </c>
      <c r="G1744" s="24">
        <f t="shared" si="83"/>
        <v>48.648648648495588</v>
      </c>
      <c r="H1744" s="1" t="s">
        <v>1</v>
      </c>
      <c r="I1744" s="4" t="s">
        <v>3</v>
      </c>
      <c r="J1744" s="14">
        <v>0.3263888888888889</v>
      </c>
      <c r="K1744" s="20" t="str">
        <f t="shared" si="82"/>
        <v>1st Shift</v>
      </c>
    </row>
    <row r="1745" spans="1:11" x14ac:dyDescent="0.25">
      <c r="A1745" s="1">
        <v>1744</v>
      </c>
      <c r="B1745" s="1">
        <v>10</v>
      </c>
      <c r="C1745" s="3">
        <v>10115271432901</v>
      </c>
      <c r="D1745" s="2">
        <v>44462.326388888891</v>
      </c>
      <c r="E1745" s="2">
        <v>44462.583333333336</v>
      </c>
      <c r="F1745" s="23">
        <f t="shared" si="81"/>
        <v>0.25694444444525288</v>
      </c>
      <c r="G1745" s="24">
        <f t="shared" si="83"/>
        <v>48.648648648495588</v>
      </c>
      <c r="H1745" s="1" t="s">
        <v>1</v>
      </c>
      <c r="I1745" s="4" t="s">
        <v>3</v>
      </c>
      <c r="J1745" s="14">
        <v>0.3263888888888889</v>
      </c>
      <c r="K1745" s="20" t="str">
        <f t="shared" si="82"/>
        <v>1st Shift</v>
      </c>
    </row>
    <row r="1746" spans="1:11" x14ac:dyDescent="0.25">
      <c r="A1746" s="1">
        <v>1745</v>
      </c>
      <c r="B1746" s="1">
        <v>10</v>
      </c>
      <c r="C1746" s="3">
        <v>10115271432900</v>
      </c>
      <c r="D1746" s="2">
        <v>44462.326388888891</v>
      </c>
      <c r="E1746" s="2">
        <v>44462.583333333336</v>
      </c>
      <c r="F1746" s="23">
        <f t="shared" si="81"/>
        <v>0.25694444444525288</v>
      </c>
      <c r="G1746" s="24">
        <f t="shared" si="83"/>
        <v>48.648648648495588</v>
      </c>
      <c r="H1746" s="1" t="s">
        <v>1</v>
      </c>
      <c r="I1746" s="4" t="s">
        <v>2</v>
      </c>
      <c r="J1746" s="14">
        <v>0.3263888888888889</v>
      </c>
      <c r="K1746" s="20" t="str">
        <f t="shared" si="82"/>
        <v>1st Shift</v>
      </c>
    </row>
    <row r="1747" spans="1:11" x14ac:dyDescent="0.25">
      <c r="A1747" s="1">
        <v>1746</v>
      </c>
      <c r="B1747" s="1">
        <v>6</v>
      </c>
      <c r="C1747" s="3">
        <v>6115271706301</v>
      </c>
      <c r="D1747" s="2">
        <v>44462.326388888891</v>
      </c>
      <c r="E1747" s="2">
        <v>44462.583333333336</v>
      </c>
      <c r="F1747" s="23">
        <f t="shared" si="81"/>
        <v>0.25694444444525288</v>
      </c>
      <c r="G1747" s="24">
        <f t="shared" si="83"/>
        <v>48.648648648495588</v>
      </c>
      <c r="H1747" s="1" t="s">
        <v>1</v>
      </c>
      <c r="I1747" s="4" t="s">
        <v>3</v>
      </c>
      <c r="J1747" s="14">
        <v>0.3263888888888889</v>
      </c>
      <c r="K1747" s="20" t="str">
        <f t="shared" si="82"/>
        <v>1st Shift</v>
      </c>
    </row>
    <row r="1748" spans="1:11" x14ac:dyDescent="0.25">
      <c r="A1748" s="1">
        <v>1747</v>
      </c>
      <c r="B1748" s="1">
        <v>6</v>
      </c>
      <c r="C1748" s="3">
        <v>6115271706300</v>
      </c>
      <c r="D1748" s="2">
        <v>44462.326388888891</v>
      </c>
      <c r="E1748" s="2">
        <v>44462.583333333336</v>
      </c>
      <c r="F1748" s="23">
        <f t="shared" si="81"/>
        <v>0.25694444444525288</v>
      </c>
      <c r="G1748" s="24">
        <f t="shared" si="83"/>
        <v>48.648648648495588</v>
      </c>
      <c r="H1748" s="1" t="s">
        <v>1</v>
      </c>
      <c r="I1748" s="4" t="s">
        <v>3</v>
      </c>
      <c r="J1748" s="14">
        <v>0.3263888888888889</v>
      </c>
      <c r="K1748" s="20" t="str">
        <f t="shared" si="82"/>
        <v>1st Shift</v>
      </c>
    </row>
    <row r="1749" spans="1:11" x14ac:dyDescent="0.25">
      <c r="A1749" s="1">
        <v>1748</v>
      </c>
      <c r="B1749" s="1">
        <v>14</v>
      </c>
      <c r="C1749" s="3">
        <v>14115271672308</v>
      </c>
      <c r="D1749" s="2">
        <v>44462.65625</v>
      </c>
      <c r="E1749" s="2">
        <v>44462.78125</v>
      </c>
      <c r="F1749" s="23">
        <f t="shared" si="81"/>
        <v>0.125</v>
      </c>
      <c r="G1749" s="24">
        <f t="shared" si="83"/>
        <v>100</v>
      </c>
      <c r="H1749" s="1" t="s">
        <v>1</v>
      </c>
      <c r="I1749" s="4" t="s">
        <v>2</v>
      </c>
      <c r="J1749" s="14">
        <v>0.65625</v>
      </c>
      <c r="K1749" s="20" t="str">
        <f t="shared" si="82"/>
        <v>2nd Shift</v>
      </c>
    </row>
    <row r="1750" spans="1:11" x14ac:dyDescent="0.25">
      <c r="A1750" s="1">
        <v>1749</v>
      </c>
      <c r="B1750" s="1">
        <v>13</v>
      </c>
      <c r="C1750" s="3">
        <v>13115271590606</v>
      </c>
      <c r="D1750" s="2">
        <v>44462.65625</v>
      </c>
      <c r="E1750" s="2">
        <v>44462.78125</v>
      </c>
      <c r="F1750" s="23">
        <f t="shared" si="81"/>
        <v>0.125</v>
      </c>
      <c r="G1750" s="24">
        <f t="shared" si="83"/>
        <v>100</v>
      </c>
      <c r="H1750" s="1" t="s">
        <v>1</v>
      </c>
      <c r="I1750" s="4" t="s">
        <v>2</v>
      </c>
      <c r="J1750" s="14">
        <v>0.65625</v>
      </c>
      <c r="K1750" s="20" t="str">
        <f t="shared" si="82"/>
        <v>2nd Shift</v>
      </c>
    </row>
    <row r="1751" spans="1:11" x14ac:dyDescent="0.25">
      <c r="A1751" s="1">
        <v>1750</v>
      </c>
      <c r="B1751" s="1">
        <v>13</v>
      </c>
      <c r="C1751" s="3">
        <v>13115271590601</v>
      </c>
      <c r="D1751" s="2">
        <v>44462.65625</v>
      </c>
      <c r="E1751" s="2">
        <v>44462.78125</v>
      </c>
      <c r="F1751" s="23">
        <f t="shared" si="81"/>
        <v>0.125</v>
      </c>
      <c r="G1751" s="24">
        <f t="shared" si="83"/>
        <v>100</v>
      </c>
      <c r="H1751" s="1" t="s">
        <v>1</v>
      </c>
      <c r="I1751" s="4" t="s">
        <v>3</v>
      </c>
      <c r="J1751" s="14">
        <v>0.65625</v>
      </c>
      <c r="K1751" s="20" t="str">
        <f t="shared" si="82"/>
        <v>2nd Shift</v>
      </c>
    </row>
    <row r="1752" spans="1:11" x14ac:dyDescent="0.25">
      <c r="A1752" s="1">
        <v>1751</v>
      </c>
      <c r="B1752" s="1">
        <v>12</v>
      </c>
      <c r="C1752" s="3">
        <v>12115271561608</v>
      </c>
      <c r="D1752" s="2">
        <v>44462.65625</v>
      </c>
      <c r="E1752" s="2">
        <v>44462.78125</v>
      </c>
      <c r="F1752" s="23">
        <f t="shared" si="81"/>
        <v>0.125</v>
      </c>
      <c r="G1752" s="24">
        <f t="shared" si="83"/>
        <v>100</v>
      </c>
      <c r="H1752" s="1" t="s">
        <v>1</v>
      </c>
      <c r="I1752" s="4" t="s">
        <v>3</v>
      </c>
      <c r="J1752" s="14">
        <v>0.65625</v>
      </c>
      <c r="K1752" s="20" t="str">
        <f t="shared" si="82"/>
        <v>2nd Shift</v>
      </c>
    </row>
    <row r="1753" spans="1:11" x14ac:dyDescent="0.25">
      <c r="A1753" s="1">
        <v>1752</v>
      </c>
      <c r="B1753" s="1">
        <v>12</v>
      </c>
      <c r="C1753" s="3">
        <v>12115271561604</v>
      </c>
      <c r="D1753" s="2">
        <v>44462.65625</v>
      </c>
      <c r="E1753" s="2">
        <v>44462.78125</v>
      </c>
      <c r="F1753" s="23">
        <f t="shared" si="81"/>
        <v>0.125</v>
      </c>
      <c r="G1753" s="24">
        <f t="shared" si="83"/>
        <v>100</v>
      </c>
      <c r="H1753" s="1" t="s">
        <v>1</v>
      </c>
      <c r="I1753" s="4" t="s">
        <v>3</v>
      </c>
      <c r="J1753" s="14">
        <v>0.65625</v>
      </c>
      <c r="K1753" s="20" t="str">
        <f t="shared" si="82"/>
        <v>2nd Shift</v>
      </c>
    </row>
    <row r="1754" spans="1:11" x14ac:dyDescent="0.25">
      <c r="A1754" s="1">
        <v>1753</v>
      </c>
      <c r="B1754" s="1">
        <v>11</v>
      </c>
      <c r="C1754" s="3">
        <v>11115271487706</v>
      </c>
      <c r="D1754" s="2">
        <v>44462.65625</v>
      </c>
      <c r="E1754" s="2">
        <v>44462.78125</v>
      </c>
      <c r="F1754" s="23">
        <f t="shared" si="81"/>
        <v>0.125</v>
      </c>
      <c r="G1754" s="24">
        <f t="shared" si="83"/>
        <v>100</v>
      </c>
      <c r="H1754" s="1" t="s">
        <v>1</v>
      </c>
      <c r="I1754" s="4" t="s">
        <v>3</v>
      </c>
      <c r="J1754" s="14">
        <v>0.65625</v>
      </c>
      <c r="K1754" s="20" t="str">
        <f t="shared" si="82"/>
        <v>2nd Shift</v>
      </c>
    </row>
    <row r="1755" spans="1:11" x14ac:dyDescent="0.25">
      <c r="A1755" s="1">
        <v>1754</v>
      </c>
      <c r="B1755" s="1">
        <v>11</v>
      </c>
      <c r="C1755" s="3">
        <v>11115271487700</v>
      </c>
      <c r="D1755" s="2">
        <v>44462.65625</v>
      </c>
      <c r="E1755" s="2">
        <v>44462.78125</v>
      </c>
      <c r="F1755" s="23">
        <f t="shared" si="81"/>
        <v>0.125</v>
      </c>
      <c r="G1755" s="24">
        <f t="shared" si="83"/>
        <v>100</v>
      </c>
      <c r="H1755" s="1" t="s">
        <v>1</v>
      </c>
      <c r="I1755" s="4" t="s">
        <v>4</v>
      </c>
      <c r="J1755" s="14">
        <v>0.65625</v>
      </c>
      <c r="K1755" s="20" t="str">
        <f t="shared" si="82"/>
        <v>2nd Shift</v>
      </c>
    </row>
    <row r="1756" spans="1:11" x14ac:dyDescent="0.25">
      <c r="A1756" s="1">
        <v>1755</v>
      </c>
      <c r="B1756" s="1">
        <v>7</v>
      </c>
      <c r="C1756" s="3">
        <v>7115271760601</v>
      </c>
      <c r="D1756" s="2">
        <v>44462.65625</v>
      </c>
      <c r="E1756" s="2">
        <v>44462.78125</v>
      </c>
      <c r="F1756" s="23">
        <f t="shared" si="81"/>
        <v>0.125</v>
      </c>
      <c r="G1756" s="24">
        <f t="shared" si="83"/>
        <v>100</v>
      </c>
      <c r="H1756" s="1" t="s">
        <v>1</v>
      </c>
      <c r="I1756" s="4" t="s">
        <v>3</v>
      </c>
      <c r="J1756" s="14">
        <v>0.65625</v>
      </c>
      <c r="K1756" s="20" t="str">
        <f t="shared" si="82"/>
        <v>2nd Shift</v>
      </c>
    </row>
    <row r="1757" spans="1:11" x14ac:dyDescent="0.25">
      <c r="A1757" s="1">
        <v>1756</v>
      </c>
      <c r="B1757" s="1">
        <v>7</v>
      </c>
      <c r="C1757" s="3">
        <v>7115271760600</v>
      </c>
      <c r="D1757" s="2">
        <v>44462.65625</v>
      </c>
      <c r="E1757" s="2">
        <v>44462.78125</v>
      </c>
      <c r="F1757" s="23">
        <f t="shared" si="81"/>
        <v>0.125</v>
      </c>
      <c r="G1757" s="24">
        <f t="shared" si="83"/>
        <v>100</v>
      </c>
      <c r="H1757" s="1" t="s">
        <v>1</v>
      </c>
      <c r="I1757" s="4" t="s">
        <v>3</v>
      </c>
      <c r="J1757" s="14">
        <v>0.65625</v>
      </c>
      <c r="K1757" s="20" t="str">
        <f t="shared" si="82"/>
        <v>2nd Shift</v>
      </c>
    </row>
    <row r="1758" spans="1:11" x14ac:dyDescent="0.25">
      <c r="A1758" s="1">
        <v>1757</v>
      </c>
      <c r="B1758" s="1">
        <v>6</v>
      </c>
      <c r="C1758" s="3">
        <v>6115271736401</v>
      </c>
      <c r="D1758" s="2">
        <v>44462.65625</v>
      </c>
      <c r="E1758" s="2">
        <v>44462.78125</v>
      </c>
      <c r="F1758" s="23">
        <f t="shared" si="81"/>
        <v>0.125</v>
      </c>
      <c r="G1758" s="24">
        <f t="shared" si="83"/>
        <v>100</v>
      </c>
      <c r="H1758" s="1" t="s">
        <v>1</v>
      </c>
      <c r="I1758" s="4" t="s">
        <v>3</v>
      </c>
      <c r="J1758" s="14">
        <v>0.65625</v>
      </c>
      <c r="K1758" s="20" t="str">
        <f t="shared" si="82"/>
        <v>2nd Shift</v>
      </c>
    </row>
    <row r="1759" spans="1:11" x14ac:dyDescent="0.25">
      <c r="A1759" s="1">
        <v>1758</v>
      </c>
      <c r="B1759" s="1">
        <v>6</v>
      </c>
      <c r="C1759" s="3">
        <v>6115271736400</v>
      </c>
      <c r="D1759" s="2">
        <v>44462.65625</v>
      </c>
      <c r="E1759" s="2">
        <v>44462.78125</v>
      </c>
      <c r="F1759" s="23">
        <f t="shared" si="81"/>
        <v>0.125</v>
      </c>
      <c r="G1759" s="24">
        <f t="shared" si="83"/>
        <v>100</v>
      </c>
      <c r="H1759" s="1" t="s">
        <v>1</v>
      </c>
      <c r="I1759" s="4" t="s">
        <v>3</v>
      </c>
      <c r="J1759" s="14">
        <v>0.65625</v>
      </c>
      <c r="K1759" s="20" t="str">
        <f t="shared" si="82"/>
        <v>2nd Shift</v>
      </c>
    </row>
    <row r="1760" spans="1:11" x14ac:dyDescent="0.25">
      <c r="A1760" s="1">
        <v>1759</v>
      </c>
      <c r="B1760" s="1">
        <v>1</v>
      </c>
      <c r="C1760" s="3">
        <v>1115270143101</v>
      </c>
      <c r="D1760" s="2">
        <v>44462.65625</v>
      </c>
      <c r="E1760" s="2">
        <v>44462.78125</v>
      </c>
      <c r="F1760" s="23">
        <f t="shared" si="81"/>
        <v>0.125</v>
      </c>
      <c r="G1760" s="24">
        <f t="shared" si="83"/>
        <v>100</v>
      </c>
      <c r="H1760" s="1" t="s">
        <v>1</v>
      </c>
      <c r="I1760" s="4" t="s">
        <v>3</v>
      </c>
      <c r="J1760" s="14">
        <v>0.65625</v>
      </c>
      <c r="K1760" s="20" t="str">
        <f t="shared" si="82"/>
        <v>2nd Shift</v>
      </c>
    </row>
    <row r="1761" spans="1:11" x14ac:dyDescent="0.25">
      <c r="A1761" s="1">
        <v>1760</v>
      </c>
      <c r="B1761" s="1">
        <v>1</v>
      </c>
      <c r="C1761" s="3">
        <v>1115270143100</v>
      </c>
      <c r="D1761" s="2">
        <v>44462.65625</v>
      </c>
      <c r="E1761" s="2">
        <v>44462.78125</v>
      </c>
      <c r="F1761" s="23">
        <f t="shared" si="81"/>
        <v>0.125</v>
      </c>
      <c r="G1761" s="24">
        <f t="shared" si="83"/>
        <v>100</v>
      </c>
      <c r="H1761" s="1" t="s">
        <v>1</v>
      </c>
      <c r="I1761" s="4" t="s">
        <v>2</v>
      </c>
      <c r="J1761" s="14">
        <v>0.65625</v>
      </c>
      <c r="K1761" s="20" t="str">
        <f t="shared" si="82"/>
        <v>2nd Shift</v>
      </c>
    </row>
    <row r="1762" spans="1:11" x14ac:dyDescent="0.25">
      <c r="A1762" s="1">
        <v>1761</v>
      </c>
      <c r="B1762" s="1">
        <v>14</v>
      </c>
      <c r="C1762" s="3">
        <v>14115271672401</v>
      </c>
      <c r="D1762" s="2">
        <v>44462.833333333336</v>
      </c>
      <c r="E1762" s="2">
        <v>44462.902777777781</v>
      </c>
      <c r="F1762" s="23">
        <f t="shared" si="81"/>
        <v>6.9444444445252884E-2</v>
      </c>
      <c r="G1762" s="24">
        <f t="shared" si="83"/>
        <v>179.99999999790452</v>
      </c>
      <c r="H1762" s="1" t="s">
        <v>1</v>
      </c>
      <c r="I1762" s="4" t="s">
        <v>2</v>
      </c>
      <c r="J1762" s="14">
        <v>0.83333333333333337</v>
      </c>
      <c r="K1762" s="20" t="str">
        <f t="shared" si="82"/>
        <v>2nd Shift</v>
      </c>
    </row>
    <row r="1763" spans="1:11" x14ac:dyDescent="0.25">
      <c r="A1763" s="1">
        <v>1762</v>
      </c>
      <c r="B1763" s="1">
        <v>6</v>
      </c>
      <c r="C1763" s="3">
        <v>6115271731602</v>
      </c>
      <c r="D1763" s="2">
        <v>44462.833333333336</v>
      </c>
      <c r="E1763" s="2">
        <v>44462.902777777781</v>
      </c>
      <c r="F1763" s="23">
        <f t="shared" si="81"/>
        <v>6.9444444445252884E-2</v>
      </c>
      <c r="G1763" s="24">
        <f t="shared" si="83"/>
        <v>179.99999999790452</v>
      </c>
      <c r="H1763" s="1" t="s">
        <v>1</v>
      </c>
      <c r="I1763" s="4" t="s">
        <v>2</v>
      </c>
      <c r="J1763" s="14">
        <v>0.83333333333333337</v>
      </c>
      <c r="K1763" s="20" t="str">
        <f t="shared" si="82"/>
        <v>2nd Shift</v>
      </c>
    </row>
    <row r="1764" spans="1:11" x14ac:dyDescent="0.25">
      <c r="A1764" s="1">
        <v>1763</v>
      </c>
      <c r="B1764" s="1">
        <v>3</v>
      </c>
      <c r="C1764" s="3">
        <v>3115270436204</v>
      </c>
      <c r="D1764" s="2">
        <v>44463.368055555555</v>
      </c>
      <c r="E1764" s="2">
        <v>44463.427083333336</v>
      </c>
      <c r="F1764" s="23">
        <f t="shared" si="81"/>
        <v>5.9027777781011537E-2</v>
      </c>
      <c r="G1764" s="24">
        <f t="shared" si="83"/>
        <v>211.7647058707517</v>
      </c>
      <c r="H1764" s="1" t="s">
        <v>1</v>
      </c>
      <c r="I1764" s="4" t="s">
        <v>2</v>
      </c>
      <c r="J1764" s="14">
        <v>0.36805555555555558</v>
      </c>
      <c r="K1764" s="20" t="str">
        <f t="shared" si="82"/>
        <v>1st Shift</v>
      </c>
    </row>
    <row r="1765" spans="1:11" x14ac:dyDescent="0.25">
      <c r="A1765" s="1">
        <v>1764</v>
      </c>
      <c r="B1765" s="1">
        <v>3</v>
      </c>
      <c r="C1765" s="3">
        <v>3115270436202</v>
      </c>
      <c r="D1765" s="2">
        <v>44463.368055555555</v>
      </c>
      <c r="E1765" s="2">
        <v>44463.427083333336</v>
      </c>
      <c r="F1765" s="23">
        <f t="shared" si="81"/>
        <v>5.9027777781011537E-2</v>
      </c>
      <c r="G1765" s="24">
        <f t="shared" si="83"/>
        <v>211.7647058707517</v>
      </c>
      <c r="H1765" s="1" t="s">
        <v>1</v>
      </c>
      <c r="I1765" s="4" t="s">
        <v>3</v>
      </c>
      <c r="J1765" s="14">
        <v>0.36805555555555558</v>
      </c>
      <c r="K1765" s="20" t="str">
        <f t="shared" si="82"/>
        <v>1st Shift</v>
      </c>
    </row>
    <row r="1766" spans="1:11" x14ac:dyDescent="0.25">
      <c r="A1766" s="1">
        <v>1765</v>
      </c>
      <c r="B1766" s="1">
        <v>2</v>
      </c>
      <c r="C1766" s="3">
        <v>2115270291901</v>
      </c>
      <c r="D1766" s="2">
        <v>44463.368055555555</v>
      </c>
      <c r="E1766" s="2">
        <v>44463.427083333336</v>
      </c>
      <c r="F1766" s="23">
        <f t="shared" si="81"/>
        <v>5.9027777781011537E-2</v>
      </c>
      <c r="G1766" s="24">
        <f t="shared" si="83"/>
        <v>211.7647058707517</v>
      </c>
      <c r="H1766" s="1" t="s">
        <v>1</v>
      </c>
      <c r="I1766" s="4" t="s">
        <v>3</v>
      </c>
      <c r="J1766" s="14">
        <v>0.36805555555555558</v>
      </c>
      <c r="K1766" s="20" t="str">
        <f t="shared" si="82"/>
        <v>1st Shift</v>
      </c>
    </row>
    <row r="1767" spans="1:11" x14ac:dyDescent="0.25">
      <c r="A1767" s="1">
        <v>1766</v>
      </c>
      <c r="B1767" s="1">
        <v>2</v>
      </c>
      <c r="C1767" s="3">
        <v>2115270291900</v>
      </c>
      <c r="D1767" s="2">
        <v>44463.368055555555</v>
      </c>
      <c r="E1767" s="2">
        <v>44463.427083333336</v>
      </c>
      <c r="F1767" s="23">
        <f t="shared" si="81"/>
        <v>5.9027777781011537E-2</v>
      </c>
      <c r="G1767" s="24">
        <f t="shared" si="83"/>
        <v>211.7647058707517</v>
      </c>
      <c r="H1767" s="1" t="s">
        <v>1</v>
      </c>
      <c r="I1767" s="4" t="s">
        <v>2</v>
      </c>
      <c r="J1767" s="14">
        <v>0.36805555555555558</v>
      </c>
      <c r="K1767" s="20" t="str">
        <f t="shared" si="82"/>
        <v>1st Shift</v>
      </c>
    </row>
    <row r="1768" spans="1:11" x14ac:dyDescent="0.25">
      <c r="A1768" s="1">
        <v>1767</v>
      </c>
      <c r="B1768" s="1">
        <v>12</v>
      </c>
      <c r="C1768" s="3">
        <v>12115271571027</v>
      </c>
      <c r="D1768" s="2">
        <v>44463.4375</v>
      </c>
      <c r="E1768" s="2">
        <v>44463.625</v>
      </c>
      <c r="F1768" s="23">
        <f t="shared" si="81"/>
        <v>0.1875</v>
      </c>
      <c r="G1768" s="24">
        <f t="shared" si="83"/>
        <v>66.666666666666657</v>
      </c>
      <c r="H1768" s="1" t="s">
        <v>1</v>
      </c>
      <c r="I1768" s="4" t="s">
        <v>2</v>
      </c>
      <c r="J1768" s="14">
        <v>0.4375</v>
      </c>
      <c r="K1768" s="20" t="str">
        <f t="shared" si="82"/>
        <v>1st Shift</v>
      </c>
    </row>
    <row r="1769" spans="1:11" x14ac:dyDescent="0.25">
      <c r="A1769" s="1">
        <v>1768</v>
      </c>
      <c r="B1769" s="1">
        <v>12</v>
      </c>
      <c r="C1769" s="3">
        <v>12115271571020</v>
      </c>
      <c r="D1769" s="2">
        <v>44463.4375</v>
      </c>
      <c r="E1769" s="2">
        <v>44463.625</v>
      </c>
      <c r="F1769" s="23">
        <f t="shared" si="81"/>
        <v>0.1875</v>
      </c>
      <c r="G1769" s="24">
        <f t="shared" si="83"/>
        <v>66.666666666666657</v>
      </c>
      <c r="H1769" s="1" t="s">
        <v>1</v>
      </c>
      <c r="I1769" s="4" t="s">
        <v>3</v>
      </c>
      <c r="J1769" s="14">
        <v>0.4375</v>
      </c>
      <c r="K1769" s="20" t="str">
        <f t="shared" si="82"/>
        <v>1st Shift</v>
      </c>
    </row>
    <row r="1770" spans="1:11" x14ac:dyDescent="0.25">
      <c r="A1770" s="1">
        <v>1769</v>
      </c>
      <c r="B1770" s="1">
        <v>8</v>
      </c>
      <c r="C1770" s="3">
        <v>8115271829306</v>
      </c>
      <c r="D1770" s="2">
        <v>44463.4375</v>
      </c>
      <c r="E1770" s="2">
        <v>44463.625</v>
      </c>
      <c r="F1770" s="23">
        <f t="shared" si="81"/>
        <v>0.1875</v>
      </c>
      <c r="G1770" s="24">
        <f t="shared" si="83"/>
        <v>66.666666666666657</v>
      </c>
      <c r="H1770" s="1" t="s">
        <v>1</v>
      </c>
      <c r="I1770" s="4" t="s">
        <v>3</v>
      </c>
      <c r="J1770" s="14">
        <v>0.4375</v>
      </c>
      <c r="K1770" s="20" t="str">
        <f t="shared" si="82"/>
        <v>1st Shift</v>
      </c>
    </row>
    <row r="1771" spans="1:11" x14ac:dyDescent="0.25">
      <c r="A1771" s="1">
        <v>1770</v>
      </c>
      <c r="B1771" s="1">
        <v>8</v>
      </c>
      <c r="C1771" s="3">
        <v>8115271829304</v>
      </c>
      <c r="D1771" s="2">
        <v>44463.4375</v>
      </c>
      <c r="E1771" s="2">
        <v>44463.625</v>
      </c>
      <c r="F1771" s="23">
        <f t="shared" si="81"/>
        <v>0.1875</v>
      </c>
      <c r="G1771" s="24">
        <f t="shared" si="83"/>
        <v>66.666666666666657</v>
      </c>
      <c r="H1771" s="1" t="s">
        <v>1</v>
      </c>
      <c r="I1771" s="4" t="s">
        <v>2</v>
      </c>
      <c r="J1771" s="14">
        <v>0.4375</v>
      </c>
      <c r="K1771" s="20" t="str">
        <f t="shared" si="82"/>
        <v>1st Shift</v>
      </c>
    </row>
    <row r="1772" spans="1:11" x14ac:dyDescent="0.25">
      <c r="A1772" s="1">
        <v>1771</v>
      </c>
      <c r="B1772" s="1">
        <v>7</v>
      </c>
      <c r="C1772" s="3">
        <v>7115271774709</v>
      </c>
      <c r="D1772" s="2">
        <v>44463.4375</v>
      </c>
      <c r="E1772" s="2">
        <v>44463.625</v>
      </c>
      <c r="F1772" s="23">
        <f t="shared" si="81"/>
        <v>0.1875</v>
      </c>
      <c r="G1772" s="24">
        <f t="shared" si="83"/>
        <v>66.666666666666657</v>
      </c>
      <c r="H1772" s="1" t="s">
        <v>1</v>
      </c>
      <c r="I1772" s="4" t="s">
        <v>2</v>
      </c>
      <c r="J1772" s="14">
        <v>0.4375</v>
      </c>
      <c r="K1772" s="20" t="str">
        <f t="shared" si="82"/>
        <v>1st Shift</v>
      </c>
    </row>
    <row r="1773" spans="1:11" x14ac:dyDescent="0.25">
      <c r="A1773" s="1">
        <v>1772</v>
      </c>
      <c r="B1773" s="1">
        <v>7</v>
      </c>
      <c r="C1773" s="3">
        <v>7115271774706</v>
      </c>
      <c r="D1773" s="2">
        <v>44463.4375</v>
      </c>
      <c r="E1773" s="2">
        <v>44463.625</v>
      </c>
      <c r="F1773" s="23">
        <f t="shared" si="81"/>
        <v>0.1875</v>
      </c>
      <c r="G1773" s="24">
        <f t="shared" si="83"/>
        <v>66.666666666666657</v>
      </c>
      <c r="H1773" s="1" t="s">
        <v>1</v>
      </c>
      <c r="I1773" s="4" t="s">
        <v>2</v>
      </c>
      <c r="J1773" s="14">
        <v>0.4375</v>
      </c>
      <c r="K1773" s="20" t="str">
        <f t="shared" si="82"/>
        <v>1st Shift</v>
      </c>
    </row>
    <row r="1774" spans="1:11" x14ac:dyDescent="0.25">
      <c r="A1774" s="1">
        <v>1773</v>
      </c>
      <c r="B1774" s="1">
        <v>7</v>
      </c>
      <c r="C1774" s="3">
        <v>7115271774705</v>
      </c>
      <c r="D1774" s="2">
        <v>44463.4375</v>
      </c>
      <c r="E1774" s="2">
        <v>44463.625</v>
      </c>
      <c r="F1774" s="23">
        <f t="shared" si="81"/>
        <v>0.1875</v>
      </c>
      <c r="G1774" s="24">
        <f t="shared" si="83"/>
        <v>66.666666666666657</v>
      </c>
      <c r="H1774" s="1" t="s">
        <v>1</v>
      </c>
      <c r="I1774" s="4" t="s">
        <v>2</v>
      </c>
      <c r="J1774" s="14">
        <v>0.4375</v>
      </c>
      <c r="K1774" s="20" t="str">
        <f t="shared" si="82"/>
        <v>1st Shift</v>
      </c>
    </row>
    <row r="1775" spans="1:11" x14ac:dyDescent="0.25">
      <c r="A1775" s="1">
        <v>1774</v>
      </c>
      <c r="B1775" s="1">
        <v>5</v>
      </c>
      <c r="C1775" s="3">
        <v>5115271679129</v>
      </c>
      <c r="D1775" s="2">
        <v>44463.4375</v>
      </c>
      <c r="E1775" s="2">
        <v>44463.625</v>
      </c>
      <c r="F1775" s="23">
        <f t="shared" si="81"/>
        <v>0.1875</v>
      </c>
      <c r="G1775" s="24">
        <f t="shared" si="83"/>
        <v>66.666666666666657</v>
      </c>
      <c r="H1775" s="1" t="s">
        <v>1</v>
      </c>
      <c r="I1775" s="4" t="s">
        <v>2</v>
      </c>
      <c r="J1775" s="14">
        <v>0.4375</v>
      </c>
      <c r="K1775" s="20" t="str">
        <f t="shared" si="82"/>
        <v>1st Shift</v>
      </c>
    </row>
    <row r="1776" spans="1:11" x14ac:dyDescent="0.25">
      <c r="A1776" s="1">
        <v>1775</v>
      </c>
      <c r="B1776" s="1">
        <v>5</v>
      </c>
      <c r="C1776" s="3">
        <v>5115271679128</v>
      </c>
      <c r="D1776" s="2">
        <v>44463.4375</v>
      </c>
      <c r="E1776" s="2">
        <v>44463.625</v>
      </c>
      <c r="F1776" s="23">
        <f t="shared" si="81"/>
        <v>0.1875</v>
      </c>
      <c r="G1776" s="24">
        <f t="shared" si="83"/>
        <v>66.666666666666657</v>
      </c>
      <c r="H1776" s="1" t="s">
        <v>1</v>
      </c>
      <c r="I1776" s="4" t="s">
        <v>4</v>
      </c>
      <c r="J1776" s="14">
        <v>0.4375</v>
      </c>
      <c r="K1776" s="20" t="str">
        <f t="shared" si="82"/>
        <v>1st Shift</v>
      </c>
    </row>
    <row r="1777" spans="1:11" x14ac:dyDescent="0.25">
      <c r="A1777" s="1">
        <v>1776</v>
      </c>
      <c r="B1777" s="1">
        <v>5</v>
      </c>
      <c r="C1777" s="3">
        <v>5115271679121</v>
      </c>
      <c r="D1777" s="2">
        <v>44463.4375</v>
      </c>
      <c r="E1777" s="2">
        <v>44463.625</v>
      </c>
      <c r="F1777" s="23">
        <f t="shared" si="81"/>
        <v>0.1875</v>
      </c>
      <c r="G1777" s="24">
        <f t="shared" si="83"/>
        <v>66.666666666666657</v>
      </c>
      <c r="H1777" s="1" t="s">
        <v>1</v>
      </c>
      <c r="I1777" s="4" t="s">
        <v>2</v>
      </c>
      <c r="J1777" s="14">
        <v>0.4375</v>
      </c>
      <c r="K1777" s="20" t="str">
        <f t="shared" si="82"/>
        <v>1st Shift</v>
      </c>
    </row>
    <row r="1778" spans="1:11" x14ac:dyDescent="0.25">
      <c r="A1778" s="1">
        <v>1777</v>
      </c>
      <c r="B1778" s="1">
        <v>2</v>
      </c>
      <c r="C1778" s="3">
        <v>2115270233402</v>
      </c>
      <c r="D1778" s="2">
        <v>44463.4375</v>
      </c>
      <c r="E1778" s="2">
        <v>44463.625</v>
      </c>
      <c r="F1778" s="23">
        <f t="shared" si="81"/>
        <v>0.1875</v>
      </c>
      <c r="G1778" s="24">
        <f t="shared" si="83"/>
        <v>66.666666666666657</v>
      </c>
      <c r="H1778" s="1" t="s">
        <v>1</v>
      </c>
      <c r="I1778" s="4" t="s">
        <v>2</v>
      </c>
      <c r="J1778" s="14">
        <v>0.4375</v>
      </c>
      <c r="K1778" s="20" t="str">
        <f t="shared" si="82"/>
        <v>1st Shift</v>
      </c>
    </row>
    <row r="1779" spans="1:11" x14ac:dyDescent="0.25">
      <c r="A1779" s="1">
        <v>1778</v>
      </c>
      <c r="B1779" s="1">
        <v>2</v>
      </c>
      <c r="C1779" s="3">
        <v>2115270233401</v>
      </c>
      <c r="D1779" s="2">
        <v>44463.4375</v>
      </c>
      <c r="E1779" s="2">
        <v>44463.625</v>
      </c>
      <c r="F1779" s="23">
        <f t="shared" si="81"/>
        <v>0.1875</v>
      </c>
      <c r="G1779" s="24">
        <f t="shared" si="83"/>
        <v>66.666666666666657</v>
      </c>
      <c r="H1779" s="1" t="s">
        <v>1</v>
      </c>
      <c r="I1779" s="4" t="s">
        <v>2</v>
      </c>
      <c r="J1779" s="14">
        <v>0.4375</v>
      </c>
      <c r="K1779" s="20" t="str">
        <f t="shared" si="82"/>
        <v>1st Shift</v>
      </c>
    </row>
    <row r="1780" spans="1:11" x14ac:dyDescent="0.25">
      <c r="A1780" s="1">
        <v>1779</v>
      </c>
      <c r="B1780" s="1">
        <v>1</v>
      </c>
      <c r="C1780" s="3">
        <v>1115270112901</v>
      </c>
      <c r="D1780" s="2">
        <v>44463.4375</v>
      </c>
      <c r="E1780" s="2">
        <v>44463.625</v>
      </c>
      <c r="F1780" s="23">
        <f t="shared" si="81"/>
        <v>0.1875</v>
      </c>
      <c r="G1780" s="24">
        <f t="shared" si="83"/>
        <v>66.666666666666657</v>
      </c>
      <c r="H1780" s="1" t="s">
        <v>1</v>
      </c>
      <c r="I1780" s="4" t="s">
        <v>2</v>
      </c>
      <c r="J1780" s="14">
        <v>0.4375</v>
      </c>
      <c r="K1780" s="20" t="str">
        <f t="shared" si="82"/>
        <v>1st Shift</v>
      </c>
    </row>
    <row r="1781" spans="1:11" x14ac:dyDescent="0.25">
      <c r="A1781" s="1">
        <v>1780</v>
      </c>
      <c r="B1781" s="1">
        <v>1</v>
      </c>
      <c r="C1781" s="3">
        <v>1115270112900</v>
      </c>
      <c r="D1781" s="2">
        <v>44463.4375</v>
      </c>
      <c r="E1781" s="2">
        <v>44463.625</v>
      </c>
      <c r="F1781" s="23">
        <f t="shared" si="81"/>
        <v>0.1875</v>
      </c>
      <c r="G1781" s="24">
        <f t="shared" si="83"/>
        <v>66.666666666666657</v>
      </c>
      <c r="H1781" s="1" t="s">
        <v>1</v>
      </c>
      <c r="I1781" s="4" t="s">
        <v>2</v>
      </c>
      <c r="J1781" s="14">
        <v>0.4375</v>
      </c>
      <c r="K1781" s="20" t="str">
        <f t="shared" si="82"/>
        <v>1st Shift</v>
      </c>
    </row>
    <row r="1782" spans="1:11" x14ac:dyDescent="0.25">
      <c r="A1782" s="1">
        <v>1781</v>
      </c>
      <c r="B1782" s="1">
        <v>1</v>
      </c>
      <c r="C1782" s="3">
        <v>1115270118008</v>
      </c>
      <c r="D1782" s="2">
        <v>44463.701388888891</v>
      </c>
      <c r="E1782" s="2">
        <v>44463.746527777781</v>
      </c>
      <c r="F1782" s="23">
        <f t="shared" si="81"/>
        <v>4.5138888890505768E-2</v>
      </c>
      <c r="G1782" s="24">
        <f t="shared" si="83"/>
        <v>276.9230769131575</v>
      </c>
      <c r="H1782" s="1" t="s">
        <v>1</v>
      </c>
      <c r="I1782" s="4" t="s">
        <v>2</v>
      </c>
      <c r="J1782" s="14">
        <v>0.70138888888888884</v>
      </c>
      <c r="K1782" s="20" t="str">
        <f t="shared" si="82"/>
        <v>2nd Shift</v>
      </c>
    </row>
    <row r="1783" spans="1:11" x14ac:dyDescent="0.25">
      <c r="A1783" s="1">
        <v>1782</v>
      </c>
      <c r="B1783" s="1">
        <v>1</v>
      </c>
      <c r="C1783" s="3">
        <v>1115270118000</v>
      </c>
      <c r="D1783" s="2">
        <v>44463.701388888891</v>
      </c>
      <c r="E1783" s="2">
        <v>44463.746527777781</v>
      </c>
      <c r="F1783" s="23">
        <f t="shared" si="81"/>
        <v>4.5138888890505768E-2</v>
      </c>
      <c r="G1783" s="24">
        <f t="shared" si="83"/>
        <v>276.9230769131575</v>
      </c>
      <c r="H1783" s="1" t="s">
        <v>1</v>
      </c>
      <c r="I1783" s="4" t="s">
        <v>2</v>
      </c>
      <c r="J1783" s="14">
        <v>0.70138888888888884</v>
      </c>
      <c r="K1783" s="20" t="str">
        <f t="shared" si="82"/>
        <v>2nd Shift</v>
      </c>
    </row>
    <row r="1784" spans="1:11" x14ac:dyDescent="0.25">
      <c r="A1784" s="1">
        <v>1783</v>
      </c>
      <c r="B1784" s="1">
        <v>11</v>
      </c>
      <c r="C1784" s="3">
        <v>11115271542302</v>
      </c>
      <c r="D1784" s="2">
        <v>44463.756944444445</v>
      </c>
      <c r="E1784" s="2">
        <v>44463.791666666664</v>
      </c>
      <c r="F1784" s="23">
        <f t="shared" si="81"/>
        <v>3.4722222218988463E-2</v>
      </c>
      <c r="G1784" s="24">
        <f t="shared" si="83"/>
        <v>360.00000003352761</v>
      </c>
      <c r="H1784" s="1" t="s">
        <v>1</v>
      </c>
      <c r="I1784" s="4" t="s">
        <v>2</v>
      </c>
      <c r="J1784" s="14">
        <v>0.75694444444444442</v>
      </c>
      <c r="K1784" s="20" t="str">
        <f t="shared" si="82"/>
        <v>2nd Shift</v>
      </c>
    </row>
    <row r="1785" spans="1:11" x14ac:dyDescent="0.25">
      <c r="A1785" s="1">
        <v>1784</v>
      </c>
      <c r="B1785" s="1">
        <v>10</v>
      </c>
      <c r="C1785" s="3">
        <v>10115271964000</v>
      </c>
      <c r="D1785" s="2">
        <v>44463.756944444445</v>
      </c>
      <c r="E1785" s="2">
        <v>44463.791666666664</v>
      </c>
      <c r="F1785" s="23">
        <f t="shared" si="81"/>
        <v>3.4722222218988463E-2</v>
      </c>
      <c r="G1785" s="24">
        <f t="shared" si="83"/>
        <v>360.00000003352761</v>
      </c>
      <c r="H1785" s="1" t="s">
        <v>1</v>
      </c>
      <c r="I1785" s="4" t="s">
        <v>2</v>
      </c>
      <c r="J1785" s="14">
        <v>0.75694444444444442</v>
      </c>
      <c r="K1785" s="20" t="str">
        <f t="shared" si="82"/>
        <v>2nd Shift</v>
      </c>
    </row>
    <row r="1786" spans="1:11" x14ac:dyDescent="0.25">
      <c r="A1786" s="1">
        <v>1785</v>
      </c>
      <c r="B1786" s="1">
        <v>8</v>
      </c>
      <c r="C1786" s="3">
        <v>8115271810106</v>
      </c>
      <c r="D1786" s="2">
        <v>44463.756944444445</v>
      </c>
      <c r="E1786" s="2">
        <v>44463.791666666664</v>
      </c>
      <c r="F1786" s="23">
        <f t="shared" si="81"/>
        <v>3.4722222218988463E-2</v>
      </c>
      <c r="G1786" s="24">
        <f t="shared" si="83"/>
        <v>360.00000003352761</v>
      </c>
      <c r="H1786" s="1" t="s">
        <v>1</v>
      </c>
      <c r="I1786" s="4" t="s">
        <v>2</v>
      </c>
      <c r="J1786" s="14">
        <v>0.75694444444444442</v>
      </c>
      <c r="K1786" s="20" t="str">
        <f t="shared" si="82"/>
        <v>2nd Shift</v>
      </c>
    </row>
    <row r="1787" spans="1:11" x14ac:dyDescent="0.25">
      <c r="A1787" s="1">
        <v>1786</v>
      </c>
      <c r="B1787" s="1">
        <v>15</v>
      </c>
      <c r="C1787" s="3">
        <v>15115271744000</v>
      </c>
      <c r="D1787" s="2">
        <v>44464.416666666664</v>
      </c>
      <c r="E1787" s="2">
        <v>44464.576388888891</v>
      </c>
      <c r="F1787" s="23">
        <f t="shared" si="81"/>
        <v>0.15972222222626442</v>
      </c>
      <c r="G1787" s="24">
        <f t="shared" si="83"/>
        <v>78.260869563236795</v>
      </c>
      <c r="H1787" s="1" t="s">
        <v>1</v>
      </c>
      <c r="I1787" s="4" t="s">
        <v>5</v>
      </c>
      <c r="J1787" s="14">
        <v>0.41666666666666669</v>
      </c>
      <c r="K1787" s="20" t="str">
        <f t="shared" si="82"/>
        <v>1st Shift</v>
      </c>
    </row>
    <row r="1788" spans="1:11" x14ac:dyDescent="0.25">
      <c r="A1788" s="1">
        <v>1787</v>
      </c>
      <c r="B1788" s="1">
        <v>14</v>
      </c>
      <c r="C1788" s="3">
        <v>14115271672607</v>
      </c>
      <c r="D1788" s="2">
        <v>44464.416666666664</v>
      </c>
      <c r="E1788" s="2">
        <v>44464.576388888891</v>
      </c>
      <c r="F1788" s="23">
        <f t="shared" si="81"/>
        <v>0.15972222222626442</v>
      </c>
      <c r="G1788" s="24">
        <f t="shared" si="83"/>
        <v>78.260869563236795</v>
      </c>
      <c r="H1788" s="1" t="s">
        <v>1</v>
      </c>
      <c r="I1788" s="4" t="s">
        <v>8</v>
      </c>
      <c r="J1788" s="14">
        <v>0.41666666666666669</v>
      </c>
      <c r="K1788" s="20" t="str">
        <f t="shared" si="82"/>
        <v>1st Shift</v>
      </c>
    </row>
    <row r="1789" spans="1:11" x14ac:dyDescent="0.25">
      <c r="A1789" s="1">
        <v>1788</v>
      </c>
      <c r="B1789" s="1">
        <v>14</v>
      </c>
      <c r="C1789" s="3">
        <v>14115271672601</v>
      </c>
      <c r="D1789" s="2">
        <v>44464.416666666664</v>
      </c>
      <c r="E1789" s="2">
        <v>44464.576388888891</v>
      </c>
      <c r="F1789" s="23">
        <f t="shared" si="81"/>
        <v>0.15972222222626442</v>
      </c>
      <c r="G1789" s="24">
        <f t="shared" si="83"/>
        <v>78.260869563236795</v>
      </c>
      <c r="H1789" s="1" t="s">
        <v>1</v>
      </c>
      <c r="I1789" s="4" t="s">
        <v>2</v>
      </c>
      <c r="J1789" s="14">
        <v>0.41666666666666669</v>
      </c>
      <c r="K1789" s="20" t="str">
        <f t="shared" si="82"/>
        <v>1st Shift</v>
      </c>
    </row>
    <row r="1790" spans="1:11" x14ac:dyDescent="0.25">
      <c r="A1790" s="1">
        <v>1789</v>
      </c>
      <c r="B1790" s="1">
        <v>10</v>
      </c>
      <c r="C1790" s="3">
        <v>10115271450803</v>
      </c>
      <c r="D1790" s="2">
        <v>44464.416666666664</v>
      </c>
      <c r="E1790" s="2">
        <v>44464.576388888891</v>
      </c>
      <c r="F1790" s="23">
        <f t="shared" si="81"/>
        <v>0.15972222222626442</v>
      </c>
      <c r="G1790" s="24">
        <f t="shared" si="83"/>
        <v>78.260869563236795</v>
      </c>
      <c r="H1790" s="1" t="s">
        <v>1</v>
      </c>
      <c r="I1790" s="4" t="s">
        <v>2</v>
      </c>
      <c r="J1790" s="14">
        <v>0.41666666666666669</v>
      </c>
      <c r="K1790" s="20" t="str">
        <f t="shared" si="82"/>
        <v>1st Shift</v>
      </c>
    </row>
    <row r="1791" spans="1:11" x14ac:dyDescent="0.25">
      <c r="A1791" s="1">
        <v>1790</v>
      </c>
      <c r="B1791" s="1">
        <v>10</v>
      </c>
      <c r="C1791" s="3">
        <v>10115271450800</v>
      </c>
      <c r="D1791" s="2">
        <v>44464.416666666664</v>
      </c>
      <c r="E1791" s="2">
        <v>44464.576388888891</v>
      </c>
      <c r="F1791" s="23">
        <f t="shared" si="81"/>
        <v>0.15972222222626442</v>
      </c>
      <c r="G1791" s="24">
        <f t="shared" si="83"/>
        <v>78.260869563236795</v>
      </c>
      <c r="H1791" s="1" t="s">
        <v>1</v>
      </c>
      <c r="I1791" s="4" t="s">
        <v>2</v>
      </c>
      <c r="J1791" s="14">
        <v>0.41666666666666669</v>
      </c>
      <c r="K1791" s="20" t="str">
        <f t="shared" si="82"/>
        <v>1st Shift</v>
      </c>
    </row>
    <row r="1792" spans="1:11" x14ac:dyDescent="0.25">
      <c r="A1792" s="1">
        <v>1791</v>
      </c>
      <c r="B1792" s="1">
        <v>10</v>
      </c>
      <c r="C1792" s="3">
        <v>10115271434008</v>
      </c>
      <c r="D1792" s="2">
        <v>44464.416666666664</v>
      </c>
      <c r="E1792" s="2">
        <v>44464.576388888891</v>
      </c>
      <c r="F1792" s="23">
        <f t="shared" si="81"/>
        <v>0.15972222222626442</v>
      </c>
      <c r="G1792" s="24">
        <f t="shared" si="83"/>
        <v>78.260869563236795</v>
      </c>
      <c r="H1792" s="1" t="s">
        <v>1</v>
      </c>
      <c r="I1792" s="4" t="s">
        <v>3</v>
      </c>
      <c r="J1792" s="14">
        <v>0.41666666666666669</v>
      </c>
      <c r="K1792" s="20" t="str">
        <f t="shared" si="82"/>
        <v>1st Shift</v>
      </c>
    </row>
    <row r="1793" spans="1:11" x14ac:dyDescent="0.25">
      <c r="A1793" s="1">
        <v>1792</v>
      </c>
      <c r="B1793" s="1">
        <v>10</v>
      </c>
      <c r="C1793" s="3">
        <v>10115271434006</v>
      </c>
      <c r="D1793" s="2">
        <v>44464.416666666664</v>
      </c>
      <c r="E1793" s="2">
        <v>44464.576388888891</v>
      </c>
      <c r="F1793" s="23">
        <f t="shared" si="81"/>
        <v>0.15972222222626442</v>
      </c>
      <c r="G1793" s="24">
        <f t="shared" si="83"/>
        <v>78.260869563236795</v>
      </c>
      <c r="H1793" s="1" t="s">
        <v>1</v>
      </c>
      <c r="I1793" s="4" t="s">
        <v>2</v>
      </c>
      <c r="J1793" s="14">
        <v>0.41666666666666669</v>
      </c>
      <c r="K1793" s="20" t="str">
        <f t="shared" si="82"/>
        <v>1st Shift</v>
      </c>
    </row>
    <row r="1794" spans="1:11" x14ac:dyDescent="0.25">
      <c r="A1794" s="1">
        <v>1793</v>
      </c>
      <c r="B1794" s="1">
        <v>7</v>
      </c>
      <c r="C1794" s="3">
        <v>7115271768109</v>
      </c>
      <c r="D1794" s="2">
        <v>44464.416666666664</v>
      </c>
      <c r="E1794" s="2">
        <v>44464.576388888891</v>
      </c>
      <c r="F1794" s="23">
        <f t="shared" ref="F1794:F1857" si="84">E1794-D1794</f>
        <v>0.15972222222626442</v>
      </c>
      <c r="G1794" s="24">
        <f t="shared" si="83"/>
        <v>78.260869563236795</v>
      </c>
      <c r="H1794" s="1" t="s">
        <v>1</v>
      </c>
      <c r="I1794" s="4" t="s">
        <v>5</v>
      </c>
      <c r="J1794" s="14">
        <v>0.41666666666666669</v>
      </c>
      <c r="K1794" s="20" t="str">
        <f t="shared" ref="K1794:K1857" si="85">IF(AND(J1794&gt;=$M$3,J1794&lt;$M$4),"1st Shift",IF(AND(J1794&gt;=$M$4,J1794&lt;$M$5),"2nd Shift","3rd Shift"))</f>
        <v>1st Shift</v>
      </c>
    </row>
    <row r="1795" spans="1:11" x14ac:dyDescent="0.25">
      <c r="A1795" s="1">
        <v>1794</v>
      </c>
      <c r="B1795" s="1">
        <v>7</v>
      </c>
      <c r="C1795" s="3">
        <v>7115271768107</v>
      </c>
      <c r="D1795" s="2">
        <v>44464.416666666664</v>
      </c>
      <c r="E1795" s="2">
        <v>44464.576388888891</v>
      </c>
      <c r="F1795" s="23">
        <f t="shared" si="84"/>
        <v>0.15972222222626442</v>
      </c>
      <c r="G1795" s="24">
        <f t="shared" ref="G1795:G1858" si="86">$M$9/F1795*100</f>
        <v>78.260869563236795</v>
      </c>
      <c r="H1795" s="1" t="s">
        <v>1</v>
      </c>
      <c r="I1795" s="4" t="s">
        <v>2</v>
      </c>
      <c r="J1795" s="14">
        <v>0.41666666666666669</v>
      </c>
      <c r="K1795" s="20" t="str">
        <f t="shared" si="85"/>
        <v>1st Shift</v>
      </c>
    </row>
    <row r="1796" spans="1:11" x14ac:dyDescent="0.25">
      <c r="A1796" s="1">
        <v>1795</v>
      </c>
      <c r="B1796" s="1">
        <v>6</v>
      </c>
      <c r="C1796" s="3">
        <v>6115271723708</v>
      </c>
      <c r="D1796" s="2">
        <v>44464.416666666664</v>
      </c>
      <c r="E1796" s="2">
        <v>44464.576388888891</v>
      </c>
      <c r="F1796" s="23">
        <f t="shared" si="84"/>
        <v>0.15972222222626442</v>
      </c>
      <c r="G1796" s="24">
        <f t="shared" si="86"/>
        <v>78.260869563236795</v>
      </c>
      <c r="H1796" s="1" t="s">
        <v>1</v>
      </c>
      <c r="I1796" s="4" t="s">
        <v>2</v>
      </c>
      <c r="J1796" s="14">
        <v>0.41666666666666669</v>
      </c>
      <c r="K1796" s="20" t="str">
        <f t="shared" si="85"/>
        <v>1st Shift</v>
      </c>
    </row>
    <row r="1797" spans="1:11" x14ac:dyDescent="0.25">
      <c r="A1797" s="1">
        <v>1796</v>
      </c>
      <c r="B1797" s="1">
        <v>6</v>
      </c>
      <c r="C1797" s="3">
        <v>6115271723701</v>
      </c>
      <c r="D1797" s="2">
        <v>44464.416666666664</v>
      </c>
      <c r="E1797" s="2">
        <v>44464.576388888891</v>
      </c>
      <c r="F1797" s="23">
        <f t="shared" si="84"/>
        <v>0.15972222222626442</v>
      </c>
      <c r="G1797" s="24">
        <f t="shared" si="86"/>
        <v>78.260869563236795</v>
      </c>
      <c r="H1797" s="1" t="s">
        <v>1</v>
      </c>
      <c r="I1797" s="4" t="s">
        <v>2</v>
      </c>
      <c r="J1797" s="14">
        <v>0.41666666666666669</v>
      </c>
      <c r="K1797" s="20" t="str">
        <f t="shared" si="85"/>
        <v>1st Shift</v>
      </c>
    </row>
    <row r="1798" spans="1:11" x14ac:dyDescent="0.25">
      <c r="A1798" s="1">
        <v>1797</v>
      </c>
      <c r="B1798" s="1">
        <v>4</v>
      </c>
      <c r="C1798" s="3">
        <v>4115270858005</v>
      </c>
      <c r="D1798" s="2">
        <v>44464.416666666664</v>
      </c>
      <c r="E1798" s="2">
        <v>44464.576388888891</v>
      </c>
      <c r="F1798" s="23">
        <f t="shared" si="84"/>
        <v>0.15972222222626442</v>
      </c>
      <c r="G1798" s="24">
        <f t="shared" si="86"/>
        <v>78.260869563236795</v>
      </c>
      <c r="H1798" s="1" t="s">
        <v>1</v>
      </c>
      <c r="I1798" s="4" t="s">
        <v>2</v>
      </c>
      <c r="J1798" s="14">
        <v>0.41666666666666669</v>
      </c>
      <c r="K1798" s="20" t="str">
        <f t="shared" si="85"/>
        <v>1st Shift</v>
      </c>
    </row>
    <row r="1799" spans="1:11" x14ac:dyDescent="0.25">
      <c r="A1799" s="1">
        <v>1798</v>
      </c>
      <c r="B1799" s="1">
        <v>4</v>
      </c>
      <c r="C1799" s="3">
        <v>4115270858001</v>
      </c>
      <c r="D1799" s="2">
        <v>44464.416666666664</v>
      </c>
      <c r="E1799" s="2">
        <v>44464.576388888891</v>
      </c>
      <c r="F1799" s="23">
        <f t="shared" si="84"/>
        <v>0.15972222222626442</v>
      </c>
      <c r="G1799" s="24">
        <f t="shared" si="86"/>
        <v>78.260869563236795</v>
      </c>
      <c r="H1799" s="1" t="s">
        <v>1</v>
      </c>
      <c r="I1799" s="4" t="s">
        <v>4</v>
      </c>
      <c r="J1799" s="14">
        <v>0.41666666666666669</v>
      </c>
      <c r="K1799" s="20" t="str">
        <f t="shared" si="85"/>
        <v>1st Shift</v>
      </c>
    </row>
    <row r="1800" spans="1:11" x14ac:dyDescent="0.25">
      <c r="A1800" s="1">
        <v>1799</v>
      </c>
      <c r="B1800" s="1">
        <v>3</v>
      </c>
      <c r="C1800" s="3">
        <v>3115270391305</v>
      </c>
      <c r="D1800" s="2">
        <v>44464.416666666664</v>
      </c>
      <c r="E1800" s="2">
        <v>44464.576388888891</v>
      </c>
      <c r="F1800" s="23">
        <f t="shared" si="84"/>
        <v>0.15972222222626442</v>
      </c>
      <c r="G1800" s="24">
        <f t="shared" si="86"/>
        <v>78.260869563236795</v>
      </c>
      <c r="H1800" s="1" t="s">
        <v>1</v>
      </c>
      <c r="I1800" s="4" t="s">
        <v>2</v>
      </c>
      <c r="J1800" s="14">
        <v>0.41666666666666669</v>
      </c>
      <c r="K1800" s="20" t="str">
        <f t="shared" si="85"/>
        <v>1st Shift</v>
      </c>
    </row>
    <row r="1801" spans="1:11" x14ac:dyDescent="0.25">
      <c r="A1801" s="1">
        <v>1800</v>
      </c>
      <c r="B1801" s="1">
        <v>3</v>
      </c>
      <c r="C1801" s="3">
        <v>3115270391300</v>
      </c>
      <c r="D1801" s="2">
        <v>44464.416666666664</v>
      </c>
      <c r="E1801" s="2">
        <v>44464.576388888891</v>
      </c>
      <c r="F1801" s="23">
        <f t="shared" si="84"/>
        <v>0.15972222222626442</v>
      </c>
      <c r="G1801" s="24">
        <f t="shared" si="86"/>
        <v>78.260869563236795</v>
      </c>
      <c r="H1801" s="1" t="s">
        <v>1</v>
      </c>
      <c r="I1801" s="4" t="s">
        <v>2</v>
      </c>
      <c r="J1801" s="14">
        <v>0.41666666666666669</v>
      </c>
      <c r="K1801" s="20" t="str">
        <f t="shared" si="85"/>
        <v>1st Shift</v>
      </c>
    </row>
    <row r="1802" spans="1:11" x14ac:dyDescent="0.25">
      <c r="A1802" s="1">
        <v>1801</v>
      </c>
      <c r="B1802" s="1">
        <v>2</v>
      </c>
      <c r="C1802" s="3">
        <v>2115270166903</v>
      </c>
      <c r="D1802" s="2">
        <v>44464.416666666664</v>
      </c>
      <c r="E1802" s="2">
        <v>44464.576388888891</v>
      </c>
      <c r="F1802" s="23">
        <f t="shared" si="84"/>
        <v>0.15972222222626442</v>
      </c>
      <c r="G1802" s="24">
        <f t="shared" si="86"/>
        <v>78.260869563236795</v>
      </c>
      <c r="H1802" s="1" t="s">
        <v>1</v>
      </c>
      <c r="I1802" s="4" t="s">
        <v>2</v>
      </c>
      <c r="J1802" s="14">
        <v>0.41666666666666669</v>
      </c>
      <c r="K1802" s="20" t="str">
        <f t="shared" si="85"/>
        <v>1st Shift</v>
      </c>
    </row>
    <row r="1803" spans="1:11" x14ac:dyDescent="0.25">
      <c r="A1803" s="1">
        <v>1802</v>
      </c>
      <c r="B1803" s="1">
        <v>14</v>
      </c>
      <c r="C1803" s="3">
        <v>14115271672502</v>
      </c>
      <c r="D1803" s="2">
        <v>44464.75</v>
      </c>
      <c r="E1803" s="2">
        <v>44464.861111111109</v>
      </c>
      <c r="F1803" s="23">
        <f t="shared" si="84"/>
        <v>0.11111111110949423</v>
      </c>
      <c r="G1803" s="24">
        <f t="shared" si="86"/>
        <v>112.50000000163709</v>
      </c>
      <c r="H1803" s="1" t="s">
        <v>1</v>
      </c>
      <c r="I1803" s="4" t="s">
        <v>3</v>
      </c>
      <c r="J1803" s="14">
        <v>0.75</v>
      </c>
      <c r="K1803" s="20" t="str">
        <f t="shared" si="85"/>
        <v>2nd Shift</v>
      </c>
    </row>
    <row r="1804" spans="1:11" x14ac:dyDescent="0.25">
      <c r="A1804" s="1">
        <v>1803</v>
      </c>
      <c r="B1804" s="1">
        <v>10</v>
      </c>
      <c r="C1804" s="3">
        <v>10115271450700</v>
      </c>
      <c r="D1804" s="2">
        <v>44464.75</v>
      </c>
      <c r="E1804" s="2">
        <v>44464.861111111109</v>
      </c>
      <c r="F1804" s="23">
        <f t="shared" si="84"/>
        <v>0.11111111110949423</v>
      </c>
      <c r="G1804" s="24">
        <f t="shared" si="86"/>
        <v>112.50000000163709</v>
      </c>
      <c r="H1804" s="1" t="s">
        <v>1</v>
      </c>
      <c r="I1804" s="4" t="s">
        <v>2</v>
      </c>
      <c r="J1804" s="14">
        <v>0.75</v>
      </c>
      <c r="K1804" s="20" t="str">
        <f t="shared" si="85"/>
        <v>2nd Shift</v>
      </c>
    </row>
    <row r="1805" spans="1:11" x14ac:dyDescent="0.25">
      <c r="A1805" s="1">
        <v>1804</v>
      </c>
      <c r="B1805" s="1">
        <v>7</v>
      </c>
      <c r="C1805" s="3">
        <v>7115271765624</v>
      </c>
      <c r="D1805" s="2">
        <v>44464.75</v>
      </c>
      <c r="E1805" s="2">
        <v>44464.861111111109</v>
      </c>
      <c r="F1805" s="23">
        <f t="shared" si="84"/>
        <v>0.11111111110949423</v>
      </c>
      <c r="G1805" s="24">
        <f t="shared" si="86"/>
        <v>112.50000000163709</v>
      </c>
      <c r="H1805" s="1" t="s">
        <v>1</v>
      </c>
      <c r="I1805" s="4" t="s">
        <v>2</v>
      </c>
      <c r="J1805" s="14">
        <v>0.75</v>
      </c>
      <c r="K1805" s="20" t="str">
        <f t="shared" si="85"/>
        <v>2nd Shift</v>
      </c>
    </row>
    <row r="1806" spans="1:11" x14ac:dyDescent="0.25">
      <c r="A1806" s="1">
        <v>1805</v>
      </c>
      <c r="B1806" s="1">
        <v>5</v>
      </c>
      <c r="C1806" s="3">
        <v>5115271295910</v>
      </c>
      <c r="D1806" s="2">
        <v>44464.75</v>
      </c>
      <c r="E1806" s="2">
        <v>44464.861111111109</v>
      </c>
      <c r="F1806" s="23">
        <f t="shared" si="84"/>
        <v>0.11111111110949423</v>
      </c>
      <c r="G1806" s="24">
        <f t="shared" si="86"/>
        <v>112.50000000163709</v>
      </c>
      <c r="H1806" s="1" t="s">
        <v>1</v>
      </c>
      <c r="I1806" s="4" t="s">
        <v>3</v>
      </c>
      <c r="J1806" s="14">
        <v>0.75</v>
      </c>
      <c r="K1806" s="20" t="str">
        <f t="shared" si="85"/>
        <v>2nd Shift</v>
      </c>
    </row>
    <row r="1807" spans="1:11" x14ac:dyDescent="0.25">
      <c r="A1807" s="1">
        <v>1806</v>
      </c>
      <c r="B1807" s="1">
        <v>11</v>
      </c>
      <c r="C1807" s="3">
        <v>11115271489807</v>
      </c>
      <c r="D1807" s="2">
        <v>44465.020833333336</v>
      </c>
      <c r="E1807" s="2">
        <v>44465.076388888891</v>
      </c>
      <c r="F1807" s="23">
        <f t="shared" si="84"/>
        <v>5.5555555554747116E-2</v>
      </c>
      <c r="G1807" s="24">
        <f t="shared" si="86"/>
        <v>225.00000000327418</v>
      </c>
      <c r="H1807" s="1" t="s">
        <v>1</v>
      </c>
      <c r="I1807" s="4" t="s">
        <v>2</v>
      </c>
      <c r="J1807" s="14">
        <v>2.0833333333333332E-2</v>
      </c>
      <c r="K1807" s="20" t="str">
        <f t="shared" si="85"/>
        <v>3rd Shift</v>
      </c>
    </row>
    <row r="1808" spans="1:11" x14ac:dyDescent="0.25">
      <c r="A1808" s="1">
        <v>1807</v>
      </c>
      <c r="B1808" s="1">
        <v>11</v>
      </c>
      <c r="C1808" s="3">
        <v>11115271489806</v>
      </c>
      <c r="D1808" s="2">
        <v>44465.020833333336</v>
      </c>
      <c r="E1808" s="2">
        <v>44465.076388888891</v>
      </c>
      <c r="F1808" s="23">
        <f t="shared" si="84"/>
        <v>5.5555555554747116E-2</v>
      </c>
      <c r="G1808" s="24">
        <f t="shared" si="86"/>
        <v>225.00000000327418</v>
      </c>
      <c r="H1808" s="1" t="s">
        <v>1</v>
      </c>
      <c r="I1808" s="4" t="s">
        <v>2</v>
      </c>
      <c r="J1808" s="14">
        <v>2.0833333333333332E-2</v>
      </c>
      <c r="K1808" s="20" t="str">
        <f t="shared" si="85"/>
        <v>3rd Shift</v>
      </c>
    </row>
    <row r="1809" spans="1:11" x14ac:dyDescent="0.25">
      <c r="A1809" s="1">
        <v>1808</v>
      </c>
      <c r="B1809" s="1">
        <v>6</v>
      </c>
      <c r="C1809" s="3">
        <v>6115271749104</v>
      </c>
      <c r="D1809" s="2">
        <v>44465.020833333336</v>
      </c>
      <c r="E1809" s="2">
        <v>44465.076388888891</v>
      </c>
      <c r="F1809" s="23">
        <f t="shared" si="84"/>
        <v>5.5555555554747116E-2</v>
      </c>
      <c r="G1809" s="24">
        <f t="shared" si="86"/>
        <v>225.00000000327418</v>
      </c>
      <c r="H1809" s="1" t="s">
        <v>1</v>
      </c>
      <c r="I1809" s="4" t="s">
        <v>2</v>
      </c>
      <c r="J1809" s="14">
        <v>2.0833333333333332E-2</v>
      </c>
      <c r="K1809" s="20" t="str">
        <f t="shared" si="85"/>
        <v>3rd Shift</v>
      </c>
    </row>
    <row r="1810" spans="1:11" x14ac:dyDescent="0.25">
      <c r="A1810" s="1">
        <v>1809</v>
      </c>
      <c r="B1810" s="1">
        <v>6</v>
      </c>
      <c r="C1810" s="3">
        <v>6115271749103</v>
      </c>
      <c r="D1810" s="2">
        <v>44465.020833333336</v>
      </c>
      <c r="E1810" s="2">
        <v>44465.076388888891</v>
      </c>
      <c r="F1810" s="23">
        <f t="shared" si="84"/>
        <v>5.5555555554747116E-2</v>
      </c>
      <c r="G1810" s="24">
        <f t="shared" si="86"/>
        <v>225.00000000327418</v>
      </c>
      <c r="H1810" s="1" t="s">
        <v>1</v>
      </c>
      <c r="I1810" s="4" t="s">
        <v>2</v>
      </c>
      <c r="J1810" s="14">
        <v>2.0833333333333332E-2</v>
      </c>
      <c r="K1810" s="20" t="str">
        <f t="shared" si="85"/>
        <v>3rd Shift</v>
      </c>
    </row>
    <row r="1811" spans="1:11" x14ac:dyDescent="0.25">
      <c r="A1811" s="1">
        <v>1810</v>
      </c>
      <c r="B1811" s="1">
        <v>15</v>
      </c>
      <c r="C1811" s="3">
        <v>15115271759902</v>
      </c>
      <c r="D1811" s="2">
        <v>44465.4375</v>
      </c>
      <c r="E1811" s="2">
        <v>44465.534722222219</v>
      </c>
      <c r="F1811" s="23">
        <f t="shared" si="84"/>
        <v>9.7222222218988463E-2</v>
      </c>
      <c r="G1811" s="24">
        <f t="shared" si="86"/>
        <v>128.57142857570506</v>
      </c>
      <c r="H1811" s="1" t="s">
        <v>1</v>
      </c>
      <c r="I1811" s="4" t="s">
        <v>2</v>
      </c>
      <c r="J1811" s="14">
        <v>0.4375</v>
      </c>
      <c r="K1811" s="20" t="str">
        <f t="shared" si="85"/>
        <v>1st Shift</v>
      </c>
    </row>
    <row r="1812" spans="1:11" x14ac:dyDescent="0.25">
      <c r="A1812" s="1">
        <v>1811</v>
      </c>
      <c r="B1812" s="1">
        <v>15</v>
      </c>
      <c r="C1812" s="3">
        <v>15115271569251</v>
      </c>
      <c r="D1812" s="2">
        <v>44465.4375</v>
      </c>
      <c r="E1812" s="2">
        <v>44465.534722222219</v>
      </c>
      <c r="F1812" s="23">
        <f t="shared" si="84"/>
        <v>9.7222222218988463E-2</v>
      </c>
      <c r="G1812" s="24">
        <f t="shared" si="86"/>
        <v>128.57142857570506</v>
      </c>
      <c r="H1812" s="1" t="s">
        <v>1</v>
      </c>
      <c r="I1812" s="4" t="s">
        <v>3</v>
      </c>
      <c r="J1812" s="14">
        <v>0.4375</v>
      </c>
      <c r="K1812" s="20" t="str">
        <f t="shared" si="85"/>
        <v>1st Shift</v>
      </c>
    </row>
    <row r="1813" spans="1:11" x14ac:dyDescent="0.25">
      <c r="A1813" s="1">
        <v>1812</v>
      </c>
      <c r="B1813" s="1">
        <v>13</v>
      </c>
      <c r="C1813" s="3">
        <v>13115271591207</v>
      </c>
      <c r="D1813" s="2">
        <v>44465.4375</v>
      </c>
      <c r="E1813" s="2">
        <v>44465.534722222219</v>
      </c>
      <c r="F1813" s="23">
        <f t="shared" si="84"/>
        <v>9.7222222218988463E-2</v>
      </c>
      <c r="G1813" s="24">
        <f t="shared" si="86"/>
        <v>128.57142857570506</v>
      </c>
      <c r="H1813" s="1" t="s">
        <v>1</v>
      </c>
      <c r="I1813" s="4" t="s">
        <v>3</v>
      </c>
      <c r="J1813" s="14">
        <v>0.4375</v>
      </c>
      <c r="K1813" s="20" t="str">
        <f t="shared" si="85"/>
        <v>1st Shift</v>
      </c>
    </row>
    <row r="1814" spans="1:11" x14ac:dyDescent="0.25">
      <c r="A1814" s="1">
        <v>1813</v>
      </c>
      <c r="B1814" s="1">
        <v>13</v>
      </c>
      <c r="C1814" s="3">
        <v>13115271591204</v>
      </c>
      <c r="D1814" s="2">
        <v>44465.4375</v>
      </c>
      <c r="E1814" s="2">
        <v>44465.534722222219</v>
      </c>
      <c r="F1814" s="23">
        <f t="shared" si="84"/>
        <v>9.7222222218988463E-2</v>
      </c>
      <c r="G1814" s="24">
        <f t="shared" si="86"/>
        <v>128.57142857570506</v>
      </c>
      <c r="H1814" s="1" t="s">
        <v>1</v>
      </c>
      <c r="I1814" s="4" t="s">
        <v>3</v>
      </c>
      <c r="J1814" s="14">
        <v>0.4375</v>
      </c>
      <c r="K1814" s="20" t="str">
        <f t="shared" si="85"/>
        <v>1st Shift</v>
      </c>
    </row>
    <row r="1815" spans="1:11" x14ac:dyDescent="0.25">
      <c r="A1815" s="1">
        <v>1814</v>
      </c>
      <c r="B1815" s="1">
        <v>7</v>
      </c>
      <c r="C1815" s="3">
        <v>7115271766029</v>
      </c>
      <c r="D1815" s="2">
        <v>44465.4375</v>
      </c>
      <c r="E1815" s="2">
        <v>44465.534722222219</v>
      </c>
      <c r="F1815" s="23">
        <f t="shared" si="84"/>
        <v>9.7222222218988463E-2</v>
      </c>
      <c r="G1815" s="24">
        <f t="shared" si="86"/>
        <v>128.57142857570506</v>
      </c>
      <c r="H1815" s="1" t="s">
        <v>1</v>
      </c>
      <c r="I1815" s="4" t="s">
        <v>2</v>
      </c>
      <c r="J1815" s="14">
        <v>0.4375</v>
      </c>
      <c r="K1815" s="20" t="str">
        <f t="shared" si="85"/>
        <v>1st Shift</v>
      </c>
    </row>
    <row r="1816" spans="1:11" x14ac:dyDescent="0.25">
      <c r="A1816" s="1">
        <v>1815</v>
      </c>
      <c r="B1816" s="1">
        <v>7</v>
      </c>
      <c r="C1816" s="3">
        <v>7115271766028</v>
      </c>
      <c r="D1816" s="2">
        <v>44465.4375</v>
      </c>
      <c r="E1816" s="2">
        <v>44465.534722222219</v>
      </c>
      <c r="F1816" s="23">
        <f t="shared" si="84"/>
        <v>9.7222222218988463E-2</v>
      </c>
      <c r="G1816" s="24">
        <f t="shared" si="86"/>
        <v>128.57142857570506</v>
      </c>
      <c r="H1816" s="1" t="s">
        <v>1</v>
      </c>
      <c r="I1816" s="4" t="s">
        <v>3</v>
      </c>
      <c r="J1816" s="14">
        <v>0.4375</v>
      </c>
      <c r="K1816" s="20" t="str">
        <f t="shared" si="85"/>
        <v>1st Shift</v>
      </c>
    </row>
    <row r="1817" spans="1:11" x14ac:dyDescent="0.25">
      <c r="A1817" s="1">
        <v>1816</v>
      </c>
      <c r="B1817" s="1">
        <v>7</v>
      </c>
      <c r="C1817" s="3">
        <v>7115271766024</v>
      </c>
      <c r="D1817" s="2">
        <v>44465.4375</v>
      </c>
      <c r="E1817" s="2">
        <v>44465.534722222219</v>
      </c>
      <c r="F1817" s="23">
        <f t="shared" si="84"/>
        <v>9.7222222218988463E-2</v>
      </c>
      <c r="G1817" s="24">
        <f t="shared" si="86"/>
        <v>128.57142857570506</v>
      </c>
      <c r="H1817" s="1" t="s">
        <v>1</v>
      </c>
      <c r="I1817" s="4" t="s">
        <v>2</v>
      </c>
      <c r="J1817" s="14">
        <v>0.4375</v>
      </c>
      <c r="K1817" s="20" t="str">
        <f t="shared" si="85"/>
        <v>1st Shift</v>
      </c>
    </row>
    <row r="1818" spans="1:11" x14ac:dyDescent="0.25">
      <c r="A1818" s="1">
        <v>1817</v>
      </c>
      <c r="B1818" s="1">
        <v>7</v>
      </c>
      <c r="C1818" s="3">
        <v>7115271766019</v>
      </c>
      <c r="D1818" s="2">
        <v>44465.4375</v>
      </c>
      <c r="E1818" s="2">
        <v>44465.534722222219</v>
      </c>
      <c r="F1818" s="23">
        <f t="shared" si="84"/>
        <v>9.7222222218988463E-2</v>
      </c>
      <c r="G1818" s="24">
        <f t="shared" si="86"/>
        <v>128.57142857570506</v>
      </c>
      <c r="H1818" s="1" t="s">
        <v>1</v>
      </c>
      <c r="I1818" s="4" t="s">
        <v>2</v>
      </c>
      <c r="J1818" s="14">
        <v>0.4375</v>
      </c>
      <c r="K1818" s="20" t="str">
        <f t="shared" si="85"/>
        <v>1st Shift</v>
      </c>
    </row>
    <row r="1819" spans="1:11" x14ac:dyDescent="0.25">
      <c r="A1819" s="1">
        <v>1818</v>
      </c>
      <c r="B1819" s="1">
        <v>7</v>
      </c>
      <c r="C1819" s="3">
        <v>7115271766010</v>
      </c>
      <c r="D1819" s="2">
        <v>44465.4375</v>
      </c>
      <c r="E1819" s="2">
        <v>44465.534722222219</v>
      </c>
      <c r="F1819" s="23">
        <f t="shared" si="84"/>
        <v>9.7222222218988463E-2</v>
      </c>
      <c r="G1819" s="24">
        <f t="shared" si="86"/>
        <v>128.57142857570506</v>
      </c>
      <c r="H1819" s="1" t="s">
        <v>1</v>
      </c>
      <c r="I1819" s="4" t="s">
        <v>2</v>
      </c>
      <c r="J1819" s="14">
        <v>0.4375</v>
      </c>
      <c r="K1819" s="20" t="str">
        <f t="shared" si="85"/>
        <v>1st Shift</v>
      </c>
    </row>
    <row r="1820" spans="1:11" x14ac:dyDescent="0.25">
      <c r="A1820" s="1">
        <v>1819</v>
      </c>
      <c r="B1820" s="1">
        <v>5</v>
      </c>
      <c r="C1820" s="3">
        <v>5115270974209</v>
      </c>
      <c r="D1820" s="2">
        <v>44465.4375</v>
      </c>
      <c r="E1820" s="2">
        <v>44465.534722222219</v>
      </c>
      <c r="F1820" s="23">
        <f t="shared" si="84"/>
        <v>9.7222222218988463E-2</v>
      </c>
      <c r="G1820" s="24">
        <f t="shared" si="86"/>
        <v>128.57142857570506</v>
      </c>
      <c r="H1820" s="1" t="s">
        <v>1</v>
      </c>
      <c r="I1820" s="4" t="s">
        <v>2</v>
      </c>
      <c r="J1820" s="14">
        <v>0.4375</v>
      </c>
      <c r="K1820" s="20" t="str">
        <f t="shared" si="85"/>
        <v>1st Shift</v>
      </c>
    </row>
    <row r="1821" spans="1:11" x14ac:dyDescent="0.25">
      <c r="A1821" s="1">
        <v>1820</v>
      </c>
      <c r="B1821" s="1">
        <v>5</v>
      </c>
      <c r="C1821" s="3">
        <v>5115270974205</v>
      </c>
      <c r="D1821" s="2">
        <v>44465.4375</v>
      </c>
      <c r="E1821" s="2">
        <v>44465.534722222219</v>
      </c>
      <c r="F1821" s="23">
        <f t="shared" si="84"/>
        <v>9.7222222218988463E-2</v>
      </c>
      <c r="G1821" s="24">
        <f t="shared" si="86"/>
        <v>128.57142857570506</v>
      </c>
      <c r="H1821" s="1" t="s">
        <v>1</v>
      </c>
      <c r="I1821" s="4" t="s">
        <v>2</v>
      </c>
      <c r="J1821" s="14">
        <v>0.4375</v>
      </c>
      <c r="K1821" s="20" t="str">
        <f t="shared" si="85"/>
        <v>1st Shift</v>
      </c>
    </row>
    <row r="1822" spans="1:11" x14ac:dyDescent="0.25">
      <c r="A1822" s="1">
        <v>1821</v>
      </c>
      <c r="B1822" s="1">
        <v>1</v>
      </c>
      <c r="C1822" s="3">
        <v>1115270087207</v>
      </c>
      <c r="D1822" s="2">
        <v>44465.4375</v>
      </c>
      <c r="E1822" s="2">
        <v>44465.534722222219</v>
      </c>
      <c r="F1822" s="23">
        <f t="shared" si="84"/>
        <v>9.7222222218988463E-2</v>
      </c>
      <c r="G1822" s="24">
        <f t="shared" si="86"/>
        <v>128.57142857570506</v>
      </c>
      <c r="H1822" s="1" t="s">
        <v>1</v>
      </c>
      <c r="I1822" s="4" t="s">
        <v>3</v>
      </c>
      <c r="J1822" s="14">
        <v>0.4375</v>
      </c>
      <c r="K1822" s="20" t="str">
        <f t="shared" si="85"/>
        <v>1st Shift</v>
      </c>
    </row>
    <row r="1823" spans="1:11" x14ac:dyDescent="0.25">
      <c r="A1823" s="1">
        <v>1822</v>
      </c>
      <c r="B1823" s="1">
        <v>1</v>
      </c>
      <c r="C1823" s="3">
        <v>1115270087200</v>
      </c>
      <c r="D1823" s="2">
        <v>44465.4375</v>
      </c>
      <c r="E1823" s="2">
        <v>44465.534722222219</v>
      </c>
      <c r="F1823" s="23">
        <f t="shared" si="84"/>
        <v>9.7222222218988463E-2</v>
      </c>
      <c r="G1823" s="24">
        <f t="shared" si="86"/>
        <v>128.57142857570506</v>
      </c>
      <c r="H1823" s="1" t="s">
        <v>1</v>
      </c>
      <c r="I1823" s="4" t="s">
        <v>8</v>
      </c>
      <c r="J1823" s="14">
        <v>0.4375</v>
      </c>
      <c r="K1823" s="20" t="str">
        <f t="shared" si="85"/>
        <v>1st Shift</v>
      </c>
    </row>
    <row r="1824" spans="1:11" x14ac:dyDescent="0.25">
      <c r="A1824" s="1">
        <v>1823</v>
      </c>
      <c r="B1824" s="1">
        <v>1</v>
      </c>
      <c r="C1824" s="3">
        <v>1115271094101</v>
      </c>
      <c r="D1824" s="2">
        <v>44465.659722222219</v>
      </c>
      <c r="E1824" s="2">
        <v>44465.798611111109</v>
      </c>
      <c r="F1824" s="23">
        <f t="shared" si="84"/>
        <v>0.13888888889050577</v>
      </c>
      <c r="G1824" s="24">
        <f t="shared" si="86"/>
        <v>89.999999998952262</v>
      </c>
      <c r="H1824" s="1" t="s">
        <v>1</v>
      </c>
      <c r="I1824" s="4" t="s">
        <v>2</v>
      </c>
      <c r="J1824" s="14">
        <v>0.65972222222222221</v>
      </c>
      <c r="K1824" s="20" t="str">
        <f t="shared" si="85"/>
        <v>2nd Shift</v>
      </c>
    </row>
    <row r="1825" spans="1:11" x14ac:dyDescent="0.25">
      <c r="A1825" s="1">
        <v>1824</v>
      </c>
      <c r="B1825" s="1">
        <v>7</v>
      </c>
      <c r="C1825" s="3">
        <v>7115271806296</v>
      </c>
      <c r="D1825" s="2">
        <v>44465.802083333336</v>
      </c>
      <c r="E1825" s="2">
        <v>44465.84375</v>
      </c>
      <c r="F1825" s="23">
        <f t="shared" si="84"/>
        <v>4.1666666664241347E-2</v>
      </c>
      <c r="G1825" s="24">
        <f t="shared" si="86"/>
        <v>300.0000000174623</v>
      </c>
      <c r="H1825" s="1" t="s">
        <v>1</v>
      </c>
      <c r="I1825" s="4" t="s">
        <v>2</v>
      </c>
      <c r="J1825" s="14">
        <v>0.80208333333333337</v>
      </c>
      <c r="K1825" s="20" t="str">
        <f t="shared" si="85"/>
        <v>2nd Shift</v>
      </c>
    </row>
    <row r="1826" spans="1:11" x14ac:dyDescent="0.25">
      <c r="A1826" s="1">
        <v>1825</v>
      </c>
      <c r="B1826" s="1">
        <v>2</v>
      </c>
      <c r="C1826" s="3">
        <v>2115270228806</v>
      </c>
      <c r="D1826" s="2">
        <v>44465.802083333336</v>
      </c>
      <c r="E1826" s="2">
        <v>44465.84375</v>
      </c>
      <c r="F1826" s="23">
        <f t="shared" si="84"/>
        <v>4.1666666664241347E-2</v>
      </c>
      <c r="G1826" s="24">
        <f t="shared" si="86"/>
        <v>300.0000000174623</v>
      </c>
      <c r="H1826" s="1" t="s">
        <v>1</v>
      </c>
      <c r="I1826" s="4" t="s">
        <v>2</v>
      </c>
      <c r="J1826" s="14">
        <v>0.80208333333333337</v>
      </c>
      <c r="K1826" s="20" t="str">
        <f t="shared" si="85"/>
        <v>2nd Shift</v>
      </c>
    </row>
    <row r="1827" spans="1:11" x14ac:dyDescent="0.25">
      <c r="A1827" s="1">
        <v>1826</v>
      </c>
      <c r="B1827" s="1">
        <v>10</v>
      </c>
      <c r="C1827" s="3">
        <v>10115271959105</v>
      </c>
      <c r="D1827" s="2">
        <v>44466.354166666664</v>
      </c>
      <c r="E1827" s="2">
        <v>44466.392361111109</v>
      </c>
      <c r="F1827" s="23">
        <f t="shared" si="84"/>
        <v>3.8194444445252884E-2</v>
      </c>
      <c r="G1827" s="24">
        <f t="shared" si="86"/>
        <v>327.27272726580009</v>
      </c>
      <c r="H1827" s="1" t="s">
        <v>1</v>
      </c>
      <c r="I1827" s="4" t="s">
        <v>2</v>
      </c>
      <c r="J1827" s="14">
        <v>0.35416666666666669</v>
      </c>
      <c r="K1827" s="20" t="str">
        <f t="shared" si="85"/>
        <v>1st Shift</v>
      </c>
    </row>
    <row r="1828" spans="1:11" x14ac:dyDescent="0.25">
      <c r="A1828" s="1">
        <v>1827</v>
      </c>
      <c r="B1828" s="1">
        <v>10</v>
      </c>
      <c r="C1828" s="3">
        <v>10115271959100</v>
      </c>
      <c r="D1828" s="2">
        <v>44466.354166666664</v>
      </c>
      <c r="E1828" s="2">
        <v>44466.392361111109</v>
      </c>
      <c r="F1828" s="23">
        <f t="shared" si="84"/>
        <v>3.8194444445252884E-2</v>
      </c>
      <c r="G1828" s="24">
        <f t="shared" si="86"/>
        <v>327.27272726580009</v>
      </c>
      <c r="H1828" s="1" t="s">
        <v>1</v>
      </c>
      <c r="I1828" s="4" t="s">
        <v>2</v>
      </c>
      <c r="J1828" s="14">
        <v>0.35416666666666669</v>
      </c>
      <c r="K1828" s="20" t="str">
        <f t="shared" si="85"/>
        <v>1st Shift</v>
      </c>
    </row>
    <row r="1829" spans="1:11" x14ac:dyDescent="0.25">
      <c r="A1829" s="1">
        <v>1828</v>
      </c>
      <c r="B1829" s="1">
        <v>5</v>
      </c>
      <c r="C1829" s="3">
        <v>5115270973802</v>
      </c>
      <c r="D1829" s="2">
        <v>44466.354166666664</v>
      </c>
      <c r="E1829" s="2">
        <v>44466.392361111109</v>
      </c>
      <c r="F1829" s="23">
        <f t="shared" si="84"/>
        <v>3.8194444445252884E-2</v>
      </c>
      <c r="G1829" s="24">
        <f t="shared" si="86"/>
        <v>327.27272726580009</v>
      </c>
      <c r="H1829" s="1" t="s">
        <v>1</v>
      </c>
      <c r="I1829" s="4" t="s">
        <v>2</v>
      </c>
      <c r="J1829" s="14">
        <v>0.35416666666666669</v>
      </c>
      <c r="K1829" s="20" t="str">
        <f t="shared" si="85"/>
        <v>1st Shift</v>
      </c>
    </row>
    <row r="1830" spans="1:11" x14ac:dyDescent="0.25">
      <c r="A1830" s="1">
        <v>1829</v>
      </c>
      <c r="B1830" s="1">
        <v>5</v>
      </c>
      <c r="C1830" s="3">
        <v>5115270973801</v>
      </c>
      <c r="D1830" s="2">
        <v>44466.354166666664</v>
      </c>
      <c r="E1830" s="2">
        <v>44466.392361111109</v>
      </c>
      <c r="F1830" s="23">
        <f t="shared" si="84"/>
        <v>3.8194444445252884E-2</v>
      </c>
      <c r="G1830" s="24">
        <f t="shared" si="86"/>
        <v>327.27272726580009</v>
      </c>
      <c r="H1830" s="1" t="s">
        <v>1</v>
      </c>
      <c r="I1830" s="4" t="s">
        <v>2</v>
      </c>
      <c r="J1830" s="14">
        <v>0.35416666666666669</v>
      </c>
      <c r="K1830" s="20" t="str">
        <f t="shared" si="85"/>
        <v>1st Shift</v>
      </c>
    </row>
    <row r="1831" spans="1:11" x14ac:dyDescent="0.25">
      <c r="A1831" s="1">
        <v>1830</v>
      </c>
      <c r="B1831" s="1">
        <v>7</v>
      </c>
      <c r="C1831" s="3">
        <v>7115271797901</v>
      </c>
      <c r="D1831" s="2">
        <v>44466.46875</v>
      </c>
      <c r="E1831" s="2">
        <v>44466.572916666664</v>
      </c>
      <c r="F1831" s="23">
        <f t="shared" si="84"/>
        <v>0.10416666666424135</v>
      </c>
      <c r="G1831" s="24">
        <f t="shared" si="86"/>
        <v>120.00000000279397</v>
      </c>
      <c r="H1831" s="1" t="s">
        <v>1</v>
      </c>
      <c r="I1831" s="4" t="s">
        <v>3</v>
      </c>
      <c r="J1831" s="14">
        <v>0.46875</v>
      </c>
      <c r="K1831" s="20" t="str">
        <f t="shared" si="85"/>
        <v>1st Shift</v>
      </c>
    </row>
    <row r="1832" spans="1:11" x14ac:dyDescent="0.25">
      <c r="A1832" s="1">
        <v>1831</v>
      </c>
      <c r="B1832" s="1">
        <v>7</v>
      </c>
      <c r="C1832" s="3">
        <v>7115271797900</v>
      </c>
      <c r="D1832" s="2">
        <v>44466.46875</v>
      </c>
      <c r="E1832" s="2">
        <v>44466.572916666664</v>
      </c>
      <c r="F1832" s="23">
        <f t="shared" si="84"/>
        <v>0.10416666666424135</v>
      </c>
      <c r="G1832" s="24">
        <f t="shared" si="86"/>
        <v>120.00000000279397</v>
      </c>
      <c r="H1832" s="1" t="s">
        <v>1</v>
      </c>
      <c r="I1832" s="4" t="s">
        <v>3</v>
      </c>
      <c r="J1832" s="14">
        <v>0.46875</v>
      </c>
      <c r="K1832" s="20" t="str">
        <f t="shared" si="85"/>
        <v>1st Shift</v>
      </c>
    </row>
    <row r="1833" spans="1:11" x14ac:dyDescent="0.25">
      <c r="A1833" s="1">
        <v>1832</v>
      </c>
      <c r="B1833" s="1">
        <v>3</v>
      </c>
      <c r="C1833" s="3">
        <v>3115270306609</v>
      </c>
      <c r="D1833" s="2">
        <v>44466.46875</v>
      </c>
      <c r="E1833" s="2">
        <v>44466.572916666664</v>
      </c>
      <c r="F1833" s="23">
        <f t="shared" si="84"/>
        <v>0.10416666666424135</v>
      </c>
      <c r="G1833" s="24">
        <f t="shared" si="86"/>
        <v>120.00000000279397</v>
      </c>
      <c r="H1833" s="1" t="s">
        <v>1</v>
      </c>
      <c r="I1833" s="4" t="s">
        <v>2</v>
      </c>
      <c r="J1833" s="14">
        <v>0.46875</v>
      </c>
      <c r="K1833" s="20" t="str">
        <f t="shared" si="85"/>
        <v>1st Shift</v>
      </c>
    </row>
    <row r="1834" spans="1:11" x14ac:dyDescent="0.25">
      <c r="A1834" s="1">
        <v>1833</v>
      </c>
      <c r="B1834" s="1">
        <v>3</v>
      </c>
      <c r="C1834" s="3">
        <v>3115270306601</v>
      </c>
      <c r="D1834" s="2">
        <v>44466.46875</v>
      </c>
      <c r="E1834" s="2">
        <v>44466.572916666664</v>
      </c>
      <c r="F1834" s="23">
        <f t="shared" si="84"/>
        <v>0.10416666666424135</v>
      </c>
      <c r="G1834" s="24">
        <f t="shared" si="86"/>
        <v>120.00000000279397</v>
      </c>
      <c r="H1834" s="1" t="s">
        <v>1</v>
      </c>
      <c r="I1834" s="4" t="s">
        <v>2</v>
      </c>
      <c r="J1834" s="14">
        <v>0.46875</v>
      </c>
      <c r="K1834" s="20" t="str">
        <f t="shared" si="85"/>
        <v>1st Shift</v>
      </c>
    </row>
    <row r="1835" spans="1:11" x14ac:dyDescent="0.25">
      <c r="A1835" s="1">
        <v>1834</v>
      </c>
      <c r="B1835" s="1">
        <v>15</v>
      </c>
      <c r="C1835" s="3">
        <v>15115271791208</v>
      </c>
      <c r="D1835" s="2">
        <v>44466.756944444445</v>
      </c>
      <c r="E1835" s="2">
        <v>44466.8125</v>
      </c>
      <c r="F1835" s="23">
        <f t="shared" si="84"/>
        <v>5.5555555554747116E-2</v>
      </c>
      <c r="G1835" s="24">
        <f t="shared" si="86"/>
        <v>225.00000000327418</v>
      </c>
      <c r="H1835" s="1" t="s">
        <v>1</v>
      </c>
      <c r="I1835" s="4" t="s">
        <v>2</v>
      </c>
      <c r="J1835" s="14">
        <v>0.75694444444444442</v>
      </c>
      <c r="K1835" s="20" t="str">
        <f t="shared" si="85"/>
        <v>2nd Shift</v>
      </c>
    </row>
    <row r="1836" spans="1:11" x14ac:dyDescent="0.25">
      <c r="A1836" s="1">
        <v>1835</v>
      </c>
      <c r="B1836" s="1">
        <v>15</v>
      </c>
      <c r="C1836" s="3">
        <v>15115271791206</v>
      </c>
      <c r="D1836" s="2">
        <v>44466.756944444445</v>
      </c>
      <c r="E1836" s="2">
        <v>44466.8125</v>
      </c>
      <c r="F1836" s="23">
        <f t="shared" si="84"/>
        <v>5.5555555554747116E-2</v>
      </c>
      <c r="G1836" s="24">
        <f t="shared" si="86"/>
        <v>225.00000000327418</v>
      </c>
      <c r="H1836" s="1" t="s">
        <v>1</v>
      </c>
      <c r="I1836" s="4" t="s">
        <v>3</v>
      </c>
      <c r="J1836" s="14">
        <v>0.75694444444444442</v>
      </c>
      <c r="K1836" s="20" t="str">
        <f t="shared" si="85"/>
        <v>2nd Shift</v>
      </c>
    </row>
    <row r="1837" spans="1:11" x14ac:dyDescent="0.25">
      <c r="A1837" s="1">
        <v>1836</v>
      </c>
      <c r="B1837" s="1">
        <v>2</v>
      </c>
      <c r="C1837" s="3">
        <v>2115270217802</v>
      </c>
      <c r="D1837" s="2">
        <v>44466.756944444445</v>
      </c>
      <c r="E1837" s="2">
        <v>44466.8125</v>
      </c>
      <c r="F1837" s="23">
        <f t="shared" si="84"/>
        <v>5.5555555554747116E-2</v>
      </c>
      <c r="G1837" s="24">
        <f t="shared" si="86"/>
        <v>225.00000000327418</v>
      </c>
      <c r="H1837" s="1" t="s">
        <v>1</v>
      </c>
      <c r="I1837" s="4" t="s">
        <v>3</v>
      </c>
      <c r="J1837" s="14">
        <v>0.75694444444444442</v>
      </c>
      <c r="K1837" s="20" t="str">
        <f t="shared" si="85"/>
        <v>2nd Shift</v>
      </c>
    </row>
    <row r="1838" spans="1:11" x14ac:dyDescent="0.25">
      <c r="A1838" s="1">
        <v>1837</v>
      </c>
      <c r="B1838" s="1">
        <v>2</v>
      </c>
      <c r="C1838" s="3">
        <v>2115270217800</v>
      </c>
      <c r="D1838" s="2">
        <v>44466.756944444445</v>
      </c>
      <c r="E1838" s="2">
        <v>44466.8125</v>
      </c>
      <c r="F1838" s="23">
        <f t="shared" si="84"/>
        <v>5.5555555554747116E-2</v>
      </c>
      <c r="G1838" s="24">
        <f t="shared" si="86"/>
        <v>225.00000000327418</v>
      </c>
      <c r="H1838" s="1" t="s">
        <v>1</v>
      </c>
      <c r="I1838" s="4" t="s">
        <v>3</v>
      </c>
      <c r="J1838" s="14">
        <v>0.75694444444444442</v>
      </c>
      <c r="K1838" s="20" t="str">
        <f t="shared" si="85"/>
        <v>2nd Shift</v>
      </c>
    </row>
    <row r="1839" spans="1:11" x14ac:dyDescent="0.25">
      <c r="A1839" s="1">
        <v>1838</v>
      </c>
      <c r="B1839" s="1">
        <v>13</v>
      </c>
      <c r="C1839" s="3">
        <v>13115271591310</v>
      </c>
      <c r="D1839" s="2">
        <v>44466.847222222219</v>
      </c>
      <c r="E1839" s="2">
        <v>44466.916666666664</v>
      </c>
      <c r="F1839" s="23">
        <f t="shared" si="84"/>
        <v>6.9444444445252884E-2</v>
      </c>
      <c r="G1839" s="24">
        <f t="shared" si="86"/>
        <v>179.99999999790452</v>
      </c>
      <c r="H1839" s="1" t="s">
        <v>1</v>
      </c>
      <c r="I1839" s="4" t="s">
        <v>2</v>
      </c>
      <c r="J1839" s="14">
        <v>0.84722222222222221</v>
      </c>
      <c r="K1839" s="20" t="str">
        <f t="shared" si="85"/>
        <v>2nd Shift</v>
      </c>
    </row>
    <row r="1840" spans="1:11" x14ac:dyDescent="0.25">
      <c r="A1840" s="1">
        <v>1839</v>
      </c>
      <c r="B1840" s="1">
        <v>13</v>
      </c>
      <c r="C1840" s="3">
        <v>13115271591302</v>
      </c>
      <c r="D1840" s="2">
        <v>44466.847222222219</v>
      </c>
      <c r="E1840" s="2">
        <v>44466.916666666664</v>
      </c>
      <c r="F1840" s="23">
        <f t="shared" si="84"/>
        <v>6.9444444445252884E-2</v>
      </c>
      <c r="G1840" s="24">
        <f t="shared" si="86"/>
        <v>179.99999999790452</v>
      </c>
      <c r="H1840" s="1" t="s">
        <v>1</v>
      </c>
      <c r="I1840" s="4" t="s">
        <v>3</v>
      </c>
      <c r="J1840" s="14">
        <v>0.84722222222222221</v>
      </c>
      <c r="K1840" s="20" t="str">
        <f t="shared" si="85"/>
        <v>2nd Shift</v>
      </c>
    </row>
    <row r="1841" spans="1:11" x14ac:dyDescent="0.25">
      <c r="A1841" s="1">
        <v>1840</v>
      </c>
      <c r="B1841" s="1">
        <v>13</v>
      </c>
      <c r="C1841" s="3">
        <v>13115271591300</v>
      </c>
      <c r="D1841" s="2">
        <v>44466.847222222219</v>
      </c>
      <c r="E1841" s="2">
        <v>44466.916666666664</v>
      </c>
      <c r="F1841" s="23">
        <f t="shared" si="84"/>
        <v>6.9444444445252884E-2</v>
      </c>
      <c r="G1841" s="24">
        <f t="shared" si="86"/>
        <v>179.99999999790452</v>
      </c>
      <c r="H1841" s="1" t="s">
        <v>1</v>
      </c>
      <c r="I1841" s="4" t="s">
        <v>3</v>
      </c>
      <c r="J1841" s="14">
        <v>0.84722222222222221</v>
      </c>
      <c r="K1841" s="20" t="str">
        <f t="shared" si="85"/>
        <v>2nd Shift</v>
      </c>
    </row>
    <row r="1842" spans="1:11" x14ac:dyDescent="0.25">
      <c r="A1842" s="1">
        <v>1841</v>
      </c>
      <c r="B1842" s="1">
        <v>3</v>
      </c>
      <c r="C1842" s="3">
        <v>3115270339904</v>
      </c>
      <c r="D1842" s="2">
        <v>44466.847222222219</v>
      </c>
      <c r="E1842" s="2">
        <v>44466.916666666664</v>
      </c>
      <c r="F1842" s="23">
        <f t="shared" si="84"/>
        <v>6.9444444445252884E-2</v>
      </c>
      <c r="G1842" s="24">
        <f t="shared" si="86"/>
        <v>179.99999999790452</v>
      </c>
      <c r="H1842" s="1" t="s">
        <v>1</v>
      </c>
      <c r="I1842" s="4" t="s">
        <v>3</v>
      </c>
      <c r="J1842" s="14">
        <v>0.84722222222222221</v>
      </c>
      <c r="K1842" s="20" t="str">
        <f t="shared" si="85"/>
        <v>2nd Shift</v>
      </c>
    </row>
    <row r="1843" spans="1:11" x14ac:dyDescent="0.25">
      <c r="A1843" s="1">
        <v>1842</v>
      </c>
      <c r="B1843" s="1">
        <v>3</v>
      </c>
      <c r="C1843" s="3">
        <v>3115270339900</v>
      </c>
      <c r="D1843" s="2">
        <v>44466.847222222219</v>
      </c>
      <c r="E1843" s="2">
        <v>44466.916666666664</v>
      </c>
      <c r="F1843" s="23">
        <f t="shared" si="84"/>
        <v>6.9444444445252884E-2</v>
      </c>
      <c r="G1843" s="24">
        <f t="shared" si="86"/>
        <v>179.99999999790452</v>
      </c>
      <c r="H1843" s="1" t="s">
        <v>1</v>
      </c>
      <c r="I1843" s="4" t="s">
        <v>3</v>
      </c>
      <c r="J1843" s="14">
        <v>0.84722222222222221</v>
      </c>
      <c r="K1843" s="20" t="str">
        <f t="shared" si="85"/>
        <v>2nd Shift</v>
      </c>
    </row>
    <row r="1844" spans="1:11" x14ac:dyDescent="0.25">
      <c r="A1844" s="1">
        <v>1843</v>
      </c>
      <c r="B1844" s="1">
        <v>11</v>
      </c>
      <c r="C1844" s="3">
        <v>11115271489700</v>
      </c>
      <c r="D1844" s="2">
        <v>44466.9375</v>
      </c>
      <c r="E1844" s="2">
        <v>44467.034722222219</v>
      </c>
      <c r="F1844" s="23">
        <f t="shared" si="84"/>
        <v>9.7222222218988463E-2</v>
      </c>
      <c r="G1844" s="24">
        <f t="shared" si="86"/>
        <v>128.57142857570506</v>
      </c>
      <c r="H1844" s="1" t="s">
        <v>1</v>
      </c>
      <c r="I1844" s="4" t="s">
        <v>3</v>
      </c>
      <c r="J1844" s="14">
        <v>0.9375</v>
      </c>
      <c r="K1844" s="20" t="str">
        <f t="shared" si="85"/>
        <v>3rd Shift</v>
      </c>
    </row>
    <row r="1845" spans="1:11" x14ac:dyDescent="0.25">
      <c r="A1845" s="1">
        <v>1844</v>
      </c>
      <c r="B1845" s="1">
        <v>9</v>
      </c>
      <c r="C1845" s="3">
        <v>9115271909215</v>
      </c>
      <c r="D1845" s="2">
        <v>44466.9375</v>
      </c>
      <c r="E1845" s="2">
        <v>44467.034722222219</v>
      </c>
      <c r="F1845" s="23">
        <f t="shared" si="84"/>
        <v>9.7222222218988463E-2</v>
      </c>
      <c r="G1845" s="24">
        <f t="shared" si="86"/>
        <v>128.57142857570506</v>
      </c>
      <c r="H1845" s="1" t="s">
        <v>1</v>
      </c>
      <c r="I1845" s="4" t="s">
        <v>3</v>
      </c>
      <c r="J1845" s="14">
        <v>0.9375</v>
      </c>
      <c r="K1845" s="20" t="str">
        <f t="shared" si="85"/>
        <v>3rd Shift</v>
      </c>
    </row>
    <row r="1846" spans="1:11" x14ac:dyDescent="0.25">
      <c r="A1846" s="1">
        <v>1845</v>
      </c>
      <c r="B1846" s="1">
        <v>9</v>
      </c>
      <c r="C1846" s="3">
        <v>9115271909205</v>
      </c>
      <c r="D1846" s="2">
        <v>44466.9375</v>
      </c>
      <c r="E1846" s="2">
        <v>44467.034722222219</v>
      </c>
      <c r="F1846" s="23">
        <f t="shared" si="84"/>
        <v>9.7222222218988463E-2</v>
      </c>
      <c r="G1846" s="24">
        <f t="shared" si="86"/>
        <v>128.57142857570506</v>
      </c>
      <c r="H1846" s="1" t="s">
        <v>1</v>
      </c>
      <c r="I1846" s="4" t="s">
        <v>2</v>
      </c>
      <c r="J1846" s="14">
        <v>0.9375</v>
      </c>
      <c r="K1846" s="20" t="str">
        <f t="shared" si="85"/>
        <v>3rd Shift</v>
      </c>
    </row>
    <row r="1847" spans="1:11" x14ac:dyDescent="0.25">
      <c r="A1847" s="1">
        <v>1846</v>
      </c>
      <c r="B1847" s="1">
        <v>3</v>
      </c>
      <c r="C1847" s="3">
        <v>3115270305711</v>
      </c>
      <c r="D1847" s="2">
        <v>44466.9375</v>
      </c>
      <c r="E1847" s="2">
        <v>44467.034722222219</v>
      </c>
      <c r="F1847" s="23">
        <f t="shared" si="84"/>
        <v>9.7222222218988463E-2</v>
      </c>
      <c r="G1847" s="24">
        <f t="shared" si="86"/>
        <v>128.57142857570506</v>
      </c>
      <c r="H1847" s="1" t="s">
        <v>1</v>
      </c>
      <c r="I1847" s="4" t="s">
        <v>2</v>
      </c>
      <c r="J1847" s="14">
        <v>0.9375</v>
      </c>
      <c r="K1847" s="20" t="str">
        <f t="shared" si="85"/>
        <v>3rd Shift</v>
      </c>
    </row>
    <row r="1848" spans="1:11" x14ac:dyDescent="0.25">
      <c r="A1848" s="1">
        <v>1847</v>
      </c>
      <c r="B1848" s="1">
        <v>3</v>
      </c>
      <c r="C1848" s="3">
        <v>3115270305709</v>
      </c>
      <c r="D1848" s="2">
        <v>44466.9375</v>
      </c>
      <c r="E1848" s="2">
        <v>44467.034722222219</v>
      </c>
      <c r="F1848" s="23">
        <f t="shared" si="84"/>
        <v>9.7222222218988463E-2</v>
      </c>
      <c r="G1848" s="24">
        <f t="shared" si="86"/>
        <v>128.57142857570506</v>
      </c>
      <c r="H1848" s="1" t="s">
        <v>1</v>
      </c>
      <c r="I1848" s="4" t="s">
        <v>2</v>
      </c>
      <c r="J1848" s="14">
        <v>0.9375</v>
      </c>
      <c r="K1848" s="20" t="str">
        <f t="shared" si="85"/>
        <v>3rd Shift</v>
      </c>
    </row>
    <row r="1849" spans="1:11" x14ac:dyDescent="0.25">
      <c r="A1849" s="1">
        <v>1848</v>
      </c>
      <c r="B1849" s="1">
        <v>3</v>
      </c>
      <c r="C1849" s="3">
        <v>3115270305701</v>
      </c>
      <c r="D1849" s="2">
        <v>44466.9375</v>
      </c>
      <c r="E1849" s="2">
        <v>44467.034722222219</v>
      </c>
      <c r="F1849" s="23">
        <f t="shared" si="84"/>
        <v>9.7222222218988463E-2</v>
      </c>
      <c r="G1849" s="24">
        <f t="shared" si="86"/>
        <v>128.57142857570506</v>
      </c>
      <c r="H1849" s="1" t="s">
        <v>1</v>
      </c>
      <c r="I1849" s="4" t="s">
        <v>2</v>
      </c>
      <c r="J1849" s="14">
        <v>0.9375</v>
      </c>
      <c r="K1849" s="20" t="str">
        <f t="shared" si="85"/>
        <v>3rd Shift</v>
      </c>
    </row>
    <row r="1850" spans="1:11" x14ac:dyDescent="0.25">
      <c r="A1850" s="1">
        <v>1849</v>
      </c>
      <c r="B1850" s="1">
        <v>6</v>
      </c>
      <c r="C1850" s="3">
        <v>6115271733509</v>
      </c>
      <c r="D1850" s="2">
        <v>44467.791666666664</v>
      </c>
      <c r="E1850" s="2">
        <v>44467.895833333336</v>
      </c>
      <c r="F1850" s="23">
        <f t="shared" si="84"/>
        <v>0.10416666667151731</v>
      </c>
      <c r="G1850" s="24">
        <f t="shared" si="86"/>
        <v>119.99999999441206</v>
      </c>
      <c r="H1850" s="1" t="s">
        <v>1</v>
      </c>
      <c r="I1850" s="4" t="s">
        <v>2</v>
      </c>
      <c r="J1850" s="14">
        <v>0.79166666666666663</v>
      </c>
      <c r="K1850" s="20" t="str">
        <f t="shared" si="85"/>
        <v>2nd Shift</v>
      </c>
    </row>
    <row r="1851" spans="1:11" x14ac:dyDescent="0.25">
      <c r="A1851" s="1">
        <v>1850</v>
      </c>
      <c r="B1851" s="1">
        <v>6</v>
      </c>
      <c r="C1851" s="3">
        <v>6115271733505</v>
      </c>
      <c r="D1851" s="2">
        <v>44467.791666666664</v>
      </c>
      <c r="E1851" s="2">
        <v>44467.895833333336</v>
      </c>
      <c r="F1851" s="23">
        <f t="shared" si="84"/>
        <v>0.10416666667151731</v>
      </c>
      <c r="G1851" s="24">
        <f t="shared" si="86"/>
        <v>119.99999999441206</v>
      </c>
      <c r="H1851" s="1" t="s">
        <v>1</v>
      </c>
      <c r="I1851" s="4" t="s">
        <v>2</v>
      </c>
      <c r="J1851" s="14">
        <v>0.79166666666666663</v>
      </c>
      <c r="K1851" s="20" t="str">
        <f t="shared" si="85"/>
        <v>2nd Shift</v>
      </c>
    </row>
    <row r="1852" spans="1:11" x14ac:dyDescent="0.25">
      <c r="A1852" s="1">
        <v>1851</v>
      </c>
      <c r="B1852" s="1">
        <v>6</v>
      </c>
      <c r="C1852" s="3">
        <v>6115271733504</v>
      </c>
      <c r="D1852" s="2">
        <v>44467.791666666664</v>
      </c>
      <c r="E1852" s="2">
        <v>44467.895833333336</v>
      </c>
      <c r="F1852" s="23">
        <f t="shared" si="84"/>
        <v>0.10416666667151731</v>
      </c>
      <c r="G1852" s="24">
        <f t="shared" si="86"/>
        <v>119.99999999441206</v>
      </c>
      <c r="H1852" s="1" t="s">
        <v>1</v>
      </c>
      <c r="I1852" s="4" t="s">
        <v>3</v>
      </c>
      <c r="J1852" s="14">
        <v>0.79166666666666663</v>
      </c>
      <c r="K1852" s="20" t="str">
        <f t="shared" si="85"/>
        <v>2nd Shift</v>
      </c>
    </row>
    <row r="1853" spans="1:11" x14ac:dyDescent="0.25">
      <c r="A1853" s="1">
        <v>1852</v>
      </c>
      <c r="B1853" s="1">
        <v>6</v>
      </c>
      <c r="C1853" s="3">
        <v>6115271733503</v>
      </c>
      <c r="D1853" s="2">
        <v>44467.791666666664</v>
      </c>
      <c r="E1853" s="2">
        <v>44467.895833333336</v>
      </c>
      <c r="F1853" s="23">
        <f t="shared" si="84"/>
        <v>0.10416666667151731</v>
      </c>
      <c r="G1853" s="24">
        <f t="shared" si="86"/>
        <v>119.99999999441206</v>
      </c>
      <c r="H1853" s="1" t="s">
        <v>1</v>
      </c>
      <c r="I1853" s="4" t="s">
        <v>2</v>
      </c>
      <c r="J1853" s="14">
        <v>0.79166666666666663</v>
      </c>
      <c r="K1853" s="20" t="str">
        <f t="shared" si="85"/>
        <v>2nd Shift</v>
      </c>
    </row>
    <row r="1854" spans="1:11" x14ac:dyDescent="0.25">
      <c r="A1854" s="1">
        <v>1853</v>
      </c>
      <c r="B1854" s="1">
        <v>6</v>
      </c>
      <c r="C1854" s="3">
        <v>6115271720617</v>
      </c>
      <c r="D1854" s="2">
        <v>44467.791666666664</v>
      </c>
      <c r="E1854" s="2">
        <v>44467.895833333336</v>
      </c>
      <c r="F1854" s="23">
        <f t="shared" si="84"/>
        <v>0.10416666667151731</v>
      </c>
      <c r="G1854" s="24">
        <f t="shared" si="86"/>
        <v>119.99999999441206</v>
      </c>
      <c r="H1854" s="1" t="s">
        <v>1</v>
      </c>
      <c r="I1854" s="4" t="s">
        <v>2</v>
      </c>
      <c r="J1854" s="14">
        <v>0.79166666666666663</v>
      </c>
      <c r="K1854" s="20" t="str">
        <f t="shared" si="85"/>
        <v>2nd Shift</v>
      </c>
    </row>
    <row r="1855" spans="1:11" x14ac:dyDescent="0.25">
      <c r="A1855" s="1">
        <v>1854</v>
      </c>
      <c r="B1855" s="1">
        <v>6</v>
      </c>
      <c r="C1855" s="3">
        <v>6115271720608</v>
      </c>
      <c r="D1855" s="2">
        <v>44467.791666666664</v>
      </c>
      <c r="E1855" s="2">
        <v>44467.895833333336</v>
      </c>
      <c r="F1855" s="23">
        <f t="shared" si="84"/>
        <v>0.10416666667151731</v>
      </c>
      <c r="G1855" s="24">
        <f t="shared" si="86"/>
        <v>119.99999999441206</v>
      </c>
      <c r="H1855" s="1" t="s">
        <v>1</v>
      </c>
      <c r="I1855" s="4" t="s">
        <v>3</v>
      </c>
      <c r="J1855" s="14">
        <v>0.79166666666666663</v>
      </c>
      <c r="K1855" s="20" t="str">
        <f t="shared" si="85"/>
        <v>2nd Shift</v>
      </c>
    </row>
    <row r="1856" spans="1:11" x14ac:dyDescent="0.25">
      <c r="A1856" s="1">
        <v>1855</v>
      </c>
      <c r="B1856" s="1">
        <v>6</v>
      </c>
      <c r="C1856" s="3">
        <v>6115271720607</v>
      </c>
      <c r="D1856" s="2">
        <v>44467.791666666664</v>
      </c>
      <c r="E1856" s="2">
        <v>44467.895833333336</v>
      </c>
      <c r="F1856" s="23">
        <f t="shared" si="84"/>
        <v>0.10416666667151731</v>
      </c>
      <c r="G1856" s="24">
        <f t="shared" si="86"/>
        <v>119.99999999441206</v>
      </c>
      <c r="H1856" s="1" t="s">
        <v>1</v>
      </c>
      <c r="I1856" s="4" t="s">
        <v>3</v>
      </c>
      <c r="J1856" s="14">
        <v>0.79166666666666663</v>
      </c>
      <c r="K1856" s="20" t="str">
        <f t="shared" si="85"/>
        <v>2nd Shift</v>
      </c>
    </row>
    <row r="1857" spans="1:11" x14ac:dyDescent="0.25">
      <c r="A1857" s="1">
        <v>1856</v>
      </c>
      <c r="B1857" s="1">
        <v>3</v>
      </c>
      <c r="C1857" s="3">
        <v>3115270318310</v>
      </c>
      <c r="D1857" s="2">
        <v>44467.791666666664</v>
      </c>
      <c r="E1857" s="2">
        <v>44467.895833333336</v>
      </c>
      <c r="F1857" s="23">
        <f t="shared" si="84"/>
        <v>0.10416666667151731</v>
      </c>
      <c r="G1857" s="24">
        <f t="shared" si="86"/>
        <v>119.99999999441206</v>
      </c>
      <c r="H1857" s="1" t="s">
        <v>1</v>
      </c>
      <c r="I1857" s="4" t="s">
        <v>3</v>
      </c>
      <c r="J1857" s="14">
        <v>0.79166666666666663</v>
      </c>
      <c r="K1857" s="20" t="str">
        <f t="shared" si="85"/>
        <v>2nd Shift</v>
      </c>
    </row>
    <row r="1858" spans="1:11" x14ac:dyDescent="0.25">
      <c r="A1858" s="1">
        <v>1857</v>
      </c>
      <c r="B1858" s="1">
        <v>3</v>
      </c>
      <c r="C1858" s="3">
        <v>3115270318301</v>
      </c>
      <c r="D1858" s="2">
        <v>44467.791666666664</v>
      </c>
      <c r="E1858" s="2">
        <v>44467.895833333336</v>
      </c>
      <c r="F1858" s="23">
        <f t="shared" ref="F1858:F1921" si="87">E1858-D1858</f>
        <v>0.10416666667151731</v>
      </c>
      <c r="G1858" s="24">
        <f t="shared" si="86"/>
        <v>119.99999999441206</v>
      </c>
      <c r="H1858" s="1" t="s">
        <v>1</v>
      </c>
      <c r="I1858" s="4" t="s">
        <v>3</v>
      </c>
      <c r="J1858" s="14">
        <v>0.79166666666666663</v>
      </c>
      <c r="K1858" s="20" t="str">
        <f t="shared" ref="K1858:K1921" si="88">IF(AND(J1858&gt;=$M$3,J1858&lt;$M$4),"1st Shift",IF(AND(J1858&gt;=$M$4,J1858&lt;$M$5),"2nd Shift","3rd Shift"))</f>
        <v>2nd Shift</v>
      </c>
    </row>
    <row r="1859" spans="1:11" x14ac:dyDescent="0.25">
      <c r="A1859" s="1">
        <v>1858</v>
      </c>
      <c r="B1859" s="1">
        <v>3</v>
      </c>
      <c r="C1859" s="3">
        <v>3115270318300</v>
      </c>
      <c r="D1859" s="2">
        <v>44467.791666666664</v>
      </c>
      <c r="E1859" s="2">
        <v>44467.895833333336</v>
      </c>
      <c r="F1859" s="23">
        <f t="shared" si="87"/>
        <v>0.10416666667151731</v>
      </c>
      <c r="G1859" s="24">
        <f t="shared" ref="G1859:G1922" si="89">$M$9/F1859*100</f>
        <v>119.99999999441206</v>
      </c>
      <c r="H1859" s="1" t="s">
        <v>1</v>
      </c>
      <c r="I1859" s="4" t="s">
        <v>3</v>
      </c>
      <c r="J1859" s="14">
        <v>0.79166666666666663</v>
      </c>
      <c r="K1859" s="20" t="str">
        <f t="shared" si="88"/>
        <v>2nd Shift</v>
      </c>
    </row>
    <row r="1860" spans="1:11" x14ac:dyDescent="0.25">
      <c r="A1860" s="1">
        <v>1859</v>
      </c>
      <c r="B1860" s="1">
        <v>2</v>
      </c>
      <c r="C1860" s="3">
        <v>2115270291611</v>
      </c>
      <c r="D1860" s="2">
        <v>44467.791666666664</v>
      </c>
      <c r="E1860" s="2">
        <v>44467.895833333336</v>
      </c>
      <c r="F1860" s="23">
        <f t="shared" si="87"/>
        <v>0.10416666667151731</v>
      </c>
      <c r="G1860" s="24">
        <f t="shared" si="89"/>
        <v>119.99999999441206</v>
      </c>
      <c r="H1860" s="1" t="s">
        <v>1</v>
      </c>
      <c r="I1860" s="4" t="s">
        <v>2</v>
      </c>
      <c r="J1860" s="14">
        <v>0.79166666666666663</v>
      </c>
      <c r="K1860" s="20" t="str">
        <f t="shared" si="88"/>
        <v>2nd Shift</v>
      </c>
    </row>
    <row r="1861" spans="1:11" x14ac:dyDescent="0.25">
      <c r="A1861" s="1">
        <v>1860</v>
      </c>
      <c r="B1861" s="1">
        <v>2</v>
      </c>
      <c r="C1861" s="3">
        <v>2115270291602</v>
      </c>
      <c r="D1861" s="2">
        <v>44467.791666666664</v>
      </c>
      <c r="E1861" s="2">
        <v>44467.895833333336</v>
      </c>
      <c r="F1861" s="23">
        <f t="shared" si="87"/>
        <v>0.10416666667151731</v>
      </c>
      <c r="G1861" s="24">
        <f t="shared" si="89"/>
        <v>119.99999999441206</v>
      </c>
      <c r="H1861" s="1" t="s">
        <v>1</v>
      </c>
      <c r="I1861" s="4" t="s">
        <v>2</v>
      </c>
      <c r="J1861" s="14">
        <v>0.79166666666666663</v>
      </c>
      <c r="K1861" s="20" t="str">
        <f t="shared" si="88"/>
        <v>2nd Shift</v>
      </c>
    </row>
    <row r="1862" spans="1:11" x14ac:dyDescent="0.25">
      <c r="A1862" s="1">
        <v>1861</v>
      </c>
      <c r="B1862" s="1">
        <v>2</v>
      </c>
      <c r="C1862" s="3">
        <v>2115270291601</v>
      </c>
      <c r="D1862" s="2">
        <v>44467.791666666664</v>
      </c>
      <c r="E1862" s="2">
        <v>44467.895833333336</v>
      </c>
      <c r="F1862" s="23">
        <f t="shared" si="87"/>
        <v>0.10416666667151731</v>
      </c>
      <c r="G1862" s="24">
        <f t="shared" si="89"/>
        <v>119.99999999441206</v>
      </c>
      <c r="H1862" s="1" t="s">
        <v>1</v>
      </c>
      <c r="I1862" s="4" t="s">
        <v>3</v>
      </c>
      <c r="J1862" s="14">
        <v>0.79166666666666663</v>
      </c>
      <c r="K1862" s="20" t="str">
        <f t="shared" si="88"/>
        <v>2nd Shift</v>
      </c>
    </row>
    <row r="1863" spans="1:11" x14ac:dyDescent="0.25">
      <c r="A1863" s="1">
        <v>1862</v>
      </c>
      <c r="B1863" s="1">
        <v>6</v>
      </c>
      <c r="C1863" s="3">
        <v>6115271720609</v>
      </c>
      <c r="D1863" s="2">
        <v>44467.916666666664</v>
      </c>
      <c r="E1863" s="2">
        <v>44467.986111111109</v>
      </c>
      <c r="F1863" s="23">
        <f t="shared" si="87"/>
        <v>6.9444444445252884E-2</v>
      </c>
      <c r="G1863" s="24">
        <f t="shared" si="89"/>
        <v>179.99999999790452</v>
      </c>
      <c r="H1863" s="1" t="s">
        <v>1</v>
      </c>
      <c r="I1863" s="4" t="s">
        <v>3</v>
      </c>
      <c r="J1863" s="14">
        <v>0.91666666666666663</v>
      </c>
      <c r="K1863" s="20" t="str">
        <f t="shared" si="88"/>
        <v>2nd Shift</v>
      </c>
    </row>
    <row r="1864" spans="1:11" x14ac:dyDescent="0.25">
      <c r="A1864" s="1">
        <v>1863</v>
      </c>
      <c r="B1864" s="1">
        <v>6</v>
      </c>
      <c r="C1864" s="3">
        <v>6115271720605</v>
      </c>
      <c r="D1864" s="2">
        <v>44467.916666666664</v>
      </c>
      <c r="E1864" s="2">
        <v>44467.986111111109</v>
      </c>
      <c r="F1864" s="23">
        <f t="shared" si="87"/>
        <v>6.9444444445252884E-2</v>
      </c>
      <c r="G1864" s="24">
        <f t="shared" si="89"/>
        <v>179.99999999790452</v>
      </c>
      <c r="H1864" s="1" t="s">
        <v>1</v>
      </c>
      <c r="I1864" s="4" t="s">
        <v>3</v>
      </c>
      <c r="J1864" s="14">
        <v>0.91666666666666663</v>
      </c>
      <c r="K1864" s="20" t="str">
        <f t="shared" si="88"/>
        <v>2nd Shift</v>
      </c>
    </row>
    <row r="1865" spans="1:11" x14ac:dyDescent="0.25">
      <c r="A1865" s="1">
        <v>1864</v>
      </c>
      <c r="B1865" s="1">
        <v>2</v>
      </c>
      <c r="C1865" s="3">
        <v>2115270291208</v>
      </c>
      <c r="D1865" s="2">
        <v>44467.916666666664</v>
      </c>
      <c r="E1865" s="2">
        <v>44467.986111111109</v>
      </c>
      <c r="F1865" s="23">
        <f t="shared" si="87"/>
        <v>6.9444444445252884E-2</v>
      </c>
      <c r="G1865" s="24">
        <f t="shared" si="89"/>
        <v>179.99999999790452</v>
      </c>
      <c r="H1865" s="1" t="s">
        <v>1</v>
      </c>
      <c r="I1865" s="4" t="s">
        <v>2</v>
      </c>
      <c r="J1865" s="14">
        <v>0.91666666666666663</v>
      </c>
      <c r="K1865" s="20" t="str">
        <f t="shared" si="88"/>
        <v>2nd Shift</v>
      </c>
    </row>
    <row r="1866" spans="1:11" x14ac:dyDescent="0.25">
      <c r="A1866" s="1">
        <v>1865</v>
      </c>
      <c r="B1866" s="1">
        <v>2</v>
      </c>
      <c r="C1866" s="3">
        <v>2115270291205</v>
      </c>
      <c r="D1866" s="2">
        <v>44467.916666666664</v>
      </c>
      <c r="E1866" s="2">
        <v>44467.986111111109</v>
      </c>
      <c r="F1866" s="23">
        <f t="shared" si="87"/>
        <v>6.9444444445252884E-2</v>
      </c>
      <c r="G1866" s="24">
        <f t="shared" si="89"/>
        <v>179.99999999790452</v>
      </c>
      <c r="H1866" s="1" t="s">
        <v>1</v>
      </c>
      <c r="I1866" s="4" t="s">
        <v>2</v>
      </c>
      <c r="J1866" s="14">
        <v>0.91666666666666663</v>
      </c>
      <c r="K1866" s="20" t="str">
        <f t="shared" si="88"/>
        <v>2nd Shift</v>
      </c>
    </row>
    <row r="1867" spans="1:11" x14ac:dyDescent="0.25">
      <c r="A1867" s="1">
        <v>1866</v>
      </c>
      <c r="B1867" s="1">
        <v>2</v>
      </c>
      <c r="C1867" s="3">
        <v>2115270291202</v>
      </c>
      <c r="D1867" s="2">
        <v>44467.916666666664</v>
      </c>
      <c r="E1867" s="2">
        <v>44467.986111111109</v>
      </c>
      <c r="F1867" s="23">
        <f t="shared" si="87"/>
        <v>6.9444444445252884E-2</v>
      </c>
      <c r="G1867" s="24">
        <f t="shared" si="89"/>
        <v>179.99999999790452</v>
      </c>
      <c r="H1867" s="1" t="s">
        <v>1</v>
      </c>
      <c r="I1867" s="4" t="s">
        <v>2</v>
      </c>
      <c r="J1867" s="14">
        <v>0.91666666666666663</v>
      </c>
      <c r="K1867" s="20" t="str">
        <f t="shared" si="88"/>
        <v>2nd Shift</v>
      </c>
    </row>
    <row r="1868" spans="1:11" x14ac:dyDescent="0.25">
      <c r="A1868" s="1">
        <v>1867</v>
      </c>
      <c r="B1868" s="1">
        <v>14</v>
      </c>
      <c r="C1868" s="3">
        <v>14115271675316</v>
      </c>
      <c r="D1868" s="2">
        <v>44468.034722222219</v>
      </c>
      <c r="E1868" s="2">
        <v>44468.076388888891</v>
      </c>
      <c r="F1868" s="23">
        <f t="shared" si="87"/>
        <v>4.1666666671517305E-2</v>
      </c>
      <c r="G1868" s="24">
        <f t="shared" si="89"/>
        <v>299.9999999650754</v>
      </c>
      <c r="H1868" s="1" t="s">
        <v>1</v>
      </c>
      <c r="I1868" s="4" t="s">
        <v>2</v>
      </c>
      <c r="J1868" s="14">
        <v>3.4722222222222224E-2</v>
      </c>
      <c r="K1868" s="20" t="str">
        <f t="shared" si="88"/>
        <v>3rd Shift</v>
      </c>
    </row>
    <row r="1869" spans="1:11" x14ac:dyDescent="0.25">
      <c r="A1869" s="1">
        <v>1868</v>
      </c>
      <c r="B1869" s="1">
        <v>10</v>
      </c>
      <c r="C1869" s="3">
        <v>10115271959502</v>
      </c>
      <c r="D1869" s="2">
        <v>44468.388888888891</v>
      </c>
      <c r="E1869" s="2">
        <v>44468.493055555555</v>
      </c>
      <c r="F1869" s="23">
        <f t="shared" si="87"/>
        <v>0.10416666666424135</v>
      </c>
      <c r="G1869" s="24">
        <f t="shared" si="89"/>
        <v>120.00000000279397</v>
      </c>
      <c r="H1869" s="1" t="s">
        <v>1</v>
      </c>
      <c r="I1869" s="4" t="s">
        <v>2</v>
      </c>
      <c r="J1869" s="14">
        <v>0.3888888888888889</v>
      </c>
      <c r="K1869" s="20" t="str">
        <f t="shared" si="88"/>
        <v>1st Shift</v>
      </c>
    </row>
    <row r="1870" spans="1:11" x14ac:dyDescent="0.25">
      <c r="A1870" s="1">
        <v>1869</v>
      </c>
      <c r="B1870" s="1">
        <v>7</v>
      </c>
      <c r="C1870" s="3">
        <v>7115271754001</v>
      </c>
      <c r="D1870" s="2">
        <v>44468.388888888891</v>
      </c>
      <c r="E1870" s="2">
        <v>44468.493055555555</v>
      </c>
      <c r="F1870" s="23">
        <f t="shared" si="87"/>
        <v>0.10416666666424135</v>
      </c>
      <c r="G1870" s="24">
        <f t="shared" si="89"/>
        <v>120.00000000279397</v>
      </c>
      <c r="H1870" s="1" t="s">
        <v>1</v>
      </c>
      <c r="I1870" s="4" t="s">
        <v>3</v>
      </c>
      <c r="J1870" s="14">
        <v>0.3888888888888889</v>
      </c>
      <c r="K1870" s="20" t="str">
        <f t="shared" si="88"/>
        <v>1st Shift</v>
      </c>
    </row>
    <row r="1871" spans="1:11" x14ac:dyDescent="0.25">
      <c r="A1871" s="1">
        <v>1870</v>
      </c>
      <c r="B1871" s="1">
        <v>6</v>
      </c>
      <c r="C1871" s="3">
        <v>6115271723022</v>
      </c>
      <c r="D1871" s="2">
        <v>44468.388888888891</v>
      </c>
      <c r="E1871" s="2">
        <v>44468.493055555555</v>
      </c>
      <c r="F1871" s="23">
        <f t="shared" si="87"/>
        <v>0.10416666666424135</v>
      </c>
      <c r="G1871" s="24">
        <f t="shared" si="89"/>
        <v>120.00000000279397</v>
      </c>
      <c r="H1871" s="1" t="s">
        <v>1</v>
      </c>
      <c r="I1871" s="4" t="s">
        <v>3</v>
      </c>
      <c r="J1871" s="14">
        <v>0.3888888888888889</v>
      </c>
      <c r="K1871" s="20" t="str">
        <f t="shared" si="88"/>
        <v>1st Shift</v>
      </c>
    </row>
    <row r="1872" spans="1:11" x14ac:dyDescent="0.25">
      <c r="A1872" s="1">
        <v>1871</v>
      </c>
      <c r="B1872" s="1">
        <v>15</v>
      </c>
      <c r="C1872" s="3">
        <v>15115271743402</v>
      </c>
      <c r="D1872" s="2">
        <v>44468.520833333336</v>
      </c>
      <c r="E1872" s="2">
        <v>44468.583333333336</v>
      </c>
      <c r="F1872" s="23">
        <f t="shared" si="87"/>
        <v>6.25E-2</v>
      </c>
      <c r="G1872" s="24">
        <f t="shared" si="89"/>
        <v>200</v>
      </c>
      <c r="H1872" s="1" t="s">
        <v>1</v>
      </c>
      <c r="I1872" s="4" t="s">
        <v>3</v>
      </c>
      <c r="J1872" s="14">
        <v>0.52083333333333337</v>
      </c>
      <c r="K1872" s="20" t="str">
        <f t="shared" si="88"/>
        <v>1st Shift</v>
      </c>
    </row>
    <row r="1873" spans="1:11" x14ac:dyDescent="0.25">
      <c r="A1873" s="1">
        <v>1872</v>
      </c>
      <c r="B1873" s="1">
        <v>10</v>
      </c>
      <c r="C1873" s="3">
        <v>10115271450702</v>
      </c>
      <c r="D1873" s="2">
        <v>44468.520833333336</v>
      </c>
      <c r="E1873" s="2">
        <v>44468.583333333336</v>
      </c>
      <c r="F1873" s="23">
        <f t="shared" si="87"/>
        <v>6.25E-2</v>
      </c>
      <c r="G1873" s="24">
        <f t="shared" si="89"/>
        <v>200</v>
      </c>
      <c r="H1873" s="1" t="s">
        <v>1</v>
      </c>
      <c r="I1873" s="4" t="s">
        <v>3</v>
      </c>
      <c r="J1873" s="14">
        <v>0.52083333333333337</v>
      </c>
      <c r="K1873" s="20" t="str">
        <f t="shared" si="88"/>
        <v>1st Shift</v>
      </c>
    </row>
    <row r="1874" spans="1:11" x14ac:dyDescent="0.25">
      <c r="A1874" s="1">
        <v>1873</v>
      </c>
      <c r="B1874" s="1">
        <v>1</v>
      </c>
      <c r="C1874" s="3">
        <v>1115270130500</v>
      </c>
      <c r="D1874" s="2">
        <v>44468.520833333336</v>
      </c>
      <c r="E1874" s="2">
        <v>44468.583333333336</v>
      </c>
      <c r="F1874" s="23">
        <f t="shared" si="87"/>
        <v>6.25E-2</v>
      </c>
      <c r="G1874" s="24">
        <f t="shared" si="89"/>
        <v>200</v>
      </c>
      <c r="H1874" s="1" t="s">
        <v>1</v>
      </c>
      <c r="I1874" s="4" t="s">
        <v>2</v>
      </c>
      <c r="J1874" s="14">
        <v>0.52083333333333337</v>
      </c>
      <c r="K1874" s="20" t="str">
        <f t="shared" si="88"/>
        <v>1st Shift</v>
      </c>
    </row>
    <row r="1875" spans="1:11" x14ac:dyDescent="0.25">
      <c r="A1875" s="1">
        <v>1874</v>
      </c>
      <c r="B1875" s="1">
        <v>15</v>
      </c>
      <c r="C1875" s="3">
        <v>15115271791208</v>
      </c>
      <c r="D1875" s="2">
        <v>44468.607638888891</v>
      </c>
      <c r="E1875" s="2">
        <v>44468.666666666664</v>
      </c>
      <c r="F1875" s="23">
        <f t="shared" si="87"/>
        <v>5.9027777773735579E-2</v>
      </c>
      <c r="G1875" s="24">
        <f t="shared" si="89"/>
        <v>211.76470589685451</v>
      </c>
      <c r="H1875" s="1" t="s">
        <v>1</v>
      </c>
      <c r="I1875" s="4" t="s">
        <v>2</v>
      </c>
      <c r="J1875" s="14">
        <v>0.60763888888888884</v>
      </c>
      <c r="K1875" s="20" t="str">
        <f t="shared" si="88"/>
        <v>2nd Shift</v>
      </c>
    </row>
    <row r="1876" spans="1:11" x14ac:dyDescent="0.25">
      <c r="A1876" s="1">
        <v>1875</v>
      </c>
      <c r="B1876" s="1">
        <v>3</v>
      </c>
      <c r="C1876" s="3">
        <v>3115270319100</v>
      </c>
      <c r="D1876" s="2">
        <v>44468.607638888891</v>
      </c>
      <c r="E1876" s="2">
        <v>44468.666666666664</v>
      </c>
      <c r="F1876" s="23">
        <f t="shared" si="87"/>
        <v>5.9027777773735579E-2</v>
      </c>
      <c r="G1876" s="24">
        <f t="shared" si="89"/>
        <v>211.76470589685451</v>
      </c>
      <c r="H1876" s="1" t="s">
        <v>1</v>
      </c>
      <c r="I1876" s="4" t="s">
        <v>3</v>
      </c>
      <c r="J1876" s="14">
        <v>0.60763888888888884</v>
      </c>
      <c r="K1876" s="20" t="str">
        <f t="shared" si="88"/>
        <v>2nd Shift</v>
      </c>
    </row>
    <row r="1877" spans="1:11" x14ac:dyDescent="0.25">
      <c r="A1877" s="1">
        <v>1876</v>
      </c>
      <c r="B1877" s="1">
        <v>14</v>
      </c>
      <c r="C1877" s="3">
        <v>14115271672409</v>
      </c>
      <c r="D1877" s="2">
        <v>44468.659722222219</v>
      </c>
      <c r="E1877" s="2">
        <v>44468.798611111109</v>
      </c>
      <c r="F1877" s="23">
        <f t="shared" si="87"/>
        <v>0.13888888889050577</v>
      </c>
      <c r="G1877" s="24">
        <f t="shared" si="89"/>
        <v>89.999999998952262</v>
      </c>
      <c r="H1877" s="1" t="s">
        <v>1</v>
      </c>
      <c r="I1877" s="4" t="s">
        <v>2</v>
      </c>
      <c r="J1877" s="14">
        <v>0.65972222222222221</v>
      </c>
      <c r="K1877" s="20" t="str">
        <f t="shared" si="88"/>
        <v>2nd Shift</v>
      </c>
    </row>
    <row r="1878" spans="1:11" x14ac:dyDescent="0.25">
      <c r="A1878" s="1">
        <v>1877</v>
      </c>
      <c r="B1878" s="1">
        <v>9</v>
      </c>
      <c r="C1878" s="3">
        <v>9115271911100</v>
      </c>
      <c r="D1878" s="2">
        <v>44468.784722222219</v>
      </c>
      <c r="E1878" s="2">
        <v>44468.829861111109</v>
      </c>
      <c r="F1878" s="23">
        <f t="shared" si="87"/>
        <v>4.5138888890505768E-2</v>
      </c>
      <c r="G1878" s="24">
        <f t="shared" si="89"/>
        <v>276.9230769131575</v>
      </c>
      <c r="H1878" s="1" t="s">
        <v>1</v>
      </c>
      <c r="I1878" s="4" t="s">
        <v>3</v>
      </c>
      <c r="J1878" s="14">
        <v>0.78472222222222221</v>
      </c>
      <c r="K1878" s="20" t="str">
        <f t="shared" si="88"/>
        <v>2nd Shift</v>
      </c>
    </row>
    <row r="1879" spans="1:11" x14ac:dyDescent="0.25">
      <c r="A1879" s="1">
        <v>1878</v>
      </c>
      <c r="B1879" s="1">
        <v>3</v>
      </c>
      <c r="C1879" s="3">
        <v>3115270349700</v>
      </c>
      <c r="D1879" s="2">
        <v>44468.784722222219</v>
      </c>
      <c r="E1879" s="2">
        <v>44468.829861111109</v>
      </c>
      <c r="F1879" s="23">
        <f t="shared" si="87"/>
        <v>4.5138888890505768E-2</v>
      </c>
      <c r="G1879" s="24">
        <f t="shared" si="89"/>
        <v>276.9230769131575</v>
      </c>
      <c r="H1879" s="1" t="s">
        <v>1</v>
      </c>
      <c r="I1879" s="4" t="s">
        <v>2</v>
      </c>
      <c r="J1879" s="14">
        <v>0.78472222222222221</v>
      </c>
      <c r="K1879" s="20" t="str">
        <f t="shared" si="88"/>
        <v>2nd Shift</v>
      </c>
    </row>
    <row r="1880" spans="1:11" x14ac:dyDescent="0.25">
      <c r="A1880" s="1">
        <v>1879</v>
      </c>
      <c r="B1880" s="1">
        <v>1</v>
      </c>
      <c r="C1880" s="3">
        <v>1115270088300</v>
      </c>
      <c r="D1880" s="2">
        <v>44468.784722222219</v>
      </c>
      <c r="E1880" s="2">
        <v>44468.829861111109</v>
      </c>
      <c r="F1880" s="23">
        <f t="shared" si="87"/>
        <v>4.5138888890505768E-2</v>
      </c>
      <c r="G1880" s="24">
        <f t="shared" si="89"/>
        <v>276.9230769131575</v>
      </c>
      <c r="H1880" s="1" t="s">
        <v>1</v>
      </c>
      <c r="I1880" s="4" t="s">
        <v>2</v>
      </c>
      <c r="J1880" s="14">
        <v>0.78472222222222221</v>
      </c>
      <c r="K1880" s="20" t="str">
        <f t="shared" si="88"/>
        <v>2nd Shift</v>
      </c>
    </row>
    <row r="1881" spans="1:11" x14ac:dyDescent="0.25">
      <c r="A1881" s="1">
        <v>1880</v>
      </c>
      <c r="B1881" s="1">
        <v>6</v>
      </c>
      <c r="C1881" s="3">
        <v>6115271720809</v>
      </c>
      <c r="D1881" s="2">
        <v>44469.354166666664</v>
      </c>
      <c r="E1881" s="2">
        <v>44469.479166666664</v>
      </c>
      <c r="F1881" s="23">
        <f t="shared" si="87"/>
        <v>0.125</v>
      </c>
      <c r="G1881" s="24">
        <f t="shared" si="89"/>
        <v>100</v>
      </c>
      <c r="H1881" s="1" t="s">
        <v>1</v>
      </c>
      <c r="I1881" s="4" t="s">
        <v>2</v>
      </c>
      <c r="J1881" s="14">
        <v>0.35416666666666669</v>
      </c>
      <c r="K1881" s="20" t="str">
        <f t="shared" si="88"/>
        <v>1st Shift</v>
      </c>
    </row>
    <row r="1882" spans="1:11" x14ac:dyDescent="0.25">
      <c r="A1882" s="1">
        <v>1881</v>
      </c>
      <c r="B1882" s="1">
        <v>6</v>
      </c>
      <c r="C1882" s="3">
        <v>6115271720802</v>
      </c>
      <c r="D1882" s="2">
        <v>44469.354166666664</v>
      </c>
      <c r="E1882" s="2">
        <v>44469.479166666664</v>
      </c>
      <c r="F1882" s="23">
        <f t="shared" si="87"/>
        <v>0.125</v>
      </c>
      <c r="G1882" s="24">
        <f t="shared" si="89"/>
        <v>100</v>
      </c>
      <c r="H1882" s="1" t="s">
        <v>1</v>
      </c>
      <c r="I1882" s="4" t="s">
        <v>2</v>
      </c>
      <c r="J1882" s="14">
        <v>0.35416666666666669</v>
      </c>
      <c r="K1882" s="20" t="str">
        <f t="shared" si="88"/>
        <v>1st Shift</v>
      </c>
    </row>
    <row r="1883" spans="1:11" x14ac:dyDescent="0.25">
      <c r="A1883" s="1">
        <v>1882</v>
      </c>
      <c r="B1883" s="1">
        <v>6</v>
      </c>
      <c r="C1883" s="3">
        <v>6115271720802</v>
      </c>
      <c r="D1883" s="2">
        <v>44469.354166666664</v>
      </c>
      <c r="E1883" s="2">
        <v>44469.479166666664</v>
      </c>
      <c r="F1883" s="23">
        <f t="shared" si="87"/>
        <v>0.125</v>
      </c>
      <c r="G1883" s="24">
        <f t="shared" si="89"/>
        <v>100</v>
      </c>
      <c r="H1883" s="1" t="s">
        <v>1</v>
      </c>
      <c r="I1883" s="4" t="s">
        <v>2</v>
      </c>
      <c r="J1883" s="14">
        <v>0.35416666666666669</v>
      </c>
      <c r="K1883" s="20" t="str">
        <f t="shared" si="88"/>
        <v>1st Shift</v>
      </c>
    </row>
    <row r="1884" spans="1:11" x14ac:dyDescent="0.25">
      <c r="A1884" s="1">
        <v>1883</v>
      </c>
      <c r="B1884" s="1">
        <v>6</v>
      </c>
      <c r="C1884" s="3">
        <v>6115271720801</v>
      </c>
      <c r="D1884" s="2">
        <v>44469.354166666664</v>
      </c>
      <c r="E1884" s="2">
        <v>44469.479166666664</v>
      </c>
      <c r="F1884" s="23">
        <f t="shared" si="87"/>
        <v>0.125</v>
      </c>
      <c r="G1884" s="24">
        <f t="shared" si="89"/>
        <v>100</v>
      </c>
      <c r="H1884" s="1" t="s">
        <v>1</v>
      </c>
      <c r="I1884" s="4" t="s">
        <v>2</v>
      </c>
      <c r="J1884" s="14">
        <v>0.35416666666666669</v>
      </c>
      <c r="K1884" s="20" t="str">
        <f t="shared" si="88"/>
        <v>1st Shift</v>
      </c>
    </row>
    <row r="1885" spans="1:11" x14ac:dyDescent="0.25">
      <c r="A1885" s="1">
        <v>1884</v>
      </c>
      <c r="B1885" s="1">
        <v>12</v>
      </c>
      <c r="C1885" s="3">
        <v>12115271566607</v>
      </c>
      <c r="D1885" s="2">
        <v>44469.75</v>
      </c>
      <c r="E1885" s="2">
        <v>44469.868055555555</v>
      </c>
      <c r="F1885" s="23">
        <f t="shared" si="87"/>
        <v>0.11805555555474712</v>
      </c>
      <c r="G1885" s="24">
        <f t="shared" si="89"/>
        <v>105.88235294190156</v>
      </c>
      <c r="H1885" s="1" t="s">
        <v>1</v>
      </c>
      <c r="I1885" s="4" t="s">
        <v>2</v>
      </c>
      <c r="J1885" s="14">
        <v>0.75</v>
      </c>
      <c r="K1885" s="20" t="str">
        <f t="shared" si="88"/>
        <v>2nd Shift</v>
      </c>
    </row>
    <row r="1886" spans="1:11" x14ac:dyDescent="0.25">
      <c r="A1886" s="1">
        <v>1885</v>
      </c>
      <c r="B1886" s="1">
        <v>12</v>
      </c>
      <c r="C1886" s="3">
        <v>12115271566607</v>
      </c>
      <c r="D1886" s="2">
        <v>44469.75</v>
      </c>
      <c r="E1886" s="2">
        <v>44469.868055555555</v>
      </c>
      <c r="F1886" s="23">
        <f t="shared" si="87"/>
        <v>0.11805555555474712</v>
      </c>
      <c r="G1886" s="24">
        <f t="shared" si="89"/>
        <v>105.88235294190156</v>
      </c>
      <c r="H1886" s="1" t="s">
        <v>1</v>
      </c>
      <c r="I1886" s="4" t="s">
        <v>3</v>
      </c>
      <c r="J1886" s="14">
        <v>0.75</v>
      </c>
      <c r="K1886" s="20" t="str">
        <f t="shared" si="88"/>
        <v>2nd Shift</v>
      </c>
    </row>
    <row r="1887" spans="1:11" x14ac:dyDescent="0.25">
      <c r="A1887" s="1">
        <v>1886</v>
      </c>
      <c r="B1887" s="1">
        <v>12</v>
      </c>
      <c r="C1887" s="3">
        <v>12115271566606</v>
      </c>
      <c r="D1887" s="2">
        <v>44469.75</v>
      </c>
      <c r="E1887" s="2">
        <v>44469.868055555555</v>
      </c>
      <c r="F1887" s="23">
        <f t="shared" si="87"/>
        <v>0.11805555555474712</v>
      </c>
      <c r="G1887" s="24">
        <f t="shared" si="89"/>
        <v>105.88235294190156</v>
      </c>
      <c r="H1887" s="1" t="s">
        <v>1</v>
      </c>
      <c r="I1887" s="4" t="s">
        <v>3</v>
      </c>
      <c r="J1887" s="14">
        <v>0.75</v>
      </c>
      <c r="K1887" s="20" t="str">
        <f t="shared" si="88"/>
        <v>2nd Shift</v>
      </c>
    </row>
    <row r="1888" spans="1:11" x14ac:dyDescent="0.25">
      <c r="A1888" s="1">
        <v>1887</v>
      </c>
      <c r="B1888" s="1">
        <v>3</v>
      </c>
      <c r="C1888" s="3">
        <v>3115270407908</v>
      </c>
      <c r="D1888" s="2">
        <v>44469.75</v>
      </c>
      <c r="E1888" s="2">
        <v>44469.868055555555</v>
      </c>
      <c r="F1888" s="23">
        <f t="shared" si="87"/>
        <v>0.11805555555474712</v>
      </c>
      <c r="G1888" s="24">
        <f t="shared" si="89"/>
        <v>105.88235294190156</v>
      </c>
      <c r="H1888" s="1" t="s">
        <v>1</v>
      </c>
      <c r="I1888" s="4" t="s">
        <v>3</v>
      </c>
      <c r="J1888" s="14">
        <v>0.75</v>
      </c>
      <c r="K1888" s="20" t="str">
        <f t="shared" si="88"/>
        <v>2nd Shift</v>
      </c>
    </row>
    <row r="1889" spans="1:11" x14ac:dyDescent="0.25">
      <c r="A1889" s="1">
        <v>1888</v>
      </c>
      <c r="B1889" s="1">
        <v>3</v>
      </c>
      <c r="C1889" s="3">
        <v>3115270407901</v>
      </c>
      <c r="D1889" s="2">
        <v>44469.75</v>
      </c>
      <c r="E1889" s="2">
        <v>44469.868055555555</v>
      </c>
      <c r="F1889" s="23">
        <f t="shared" si="87"/>
        <v>0.11805555555474712</v>
      </c>
      <c r="G1889" s="24">
        <f t="shared" si="89"/>
        <v>105.88235294190156</v>
      </c>
      <c r="H1889" s="1" t="s">
        <v>1</v>
      </c>
      <c r="I1889" s="4" t="s">
        <v>3</v>
      </c>
      <c r="J1889" s="14">
        <v>0.75</v>
      </c>
      <c r="K1889" s="20" t="str">
        <f t="shared" si="88"/>
        <v>2nd Shift</v>
      </c>
    </row>
    <row r="1890" spans="1:11" x14ac:dyDescent="0.25">
      <c r="A1890" s="1">
        <v>1889</v>
      </c>
      <c r="B1890" s="1">
        <v>3</v>
      </c>
      <c r="C1890" s="3">
        <v>3115270407900</v>
      </c>
      <c r="D1890" s="2">
        <v>44469.75</v>
      </c>
      <c r="E1890" s="2">
        <v>44469.868055555555</v>
      </c>
      <c r="F1890" s="23">
        <f t="shared" si="87"/>
        <v>0.11805555555474712</v>
      </c>
      <c r="G1890" s="24">
        <f t="shared" si="89"/>
        <v>105.88235294190156</v>
      </c>
      <c r="H1890" s="1" t="s">
        <v>1</v>
      </c>
      <c r="I1890" s="4" t="s">
        <v>2</v>
      </c>
      <c r="J1890" s="14">
        <v>0.75</v>
      </c>
      <c r="K1890" s="20" t="str">
        <f t="shared" si="88"/>
        <v>2nd Shift</v>
      </c>
    </row>
    <row r="1891" spans="1:11" x14ac:dyDescent="0.25">
      <c r="A1891" s="1">
        <v>1890</v>
      </c>
      <c r="B1891" s="1">
        <v>7</v>
      </c>
      <c r="C1891" s="3">
        <v>7115271760309</v>
      </c>
      <c r="D1891" s="2">
        <v>44469.878472222219</v>
      </c>
      <c r="E1891" s="2">
        <v>44469.899305555555</v>
      </c>
      <c r="F1891" s="23">
        <f t="shared" si="87"/>
        <v>2.0833333335758653E-2</v>
      </c>
      <c r="G1891" s="24">
        <f t="shared" si="89"/>
        <v>599.99999993015081</v>
      </c>
      <c r="H1891" s="1" t="s">
        <v>1</v>
      </c>
      <c r="I1891" s="4" t="s">
        <v>3</v>
      </c>
      <c r="J1891" s="14">
        <v>0.87847222222222221</v>
      </c>
      <c r="K1891" s="20" t="str">
        <f t="shared" si="88"/>
        <v>2nd Shift</v>
      </c>
    </row>
    <row r="1892" spans="1:11" x14ac:dyDescent="0.25">
      <c r="A1892" s="1">
        <v>1891</v>
      </c>
      <c r="B1892" s="1">
        <v>7</v>
      </c>
      <c r="C1892" s="3">
        <v>7115271760308</v>
      </c>
      <c r="D1892" s="2">
        <v>44469.878472222219</v>
      </c>
      <c r="E1892" s="2">
        <v>44469.899305555555</v>
      </c>
      <c r="F1892" s="23">
        <f t="shared" si="87"/>
        <v>2.0833333335758653E-2</v>
      </c>
      <c r="G1892" s="24">
        <f t="shared" si="89"/>
        <v>599.99999993015081</v>
      </c>
      <c r="H1892" s="1" t="s">
        <v>1</v>
      </c>
      <c r="I1892" s="4" t="s">
        <v>3</v>
      </c>
      <c r="J1892" s="14">
        <v>0.87847222222222221</v>
      </c>
      <c r="K1892" s="20" t="str">
        <f t="shared" si="88"/>
        <v>2nd Shift</v>
      </c>
    </row>
    <row r="1893" spans="1:11" x14ac:dyDescent="0.25">
      <c r="A1893" s="1">
        <v>1892</v>
      </c>
      <c r="B1893" s="1">
        <v>7</v>
      </c>
      <c r="C1893" s="3">
        <v>7115271760306</v>
      </c>
      <c r="D1893" s="2">
        <v>44469.878472222219</v>
      </c>
      <c r="E1893" s="2">
        <v>44469.899305555555</v>
      </c>
      <c r="F1893" s="23">
        <f t="shared" si="87"/>
        <v>2.0833333335758653E-2</v>
      </c>
      <c r="G1893" s="24">
        <f t="shared" si="89"/>
        <v>599.99999993015081</v>
      </c>
      <c r="H1893" s="1" t="s">
        <v>1</v>
      </c>
      <c r="I1893" s="4" t="s">
        <v>3</v>
      </c>
      <c r="J1893" s="14">
        <v>0.87847222222222221</v>
      </c>
      <c r="K1893" s="20" t="str">
        <f t="shared" si="88"/>
        <v>2nd Shift</v>
      </c>
    </row>
    <row r="1894" spans="1:11" x14ac:dyDescent="0.25">
      <c r="A1894" s="1">
        <v>1893</v>
      </c>
      <c r="B1894" s="1">
        <v>3</v>
      </c>
      <c r="C1894" s="3">
        <v>3115270318900</v>
      </c>
      <c r="D1894" s="2">
        <v>44438.826388888891</v>
      </c>
      <c r="E1894" s="2">
        <v>44438.923611111109</v>
      </c>
      <c r="F1894" s="23">
        <f t="shared" si="87"/>
        <v>9.7222222218988463E-2</v>
      </c>
      <c r="G1894" s="24">
        <f t="shared" si="89"/>
        <v>128.57142857570506</v>
      </c>
      <c r="H1894" s="1" t="s">
        <v>1</v>
      </c>
      <c r="I1894" s="4" t="s">
        <v>3</v>
      </c>
      <c r="J1894" s="14">
        <v>0.82638888888888884</v>
      </c>
      <c r="K1894" s="20" t="str">
        <f t="shared" si="88"/>
        <v>2nd Shift</v>
      </c>
    </row>
    <row r="1895" spans="1:11" x14ac:dyDescent="0.25">
      <c r="A1895" s="1">
        <v>1894</v>
      </c>
      <c r="B1895" s="1">
        <v>13</v>
      </c>
      <c r="C1895" s="3">
        <v>13115271590312</v>
      </c>
      <c r="D1895" s="2">
        <v>44470.385416666664</v>
      </c>
      <c r="E1895" s="2">
        <v>44470.534722222219</v>
      </c>
      <c r="F1895" s="23">
        <f t="shared" si="87"/>
        <v>0.14930555555474712</v>
      </c>
      <c r="G1895" s="24">
        <f t="shared" si="89"/>
        <v>83.720930233011458</v>
      </c>
      <c r="H1895" s="1" t="s">
        <v>1</v>
      </c>
      <c r="I1895" s="4" t="s">
        <v>3</v>
      </c>
      <c r="J1895" s="14">
        <v>0.38541666666666669</v>
      </c>
      <c r="K1895" s="20" t="str">
        <f t="shared" si="88"/>
        <v>1st Shift</v>
      </c>
    </row>
    <row r="1896" spans="1:11" x14ac:dyDescent="0.25">
      <c r="A1896" s="1">
        <v>1895</v>
      </c>
      <c r="B1896" s="1">
        <v>11</v>
      </c>
      <c r="C1896" s="3">
        <v>11115271542501</v>
      </c>
      <c r="D1896" s="2">
        <v>44470.385416666664</v>
      </c>
      <c r="E1896" s="2">
        <v>44470.534722222219</v>
      </c>
      <c r="F1896" s="23">
        <f t="shared" si="87"/>
        <v>0.14930555555474712</v>
      </c>
      <c r="G1896" s="24">
        <f t="shared" si="89"/>
        <v>83.720930233011458</v>
      </c>
      <c r="H1896" s="1" t="s">
        <v>1</v>
      </c>
      <c r="I1896" s="4" t="s">
        <v>2</v>
      </c>
      <c r="J1896" s="14">
        <v>0.38541666666666669</v>
      </c>
      <c r="K1896" s="20" t="str">
        <f t="shared" si="88"/>
        <v>1st Shift</v>
      </c>
    </row>
    <row r="1897" spans="1:11" x14ac:dyDescent="0.25">
      <c r="A1897" s="1">
        <v>1896</v>
      </c>
      <c r="B1897" s="1">
        <v>7</v>
      </c>
      <c r="C1897" s="3">
        <v>7115271774700</v>
      </c>
      <c r="D1897" s="2">
        <v>44470.385416666664</v>
      </c>
      <c r="E1897" s="2">
        <v>44470.534722222219</v>
      </c>
      <c r="F1897" s="23">
        <f t="shared" si="87"/>
        <v>0.14930555555474712</v>
      </c>
      <c r="G1897" s="24">
        <f t="shared" si="89"/>
        <v>83.720930233011458</v>
      </c>
      <c r="H1897" s="1" t="s">
        <v>1</v>
      </c>
      <c r="I1897" s="4" t="s">
        <v>2</v>
      </c>
      <c r="J1897" s="14">
        <v>0.38541666666666669</v>
      </c>
      <c r="K1897" s="20" t="str">
        <f t="shared" si="88"/>
        <v>1st Shift</v>
      </c>
    </row>
    <row r="1898" spans="1:11" x14ac:dyDescent="0.25">
      <c r="A1898" s="1">
        <v>1897</v>
      </c>
      <c r="B1898" s="1">
        <v>3</v>
      </c>
      <c r="C1898" s="3">
        <v>3115270393400</v>
      </c>
      <c r="D1898" s="2">
        <v>44470.385416666664</v>
      </c>
      <c r="E1898" s="2">
        <v>44470.534722222219</v>
      </c>
      <c r="F1898" s="23">
        <f t="shared" si="87"/>
        <v>0.14930555555474712</v>
      </c>
      <c r="G1898" s="24">
        <f t="shared" si="89"/>
        <v>83.720930233011458</v>
      </c>
      <c r="H1898" s="1" t="s">
        <v>1</v>
      </c>
      <c r="I1898" s="4" t="s">
        <v>3</v>
      </c>
      <c r="J1898" s="14">
        <v>0.38541666666666669</v>
      </c>
      <c r="K1898" s="20" t="str">
        <f t="shared" si="88"/>
        <v>1st Shift</v>
      </c>
    </row>
    <row r="1899" spans="1:11" x14ac:dyDescent="0.25">
      <c r="A1899" s="1">
        <v>1898</v>
      </c>
      <c r="B1899" s="1">
        <v>3</v>
      </c>
      <c r="C1899" s="3">
        <v>3115270341100</v>
      </c>
      <c r="D1899" s="2">
        <v>44470.385416666664</v>
      </c>
      <c r="E1899" s="2">
        <v>44470.534722222219</v>
      </c>
      <c r="F1899" s="23">
        <f t="shared" si="87"/>
        <v>0.14930555555474712</v>
      </c>
      <c r="G1899" s="24">
        <f t="shared" si="89"/>
        <v>83.720930233011458</v>
      </c>
      <c r="H1899" s="1" t="s">
        <v>1</v>
      </c>
      <c r="I1899" s="4" t="s">
        <v>2</v>
      </c>
      <c r="J1899" s="14">
        <v>0.38541666666666669</v>
      </c>
      <c r="K1899" s="20" t="str">
        <f t="shared" si="88"/>
        <v>1st Shift</v>
      </c>
    </row>
    <row r="1900" spans="1:11" x14ac:dyDescent="0.25">
      <c r="A1900" s="1">
        <v>1899</v>
      </c>
      <c r="B1900" s="1">
        <v>6</v>
      </c>
      <c r="C1900" s="3">
        <v>6115271734904</v>
      </c>
      <c r="D1900" s="2">
        <v>44470.541666666664</v>
      </c>
      <c r="E1900" s="2">
        <v>44470.569444444445</v>
      </c>
      <c r="F1900" s="23">
        <f t="shared" si="87"/>
        <v>2.7777777781011537E-2</v>
      </c>
      <c r="G1900" s="24">
        <f t="shared" si="89"/>
        <v>449.99999994761311</v>
      </c>
      <c r="H1900" s="1" t="s">
        <v>1</v>
      </c>
      <c r="I1900" s="4" t="s">
        <v>3</v>
      </c>
      <c r="J1900" s="14">
        <v>0.54166666666666663</v>
      </c>
      <c r="K1900" s="20" t="str">
        <f t="shared" si="88"/>
        <v>1st Shift</v>
      </c>
    </row>
    <row r="1901" spans="1:11" x14ac:dyDescent="0.25">
      <c r="A1901" s="1">
        <v>1900</v>
      </c>
      <c r="B1901" s="1">
        <v>11</v>
      </c>
      <c r="C1901" s="3">
        <v>11115271482507</v>
      </c>
      <c r="D1901" s="2">
        <v>44470.638888888891</v>
      </c>
      <c r="E1901" s="2">
        <v>44470.725694444445</v>
      </c>
      <c r="F1901" s="23">
        <f t="shared" si="87"/>
        <v>8.6805555554747116E-2</v>
      </c>
      <c r="G1901" s="24">
        <f t="shared" si="89"/>
        <v>144.00000000134111</v>
      </c>
      <c r="H1901" s="1" t="s">
        <v>1</v>
      </c>
      <c r="I1901" s="4" t="s">
        <v>2</v>
      </c>
      <c r="J1901" s="14">
        <v>0.63888888888888884</v>
      </c>
      <c r="K1901" s="20" t="str">
        <f t="shared" si="88"/>
        <v>2nd Shift</v>
      </c>
    </row>
    <row r="1902" spans="1:11" x14ac:dyDescent="0.25">
      <c r="A1902" s="1">
        <v>1901</v>
      </c>
      <c r="B1902" s="1">
        <v>8</v>
      </c>
      <c r="C1902" s="3">
        <v>8115271875600</v>
      </c>
      <c r="D1902" s="2">
        <v>44470.638888888891</v>
      </c>
      <c r="E1902" s="2">
        <v>44470.725694444445</v>
      </c>
      <c r="F1902" s="23">
        <f t="shared" si="87"/>
        <v>8.6805555554747116E-2</v>
      </c>
      <c r="G1902" s="24">
        <f t="shared" si="89"/>
        <v>144.00000000134111</v>
      </c>
      <c r="H1902" s="1" t="s">
        <v>1</v>
      </c>
      <c r="I1902" s="4" t="s">
        <v>3</v>
      </c>
      <c r="J1902" s="14">
        <v>0.63888888888888884</v>
      </c>
      <c r="K1902" s="20" t="str">
        <f t="shared" si="88"/>
        <v>2nd Shift</v>
      </c>
    </row>
    <row r="1903" spans="1:11" x14ac:dyDescent="0.25">
      <c r="A1903" s="1">
        <v>1902</v>
      </c>
      <c r="B1903" s="1">
        <v>7</v>
      </c>
      <c r="C1903" s="3">
        <v>7115271774600</v>
      </c>
      <c r="D1903" s="2">
        <v>44470.638888888891</v>
      </c>
      <c r="E1903" s="2">
        <v>44470.725694444445</v>
      </c>
      <c r="F1903" s="23">
        <f t="shared" si="87"/>
        <v>8.6805555554747116E-2</v>
      </c>
      <c r="G1903" s="24">
        <f t="shared" si="89"/>
        <v>144.00000000134111</v>
      </c>
      <c r="H1903" s="1" t="s">
        <v>1</v>
      </c>
      <c r="I1903" s="4" t="s">
        <v>3</v>
      </c>
      <c r="J1903" s="14">
        <v>0.63888888888888884</v>
      </c>
      <c r="K1903" s="20" t="str">
        <f t="shared" si="88"/>
        <v>2nd Shift</v>
      </c>
    </row>
    <row r="1904" spans="1:11" x14ac:dyDescent="0.25">
      <c r="A1904" s="1">
        <v>1903</v>
      </c>
      <c r="B1904" s="1">
        <v>3</v>
      </c>
      <c r="C1904" s="3">
        <v>3115270366201</v>
      </c>
      <c r="D1904" s="2">
        <v>44470.638888888891</v>
      </c>
      <c r="E1904" s="2">
        <v>44470.725694444445</v>
      </c>
      <c r="F1904" s="23">
        <f t="shared" si="87"/>
        <v>8.6805555554747116E-2</v>
      </c>
      <c r="G1904" s="24">
        <f t="shared" si="89"/>
        <v>144.00000000134111</v>
      </c>
      <c r="H1904" s="1" t="s">
        <v>1</v>
      </c>
      <c r="I1904" s="4" t="s">
        <v>3</v>
      </c>
      <c r="J1904" s="14">
        <v>0.63888888888888884</v>
      </c>
      <c r="K1904" s="20" t="str">
        <f t="shared" si="88"/>
        <v>2nd Shift</v>
      </c>
    </row>
    <row r="1905" spans="1:11" x14ac:dyDescent="0.25">
      <c r="A1905" s="1">
        <v>1904</v>
      </c>
      <c r="B1905" s="1">
        <v>8</v>
      </c>
      <c r="C1905" s="3">
        <v>8115271878000</v>
      </c>
      <c r="D1905" s="2">
        <v>44470.736111111109</v>
      </c>
      <c r="E1905" s="2">
        <v>44470.854166666664</v>
      </c>
      <c r="F1905" s="23">
        <f t="shared" si="87"/>
        <v>0.11805555555474712</v>
      </c>
      <c r="G1905" s="24">
        <f t="shared" si="89"/>
        <v>105.88235294190156</v>
      </c>
      <c r="H1905" s="1" t="s">
        <v>1</v>
      </c>
      <c r="I1905" s="4" t="s">
        <v>2</v>
      </c>
      <c r="J1905" s="14">
        <v>0.73611111111111116</v>
      </c>
      <c r="K1905" s="20" t="str">
        <f t="shared" si="88"/>
        <v>2nd Shift</v>
      </c>
    </row>
    <row r="1906" spans="1:11" x14ac:dyDescent="0.25">
      <c r="A1906" s="1">
        <v>1905</v>
      </c>
      <c r="B1906" s="1">
        <v>6</v>
      </c>
      <c r="C1906" s="3">
        <v>6115271720801</v>
      </c>
      <c r="D1906" s="2">
        <v>44470.736111111109</v>
      </c>
      <c r="E1906" s="2">
        <v>44470.854166666664</v>
      </c>
      <c r="F1906" s="23">
        <f t="shared" si="87"/>
        <v>0.11805555555474712</v>
      </c>
      <c r="G1906" s="24">
        <f t="shared" si="89"/>
        <v>105.88235294190156</v>
      </c>
      <c r="H1906" s="1" t="s">
        <v>1</v>
      </c>
      <c r="I1906" s="4" t="s">
        <v>2</v>
      </c>
      <c r="J1906" s="14">
        <v>0.73611111111111116</v>
      </c>
      <c r="K1906" s="20" t="str">
        <f t="shared" si="88"/>
        <v>2nd Shift</v>
      </c>
    </row>
    <row r="1907" spans="1:11" x14ac:dyDescent="0.25">
      <c r="A1907" s="1">
        <v>1906</v>
      </c>
      <c r="B1907" s="1">
        <v>13</v>
      </c>
      <c r="C1907" s="3">
        <v>13115271590501</v>
      </c>
      <c r="D1907" s="2">
        <v>44470.9375</v>
      </c>
      <c r="E1907" s="2">
        <v>44471.034722222219</v>
      </c>
      <c r="F1907" s="23">
        <f t="shared" si="87"/>
        <v>9.7222222218988463E-2</v>
      </c>
      <c r="G1907" s="24">
        <f t="shared" si="89"/>
        <v>128.57142857570506</v>
      </c>
      <c r="H1907" s="1" t="s">
        <v>1</v>
      </c>
      <c r="I1907" s="4" t="s">
        <v>2</v>
      </c>
      <c r="J1907" s="14">
        <v>0.9375</v>
      </c>
      <c r="K1907" s="20" t="str">
        <f t="shared" si="88"/>
        <v>3rd Shift</v>
      </c>
    </row>
    <row r="1908" spans="1:11" x14ac:dyDescent="0.25">
      <c r="A1908" s="1">
        <v>1907</v>
      </c>
      <c r="B1908" s="1">
        <v>2</v>
      </c>
      <c r="C1908" s="3">
        <v>2115270217700</v>
      </c>
      <c r="D1908" s="2">
        <v>44470.9375</v>
      </c>
      <c r="E1908" s="2">
        <v>44471.034722222219</v>
      </c>
      <c r="F1908" s="23">
        <f t="shared" si="87"/>
        <v>9.7222222218988463E-2</v>
      </c>
      <c r="G1908" s="24">
        <f t="shared" si="89"/>
        <v>128.57142857570506</v>
      </c>
      <c r="H1908" s="1" t="s">
        <v>1</v>
      </c>
      <c r="I1908" s="4" t="s">
        <v>2</v>
      </c>
      <c r="J1908" s="14">
        <v>0.9375</v>
      </c>
      <c r="K1908" s="20" t="str">
        <f t="shared" si="88"/>
        <v>3rd Shift</v>
      </c>
    </row>
    <row r="1909" spans="1:11" x14ac:dyDescent="0.25">
      <c r="A1909" s="1">
        <v>1908</v>
      </c>
      <c r="B1909" s="1">
        <v>1</v>
      </c>
      <c r="C1909" s="3">
        <v>1115270042600</v>
      </c>
      <c r="D1909" s="2">
        <v>44470.9375</v>
      </c>
      <c r="E1909" s="2">
        <v>44471.034722222219</v>
      </c>
      <c r="F1909" s="23">
        <f t="shared" si="87"/>
        <v>9.7222222218988463E-2</v>
      </c>
      <c r="G1909" s="24">
        <f t="shared" si="89"/>
        <v>128.57142857570506</v>
      </c>
      <c r="H1909" s="1" t="s">
        <v>1</v>
      </c>
      <c r="I1909" s="4" t="s">
        <v>3</v>
      </c>
      <c r="J1909" s="14">
        <v>0.9375</v>
      </c>
      <c r="K1909" s="20" t="str">
        <f t="shared" si="88"/>
        <v>3rd Shift</v>
      </c>
    </row>
    <row r="1910" spans="1:11" x14ac:dyDescent="0.25">
      <c r="A1910" s="1">
        <v>1909</v>
      </c>
      <c r="B1910" s="1">
        <v>11</v>
      </c>
      <c r="C1910" s="3">
        <v>11115271542304</v>
      </c>
      <c r="D1910" s="2">
        <v>44471.409722222219</v>
      </c>
      <c r="E1910" s="2">
        <v>44471.510416666664</v>
      </c>
      <c r="F1910" s="23">
        <f t="shared" si="87"/>
        <v>0.10069444444525288</v>
      </c>
      <c r="G1910" s="24">
        <f t="shared" si="89"/>
        <v>124.1379310334861</v>
      </c>
      <c r="H1910" s="1" t="s">
        <v>1</v>
      </c>
      <c r="I1910" s="4" t="s">
        <v>2</v>
      </c>
      <c r="J1910" s="14">
        <v>0.40972222222222221</v>
      </c>
      <c r="K1910" s="20" t="str">
        <f t="shared" si="88"/>
        <v>1st Shift</v>
      </c>
    </row>
    <row r="1911" spans="1:11" x14ac:dyDescent="0.25">
      <c r="A1911" s="1">
        <v>1910</v>
      </c>
      <c r="B1911" s="1">
        <v>11</v>
      </c>
      <c r="C1911" s="3">
        <v>11115271542300</v>
      </c>
      <c r="D1911" s="2">
        <v>44471.409722222219</v>
      </c>
      <c r="E1911" s="2">
        <v>44471.510416666664</v>
      </c>
      <c r="F1911" s="23">
        <f t="shared" si="87"/>
        <v>0.10069444444525288</v>
      </c>
      <c r="G1911" s="24">
        <f t="shared" si="89"/>
        <v>124.1379310334861</v>
      </c>
      <c r="H1911" s="1" t="s">
        <v>1</v>
      </c>
      <c r="I1911" s="4" t="s">
        <v>2</v>
      </c>
      <c r="J1911" s="14">
        <v>0.40972222222222221</v>
      </c>
      <c r="K1911" s="20" t="str">
        <f t="shared" si="88"/>
        <v>1st Shift</v>
      </c>
    </row>
    <row r="1912" spans="1:11" x14ac:dyDescent="0.25">
      <c r="A1912" s="1">
        <v>1911</v>
      </c>
      <c r="B1912" s="1">
        <v>7</v>
      </c>
      <c r="C1912" s="3">
        <v>7115271776103</v>
      </c>
      <c r="D1912" s="2">
        <v>44471.409722222219</v>
      </c>
      <c r="E1912" s="2">
        <v>44471.510416666664</v>
      </c>
      <c r="F1912" s="23">
        <f t="shared" si="87"/>
        <v>0.10069444444525288</v>
      </c>
      <c r="G1912" s="24">
        <f t="shared" si="89"/>
        <v>124.1379310334861</v>
      </c>
      <c r="H1912" s="1" t="s">
        <v>1</v>
      </c>
      <c r="I1912" s="4" t="s">
        <v>2</v>
      </c>
      <c r="J1912" s="14">
        <v>0.40972222222222221</v>
      </c>
      <c r="K1912" s="20" t="str">
        <f t="shared" si="88"/>
        <v>1st Shift</v>
      </c>
    </row>
    <row r="1913" spans="1:11" x14ac:dyDescent="0.25">
      <c r="A1913" s="1">
        <v>1912</v>
      </c>
      <c r="B1913" s="1">
        <v>7</v>
      </c>
      <c r="C1913" s="3">
        <v>7115271776101</v>
      </c>
      <c r="D1913" s="2">
        <v>44471.409722222219</v>
      </c>
      <c r="E1913" s="2">
        <v>44471.510416666664</v>
      </c>
      <c r="F1913" s="23">
        <f t="shared" si="87"/>
        <v>0.10069444444525288</v>
      </c>
      <c r="G1913" s="24">
        <f t="shared" si="89"/>
        <v>124.1379310334861</v>
      </c>
      <c r="H1913" s="1" t="s">
        <v>1</v>
      </c>
      <c r="I1913" s="4" t="s">
        <v>2</v>
      </c>
      <c r="J1913" s="14">
        <v>0.40972222222222221</v>
      </c>
      <c r="K1913" s="20" t="str">
        <f t="shared" si="88"/>
        <v>1st Shift</v>
      </c>
    </row>
    <row r="1914" spans="1:11" x14ac:dyDescent="0.25">
      <c r="A1914" s="1">
        <v>1913</v>
      </c>
      <c r="B1914" s="1">
        <v>2</v>
      </c>
      <c r="C1914" s="3">
        <v>2115270229100</v>
      </c>
      <c r="D1914" s="2">
        <v>44471.409722222219</v>
      </c>
      <c r="E1914" s="2">
        <v>44471.510416666664</v>
      </c>
      <c r="F1914" s="23">
        <f t="shared" si="87"/>
        <v>0.10069444444525288</v>
      </c>
      <c r="G1914" s="24">
        <f t="shared" si="89"/>
        <v>124.1379310334861</v>
      </c>
      <c r="H1914" s="1" t="s">
        <v>1</v>
      </c>
      <c r="I1914" s="4" t="s">
        <v>2</v>
      </c>
      <c r="J1914" s="14">
        <v>0.40972222222222221</v>
      </c>
      <c r="K1914" s="20" t="str">
        <f t="shared" si="88"/>
        <v>1st Shift</v>
      </c>
    </row>
    <row r="1915" spans="1:11" x14ac:dyDescent="0.25">
      <c r="A1915" s="1">
        <v>1914</v>
      </c>
      <c r="B1915" s="1">
        <v>15</v>
      </c>
      <c r="C1915" s="3">
        <v>15115271543605</v>
      </c>
      <c r="D1915" s="2">
        <v>44471.527777777781</v>
      </c>
      <c r="E1915" s="2">
        <v>44471.555555555555</v>
      </c>
      <c r="F1915" s="23">
        <f t="shared" si="87"/>
        <v>2.7777777773735579E-2</v>
      </c>
      <c r="G1915" s="24">
        <f t="shared" si="89"/>
        <v>450.00000006548362</v>
      </c>
      <c r="H1915" s="1" t="s">
        <v>1</v>
      </c>
      <c r="I1915" s="4" t="s">
        <v>2</v>
      </c>
      <c r="J1915" s="14">
        <v>0.52777777777777779</v>
      </c>
      <c r="K1915" s="20" t="str">
        <f t="shared" si="88"/>
        <v>1st Shift</v>
      </c>
    </row>
    <row r="1916" spans="1:11" x14ac:dyDescent="0.25">
      <c r="A1916" s="1">
        <v>1915</v>
      </c>
      <c r="B1916" s="1">
        <v>15</v>
      </c>
      <c r="C1916" s="3">
        <v>15115271543601</v>
      </c>
      <c r="D1916" s="2">
        <v>44471.527777777781</v>
      </c>
      <c r="E1916" s="2">
        <v>44471.555555555555</v>
      </c>
      <c r="F1916" s="23">
        <f t="shared" si="87"/>
        <v>2.7777777773735579E-2</v>
      </c>
      <c r="G1916" s="24">
        <f t="shared" si="89"/>
        <v>450.00000006548362</v>
      </c>
      <c r="H1916" s="1" t="s">
        <v>1</v>
      </c>
      <c r="I1916" s="4" t="s">
        <v>2</v>
      </c>
      <c r="J1916" s="14">
        <v>0.52777777777777779</v>
      </c>
      <c r="K1916" s="20" t="str">
        <f t="shared" si="88"/>
        <v>1st Shift</v>
      </c>
    </row>
    <row r="1917" spans="1:11" x14ac:dyDescent="0.25">
      <c r="A1917" s="1">
        <v>1916</v>
      </c>
      <c r="B1917" s="1">
        <v>14</v>
      </c>
      <c r="C1917" s="3">
        <v>14115271672359</v>
      </c>
      <c r="D1917" s="2">
        <v>44471.638888888891</v>
      </c>
      <c r="E1917" s="2">
        <v>44471.71875</v>
      </c>
      <c r="F1917" s="23">
        <f t="shared" si="87"/>
        <v>7.9861111109494232E-2</v>
      </c>
      <c r="G1917" s="24">
        <f t="shared" si="89"/>
        <v>156.52173913360375</v>
      </c>
      <c r="H1917" s="1" t="s">
        <v>1</v>
      </c>
      <c r="I1917" s="4" t="s">
        <v>2</v>
      </c>
      <c r="J1917" s="14">
        <v>0.63888888888888884</v>
      </c>
      <c r="K1917" s="20" t="str">
        <f t="shared" si="88"/>
        <v>2nd Shift</v>
      </c>
    </row>
    <row r="1918" spans="1:11" x14ac:dyDescent="0.25">
      <c r="A1918" s="1">
        <v>1917</v>
      </c>
      <c r="B1918" s="1">
        <v>14</v>
      </c>
      <c r="C1918" s="3">
        <v>14115271672356</v>
      </c>
      <c r="D1918" s="2">
        <v>44471.638888888891</v>
      </c>
      <c r="E1918" s="2">
        <v>44471.71875</v>
      </c>
      <c r="F1918" s="23">
        <f t="shared" si="87"/>
        <v>7.9861111109494232E-2</v>
      </c>
      <c r="G1918" s="24">
        <f t="shared" si="89"/>
        <v>156.52173913360375</v>
      </c>
      <c r="H1918" s="1" t="s">
        <v>1</v>
      </c>
      <c r="I1918" s="4" t="s">
        <v>2</v>
      </c>
      <c r="J1918" s="14">
        <v>0.63888888888888884</v>
      </c>
      <c r="K1918" s="20" t="str">
        <f t="shared" si="88"/>
        <v>2nd Shift</v>
      </c>
    </row>
    <row r="1919" spans="1:11" x14ac:dyDescent="0.25">
      <c r="A1919" s="1">
        <v>1918</v>
      </c>
      <c r="B1919" s="1">
        <v>14</v>
      </c>
      <c r="C1919" s="3">
        <v>14115271672351</v>
      </c>
      <c r="D1919" s="2">
        <v>44471.638888888891</v>
      </c>
      <c r="E1919" s="2">
        <v>44471.71875</v>
      </c>
      <c r="F1919" s="23">
        <f t="shared" si="87"/>
        <v>7.9861111109494232E-2</v>
      </c>
      <c r="G1919" s="24">
        <f t="shared" si="89"/>
        <v>156.52173913360375</v>
      </c>
      <c r="H1919" s="1" t="s">
        <v>1</v>
      </c>
      <c r="I1919" s="4" t="s">
        <v>3</v>
      </c>
      <c r="J1919" s="14">
        <v>0.63888888888888884</v>
      </c>
      <c r="K1919" s="20" t="str">
        <f t="shared" si="88"/>
        <v>2nd Shift</v>
      </c>
    </row>
    <row r="1920" spans="1:11" x14ac:dyDescent="0.25">
      <c r="A1920" s="1">
        <v>1919</v>
      </c>
      <c r="B1920" s="1">
        <v>10</v>
      </c>
      <c r="C1920" s="3">
        <v>10115271963608</v>
      </c>
      <c r="D1920" s="2">
        <v>44471.638888888891</v>
      </c>
      <c r="E1920" s="2">
        <v>44471.71875</v>
      </c>
      <c r="F1920" s="23">
        <f t="shared" si="87"/>
        <v>7.9861111109494232E-2</v>
      </c>
      <c r="G1920" s="24">
        <f t="shared" si="89"/>
        <v>156.52173913360375</v>
      </c>
      <c r="H1920" s="1" t="s">
        <v>1</v>
      </c>
      <c r="I1920" s="4" t="s">
        <v>2</v>
      </c>
      <c r="J1920" s="14">
        <v>0.63888888888888884</v>
      </c>
      <c r="K1920" s="20" t="str">
        <f t="shared" si="88"/>
        <v>2nd Shift</v>
      </c>
    </row>
    <row r="1921" spans="1:11" x14ac:dyDescent="0.25">
      <c r="A1921" s="1">
        <v>1920</v>
      </c>
      <c r="B1921" s="1">
        <v>10</v>
      </c>
      <c r="C1921" s="3">
        <v>10115271963600</v>
      </c>
      <c r="D1921" s="2">
        <v>44471.638888888891</v>
      </c>
      <c r="E1921" s="2">
        <v>44471.71875</v>
      </c>
      <c r="F1921" s="23">
        <f t="shared" si="87"/>
        <v>7.9861111109494232E-2</v>
      </c>
      <c r="G1921" s="24">
        <f t="shared" si="89"/>
        <v>156.52173913360375</v>
      </c>
      <c r="H1921" s="1" t="s">
        <v>1</v>
      </c>
      <c r="I1921" s="4" t="s">
        <v>3</v>
      </c>
      <c r="J1921" s="14">
        <v>0.63888888888888884</v>
      </c>
      <c r="K1921" s="20" t="str">
        <f t="shared" si="88"/>
        <v>2nd Shift</v>
      </c>
    </row>
    <row r="1922" spans="1:11" x14ac:dyDescent="0.25">
      <c r="A1922" s="1">
        <v>1921</v>
      </c>
      <c r="B1922" s="1">
        <v>10</v>
      </c>
      <c r="C1922" s="3">
        <v>10115271432907</v>
      </c>
      <c r="D1922" s="2">
        <v>44471.638888888891</v>
      </c>
      <c r="E1922" s="2">
        <v>44471.71875</v>
      </c>
      <c r="F1922" s="23">
        <f t="shared" ref="F1922:F1985" si="90">E1922-D1922</f>
        <v>7.9861111109494232E-2</v>
      </c>
      <c r="G1922" s="24">
        <f t="shared" si="89"/>
        <v>156.52173913360375</v>
      </c>
      <c r="H1922" s="1" t="s">
        <v>1</v>
      </c>
      <c r="I1922" s="4" t="s">
        <v>4</v>
      </c>
      <c r="J1922" s="14">
        <v>0.63888888888888884</v>
      </c>
      <c r="K1922" s="20" t="str">
        <f t="shared" ref="K1922:K1985" si="91">IF(AND(J1922&gt;=$M$3,J1922&lt;$M$4),"1st Shift",IF(AND(J1922&gt;=$M$4,J1922&lt;$M$5),"2nd Shift","3rd Shift"))</f>
        <v>2nd Shift</v>
      </c>
    </row>
    <row r="1923" spans="1:11" x14ac:dyDescent="0.25">
      <c r="A1923" s="1">
        <v>1922</v>
      </c>
      <c r="B1923" s="1">
        <v>10</v>
      </c>
      <c r="C1923" s="3">
        <v>10115271432900</v>
      </c>
      <c r="D1923" s="2">
        <v>44471.638888888891</v>
      </c>
      <c r="E1923" s="2">
        <v>44471.71875</v>
      </c>
      <c r="F1923" s="23">
        <f t="shared" si="90"/>
        <v>7.9861111109494232E-2</v>
      </c>
      <c r="G1923" s="24">
        <f t="shared" ref="G1923:G1986" si="92">$M$9/F1923*100</f>
        <v>156.52173913360375</v>
      </c>
      <c r="H1923" s="1" t="s">
        <v>1</v>
      </c>
      <c r="I1923" s="4" t="s">
        <v>3</v>
      </c>
      <c r="J1923" s="14">
        <v>0.63888888888888884</v>
      </c>
      <c r="K1923" s="20" t="str">
        <f t="shared" si="91"/>
        <v>2nd Shift</v>
      </c>
    </row>
    <row r="1924" spans="1:11" x14ac:dyDescent="0.25">
      <c r="A1924" s="1">
        <v>1923</v>
      </c>
      <c r="B1924" s="1">
        <v>8</v>
      </c>
      <c r="C1924" s="3">
        <v>8115271887306</v>
      </c>
      <c r="D1924" s="2">
        <v>44471.638888888891</v>
      </c>
      <c r="E1924" s="2">
        <v>44471.71875</v>
      </c>
      <c r="F1924" s="23">
        <f t="shared" si="90"/>
        <v>7.9861111109494232E-2</v>
      </c>
      <c r="G1924" s="24">
        <f t="shared" si="92"/>
        <v>156.52173913360375</v>
      </c>
      <c r="H1924" s="1" t="s">
        <v>1</v>
      </c>
      <c r="I1924" s="4" t="s">
        <v>2</v>
      </c>
      <c r="J1924" s="14">
        <v>0.63888888888888884</v>
      </c>
      <c r="K1924" s="20" t="str">
        <f t="shared" si="91"/>
        <v>2nd Shift</v>
      </c>
    </row>
    <row r="1925" spans="1:11" x14ac:dyDescent="0.25">
      <c r="A1925" s="1">
        <v>1924</v>
      </c>
      <c r="B1925" s="1">
        <v>8</v>
      </c>
      <c r="C1925" s="3">
        <v>8115271887302</v>
      </c>
      <c r="D1925" s="2">
        <v>44471.638888888891</v>
      </c>
      <c r="E1925" s="2">
        <v>44471.71875</v>
      </c>
      <c r="F1925" s="23">
        <f t="shared" si="90"/>
        <v>7.9861111109494232E-2</v>
      </c>
      <c r="G1925" s="24">
        <f t="shared" si="92"/>
        <v>156.52173913360375</v>
      </c>
      <c r="H1925" s="1" t="s">
        <v>1</v>
      </c>
      <c r="I1925" s="4" t="s">
        <v>2</v>
      </c>
      <c r="J1925" s="14">
        <v>0.63888888888888884</v>
      </c>
      <c r="K1925" s="20" t="str">
        <f t="shared" si="91"/>
        <v>2nd Shift</v>
      </c>
    </row>
    <row r="1926" spans="1:11" x14ac:dyDescent="0.25">
      <c r="A1926" s="1">
        <v>1925</v>
      </c>
      <c r="B1926" s="1">
        <v>8</v>
      </c>
      <c r="C1926" s="3">
        <v>8115271877703</v>
      </c>
      <c r="D1926" s="2">
        <v>44471.75</v>
      </c>
      <c r="E1926" s="2">
        <v>44471.847222222219</v>
      </c>
      <c r="F1926" s="23">
        <f t="shared" si="90"/>
        <v>9.7222222218988463E-2</v>
      </c>
      <c r="G1926" s="24">
        <f t="shared" si="92"/>
        <v>128.57142857570506</v>
      </c>
      <c r="H1926" s="1" t="s">
        <v>1</v>
      </c>
      <c r="I1926" s="4" t="s">
        <v>3</v>
      </c>
      <c r="J1926" s="14">
        <v>0.75</v>
      </c>
      <c r="K1926" s="20" t="str">
        <f t="shared" si="91"/>
        <v>2nd Shift</v>
      </c>
    </row>
    <row r="1927" spans="1:11" x14ac:dyDescent="0.25">
      <c r="A1927" s="1">
        <v>1926</v>
      </c>
      <c r="B1927" s="1">
        <v>8</v>
      </c>
      <c r="C1927" s="3">
        <v>8115271877701</v>
      </c>
      <c r="D1927" s="2">
        <v>44471.75</v>
      </c>
      <c r="E1927" s="2">
        <v>44471.847222222219</v>
      </c>
      <c r="F1927" s="23">
        <f t="shared" si="90"/>
        <v>9.7222222218988463E-2</v>
      </c>
      <c r="G1927" s="24">
        <f t="shared" si="92"/>
        <v>128.57142857570506</v>
      </c>
      <c r="H1927" s="1" t="s">
        <v>1</v>
      </c>
      <c r="I1927" s="4" t="s">
        <v>4</v>
      </c>
      <c r="J1927" s="14">
        <v>0.75</v>
      </c>
      <c r="K1927" s="20" t="str">
        <f t="shared" si="91"/>
        <v>2nd Shift</v>
      </c>
    </row>
    <row r="1928" spans="1:11" x14ac:dyDescent="0.25">
      <c r="A1928" s="1">
        <v>1927</v>
      </c>
      <c r="B1928" s="1">
        <v>6</v>
      </c>
      <c r="C1928" s="3">
        <v>6115271744705</v>
      </c>
      <c r="D1928" s="2">
        <v>44471.75</v>
      </c>
      <c r="E1928" s="2">
        <v>44471.847222222219</v>
      </c>
      <c r="F1928" s="23">
        <f t="shared" si="90"/>
        <v>9.7222222218988463E-2</v>
      </c>
      <c r="G1928" s="24">
        <f t="shared" si="92"/>
        <v>128.57142857570506</v>
      </c>
      <c r="H1928" s="1" t="s">
        <v>1</v>
      </c>
      <c r="I1928" s="4" t="s">
        <v>8</v>
      </c>
      <c r="J1928" s="14">
        <v>0.75</v>
      </c>
      <c r="K1928" s="20" t="str">
        <f t="shared" si="91"/>
        <v>2nd Shift</v>
      </c>
    </row>
    <row r="1929" spans="1:11" x14ac:dyDescent="0.25">
      <c r="A1929" s="1">
        <v>1928</v>
      </c>
      <c r="B1929" s="1">
        <v>6</v>
      </c>
      <c r="C1929" s="3">
        <v>6115271744700</v>
      </c>
      <c r="D1929" s="2">
        <v>44471.75</v>
      </c>
      <c r="E1929" s="2">
        <v>44471.847222222219</v>
      </c>
      <c r="F1929" s="23">
        <f t="shared" si="90"/>
        <v>9.7222222218988463E-2</v>
      </c>
      <c r="G1929" s="24">
        <f t="shared" si="92"/>
        <v>128.57142857570506</v>
      </c>
      <c r="H1929" s="1" t="s">
        <v>1</v>
      </c>
      <c r="I1929" s="4" t="s">
        <v>3</v>
      </c>
      <c r="J1929" s="14">
        <v>0.75</v>
      </c>
      <c r="K1929" s="20" t="str">
        <f t="shared" si="91"/>
        <v>2nd Shift</v>
      </c>
    </row>
    <row r="1930" spans="1:11" x14ac:dyDescent="0.25">
      <c r="A1930" s="1">
        <v>1929</v>
      </c>
      <c r="B1930" s="1">
        <v>1</v>
      </c>
      <c r="C1930" s="3">
        <v>1115270110700</v>
      </c>
      <c r="D1930" s="2">
        <v>44472.034722222219</v>
      </c>
      <c r="E1930" s="2">
        <v>44472.0625</v>
      </c>
      <c r="F1930" s="23">
        <f t="shared" si="90"/>
        <v>2.7777777781011537E-2</v>
      </c>
      <c r="G1930" s="24">
        <f t="shared" si="92"/>
        <v>449.99999994761311</v>
      </c>
      <c r="H1930" s="1" t="s">
        <v>1</v>
      </c>
      <c r="I1930" s="4" t="s">
        <v>3</v>
      </c>
      <c r="J1930" s="14">
        <v>3.4722222222222224E-2</v>
      </c>
      <c r="K1930" s="20" t="str">
        <f t="shared" si="91"/>
        <v>3rd Shift</v>
      </c>
    </row>
    <row r="1931" spans="1:11" x14ac:dyDescent="0.25">
      <c r="A1931" s="1">
        <v>1930</v>
      </c>
      <c r="B1931" s="1">
        <v>15</v>
      </c>
      <c r="C1931" s="3">
        <v>15115271743802</v>
      </c>
      <c r="D1931" s="2">
        <v>44472.361111111109</v>
      </c>
      <c r="E1931" s="2">
        <v>44472.527777777781</v>
      </c>
      <c r="F1931" s="23">
        <f t="shared" si="90"/>
        <v>0.16666666667151731</v>
      </c>
      <c r="G1931" s="24">
        <f t="shared" si="92"/>
        <v>74.999999997817213</v>
      </c>
      <c r="H1931" s="1" t="s">
        <v>1</v>
      </c>
      <c r="I1931" s="4" t="s">
        <v>3</v>
      </c>
      <c r="J1931" s="14">
        <v>0.3611111111111111</v>
      </c>
      <c r="K1931" s="20" t="str">
        <f t="shared" si="91"/>
        <v>1st Shift</v>
      </c>
    </row>
    <row r="1932" spans="1:11" x14ac:dyDescent="0.25">
      <c r="A1932" s="1">
        <v>1931</v>
      </c>
      <c r="B1932" s="1">
        <v>15</v>
      </c>
      <c r="C1932" s="3">
        <v>15115271743801</v>
      </c>
      <c r="D1932" s="2">
        <v>44472.361111111109</v>
      </c>
      <c r="E1932" s="2">
        <v>44472.527777777781</v>
      </c>
      <c r="F1932" s="23">
        <f t="shared" si="90"/>
        <v>0.16666666667151731</v>
      </c>
      <c r="G1932" s="24">
        <f t="shared" si="92"/>
        <v>74.999999997817213</v>
      </c>
      <c r="H1932" s="1" t="s">
        <v>1</v>
      </c>
      <c r="I1932" s="4" t="s">
        <v>2</v>
      </c>
      <c r="J1932" s="14">
        <v>0.3611111111111111</v>
      </c>
      <c r="K1932" s="20" t="str">
        <f t="shared" si="91"/>
        <v>1st Shift</v>
      </c>
    </row>
    <row r="1933" spans="1:11" x14ac:dyDescent="0.25">
      <c r="A1933" s="1">
        <v>1932</v>
      </c>
      <c r="B1933" s="1">
        <v>11</v>
      </c>
      <c r="C1933" s="3">
        <v>11115271526104</v>
      </c>
      <c r="D1933" s="2">
        <v>44472.361111111109</v>
      </c>
      <c r="E1933" s="2">
        <v>44472.527777777781</v>
      </c>
      <c r="F1933" s="23">
        <f t="shared" si="90"/>
        <v>0.16666666667151731</v>
      </c>
      <c r="G1933" s="24">
        <f t="shared" si="92"/>
        <v>74.999999997817213</v>
      </c>
      <c r="H1933" s="1" t="s">
        <v>1</v>
      </c>
      <c r="I1933" s="4" t="s">
        <v>2</v>
      </c>
      <c r="J1933" s="14">
        <v>0.3611111111111111</v>
      </c>
      <c r="K1933" s="20" t="str">
        <f t="shared" si="91"/>
        <v>1st Shift</v>
      </c>
    </row>
    <row r="1934" spans="1:11" x14ac:dyDescent="0.25">
      <c r="A1934" s="1">
        <v>1933</v>
      </c>
      <c r="B1934" s="1">
        <v>11</v>
      </c>
      <c r="C1934" s="3">
        <v>11115271526100</v>
      </c>
      <c r="D1934" s="2">
        <v>44472.361111111109</v>
      </c>
      <c r="E1934" s="2">
        <v>44472.527777777781</v>
      </c>
      <c r="F1934" s="23">
        <f t="shared" si="90"/>
        <v>0.16666666667151731</v>
      </c>
      <c r="G1934" s="24">
        <f t="shared" si="92"/>
        <v>74.999999997817213</v>
      </c>
      <c r="H1934" s="1" t="s">
        <v>1</v>
      </c>
      <c r="I1934" s="4" t="s">
        <v>3</v>
      </c>
      <c r="J1934" s="14">
        <v>0.3611111111111111</v>
      </c>
      <c r="K1934" s="20" t="str">
        <f t="shared" si="91"/>
        <v>1st Shift</v>
      </c>
    </row>
    <row r="1935" spans="1:11" x14ac:dyDescent="0.25">
      <c r="A1935" s="1">
        <v>1934</v>
      </c>
      <c r="B1935" s="1">
        <v>1</v>
      </c>
      <c r="C1935" s="3">
        <v>1115270141704</v>
      </c>
      <c r="D1935" s="2">
        <v>44472.361111111109</v>
      </c>
      <c r="E1935" s="2">
        <v>44472.527777777781</v>
      </c>
      <c r="F1935" s="23">
        <f t="shared" si="90"/>
        <v>0.16666666667151731</v>
      </c>
      <c r="G1935" s="24">
        <f t="shared" si="92"/>
        <v>74.999999997817213</v>
      </c>
      <c r="H1935" s="1" t="s">
        <v>1</v>
      </c>
      <c r="I1935" s="4" t="s">
        <v>2</v>
      </c>
      <c r="J1935" s="14">
        <v>0.3611111111111111</v>
      </c>
      <c r="K1935" s="20" t="str">
        <f t="shared" si="91"/>
        <v>1st Shift</v>
      </c>
    </row>
    <row r="1936" spans="1:11" x14ac:dyDescent="0.25">
      <c r="A1936" s="1">
        <v>1935</v>
      </c>
      <c r="B1936" s="1">
        <v>1</v>
      </c>
      <c r="C1936" s="3">
        <v>1115270141700</v>
      </c>
      <c r="D1936" s="2">
        <v>44472.361111111109</v>
      </c>
      <c r="E1936" s="2">
        <v>44472.527777777781</v>
      </c>
      <c r="F1936" s="23">
        <f t="shared" si="90"/>
        <v>0.16666666667151731</v>
      </c>
      <c r="G1936" s="24">
        <f t="shared" si="92"/>
        <v>74.999999997817213</v>
      </c>
      <c r="H1936" s="1" t="s">
        <v>1</v>
      </c>
      <c r="I1936" s="4" t="s">
        <v>3</v>
      </c>
      <c r="J1936" s="14">
        <v>0.3611111111111111</v>
      </c>
      <c r="K1936" s="20" t="str">
        <f t="shared" si="91"/>
        <v>1st Shift</v>
      </c>
    </row>
    <row r="1937" spans="1:11" x14ac:dyDescent="0.25">
      <c r="A1937" s="1">
        <v>1936</v>
      </c>
      <c r="B1937" s="1">
        <v>1</v>
      </c>
      <c r="C1937" s="3">
        <v>1115270067001</v>
      </c>
      <c r="D1937" s="2">
        <v>44472.361111111109</v>
      </c>
      <c r="E1937" s="2">
        <v>44472.527777777781</v>
      </c>
      <c r="F1937" s="23">
        <f t="shared" si="90"/>
        <v>0.16666666667151731</v>
      </c>
      <c r="G1937" s="24">
        <f t="shared" si="92"/>
        <v>74.999999997817213</v>
      </c>
      <c r="H1937" s="1" t="s">
        <v>1</v>
      </c>
      <c r="I1937" s="4" t="s">
        <v>3</v>
      </c>
      <c r="J1937" s="14">
        <v>0.3611111111111111</v>
      </c>
      <c r="K1937" s="20" t="str">
        <f t="shared" si="91"/>
        <v>1st Shift</v>
      </c>
    </row>
    <row r="1938" spans="1:11" x14ac:dyDescent="0.25">
      <c r="A1938" s="1">
        <v>1937</v>
      </c>
      <c r="B1938" s="1">
        <v>14</v>
      </c>
      <c r="C1938" s="3">
        <v>14115271673701</v>
      </c>
      <c r="D1938" s="2">
        <v>44472.642361111109</v>
      </c>
      <c r="E1938" s="2">
        <v>44472.791666666664</v>
      </c>
      <c r="F1938" s="23">
        <f t="shared" si="90"/>
        <v>0.14930555555474712</v>
      </c>
      <c r="G1938" s="24">
        <f t="shared" si="92"/>
        <v>83.720930233011458</v>
      </c>
      <c r="H1938" s="1" t="s">
        <v>1</v>
      </c>
      <c r="I1938" s="4" t="s">
        <v>3</v>
      </c>
      <c r="J1938" s="14">
        <v>0.64236111111111116</v>
      </c>
      <c r="K1938" s="20" t="str">
        <f t="shared" si="91"/>
        <v>2nd Shift</v>
      </c>
    </row>
    <row r="1939" spans="1:11" x14ac:dyDescent="0.25">
      <c r="A1939" s="1">
        <v>1938</v>
      </c>
      <c r="B1939" s="1">
        <v>3</v>
      </c>
      <c r="C1939" s="3">
        <v>3115270366406</v>
      </c>
      <c r="D1939" s="2">
        <v>44472.642361111109</v>
      </c>
      <c r="E1939" s="2">
        <v>44472.791666666664</v>
      </c>
      <c r="F1939" s="23">
        <f t="shared" si="90"/>
        <v>0.14930555555474712</v>
      </c>
      <c r="G1939" s="24">
        <f t="shared" si="92"/>
        <v>83.720930233011458</v>
      </c>
      <c r="H1939" s="1" t="s">
        <v>1</v>
      </c>
      <c r="I1939" s="4" t="s">
        <v>4</v>
      </c>
      <c r="J1939" s="14">
        <v>0.64236111111111116</v>
      </c>
      <c r="K1939" s="20" t="str">
        <f t="shared" si="91"/>
        <v>2nd Shift</v>
      </c>
    </row>
    <row r="1940" spans="1:11" x14ac:dyDescent="0.25">
      <c r="A1940" s="1">
        <v>1939</v>
      </c>
      <c r="B1940" s="1">
        <v>3</v>
      </c>
      <c r="C1940" s="3">
        <v>3115270366401</v>
      </c>
      <c r="D1940" s="2">
        <v>44472.642361111109</v>
      </c>
      <c r="E1940" s="2">
        <v>44472.791666666664</v>
      </c>
      <c r="F1940" s="23">
        <f t="shared" si="90"/>
        <v>0.14930555555474712</v>
      </c>
      <c r="G1940" s="24">
        <f t="shared" si="92"/>
        <v>83.720930233011458</v>
      </c>
      <c r="H1940" s="1" t="s">
        <v>1</v>
      </c>
      <c r="I1940" s="4" t="s">
        <v>3</v>
      </c>
      <c r="J1940" s="14">
        <v>0.64236111111111116</v>
      </c>
      <c r="K1940" s="20" t="str">
        <f t="shared" si="91"/>
        <v>2nd Shift</v>
      </c>
    </row>
    <row r="1941" spans="1:11" x14ac:dyDescent="0.25">
      <c r="A1941" s="1">
        <v>1940</v>
      </c>
      <c r="B1941" s="1">
        <v>3</v>
      </c>
      <c r="C1941" s="3">
        <v>3115270341006</v>
      </c>
      <c r="D1941" s="2">
        <v>44472.642361111109</v>
      </c>
      <c r="E1941" s="2">
        <v>44472.791666666664</v>
      </c>
      <c r="F1941" s="23">
        <f t="shared" si="90"/>
        <v>0.14930555555474712</v>
      </c>
      <c r="G1941" s="24">
        <f t="shared" si="92"/>
        <v>83.720930233011458</v>
      </c>
      <c r="H1941" s="1" t="s">
        <v>1</v>
      </c>
      <c r="I1941" s="4" t="s">
        <v>2</v>
      </c>
      <c r="J1941" s="14">
        <v>0.64236111111111116</v>
      </c>
      <c r="K1941" s="20" t="str">
        <f t="shared" si="91"/>
        <v>2nd Shift</v>
      </c>
    </row>
    <row r="1942" spans="1:11" x14ac:dyDescent="0.25">
      <c r="A1942" s="1">
        <v>1941</v>
      </c>
      <c r="B1942" s="1">
        <v>3</v>
      </c>
      <c r="C1942" s="3">
        <v>3115270341003</v>
      </c>
      <c r="D1942" s="2">
        <v>44472.642361111109</v>
      </c>
      <c r="E1942" s="2">
        <v>44472.791666666664</v>
      </c>
      <c r="F1942" s="23">
        <f t="shared" si="90"/>
        <v>0.14930555555474712</v>
      </c>
      <c r="G1942" s="24">
        <f t="shared" si="92"/>
        <v>83.720930233011458</v>
      </c>
      <c r="H1942" s="1" t="s">
        <v>1</v>
      </c>
      <c r="I1942" s="4" t="s">
        <v>3</v>
      </c>
      <c r="J1942" s="14">
        <v>0.64236111111111116</v>
      </c>
      <c r="K1942" s="20" t="str">
        <f t="shared" si="91"/>
        <v>2nd Shift</v>
      </c>
    </row>
    <row r="1943" spans="1:11" x14ac:dyDescent="0.25">
      <c r="A1943" s="1">
        <v>1942</v>
      </c>
      <c r="B1943" s="1">
        <v>12</v>
      </c>
      <c r="C1943" s="3">
        <v>12115271569207</v>
      </c>
      <c r="D1943" s="2">
        <v>44472.833333333336</v>
      </c>
      <c r="E1943" s="2">
        <v>44472.895833333336</v>
      </c>
      <c r="F1943" s="23">
        <f t="shared" si="90"/>
        <v>6.25E-2</v>
      </c>
      <c r="G1943" s="24">
        <f t="shared" si="92"/>
        <v>200</v>
      </c>
      <c r="H1943" s="1" t="s">
        <v>1</v>
      </c>
      <c r="I1943" s="4" t="s">
        <v>3</v>
      </c>
      <c r="J1943" s="14">
        <v>0.83333333333333337</v>
      </c>
      <c r="K1943" s="20" t="str">
        <f t="shared" si="91"/>
        <v>2nd Shift</v>
      </c>
    </row>
    <row r="1944" spans="1:11" x14ac:dyDescent="0.25">
      <c r="A1944" s="1">
        <v>1943</v>
      </c>
      <c r="B1944" s="1">
        <v>7</v>
      </c>
      <c r="C1944" s="3">
        <v>7115271768104</v>
      </c>
      <c r="D1944" s="2">
        <v>44472.833333333336</v>
      </c>
      <c r="E1944" s="2">
        <v>44472.895833333336</v>
      </c>
      <c r="F1944" s="23">
        <f t="shared" si="90"/>
        <v>6.25E-2</v>
      </c>
      <c r="G1944" s="24">
        <f t="shared" si="92"/>
        <v>200</v>
      </c>
      <c r="H1944" s="1" t="s">
        <v>1</v>
      </c>
      <c r="I1944" s="4" t="s">
        <v>3</v>
      </c>
      <c r="J1944" s="14">
        <v>0.83333333333333337</v>
      </c>
      <c r="K1944" s="20" t="str">
        <f t="shared" si="91"/>
        <v>2nd Shift</v>
      </c>
    </row>
    <row r="1945" spans="1:11" x14ac:dyDescent="0.25">
      <c r="A1945" s="1">
        <v>1944</v>
      </c>
      <c r="B1945" s="1">
        <v>8</v>
      </c>
      <c r="C1945" s="3">
        <v>8115271838505</v>
      </c>
      <c r="D1945" s="2">
        <v>44473.020833333336</v>
      </c>
      <c r="E1945" s="2">
        <v>44473.114583333336</v>
      </c>
      <c r="F1945" s="23">
        <f t="shared" si="90"/>
        <v>9.375E-2</v>
      </c>
      <c r="G1945" s="24">
        <f t="shared" si="92"/>
        <v>133.33333333333331</v>
      </c>
      <c r="H1945" s="1" t="s">
        <v>1</v>
      </c>
      <c r="I1945" s="4" t="s">
        <v>2</v>
      </c>
      <c r="J1945" s="14">
        <v>2.0833333333333332E-2</v>
      </c>
      <c r="K1945" s="20" t="str">
        <f t="shared" si="91"/>
        <v>3rd Shift</v>
      </c>
    </row>
    <row r="1946" spans="1:11" x14ac:dyDescent="0.25">
      <c r="A1946" s="1">
        <v>1945</v>
      </c>
      <c r="B1946" s="1">
        <v>8</v>
      </c>
      <c r="C1946" s="3">
        <v>8115271838504</v>
      </c>
      <c r="D1946" s="2">
        <v>44473.020833333336</v>
      </c>
      <c r="E1946" s="2">
        <v>44473.114583333336</v>
      </c>
      <c r="F1946" s="23">
        <f t="shared" si="90"/>
        <v>9.375E-2</v>
      </c>
      <c r="G1946" s="24">
        <f t="shared" si="92"/>
        <v>133.33333333333331</v>
      </c>
      <c r="H1946" s="1" t="s">
        <v>1</v>
      </c>
      <c r="I1946" s="4" t="s">
        <v>2</v>
      </c>
      <c r="J1946" s="14">
        <v>2.0833333333333332E-2</v>
      </c>
      <c r="K1946" s="20" t="str">
        <f t="shared" si="91"/>
        <v>3rd Shift</v>
      </c>
    </row>
    <row r="1947" spans="1:11" x14ac:dyDescent="0.25">
      <c r="A1947" s="1">
        <v>1946</v>
      </c>
      <c r="B1947" s="1">
        <v>7</v>
      </c>
      <c r="C1947" s="3">
        <v>7115271766018</v>
      </c>
      <c r="D1947" s="2">
        <v>44473.020833333336</v>
      </c>
      <c r="E1947" s="2">
        <v>44473.114583333336</v>
      </c>
      <c r="F1947" s="23">
        <f t="shared" si="90"/>
        <v>9.375E-2</v>
      </c>
      <c r="G1947" s="24">
        <f t="shared" si="92"/>
        <v>133.33333333333331</v>
      </c>
      <c r="H1947" s="1" t="s">
        <v>1</v>
      </c>
      <c r="I1947" s="4" t="s">
        <v>2</v>
      </c>
      <c r="J1947" s="14">
        <v>2.0833333333333332E-2</v>
      </c>
      <c r="K1947" s="20" t="str">
        <f t="shared" si="91"/>
        <v>3rd Shift</v>
      </c>
    </row>
    <row r="1948" spans="1:11" x14ac:dyDescent="0.25">
      <c r="A1948" s="1">
        <v>1947</v>
      </c>
      <c r="B1948" s="1">
        <v>7</v>
      </c>
      <c r="C1948" s="3">
        <v>7115271766012</v>
      </c>
      <c r="D1948" s="2">
        <v>44473.020833333336</v>
      </c>
      <c r="E1948" s="2">
        <v>44473.114583333336</v>
      </c>
      <c r="F1948" s="23">
        <f t="shared" si="90"/>
        <v>9.375E-2</v>
      </c>
      <c r="G1948" s="24">
        <f t="shared" si="92"/>
        <v>133.33333333333331</v>
      </c>
      <c r="H1948" s="1" t="s">
        <v>1</v>
      </c>
      <c r="I1948" s="4" t="s">
        <v>3</v>
      </c>
      <c r="J1948" s="14">
        <v>2.0833333333333332E-2</v>
      </c>
      <c r="K1948" s="20" t="str">
        <f t="shared" si="91"/>
        <v>3rd Shift</v>
      </c>
    </row>
    <row r="1949" spans="1:11" x14ac:dyDescent="0.25">
      <c r="A1949" s="1">
        <v>1948</v>
      </c>
      <c r="B1949" s="1">
        <v>3</v>
      </c>
      <c r="C1949" s="3">
        <v>3115270306606</v>
      </c>
      <c r="D1949" s="2">
        <v>44473.020833333336</v>
      </c>
      <c r="E1949" s="2">
        <v>44473.114583333336</v>
      </c>
      <c r="F1949" s="23">
        <f t="shared" si="90"/>
        <v>9.375E-2</v>
      </c>
      <c r="G1949" s="24">
        <f t="shared" si="92"/>
        <v>133.33333333333331</v>
      </c>
      <c r="H1949" s="1" t="s">
        <v>1</v>
      </c>
      <c r="I1949" s="4" t="s">
        <v>2</v>
      </c>
      <c r="J1949" s="14">
        <v>2.0833333333333332E-2</v>
      </c>
      <c r="K1949" s="20" t="str">
        <f t="shared" si="91"/>
        <v>3rd Shift</v>
      </c>
    </row>
    <row r="1950" spans="1:11" x14ac:dyDescent="0.25">
      <c r="A1950" s="1">
        <v>1949</v>
      </c>
      <c r="B1950" s="1">
        <v>3</v>
      </c>
      <c r="C1950" s="3">
        <v>3115270306605</v>
      </c>
      <c r="D1950" s="2">
        <v>44473.020833333336</v>
      </c>
      <c r="E1950" s="2">
        <v>44473.114583333336</v>
      </c>
      <c r="F1950" s="23">
        <f t="shared" si="90"/>
        <v>9.375E-2</v>
      </c>
      <c r="G1950" s="24">
        <f t="shared" si="92"/>
        <v>133.33333333333331</v>
      </c>
      <c r="H1950" s="1" t="s">
        <v>1</v>
      </c>
      <c r="I1950" s="4" t="s">
        <v>3</v>
      </c>
      <c r="J1950" s="14">
        <v>2.0833333333333332E-2</v>
      </c>
      <c r="K1950" s="20" t="str">
        <f t="shared" si="91"/>
        <v>3rd Shift</v>
      </c>
    </row>
    <row r="1951" spans="1:11" x14ac:dyDescent="0.25">
      <c r="A1951" s="1">
        <v>1950</v>
      </c>
      <c r="B1951" s="1">
        <v>14</v>
      </c>
      <c r="C1951" s="3">
        <v>14115271672409</v>
      </c>
      <c r="D1951" s="2">
        <v>44473.40625</v>
      </c>
      <c r="E1951" s="2">
        <v>44473.583333333336</v>
      </c>
      <c r="F1951" s="23">
        <f t="shared" si="90"/>
        <v>0.17708333333575865</v>
      </c>
      <c r="G1951" s="24">
        <f t="shared" si="92"/>
        <v>70.588235293150888</v>
      </c>
      <c r="H1951" s="1" t="s">
        <v>1</v>
      </c>
      <c r="I1951" s="4" t="s">
        <v>3</v>
      </c>
      <c r="J1951" s="14">
        <v>0.40625</v>
      </c>
      <c r="K1951" s="20" t="str">
        <f t="shared" si="91"/>
        <v>1st Shift</v>
      </c>
    </row>
    <row r="1952" spans="1:11" x14ac:dyDescent="0.25">
      <c r="A1952" s="1">
        <v>1951</v>
      </c>
      <c r="B1952" s="1">
        <v>14</v>
      </c>
      <c r="C1952" s="3">
        <v>14115271672406</v>
      </c>
      <c r="D1952" s="2">
        <v>44473.40625</v>
      </c>
      <c r="E1952" s="2">
        <v>44473.583333333336</v>
      </c>
      <c r="F1952" s="23">
        <f t="shared" si="90"/>
        <v>0.17708333333575865</v>
      </c>
      <c r="G1952" s="24">
        <f t="shared" si="92"/>
        <v>70.588235293150888</v>
      </c>
      <c r="H1952" s="1" t="s">
        <v>1</v>
      </c>
      <c r="I1952" s="4" t="s">
        <v>4</v>
      </c>
      <c r="J1952" s="14">
        <v>0.40625</v>
      </c>
      <c r="K1952" s="20" t="str">
        <f t="shared" si="91"/>
        <v>1st Shift</v>
      </c>
    </row>
    <row r="1953" spans="1:11" x14ac:dyDescent="0.25">
      <c r="A1953" s="1">
        <v>1952</v>
      </c>
      <c r="B1953" s="1">
        <v>14</v>
      </c>
      <c r="C1953" s="3">
        <v>14115271672401</v>
      </c>
      <c r="D1953" s="2">
        <v>44473.40625</v>
      </c>
      <c r="E1953" s="2">
        <v>44473.583333333336</v>
      </c>
      <c r="F1953" s="23">
        <f t="shared" si="90"/>
        <v>0.17708333333575865</v>
      </c>
      <c r="G1953" s="24">
        <f t="shared" si="92"/>
        <v>70.588235293150888</v>
      </c>
      <c r="H1953" s="1" t="s">
        <v>1</v>
      </c>
      <c r="I1953" s="4" t="s">
        <v>3</v>
      </c>
      <c r="J1953" s="14">
        <v>0.40625</v>
      </c>
      <c r="K1953" s="20" t="str">
        <f t="shared" si="91"/>
        <v>1st Shift</v>
      </c>
    </row>
    <row r="1954" spans="1:11" x14ac:dyDescent="0.25">
      <c r="A1954" s="1">
        <v>1953</v>
      </c>
      <c r="B1954" s="1">
        <v>8</v>
      </c>
      <c r="C1954" s="3">
        <v>8115270613203</v>
      </c>
      <c r="D1954" s="2">
        <v>44473.40625</v>
      </c>
      <c r="E1954" s="2">
        <v>44473.583333333336</v>
      </c>
      <c r="F1954" s="23">
        <f t="shared" si="90"/>
        <v>0.17708333333575865</v>
      </c>
      <c r="G1954" s="24">
        <f t="shared" si="92"/>
        <v>70.588235293150888</v>
      </c>
      <c r="H1954" s="1" t="s">
        <v>1</v>
      </c>
      <c r="I1954" s="4" t="s">
        <v>3</v>
      </c>
      <c r="J1954" s="14">
        <v>0.40625</v>
      </c>
      <c r="K1954" s="20" t="str">
        <f t="shared" si="91"/>
        <v>1st Shift</v>
      </c>
    </row>
    <row r="1955" spans="1:11" x14ac:dyDescent="0.25">
      <c r="A1955" s="1">
        <v>1954</v>
      </c>
      <c r="B1955" s="1">
        <v>8</v>
      </c>
      <c r="C1955" s="3">
        <v>8115270613201</v>
      </c>
      <c r="D1955" s="2">
        <v>44473.40625</v>
      </c>
      <c r="E1955" s="2">
        <v>44473.583333333336</v>
      </c>
      <c r="F1955" s="23">
        <f t="shared" si="90"/>
        <v>0.17708333333575865</v>
      </c>
      <c r="G1955" s="24">
        <f t="shared" si="92"/>
        <v>70.588235293150888</v>
      </c>
      <c r="H1955" s="1" t="s">
        <v>1</v>
      </c>
      <c r="I1955" s="4" t="s">
        <v>2</v>
      </c>
      <c r="J1955" s="14">
        <v>0.40625</v>
      </c>
      <c r="K1955" s="20" t="str">
        <f t="shared" si="91"/>
        <v>1st Shift</v>
      </c>
    </row>
    <row r="1956" spans="1:11" x14ac:dyDescent="0.25">
      <c r="A1956" s="1">
        <v>1955</v>
      </c>
      <c r="B1956" s="1">
        <v>8</v>
      </c>
      <c r="C1956" s="3">
        <v>8115270613200</v>
      </c>
      <c r="D1956" s="2">
        <v>44473.40625</v>
      </c>
      <c r="E1956" s="2">
        <v>44473.583333333336</v>
      </c>
      <c r="F1956" s="23">
        <f t="shared" si="90"/>
        <v>0.17708333333575865</v>
      </c>
      <c r="G1956" s="24">
        <f t="shared" si="92"/>
        <v>70.588235293150888</v>
      </c>
      <c r="H1956" s="1" t="s">
        <v>1</v>
      </c>
      <c r="I1956" s="4" t="s">
        <v>2</v>
      </c>
      <c r="J1956" s="14">
        <v>0.40625</v>
      </c>
      <c r="K1956" s="20" t="str">
        <f t="shared" si="91"/>
        <v>1st Shift</v>
      </c>
    </row>
    <row r="1957" spans="1:11" x14ac:dyDescent="0.25">
      <c r="A1957" s="1">
        <v>1956</v>
      </c>
      <c r="B1957" s="1">
        <v>3</v>
      </c>
      <c r="C1957" s="3">
        <v>3115270409107</v>
      </c>
      <c r="D1957" s="2">
        <v>44473.40625</v>
      </c>
      <c r="E1957" s="2">
        <v>44473.583333333336</v>
      </c>
      <c r="F1957" s="23">
        <f t="shared" si="90"/>
        <v>0.17708333333575865</v>
      </c>
      <c r="G1957" s="24">
        <f t="shared" si="92"/>
        <v>70.588235293150888</v>
      </c>
      <c r="H1957" s="1" t="s">
        <v>1</v>
      </c>
      <c r="I1957" s="4" t="s">
        <v>3</v>
      </c>
      <c r="J1957" s="14">
        <v>0.40625</v>
      </c>
      <c r="K1957" s="20" t="str">
        <f t="shared" si="91"/>
        <v>1st Shift</v>
      </c>
    </row>
    <row r="1958" spans="1:11" x14ac:dyDescent="0.25">
      <c r="A1958" s="1">
        <v>1957</v>
      </c>
      <c r="B1958" s="1">
        <v>3</v>
      </c>
      <c r="C1958" s="3">
        <v>3115270409103</v>
      </c>
      <c r="D1958" s="2">
        <v>44473.40625</v>
      </c>
      <c r="E1958" s="2">
        <v>44473.583333333336</v>
      </c>
      <c r="F1958" s="23">
        <f t="shared" si="90"/>
        <v>0.17708333333575865</v>
      </c>
      <c r="G1958" s="24">
        <f t="shared" si="92"/>
        <v>70.588235293150888</v>
      </c>
      <c r="H1958" s="1" t="s">
        <v>1</v>
      </c>
      <c r="I1958" s="4" t="s">
        <v>4</v>
      </c>
      <c r="J1958" s="14">
        <v>0.40625</v>
      </c>
      <c r="K1958" s="20" t="str">
        <f t="shared" si="91"/>
        <v>1st Shift</v>
      </c>
    </row>
    <row r="1959" spans="1:11" x14ac:dyDescent="0.25">
      <c r="A1959" s="1">
        <v>1958</v>
      </c>
      <c r="B1959" s="1">
        <v>3</v>
      </c>
      <c r="C1959" s="3">
        <v>3115270409100</v>
      </c>
      <c r="D1959" s="2">
        <v>44473.40625</v>
      </c>
      <c r="E1959" s="2">
        <v>44473.583333333336</v>
      </c>
      <c r="F1959" s="23">
        <f t="shared" si="90"/>
        <v>0.17708333333575865</v>
      </c>
      <c r="G1959" s="24">
        <f t="shared" si="92"/>
        <v>70.588235293150888</v>
      </c>
      <c r="H1959" s="1" t="s">
        <v>1</v>
      </c>
      <c r="I1959" s="4" t="s">
        <v>4</v>
      </c>
      <c r="J1959" s="14">
        <v>0.40625</v>
      </c>
      <c r="K1959" s="20" t="str">
        <f t="shared" si="91"/>
        <v>1st Shift</v>
      </c>
    </row>
    <row r="1960" spans="1:11" x14ac:dyDescent="0.25">
      <c r="A1960" s="1">
        <v>1959</v>
      </c>
      <c r="B1960" s="1">
        <v>3</v>
      </c>
      <c r="C1960" s="3">
        <v>3115270340709</v>
      </c>
      <c r="D1960" s="2">
        <v>44473.40625</v>
      </c>
      <c r="E1960" s="2">
        <v>44473.583333333336</v>
      </c>
      <c r="F1960" s="23">
        <f t="shared" si="90"/>
        <v>0.17708333333575865</v>
      </c>
      <c r="G1960" s="24">
        <f t="shared" si="92"/>
        <v>70.588235293150888</v>
      </c>
      <c r="H1960" s="1" t="s">
        <v>1</v>
      </c>
      <c r="I1960" s="4" t="s">
        <v>2</v>
      </c>
      <c r="J1960" s="14">
        <v>0.40625</v>
      </c>
      <c r="K1960" s="20" t="str">
        <f t="shared" si="91"/>
        <v>1st Shift</v>
      </c>
    </row>
    <row r="1961" spans="1:11" x14ac:dyDescent="0.25">
      <c r="A1961" s="1">
        <v>1960</v>
      </c>
      <c r="B1961" s="1">
        <v>3</v>
      </c>
      <c r="C1961" s="3">
        <v>3115270340700</v>
      </c>
      <c r="D1961" s="2">
        <v>44473.40625</v>
      </c>
      <c r="E1961" s="2">
        <v>44473.583333333336</v>
      </c>
      <c r="F1961" s="23">
        <f t="shared" si="90"/>
        <v>0.17708333333575865</v>
      </c>
      <c r="G1961" s="24">
        <f t="shared" si="92"/>
        <v>70.588235293150888</v>
      </c>
      <c r="H1961" s="1" t="s">
        <v>1</v>
      </c>
      <c r="I1961" s="4" t="s">
        <v>2</v>
      </c>
      <c r="J1961" s="14">
        <v>0.40625</v>
      </c>
      <c r="K1961" s="20" t="str">
        <f t="shared" si="91"/>
        <v>1st Shift</v>
      </c>
    </row>
    <row r="1962" spans="1:11" x14ac:dyDescent="0.25">
      <c r="A1962" s="1">
        <v>1961</v>
      </c>
      <c r="B1962" s="1">
        <v>1</v>
      </c>
      <c r="C1962" s="3">
        <v>1115270130304</v>
      </c>
      <c r="D1962" s="2">
        <v>44473.40625</v>
      </c>
      <c r="E1962" s="2">
        <v>44473.583333333336</v>
      </c>
      <c r="F1962" s="23">
        <f t="shared" si="90"/>
        <v>0.17708333333575865</v>
      </c>
      <c r="G1962" s="24">
        <f t="shared" si="92"/>
        <v>70.588235293150888</v>
      </c>
      <c r="H1962" s="1" t="s">
        <v>1</v>
      </c>
      <c r="I1962" s="4" t="s">
        <v>2</v>
      </c>
      <c r="J1962" s="14">
        <v>0.40625</v>
      </c>
      <c r="K1962" s="20" t="str">
        <f t="shared" si="91"/>
        <v>1st Shift</v>
      </c>
    </row>
    <row r="1963" spans="1:11" x14ac:dyDescent="0.25">
      <c r="A1963" s="1">
        <v>1962</v>
      </c>
      <c r="B1963" s="1">
        <v>1</v>
      </c>
      <c r="C1963" s="3">
        <v>1115270130300</v>
      </c>
      <c r="D1963" s="2">
        <v>44473.40625</v>
      </c>
      <c r="E1963" s="2">
        <v>44473.583333333336</v>
      </c>
      <c r="F1963" s="23">
        <f t="shared" si="90"/>
        <v>0.17708333333575865</v>
      </c>
      <c r="G1963" s="24">
        <f t="shared" si="92"/>
        <v>70.588235293150888</v>
      </c>
      <c r="H1963" s="1" t="s">
        <v>1</v>
      </c>
      <c r="I1963" s="4" t="s">
        <v>3</v>
      </c>
      <c r="J1963" s="14">
        <v>0.40625</v>
      </c>
      <c r="K1963" s="20" t="str">
        <f t="shared" si="91"/>
        <v>1st Shift</v>
      </c>
    </row>
    <row r="1964" spans="1:11" x14ac:dyDescent="0.25">
      <c r="A1964" s="1">
        <v>1963</v>
      </c>
      <c r="B1964" s="1">
        <v>13</v>
      </c>
      <c r="C1964" s="3">
        <v>13115271634409</v>
      </c>
      <c r="D1964" s="2">
        <v>44473.615277777775</v>
      </c>
      <c r="E1964" s="2">
        <v>44473.635416666664</v>
      </c>
      <c r="F1964" s="23">
        <f t="shared" si="90"/>
        <v>2.0138888889050577E-2</v>
      </c>
      <c r="G1964" s="24">
        <f t="shared" si="92"/>
        <v>620.68965516743049</v>
      </c>
      <c r="H1964" s="1" t="s">
        <v>1</v>
      </c>
      <c r="I1964" s="4" t="s">
        <v>3</v>
      </c>
      <c r="J1964" s="14">
        <v>0.61527777777777781</v>
      </c>
      <c r="K1964" s="20" t="str">
        <f t="shared" si="91"/>
        <v>2nd Shift</v>
      </c>
    </row>
    <row r="1965" spans="1:11" x14ac:dyDescent="0.25">
      <c r="A1965" s="1">
        <v>1964</v>
      </c>
      <c r="B1965" s="1">
        <v>13</v>
      </c>
      <c r="C1965" s="3">
        <v>13115271634407</v>
      </c>
      <c r="D1965" s="2">
        <v>44473.615277777775</v>
      </c>
      <c r="E1965" s="2">
        <v>44473.635416666664</v>
      </c>
      <c r="F1965" s="23">
        <f t="shared" si="90"/>
        <v>2.0138888889050577E-2</v>
      </c>
      <c r="G1965" s="24">
        <f t="shared" si="92"/>
        <v>620.68965516743049</v>
      </c>
      <c r="H1965" s="1" t="s">
        <v>1</v>
      </c>
      <c r="I1965" s="4" t="s">
        <v>2</v>
      </c>
      <c r="J1965" s="14">
        <v>0.61527777777777781</v>
      </c>
      <c r="K1965" s="20" t="str">
        <f t="shared" si="91"/>
        <v>2nd Shift</v>
      </c>
    </row>
    <row r="1966" spans="1:11" x14ac:dyDescent="0.25">
      <c r="A1966" s="1">
        <v>1965</v>
      </c>
      <c r="B1966" s="1">
        <v>13</v>
      </c>
      <c r="C1966" s="3">
        <v>13115271634400</v>
      </c>
      <c r="D1966" s="2">
        <v>44473.615277777775</v>
      </c>
      <c r="E1966" s="2">
        <v>44473.635416666664</v>
      </c>
      <c r="F1966" s="23">
        <f t="shared" si="90"/>
        <v>2.0138888889050577E-2</v>
      </c>
      <c r="G1966" s="24">
        <f t="shared" si="92"/>
        <v>620.68965516743049</v>
      </c>
      <c r="H1966" s="1" t="s">
        <v>1</v>
      </c>
      <c r="I1966" s="4" t="s">
        <v>2</v>
      </c>
      <c r="J1966" s="14">
        <v>0.61527777777777781</v>
      </c>
      <c r="K1966" s="20" t="str">
        <f t="shared" si="91"/>
        <v>2nd Shift</v>
      </c>
    </row>
    <row r="1967" spans="1:11" x14ac:dyDescent="0.25">
      <c r="A1967" s="1">
        <v>1966</v>
      </c>
      <c r="B1967" s="1">
        <v>7</v>
      </c>
      <c r="C1967" s="3">
        <v>7115271773617</v>
      </c>
      <c r="D1967" s="2">
        <v>44473.6875</v>
      </c>
      <c r="E1967" s="2">
        <v>44473.791666666664</v>
      </c>
      <c r="F1967" s="23">
        <f t="shared" si="90"/>
        <v>0.10416666666424135</v>
      </c>
      <c r="G1967" s="24">
        <f t="shared" si="92"/>
        <v>120.00000000279397</v>
      </c>
      <c r="H1967" s="1" t="s">
        <v>1</v>
      </c>
      <c r="I1967" s="4" t="s">
        <v>4</v>
      </c>
      <c r="J1967" s="14">
        <v>0.6875</v>
      </c>
      <c r="K1967" s="20" t="str">
        <f t="shared" si="91"/>
        <v>2nd Shift</v>
      </c>
    </row>
    <row r="1968" spans="1:11" x14ac:dyDescent="0.25">
      <c r="A1968" s="1">
        <v>1967</v>
      </c>
      <c r="B1968" s="1">
        <v>3</v>
      </c>
      <c r="C1968" s="3">
        <v>3115270317004</v>
      </c>
      <c r="D1968" s="2">
        <v>44473.6875</v>
      </c>
      <c r="E1968" s="2">
        <v>44473.791666666664</v>
      </c>
      <c r="F1968" s="23">
        <f t="shared" si="90"/>
        <v>0.10416666666424135</v>
      </c>
      <c r="G1968" s="24">
        <f t="shared" si="92"/>
        <v>120.00000000279397</v>
      </c>
      <c r="H1968" s="1" t="s">
        <v>1</v>
      </c>
      <c r="I1968" s="4" t="s">
        <v>2</v>
      </c>
      <c r="J1968" s="14">
        <v>0.6875</v>
      </c>
      <c r="K1968" s="20" t="str">
        <f t="shared" si="91"/>
        <v>2nd Shift</v>
      </c>
    </row>
    <row r="1969" spans="1:11" x14ac:dyDescent="0.25">
      <c r="A1969" s="1">
        <v>1968</v>
      </c>
      <c r="B1969" s="1">
        <v>3</v>
      </c>
      <c r="C1969" s="3">
        <v>3115270317000</v>
      </c>
      <c r="D1969" s="2">
        <v>44473.6875</v>
      </c>
      <c r="E1969" s="2">
        <v>44473.791666666664</v>
      </c>
      <c r="F1969" s="23">
        <f t="shared" si="90"/>
        <v>0.10416666666424135</v>
      </c>
      <c r="G1969" s="24">
        <f t="shared" si="92"/>
        <v>120.00000000279397</v>
      </c>
      <c r="H1969" s="1" t="s">
        <v>1</v>
      </c>
      <c r="I1969" s="4" t="s">
        <v>2</v>
      </c>
      <c r="J1969" s="14">
        <v>0.6875</v>
      </c>
      <c r="K1969" s="20" t="str">
        <f t="shared" si="91"/>
        <v>2nd Shift</v>
      </c>
    </row>
    <row r="1970" spans="1:11" x14ac:dyDescent="0.25">
      <c r="A1970" s="1">
        <v>1969</v>
      </c>
      <c r="B1970" s="1">
        <v>3</v>
      </c>
      <c r="C1970" s="3">
        <v>3115270308305</v>
      </c>
      <c r="D1970" s="2">
        <v>44473.6875</v>
      </c>
      <c r="E1970" s="2">
        <v>44473.791666666664</v>
      </c>
      <c r="F1970" s="23">
        <f t="shared" si="90"/>
        <v>0.10416666666424135</v>
      </c>
      <c r="G1970" s="24">
        <f t="shared" si="92"/>
        <v>120.00000000279397</v>
      </c>
      <c r="H1970" s="1" t="s">
        <v>1</v>
      </c>
      <c r="I1970" s="4" t="s">
        <v>4</v>
      </c>
      <c r="J1970" s="14">
        <v>0.6875</v>
      </c>
      <c r="K1970" s="20" t="str">
        <f t="shared" si="91"/>
        <v>2nd Shift</v>
      </c>
    </row>
    <row r="1971" spans="1:11" x14ac:dyDescent="0.25">
      <c r="A1971" s="1">
        <v>1970</v>
      </c>
      <c r="B1971" s="1">
        <v>3</v>
      </c>
      <c r="C1971" s="3">
        <v>3115270308301</v>
      </c>
      <c r="D1971" s="2">
        <v>44473.6875</v>
      </c>
      <c r="E1971" s="2">
        <v>44473.791666666664</v>
      </c>
      <c r="F1971" s="23">
        <f t="shared" si="90"/>
        <v>0.10416666666424135</v>
      </c>
      <c r="G1971" s="24">
        <f t="shared" si="92"/>
        <v>120.00000000279397</v>
      </c>
      <c r="H1971" s="1" t="s">
        <v>1</v>
      </c>
      <c r="I1971" s="4" t="s">
        <v>4</v>
      </c>
      <c r="J1971" s="14">
        <v>0.6875</v>
      </c>
      <c r="K1971" s="20" t="str">
        <f t="shared" si="91"/>
        <v>2nd Shift</v>
      </c>
    </row>
    <row r="1972" spans="1:11" x14ac:dyDescent="0.25">
      <c r="A1972" s="1">
        <v>1971</v>
      </c>
      <c r="B1972" s="1">
        <v>3</v>
      </c>
      <c r="C1972" s="3">
        <v>3115270308300</v>
      </c>
      <c r="D1972" s="2">
        <v>44473.6875</v>
      </c>
      <c r="E1972" s="2">
        <v>44473.791666666664</v>
      </c>
      <c r="F1972" s="23">
        <f t="shared" si="90"/>
        <v>0.10416666666424135</v>
      </c>
      <c r="G1972" s="24">
        <f t="shared" si="92"/>
        <v>120.00000000279397</v>
      </c>
      <c r="H1972" s="1" t="s">
        <v>1</v>
      </c>
      <c r="I1972" s="4" t="s">
        <v>3</v>
      </c>
      <c r="J1972" s="14">
        <v>0.6875</v>
      </c>
      <c r="K1972" s="20" t="str">
        <f t="shared" si="91"/>
        <v>2nd Shift</v>
      </c>
    </row>
    <row r="1973" spans="1:11" x14ac:dyDescent="0.25">
      <c r="A1973" s="1">
        <v>1972</v>
      </c>
      <c r="B1973" s="1">
        <v>15</v>
      </c>
      <c r="C1973" s="3">
        <v>15115271743409</v>
      </c>
      <c r="D1973" s="2">
        <v>44474.118055555555</v>
      </c>
      <c r="E1973" s="2">
        <v>44474.208333333336</v>
      </c>
      <c r="F1973" s="23">
        <f t="shared" si="90"/>
        <v>9.0277777781011537E-2</v>
      </c>
      <c r="G1973" s="24">
        <f t="shared" si="92"/>
        <v>138.46153845657875</v>
      </c>
      <c r="H1973" s="1" t="s">
        <v>1</v>
      </c>
      <c r="I1973" s="4" t="s">
        <v>2</v>
      </c>
      <c r="J1973" s="14">
        <v>0.11805555555555555</v>
      </c>
      <c r="K1973" s="20" t="str">
        <f t="shared" si="91"/>
        <v>3rd Shift</v>
      </c>
    </row>
    <row r="1974" spans="1:11" x14ac:dyDescent="0.25">
      <c r="A1974" s="1">
        <v>1973</v>
      </c>
      <c r="B1974" s="1">
        <v>15</v>
      </c>
      <c r="C1974" s="3">
        <v>15115271743403</v>
      </c>
      <c r="D1974" s="2">
        <v>44474.118055555555</v>
      </c>
      <c r="E1974" s="2">
        <v>44474.208333333336</v>
      </c>
      <c r="F1974" s="23">
        <f t="shared" si="90"/>
        <v>9.0277777781011537E-2</v>
      </c>
      <c r="G1974" s="24">
        <f t="shared" si="92"/>
        <v>138.46153845657875</v>
      </c>
      <c r="H1974" s="1" t="s">
        <v>1</v>
      </c>
      <c r="I1974" s="4" t="s">
        <v>2</v>
      </c>
      <c r="J1974" s="14">
        <v>0.11805555555555555</v>
      </c>
      <c r="K1974" s="20" t="str">
        <f t="shared" si="91"/>
        <v>3rd Shift</v>
      </c>
    </row>
    <row r="1975" spans="1:11" x14ac:dyDescent="0.25">
      <c r="A1975" s="1">
        <v>1974</v>
      </c>
      <c r="B1975" s="1">
        <v>15</v>
      </c>
      <c r="C1975" s="3">
        <v>15115271743402</v>
      </c>
      <c r="D1975" s="2">
        <v>44474.118055555555</v>
      </c>
      <c r="E1975" s="2">
        <v>44474.208333333336</v>
      </c>
      <c r="F1975" s="23">
        <f t="shared" si="90"/>
        <v>9.0277777781011537E-2</v>
      </c>
      <c r="G1975" s="24">
        <f t="shared" si="92"/>
        <v>138.46153845657875</v>
      </c>
      <c r="H1975" s="1" t="s">
        <v>1</v>
      </c>
      <c r="I1975" s="4" t="s">
        <v>2</v>
      </c>
      <c r="J1975" s="14">
        <v>0.11805555555555555</v>
      </c>
      <c r="K1975" s="20" t="str">
        <f t="shared" si="91"/>
        <v>3rd Shift</v>
      </c>
    </row>
    <row r="1976" spans="1:11" x14ac:dyDescent="0.25">
      <c r="A1976" s="1">
        <v>1975</v>
      </c>
      <c r="B1976" s="1">
        <v>3</v>
      </c>
      <c r="C1976" s="3">
        <v>3115270340707</v>
      </c>
      <c r="D1976" s="2">
        <v>44474.118055555555</v>
      </c>
      <c r="E1976" s="2">
        <v>44474.208333333336</v>
      </c>
      <c r="F1976" s="23">
        <f t="shared" si="90"/>
        <v>9.0277777781011537E-2</v>
      </c>
      <c r="G1976" s="24">
        <f t="shared" si="92"/>
        <v>138.46153845657875</v>
      </c>
      <c r="H1976" s="1" t="s">
        <v>1</v>
      </c>
      <c r="I1976" s="4" t="s">
        <v>3</v>
      </c>
      <c r="J1976" s="14">
        <v>0.11805555555555555</v>
      </c>
      <c r="K1976" s="20" t="str">
        <f t="shared" si="91"/>
        <v>3rd Shift</v>
      </c>
    </row>
    <row r="1977" spans="1:11" x14ac:dyDescent="0.25">
      <c r="A1977" s="1">
        <v>1976</v>
      </c>
      <c r="B1977" s="1">
        <v>3</v>
      </c>
      <c r="C1977" s="3">
        <v>3115270340706</v>
      </c>
      <c r="D1977" s="2">
        <v>44474.118055555555</v>
      </c>
      <c r="E1977" s="2">
        <v>44474.208333333336</v>
      </c>
      <c r="F1977" s="23">
        <f t="shared" si="90"/>
        <v>9.0277777781011537E-2</v>
      </c>
      <c r="G1977" s="24">
        <f t="shared" si="92"/>
        <v>138.46153845657875</v>
      </c>
      <c r="H1977" s="1" t="s">
        <v>1</v>
      </c>
      <c r="I1977" s="4" t="s">
        <v>2</v>
      </c>
      <c r="J1977" s="14">
        <v>0.11805555555555555</v>
      </c>
      <c r="K1977" s="20" t="str">
        <f t="shared" si="91"/>
        <v>3rd Shift</v>
      </c>
    </row>
    <row r="1978" spans="1:11" x14ac:dyDescent="0.25">
      <c r="A1978" s="1">
        <v>1977</v>
      </c>
      <c r="B1978" s="1">
        <v>3</v>
      </c>
      <c r="C1978" s="3">
        <v>3115270340701</v>
      </c>
      <c r="D1978" s="2">
        <v>44474.118055555555</v>
      </c>
      <c r="E1978" s="2">
        <v>44474.208333333336</v>
      </c>
      <c r="F1978" s="23">
        <f t="shared" si="90"/>
        <v>9.0277777781011537E-2</v>
      </c>
      <c r="G1978" s="24">
        <f t="shared" si="92"/>
        <v>138.46153845657875</v>
      </c>
      <c r="H1978" s="1" t="s">
        <v>1</v>
      </c>
      <c r="I1978" s="4" t="s">
        <v>2</v>
      </c>
      <c r="J1978" s="14">
        <v>0.11805555555555555</v>
      </c>
      <c r="K1978" s="20" t="str">
        <f t="shared" si="91"/>
        <v>3rd Shift</v>
      </c>
    </row>
    <row r="1979" spans="1:11" x14ac:dyDescent="0.25">
      <c r="A1979" s="1">
        <v>1978</v>
      </c>
      <c r="B1979" s="1">
        <v>1</v>
      </c>
      <c r="C1979" s="3">
        <v>1115270130309</v>
      </c>
      <c r="D1979" s="2">
        <v>44474.118055555555</v>
      </c>
      <c r="E1979" s="2">
        <v>44474.208333333336</v>
      </c>
      <c r="F1979" s="23">
        <f t="shared" si="90"/>
        <v>9.0277777781011537E-2</v>
      </c>
      <c r="G1979" s="24">
        <f t="shared" si="92"/>
        <v>138.46153845657875</v>
      </c>
      <c r="H1979" s="1" t="s">
        <v>1</v>
      </c>
      <c r="I1979" s="4" t="s">
        <v>4</v>
      </c>
      <c r="J1979" s="14">
        <v>0.11805555555555555</v>
      </c>
      <c r="K1979" s="20" t="str">
        <f t="shared" si="91"/>
        <v>3rd Shift</v>
      </c>
    </row>
    <row r="1980" spans="1:11" x14ac:dyDescent="0.25">
      <c r="A1980" s="1">
        <v>1979</v>
      </c>
      <c r="B1980" s="1">
        <v>1</v>
      </c>
      <c r="C1980" s="3">
        <v>1115270130308</v>
      </c>
      <c r="D1980" s="2">
        <v>44474.118055555555</v>
      </c>
      <c r="E1980" s="2">
        <v>44474.208333333336</v>
      </c>
      <c r="F1980" s="23">
        <f t="shared" si="90"/>
        <v>9.0277777781011537E-2</v>
      </c>
      <c r="G1980" s="24">
        <f t="shared" si="92"/>
        <v>138.46153845657875</v>
      </c>
      <c r="H1980" s="1" t="s">
        <v>1</v>
      </c>
      <c r="I1980" s="4" t="s">
        <v>2</v>
      </c>
      <c r="J1980" s="14">
        <v>0.11805555555555555</v>
      </c>
      <c r="K1980" s="20" t="str">
        <f t="shared" si="91"/>
        <v>3rd Shift</v>
      </c>
    </row>
    <row r="1981" spans="1:11" x14ac:dyDescent="0.25">
      <c r="A1981" s="1">
        <v>1980</v>
      </c>
      <c r="B1981" s="1">
        <v>8</v>
      </c>
      <c r="C1981" s="3">
        <v>8115271838503</v>
      </c>
      <c r="D1981" s="2">
        <v>44474.458333333336</v>
      </c>
      <c r="E1981" s="2">
        <v>44474.520833333336</v>
      </c>
      <c r="F1981" s="23">
        <f t="shared" si="90"/>
        <v>6.25E-2</v>
      </c>
      <c r="G1981" s="24">
        <f t="shared" si="92"/>
        <v>200</v>
      </c>
      <c r="H1981" s="1" t="s">
        <v>1</v>
      </c>
      <c r="I1981" s="4" t="s">
        <v>2</v>
      </c>
      <c r="J1981" s="14">
        <v>0.45833333333333331</v>
      </c>
      <c r="K1981" s="20" t="str">
        <f t="shared" si="91"/>
        <v>1st Shift</v>
      </c>
    </row>
    <row r="1982" spans="1:11" x14ac:dyDescent="0.25">
      <c r="A1982" s="1">
        <v>1981</v>
      </c>
      <c r="B1982" s="1">
        <v>8</v>
      </c>
      <c r="C1982" s="3">
        <v>8115271838502</v>
      </c>
      <c r="D1982" s="2">
        <v>44474.458333333336</v>
      </c>
      <c r="E1982" s="2">
        <v>44474.520833333336</v>
      </c>
      <c r="F1982" s="23">
        <f t="shared" si="90"/>
        <v>6.25E-2</v>
      </c>
      <c r="G1982" s="24">
        <f t="shared" si="92"/>
        <v>200</v>
      </c>
      <c r="H1982" s="1" t="s">
        <v>1</v>
      </c>
      <c r="I1982" s="4" t="s">
        <v>8</v>
      </c>
      <c r="J1982" s="14">
        <v>0.45833333333333331</v>
      </c>
      <c r="K1982" s="20" t="str">
        <f t="shared" si="91"/>
        <v>1st Shift</v>
      </c>
    </row>
    <row r="1983" spans="1:11" x14ac:dyDescent="0.25">
      <c r="A1983" s="1">
        <v>1982</v>
      </c>
      <c r="B1983" s="1">
        <v>8</v>
      </c>
      <c r="C1983" s="3">
        <v>8115271820303</v>
      </c>
      <c r="D1983" s="2">
        <v>44474.458333333336</v>
      </c>
      <c r="E1983" s="2">
        <v>44474.520833333336</v>
      </c>
      <c r="F1983" s="23">
        <f t="shared" si="90"/>
        <v>6.25E-2</v>
      </c>
      <c r="G1983" s="24">
        <f t="shared" si="92"/>
        <v>200</v>
      </c>
      <c r="H1983" s="1" t="s">
        <v>1</v>
      </c>
      <c r="I1983" s="4" t="s">
        <v>3</v>
      </c>
      <c r="J1983" s="14">
        <v>0.45833333333333331</v>
      </c>
      <c r="K1983" s="20" t="str">
        <f t="shared" si="91"/>
        <v>1st Shift</v>
      </c>
    </row>
    <row r="1984" spans="1:11" x14ac:dyDescent="0.25">
      <c r="A1984" s="1">
        <v>1983</v>
      </c>
      <c r="B1984" s="1">
        <v>8</v>
      </c>
      <c r="C1984" s="3">
        <v>8115271820302</v>
      </c>
      <c r="D1984" s="2">
        <v>44474.458333333336</v>
      </c>
      <c r="E1984" s="2">
        <v>44474.520833333336</v>
      </c>
      <c r="F1984" s="23">
        <f t="shared" si="90"/>
        <v>6.25E-2</v>
      </c>
      <c r="G1984" s="24">
        <f t="shared" si="92"/>
        <v>200</v>
      </c>
      <c r="H1984" s="1" t="s">
        <v>1</v>
      </c>
      <c r="I1984" s="4" t="s">
        <v>3</v>
      </c>
      <c r="J1984" s="14">
        <v>0.45833333333333331</v>
      </c>
      <c r="K1984" s="20" t="str">
        <f t="shared" si="91"/>
        <v>1st Shift</v>
      </c>
    </row>
    <row r="1985" spans="1:11" x14ac:dyDescent="0.25">
      <c r="A1985" s="1">
        <v>1984</v>
      </c>
      <c r="B1985" s="1">
        <v>8</v>
      </c>
      <c r="C1985" s="3">
        <v>8115271820302</v>
      </c>
      <c r="D1985" s="2">
        <v>44474.458333333336</v>
      </c>
      <c r="E1985" s="2">
        <v>44474.520833333336</v>
      </c>
      <c r="F1985" s="23">
        <f t="shared" si="90"/>
        <v>6.25E-2</v>
      </c>
      <c r="G1985" s="24">
        <f t="shared" si="92"/>
        <v>200</v>
      </c>
      <c r="H1985" s="1" t="s">
        <v>1</v>
      </c>
      <c r="I1985" s="4" t="s">
        <v>3</v>
      </c>
      <c r="J1985" s="14">
        <v>0.45833333333333331</v>
      </c>
      <c r="K1985" s="20" t="str">
        <f t="shared" si="91"/>
        <v>1st Shift</v>
      </c>
    </row>
    <row r="1986" spans="1:11" x14ac:dyDescent="0.25">
      <c r="A1986" s="1">
        <v>1985</v>
      </c>
      <c r="B1986" s="1">
        <v>8</v>
      </c>
      <c r="C1986" s="3">
        <v>8115271820301</v>
      </c>
      <c r="D1986" s="2">
        <v>44474.458333333336</v>
      </c>
      <c r="E1986" s="2">
        <v>44474.520833333336</v>
      </c>
      <c r="F1986" s="23">
        <f t="shared" ref="F1986:F2049" si="93">E1986-D1986</f>
        <v>6.25E-2</v>
      </c>
      <c r="G1986" s="24">
        <f t="shared" si="92"/>
        <v>200</v>
      </c>
      <c r="H1986" s="1" t="s">
        <v>1</v>
      </c>
      <c r="I1986" s="4" t="s">
        <v>3</v>
      </c>
      <c r="J1986" s="14">
        <v>0.45833333333333331</v>
      </c>
      <c r="K1986" s="20" t="str">
        <f t="shared" ref="K1986:K2049" si="94">IF(AND(J1986&gt;=$M$3,J1986&lt;$M$4),"1st Shift",IF(AND(J1986&gt;=$M$4,J1986&lt;$M$5),"2nd Shift","3rd Shift"))</f>
        <v>1st Shift</v>
      </c>
    </row>
    <row r="1987" spans="1:11" x14ac:dyDescent="0.25">
      <c r="A1987" s="1">
        <v>1986</v>
      </c>
      <c r="B1987" s="1">
        <v>7</v>
      </c>
      <c r="C1987" s="3">
        <v>7115271766019</v>
      </c>
      <c r="D1987" s="2">
        <v>44474.458333333336</v>
      </c>
      <c r="E1987" s="2">
        <v>44474.520833333336</v>
      </c>
      <c r="F1987" s="23">
        <f t="shared" si="93"/>
        <v>6.25E-2</v>
      </c>
      <c r="G1987" s="24">
        <f t="shared" ref="G1987:G2050" si="95">$M$9/F1987*100</f>
        <v>200</v>
      </c>
      <c r="H1987" s="1" t="s">
        <v>1</v>
      </c>
      <c r="I1987" s="4" t="s">
        <v>3</v>
      </c>
      <c r="J1987" s="14">
        <v>0.45833333333333331</v>
      </c>
      <c r="K1987" s="20" t="str">
        <f t="shared" si="94"/>
        <v>1st Shift</v>
      </c>
    </row>
    <row r="1988" spans="1:11" x14ac:dyDescent="0.25">
      <c r="A1988" s="1">
        <v>1987</v>
      </c>
      <c r="B1988" s="1">
        <v>7</v>
      </c>
      <c r="C1988" s="3">
        <v>7115271766014</v>
      </c>
      <c r="D1988" s="2">
        <v>44474.458333333336</v>
      </c>
      <c r="E1988" s="2">
        <v>44474.520833333336</v>
      </c>
      <c r="F1988" s="23">
        <f t="shared" si="93"/>
        <v>6.25E-2</v>
      </c>
      <c r="G1988" s="24">
        <f t="shared" si="95"/>
        <v>200</v>
      </c>
      <c r="H1988" s="1" t="s">
        <v>1</v>
      </c>
      <c r="I1988" s="4" t="s">
        <v>3</v>
      </c>
      <c r="J1988" s="14">
        <v>0.45833333333333331</v>
      </c>
      <c r="K1988" s="20" t="str">
        <f t="shared" si="94"/>
        <v>1st Shift</v>
      </c>
    </row>
    <row r="1989" spans="1:11" x14ac:dyDescent="0.25">
      <c r="A1989" s="1">
        <v>1988</v>
      </c>
      <c r="B1989" s="1">
        <v>7</v>
      </c>
      <c r="C1989" s="3">
        <v>7115271766013</v>
      </c>
      <c r="D1989" s="2">
        <v>44474.458333333336</v>
      </c>
      <c r="E1989" s="2">
        <v>44474.520833333336</v>
      </c>
      <c r="F1989" s="23">
        <f t="shared" si="93"/>
        <v>6.25E-2</v>
      </c>
      <c r="G1989" s="24">
        <f t="shared" si="95"/>
        <v>200</v>
      </c>
      <c r="H1989" s="1" t="s">
        <v>1</v>
      </c>
      <c r="I1989" s="4" t="s">
        <v>3</v>
      </c>
      <c r="J1989" s="14">
        <v>0.45833333333333331</v>
      </c>
      <c r="K1989" s="20" t="str">
        <f t="shared" si="94"/>
        <v>1st Shift</v>
      </c>
    </row>
    <row r="1990" spans="1:11" x14ac:dyDescent="0.25">
      <c r="A1990" s="1">
        <v>1989</v>
      </c>
      <c r="B1990" s="1">
        <v>3</v>
      </c>
      <c r="C1990" s="3">
        <v>3115270306609</v>
      </c>
      <c r="D1990" s="2">
        <v>44474.458333333336</v>
      </c>
      <c r="E1990" s="2">
        <v>44474.520833333336</v>
      </c>
      <c r="F1990" s="23">
        <f t="shared" si="93"/>
        <v>6.25E-2</v>
      </c>
      <c r="G1990" s="24">
        <f t="shared" si="95"/>
        <v>200</v>
      </c>
      <c r="H1990" s="1" t="s">
        <v>1</v>
      </c>
      <c r="I1990" s="4" t="s">
        <v>8</v>
      </c>
      <c r="J1990" s="14">
        <v>0.45833333333333331</v>
      </c>
      <c r="K1990" s="20" t="str">
        <f t="shared" si="94"/>
        <v>1st Shift</v>
      </c>
    </row>
    <row r="1991" spans="1:11" x14ac:dyDescent="0.25">
      <c r="A1991" s="1">
        <v>1990</v>
      </c>
      <c r="B1991" s="1">
        <v>3</v>
      </c>
      <c r="C1991" s="3">
        <v>3115270306608</v>
      </c>
      <c r="D1991" s="2">
        <v>44474.458333333336</v>
      </c>
      <c r="E1991" s="2">
        <v>44474.520833333336</v>
      </c>
      <c r="F1991" s="23">
        <f t="shared" si="93"/>
        <v>6.25E-2</v>
      </c>
      <c r="G1991" s="24">
        <f t="shared" si="95"/>
        <v>200</v>
      </c>
      <c r="H1991" s="1" t="s">
        <v>1</v>
      </c>
      <c r="I1991" s="4" t="s">
        <v>2</v>
      </c>
      <c r="J1991" s="14">
        <v>0.45833333333333331</v>
      </c>
      <c r="K1991" s="20" t="str">
        <f t="shared" si="94"/>
        <v>1st Shift</v>
      </c>
    </row>
    <row r="1992" spans="1:11" x14ac:dyDescent="0.25">
      <c r="A1992" s="1">
        <v>1991</v>
      </c>
      <c r="B1992" s="1">
        <v>3</v>
      </c>
      <c r="C1992" s="3">
        <v>3115270306605</v>
      </c>
      <c r="D1992" s="2">
        <v>44474.458333333336</v>
      </c>
      <c r="E1992" s="2">
        <v>44474.520833333336</v>
      </c>
      <c r="F1992" s="23">
        <f t="shared" si="93"/>
        <v>6.25E-2</v>
      </c>
      <c r="G1992" s="24">
        <f t="shared" si="95"/>
        <v>200</v>
      </c>
      <c r="H1992" s="1" t="s">
        <v>1</v>
      </c>
      <c r="I1992" s="4" t="s">
        <v>8</v>
      </c>
      <c r="J1992" s="14">
        <v>0.45833333333333331</v>
      </c>
      <c r="K1992" s="20" t="str">
        <f t="shared" si="94"/>
        <v>1st Shift</v>
      </c>
    </row>
    <row r="1993" spans="1:11" x14ac:dyDescent="0.25">
      <c r="A1993" s="1">
        <v>1992</v>
      </c>
      <c r="B1993" s="1">
        <v>15</v>
      </c>
      <c r="C1993" s="3">
        <v>15115271743405</v>
      </c>
      <c r="D1993" s="2">
        <v>44475.118055555555</v>
      </c>
      <c r="E1993" s="2">
        <v>44475.208333333336</v>
      </c>
      <c r="F1993" s="23">
        <f t="shared" si="93"/>
        <v>9.0277777781011537E-2</v>
      </c>
      <c r="G1993" s="24">
        <f t="shared" si="95"/>
        <v>138.46153845657875</v>
      </c>
      <c r="H1993" s="1" t="s">
        <v>1</v>
      </c>
      <c r="I1993" s="4" t="s">
        <v>3</v>
      </c>
      <c r="J1993" s="14">
        <v>0.11805555555555555</v>
      </c>
      <c r="K1993" s="20" t="str">
        <f t="shared" si="94"/>
        <v>3rd Shift</v>
      </c>
    </row>
    <row r="1994" spans="1:11" x14ac:dyDescent="0.25">
      <c r="A1994" s="1">
        <v>1993</v>
      </c>
      <c r="B1994" s="1">
        <v>15</v>
      </c>
      <c r="C1994" s="3">
        <v>15115271743402</v>
      </c>
      <c r="D1994" s="2">
        <v>44475.118055555555</v>
      </c>
      <c r="E1994" s="2">
        <v>44475.208333333336</v>
      </c>
      <c r="F1994" s="23">
        <f t="shared" si="93"/>
        <v>9.0277777781011537E-2</v>
      </c>
      <c r="G1994" s="24">
        <f t="shared" si="95"/>
        <v>138.46153845657875</v>
      </c>
      <c r="H1994" s="1" t="s">
        <v>1</v>
      </c>
      <c r="I1994" s="4" t="s">
        <v>4</v>
      </c>
      <c r="J1994" s="14">
        <v>0.11805555555555555</v>
      </c>
      <c r="K1994" s="20" t="str">
        <f t="shared" si="94"/>
        <v>3rd Shift</v>
      </c>
    </row>
    <row r="1995" spans="1:11" x14ac:dyDescent="0.25">
      <c r="A1995" s="1">
        <v>1994</v>
      </c>
      <c r="B1995" s="1">
        <v>11</v>
      </c>
      <c r="C1995" s="3">
        <v>11115271542701</v>
      </c>
      <c r="D1995" s="2">
        <v>44475.118055555555</v>
      </c>
      <c r="E1995" s="2">
        <v>44475.208333333336</v>
      </c>
      <c r="F1995" s="23">
        <f t="shared" si="93"/>
        <v>9.0277777781011537E-2</v>
      </c>
      <c r="G1995" s="24">
        <f t="shared" si="95"/>
        <v>138.46153845657875</v>
      </c>
      <c r="H1995" s="1" t="s">
        <v>1</v>
      </c>
      <c r="I1995" s="4" t="s">
        <v>3</v>
      </c>
      <c r="J1995" s="14">
        <v>0.11805555555555555</v>
      </c>
      <c r="K1995" s="20" t="str">
        <f t="shared" si="94"/>
        <v>3rd Shift</v>
      </c>
    </row>
    <row r="1996" spans="1:11" x14ac:dyDescent="0.25">
      <c r="A1996" s="1">
        <v>1995</v>
      </c>
      <c r="B1996" s="1">
        <v>11</v>
      </c>
      <c r="C1996" s="3">
        <v>11115271542700</v>
      </c>
      <c r="D1996" s="2">
        <v>44475.118055555555</v>
      </c>
      <c r="E1996" s="2">
        <v>44475.208333333336</v>
      </c>
      <c r="F1996" s="23">
        <f t="shared" si="93"/>
        <v>9.0277777781011537E-2</v>
      </c>
      <c r="G1996" s="24">
        <f t="shared" si="95"/>
        <v>138.46153845657875</v>
      </c>
      <c r="H1996" s="1" t="s">
        <v>1</v>
      </c>
      <c r="I1996" s="4" t="s">
        <v>3</v>
      </c>
      <c r="J1996" s="14">
        <v>0.11805555555555555</v>
      </c>
      <c r="K1996" s="20" t="str">
        <f t="shared" si="94"/>
        <v>3rd Shift</v>
      </c>
    </row>
    <row r="1997" spans="1:11" x14ac:dyDescent="0.25">
      <c r="A1997" s="1">
        <v>1996</v>
      </c>
      <c r="B1997" s="1">
        <v>1</v>
      </c>
      <c r="C1997" s="3">
        <v>1115270141502</v>
      </c>
      <c r="D1997" s="2">
        <v>44475.118055555555</v>
      </c>
      <c r="E1997" s="2">
        <v>44475.208333333336</v>
      </c>
      <c r="F1997" s="23">
        <f t="shared" si="93"/>
        <v>9.0277777781011537E-2</v>
      </c>
      <c r="G1997" s="24">
        <f t="shared" si="95"/>
        <v>138.46153845657875</v>
      </c>
      <c r="H1997" s="1" t="s">
        <v>1</v>
      </c>
      <c r="I1997" s="4" t="s">
        <v>3</v>
      </c>
      <c r="J1997" s="14">
        <v>0.11805555555555555</v>
      </c>
      <c r="K1997" s="20" t="str">
        <f t="shared" si="94"/>
        <v>3rd Shift</v>
      </c>
    </row>
    <row r="1998" spans="1:11" x14ac:dyDescent="0.25">
      <c r="A1998" s="1">
        <v>1997</v>
      </c>
      <c r="B1998" s="1">
        <v>1</v>
      </c>
      <c r="C1998" s="3">
        <v>1115270141501</v>
      </c>
      <c r="D1998" s="2">
        <v>44475.118055555555</v>
      </c>
      <c r="E1998" s="2">
        <v>44475.208333333336</v>
      </c>
      <c r="F1998" s="23">
        <f t="shared" si="93"/>
        <v>9.0277777781011537E-2</v>
      </c>
      <c r="G1998" s="24">
        <f t="shared" si="95"/>
        <v>138.46153845657875</v>
      </c>
      <c r="H1998" s="1" t="s">
        <v>1</v>
      </c>
      <c r="I1998" s="4" t="s">
        <v>3</v>
      </c>
      <c r="J1998" s="14">
        <v>0.11805555555555555</v>
      </c>
      <c r="K1998" s="20" t="str">
        <f t="shared" si="94"/>
        <v>3rd Shift</v>
      </c>
    </row>
    <row r="1999" spans="1:11" x14ac:dyDescent="0.25">
      <c r="A1999" s="1">
        <v>1998</v>
      </c>
      <c r="B1999" s="1">
        <v>6</v>
      </c>
      <c r="C1999" s="3">
        <v>6115271705708</v>
      </c>
      <c r="D1999" s="2">
        <v>44475.368055555555</v>
      </c>
      <c r="E1999" s="2">
        <v>44475.427083333336</v>
      </c>
      <c r="F1999" s="23">
        <f t="shared" si="93"/>
        <v>5.9027777781011537E-2</v>
      </c>
      <c r="G1999" s="24">
        <f t="shared" si="95"/>
        <v>211.7647058707517</v>
      </c>
      <c r="H1999" s="1" t="s">
        <v>1</v>
      </c>
      <c r="I1999" s="4" t="s">
        <v>2</v>
      </c>
      <c r="J1999" s="14">
        <v>0.36805555555555558</v>
      </c>
      <c r="K1999" s="20" t="str">
        <f t="shared" si="94"/>
        <v>1st Shift</v>
      </c>
    </row>
    <row r="2000" spans="1:11" x14ac:dyDescent="0.25">
      <c r="A2000" s="1">
        <v>1999</v>
      </c>
      <c r="B2000" s="1">
        <v>6</v>
      </c>
      <c r="C2000" s="3">
        <v>6115271705704</v>
      </c>
      <c r="D2000" s="2">
        <v>44475.368055555555</v>
      </c>
      <c r="E2000" s="2">
        <v>44475.427083333336</v>
      </c>
      <c r="F2000" s="23">
        <f t="shared" si="93"/>
        <v>5.9027777781011537E-2</v>
      </c>
      <c r="G2000" s="24">
        <f t="shared" si="95"/>
        <v>211.7647058707517</v>
      </c>
      <c r="H2000" s="1" t="s">
        <v>1</v>
      </c>
      <c r="I2000" s="4" t="s">
        <v>2</v>
      </c>
      <c r="J2000" s="14">
        <v>0.36805555555555558</v>
      </c>
      <c r="K2000" s="20" t="str">
        <f t="shared" si="94"/>
        <v>1st Shift</v>
      </c>
    </row>
    <row r="2001" spans="1:11" x14ac:dyDescent="0.25">
      <c r="A2001" s="1">
        <v>2000</v>
      </c>
      <c r="B2001" s="1">
        <v>6</v>
      </c>
      <c r="C2001" s="3">
        <v>6115271705700</v>
      </c>
      <c r="D2001" s="2">
        <v>44475.368055555555</v>
      </c>
      <c r="E2001" s="2">
        <v>44475.427083333336</v>
      </c>
      <c r="F2001" s="23">
        <f t="shared" si="93"/>
        <v>5.9027777781011537E-2</v>
      </c>
      <c r="G2001" s="24">
        <f t="shared" si="95"/>
        <v>211.7647058707517</v>
      </c>
      <c r="H2001" s="1" t="s">
        <v>1</v>
      </c>
      <c r="I2001" s="4" t="s">
        <v>3</v>
      </c>
      <c r="J2001" s="14">
        <v>0.36805555555555558</v>
      </c>
      <c r="K2001" s="20" t="str">
        <f t="shared" si="94"/>
        <v>1st Shift</v>
      </c>
    </row>
    <row r="2002" spans="1:11" x14ac:dyDescent="0.25">
      <c r="A2002" s="1">
        <v>2001</v>
      </c>
      <c r="B2002" s="1">
        <v>1</v>
      </c>
      <c r="C2002" s="3">
        <v>1115270067209</v>
      </c>
      <c r="D2002" s="2">
        <v>44475.368055555555</v>
      </c>
      <c r="E2002" s="2">
        <v>44475.427083333336</v>
      </c>
      <c r="F2002" s="23">
        <f t="shared" si="93"/>
        <v>5.9027777781011537E-2</v>
      </c>
      <c r="G2002" s="24">
        <f t="shared" si="95"/>
        <v>211.7647058707517</v>
      </c>
      <c r="H2002" s="1" t="s">
        <v>1</v>
      </c>
      <c r="I2002" s="4" t="s">
        <v>2</v>
      </c>
      <c r="J2002" s="14">
        <v>0.36805555555555558</v>
      </c>
      <c r="K2002" s="20" t="str">
        <f t="shared" si="94"/>
        <v>1st Shift</v>
      </c>
    </row>
    <row r="2003" spans="1:11" x14ac:dyDescent="0.25">
      <c r="A2003" s="1">
        <v>2002</v>
      </c>
      <c r="B2003" s="1">
        <v>1</v>
      </c>
      <c r="C2003" s="3">
        <v>1115270067200</v>
      </c>
      <c r="D2003" s="2">
        <v>44475.368055555555</v>
      </c>
      <c r="E2003" s="2">
        <v>44475.427083333336</v>
      </c>
      <c r="F2003" s="23">
        <f t="shared" si="93"/>
        <v>5.9027777781011537E-2</v>
      </c>
      <c r="G2003" s="24">
        <f t="shared" si="95"/>
        <v>211.7647058707517</v>
      </c>
      <c r="H2003" s="1" t="s">
        <v>1</v>
      </c>
      <c r="I2003" s="4" t="s">
        <v>2</v>
      </c>
      <c r="J2003" s="14">
        <v>0.36805555555555558</v>
      </c>
      <c r="K2003" s="20" t="str">
        <f t="shared" si="94"/>
        <v>1st Shift</v>
      </c>
    </row>
    <row r="2004" spans="1:11" x14ac:dyDescent="0.25">
      <c r="A2004" s="1">
        <v>2003</v>
      </c>
      <c r="B2004" s="1">
        <v>8</v>
      </c>
      <c r="C2004" s="3">
        <v>8115271814919</v>
      </c>
      <c r="D2004" s="2">
        <v>44475.458333333336</v>
      </c>
      <c r="E2004" s="2">
        <v>44475.569444444445</v>
      </c>
      <c r="F2004" s="23">
        <f t="shared" si="93"/>
        <v>0.11111111110949423</v>
      </c>
      <c r="G2004" s="24">
        <f t="shared" si="95"/>
        <v>112.50000000163709</v>
      </c>
      <c r="H2004" s="1" t="s">
        <v>1</v>
      </c>
      <c r="I2004" s="4" t="s">
        <v>2</v>
      </c>
      <c r="J2004" s="14">
        <v>0.45833333333333331</v>
      </c>
      <c r="K2004" s="20" t="str">
        <f t="shared" si="94"/>
        <v>1st Shift</v>
      </c>
    </row>
    <row r="2005" spans="1:11" x14ac:dyDescent="0.25">
      <c r="A2005" s="1">
        <v>2004</v>
      </c>
      <c r="B2005" s="1">
        <v>8</v>
      </c>
      <c r="C2005" s="3">
        <v>8115271814916</v>
      </c>
      <c r="D2005" s="2">
        <v>44475.458333333336</v>
      </c>
      <c r="E2005" s="2">
        <v>44475.569444444445</v>
      </c>
      <c r="F2005" s="23">
        <f t="shared" si="93"/>
        <v>0.11111111110949423</v>
      </c>
      <c r="G2005" s="24">
        <f t="shared" si="95"/>
        <v>112.50000000163709</v>
      </c>
      <c r="H2005" s="1" t="s">
        <v>1</v>
      </c>
      <c r="I2005" s="4" t="s">
        <v>3</v>
      </c>
      <c r="J2005" s="14">
        <v>0.45833333333333331</v>
      </c>
      <c r="K2005" s="20" t="str">
        <f t="shared" si="94"/>
        <v>1st Shift</v>
      </c>
    </row>
    <row r="2006" spans="1:11" x14ac:dyDescent="0.25">
      <c r="A2006" s="1">
        <v>2005</v>
      </c>
      <c r="B2006" s="1">
        <v>3</v>
      </c>
      <c r="C2006" s="3">
        <v>3115270393402</v>
      </c>
      <c r="D2006" s="2">
        <v>44475.458333333336</v>
      </c>
      <c r="E2006" s="2">
        <v>44475.569444444445</v>
      </c>
      <c r="F2006" s="23">
        <f t="shared" si="93"/>
        <v>0.11111111110949423</v>
      </c>
      <c r="G2006" s="24">
        <f t="shared" si="95"/>
        <v>112.50000000163709</v>
      </c>
      <c r="H2006" s="1" t="s">
        <v>1</v>
      </c>
      <c r="I2006" s="4" t="s">
        <v>2</v>
      </c>
      <c r="J2006" s="14">
        <v>0.45833333333333331</v>
      </c>
      <c r="K2006" s="20" t="str">
        <f t="shared" si="94"/>
        <v>1st Shift</v>
      </c>
    </row>
    <row r="2007" spans="1:11" x14ac:dyDescent="0.25">
      <c r="A2007" s="1">
        <v>2006</v>
      </c>
      <c r="B2007" s="1">
        <v>3</v>
      </c>
      <c r="C2007" s="3">
        <v>3115270393400</v>
      </c>
      <c r="D2007" s="2">
        <v>44475.458333333336</v>
      </c>
      <c r="E2007" s="2">
        <v>44475.569444444445</v>
      </c>
      <c r="F2007" s="23">
        <f t="shared" si="93"/>
        <v>0.11111111110949423</v>
      </c>
      <c r="G2007" s="24">
        <f t="shared" si="95"/>
        <v>112.50000000163709</v>
      </c>
      <c r="H2007" s="1" t="s">
        <v>1</v>
      </c>
      <c r="I2007" s="4" t="s">
        <v>3</v>
      </c>
      <c r="J2007" s="14">
        <v>0.45833333333333331</v>
      </c>
      <c r="K2007" s="20" t="str">
        <f t="shared" si="94"/>
        <v>1st Shift</v>
      </c>
    </row>
    <row r="2008" spans="1:11" x14ac:dyDescent="0.25">
      <c r="A2008" s="1">
        <v>2007</v>
      </c>
      <c r="B2008" s="1">
        <v>2</v>
      </c>
      <c r="C2008" s="3">
        <v>2115270184807</v>
      </c>
      <c r="D2008" s="2">
        <v>44475.458333333336</v>
      </c>
      <c r="E2008" s="2">
        <v>44475.569444444445</v>
      </c>
      <c r="F2008" s="23">
        <f t="shared" si="93"/>
        <v>0.11111111110949423</v>
      </c>
      <c r="G2008" s="24">
        <f t="shared" si="95"/>
        <v>112.50000000163709</v>
      </c>
      <c r="H2008" s="1" t="s">
        <v>1</v>
      </c>
      <c r="I2008" s="4" t="s">
        <v>2</v>
      </c>
      <c r="J2008" s="14">
        <v>0.45833333333333331</v>
      </c>
      <c r="K2008" s="20" t="str">
        <f t="shared" si="94"/>
        <v>1st Shift</v>
      </c>
    </row>
    <row r="2009" spans="1:11" x14ac:dyDescent="0.25">
      <c r="A2009" s="1">
        <v>2008</v>
      </c>
      <c r="B2009" s="1">
        <v>2</v>
      </c>
      <c r="C2009" s="3">
        <v>2115270184803</v>
      </c>
      <c r="D2009" s="2">
        <v>44475.458333333336</v>
      </c>
      <c r="E2009" s="2">
        <v>44475.569444444445</v>
      </c>
      <c r="F2009" s="23">
        <f t="shared" si="93"/>
        <v>0.11111111110949423</v>
      </c>
      <c r="G2009" s="24">
        <f t="shared" si="95"/>
        <v>112.50000000163709</v>
      </c>
      <c r="H2009" s="1" t="s">
        <v>1</v>
      </c>
      <c r="I2009" s="4" t="s">
        <v>2</v>
      </c>
      <c r="J2009" s="14">
        <v>0.45833333333333331</v>
      </c>
      <c r="K2009" s="20" t="str">
        <f t="shared" si="94"/>
        <v>1st Shift</v>
      </c>
    </row>
    <row r="2010" spans="1:11" x14ac:dyDescent="0.25">
      <c r="A2010" s="1">
        <v>2009</v>
      </c>
      <c r="B2010" s="1">
        <v>2</v>
      </c>
      <c r="C2010" s="3">
        <v>2115270184800</v>
      </c>
      <c r="D2010" s="2">
        <v>44475.458333333336</v>
      </c>
      <c r="E2010" s="2">
        <v>44475.569444444445</v>
      </c>
      <c r="F2010" s="23">
        <f t="shared" si="93"/>
        <v>0.11111111110949423</v>
      </c>
      <c r="G2010" s="24">
        <f t="shared" si="95"/>
        <v>112.50000000163709</v>
      </c>
      <c r="H2010" s="1" t="s">
        <v>1</v>
      </c>
      <c r="I2010" s="4" t="s">
        <v>2</v>
      </c>
      <c r="J2010" s="14">
        <v>0.45833333333333331</v>
      </c>
      <c r="K2010" s="20" t="str">
        <f t="shared" si="94"/>
        <v>1st Shift</v>
      </c>
    </row>
    <row r="2011" spans="1:11" x14ac:dyDescent="0.25">
      <c r="A2011" s="1">
        <v>2010</v>
      </c>
      <c r="B2011" s="1">
        <v>11</v>
      </c>
      <c r="C2011" s="3">
        <v>11115271542604</v>
      </c>
      <c r="D2011" s="2">
        <v>44475.798611111109</v>
      </c>
      <c r="E2011" s="2">
        <v>44475.850694444445</v>
      </c>
      <c r="F2011" s="23">
        <f t="shared" si="93"/>
        <v>5.2083333335758653E-2</v>
      </c>
      <c r="G2011" s="24">
        <f t="shared" si="95"/>
        <v>239.99999998882413</v>
      </c>
      <c r="H2011" s="1" t="s">
        <v>1</v>
      </c>
      <c r="I2011" s="4" t="s">
        <v>2</v>
      </c>
      <c r="J2011" s="14">
        <v>0.79861111111111116</v>
      </c>
      <c r="K2011" s="20" t="str">
        <f t="shared" si="94"/>
        <v>2nd Shift</v>
      </c>
    </row>
    <row r="2012" spans="1:11" x14ac:dyDescent="0.25">
      <c r="A2012" s="1">
        <v>2011</v>
      </c>
      <c r="B2012" s="1">
        <v>2</v>
      </c>
      <c r="C2012" s="3">
        <v>2115270274900</v>
      </c>
      <c r="D2012" s="2">
        <v>44475.798611111109</v>
      </c>
      <c r="E2012" s="2">
        <v>44475.850694444445</v>
      </c>
      <c r="F2012" s="23">
        <f t="shared" si="93"/>
        <v>5.2083333335758653E-2</v>
      </c>
      <c r="G2012" s="24">
        <f t="shared" si="95"/>
        <v>239.99999998882413</v>
      </c>
      <c r="H2012" s="1" t="s">
        <v>1</v>
      </c>
      <c r="I2012" s="4" t="s">
        <v>2</v>
      </c>
      <c r="J2012" s="14">
        <v>0.79861111111111116</v>
      </c>
      <c r="K2012" s="20" t="str">
        <f t="shared" si="94"/>
        <v>2nd Shift</v>
      </c>
    </row>
    <row r="2013" spans="1:11" x14ac:dyDescent="0.25">
      <c r="A2013" s="1">
        <v>2012</v>
      </c>
      <c r="B2013" s="1">
        <v>12</v>
      </c>
      <c r="C2013" s="3">
        <v>12115271569824</v>
      </c>
      <c r="D2013" s="2">
        <v>44476.020833333336</v>
      </c>
      <c r="E2013" s="2">
        <v>44476.09375</v>
      </c>
      <c r="F2013" s="23">
        <f t="shared" si="93"/>
        <v>7.2916666664241347E-2</v>
      </c>
      <c r="G2013" s="24">
        <f t="shared" si="95"/>
        <v>171.42857143427341</v>
      </c>
      <c r="H2013" s="1" t="s">
        <v>1</v>
      </c>
      <c r="I2013" s="4" t="s">
        <v>2</v>
      </c>
      <c r="J2013" s="14">
        <v>2.0833333333333332E-2</v>
      </c>
      <c r="K2013" s="20" t="str">
        <f t="shared" si="94"/>
        <v>3rd Shift</v>
      </c>
    </row>
    <row r="2014" spans="1:11" x14ac:dyDescent="0.25">
      <c r="A2014" s="1">
        <v>2013</v>
      </c>
      <c r="B2014" s="1">
        <v>12</v>
      </c>
      <c r="C2014" s="3">
        <v>12115271569822</v>
      </c>
      <c r="D2014" s="2">
        <v>44476.020833333336</v>
      </c>
      <c r="E2014" s="2">
        <v>44476.09375</v>
      </c>
      <c r="F2014" s="23">
        <f t="shared" si="93"/>
        <v>7.2916666664241347E-2</v>
      </c>
      <c r="G2014" s="24">
        <f t="shared" si="95"/>
        <v>171.42857143427341</v>
      </c>
      <c r="H2014" s="1" t="s">
        <v>1</v>
      </c>
      <c r="I2014" s="4" t="s">
        <v>3</v>
      </c>
      <c r="J2014" s="14">
        <v>2.0833333333333332E-2</v>
      </c>
      <c r="K2014" s="20" t="str">
        <f t="shared" si="94"/>
        <v>3rd Shift</v>
      </c>
    </row>
    <row r="2015" spans="1:11" x14ac:dyDescent="0.25">
      <c r="A2015" s="1">
        <v>2014</v>
      </c>
      <c r="B2015" s="1">
        <v>1</v>
      </c>
      <c r="C2015" s="3">
        <v>1115270093201</v>
      </c>
      <c r="D2015" s="2">
        <v>44476.020833333336</v>
      </c>
      <c r="E2015" s="2">
        <v>44476.09375</v>
      </c>
      <c r="F2015" s="23">
        <f t="shared" si="93"/>
        <v>7.2916666664241347E-2</v>
      </c>
      <c r="G2015" s="24">
        <f t="shared" si="95"/>
        <v>171.42857143427341</v>
      </c>
      <c r="H2015" s="1" t="s">
        <v>1</v>
      </c>
      <c r="I2015" s="4" t="s">
        <v>2</v>
      </c>
      <c r="J2015" s="14">
        <v>2.0833333333333332E-2</v>
      </c>
      <c r="K2015" s="20" t="str">
        <f t="shared" si="94"/>
        <v>3rd Shift</v>
      </c>
    </row>
    <row r="2016" spans="1:11" x14ac:dyDescent="0.25">
      <c r="A2016" s="1">
        <v>2015</v>
      </c>
      <c r="B2016" s="1">
        <v>1</v>
      </c>
      <c r="C2016" s="3">
        <v>1115270093200</v>
      </c>
      <c r="D2016" s="2">
        <v>44476.020833333336</v>
      </c>
      <c r="E2016" s="2">
        <v>44476.09375</v>
      </c>
      <c r="F2016" s="23">
        <f t="shared" si="93"/>
        <v>7.2916666664241347E-2</v>
      </c>
      <c r="G2016" s="24">
        <f t="shared" si="95"/>
        <v>171.42857143427341</v>
      </c>
      <c r="H2016" s="1" t="s">
        <v>1</v>
      </c>
      <c r="I2016" s="4" t="s">
        <v>8</v>
      </c>
      <c r="J2016" s="14">
        <v>2.0833333333333332E-2</v>
      </c>
      <c r="K2016" s="20" t="str">
        <f t="shared" si="94"/>
        <v>3rd Shift</v>
      </c>
    </row>
    <row r="2017" spans="1:11" x14ac:dyDescent="0.25">
      <c r="A2017" s="1">
        <v>2016</v>
      </c>
      <c r="B2017" s="1">
        <v>14</v>
      </c>
      <c r="C2017" s="3">
        <v>14115271672409</v>
      </c>
      <c r="D2017" s="2">
        <v>44476.364583333336</v>
      </c>
      <c r="E2017" s="2">
        <v>44476.420138888891</v>
      </c>
      <c r="F2017" s="23">
        <f t="shared" si="93"/>
        <v>5.5555555554747116E-2</v>
      </c>
      <c r="G2017" s="24">
        <f t="shared" si="95"/>
        <v>225.00000000327418</v>
      </c>
      <c r="H2017" s="1" t="s">
        <v>1</v>
      </c>
      <c r="I2017" s="4" t="s">
        <v>3</v>
      </c>
      <c r="J2017" s="14">
        <v>0.36458333333333331</v>
      </c>
      <c r="K2017" s="20" t="str">
        <f t="shared" si="94"/>
        <v>1st Shift</v>
      </c>
    </row>
    <row r="2018" spans="1:11" x14ac:dyDescent="0.25">
      <c r="A2018" s="1">
        <v>2017</v>
      </c>
      <c r="B2018" s="1">
        <v>14</v>
      </c>
      <c r="C2018" s="3">
        <v>14115271672408</v>
      </c>
      <c r="D2018" s="2">
        <v>44476.364583333336</v>
      </c>
      <c r="E2018" s="2">
        <v>44476.420138888891</v>
      </c>
      <c r="F2018" s="23">
        <f t="shared" si="93"/>
        <v>5.5555555554747116E-2</v>
      </c>
      <c r="G2018" s="24">
        <f t="shared" si="95"/>
        <v>225.00000000327418</v>
      </c>
      <c r="H2018" s="1" t="s">
        <v>1</v>
      </c>
      <c r="I2018" s="4" t="s">
        <v>3</v>
      </c>
      <c r="J2018" s="14">
        <v>0.36458333333333331</v>
      </c>
      <c r="K2018" s="20" t="str">
        <f t="shared" si="94"/>
        <v>1st Shift</v>
      </c>
    </row>
    <row r="2019" spans="1:11" x14ac:dyDescent="0.25">
      <c r="A2019" s="1">
        <v>2018</v>
      </c>
      <c r="B2019" s="1">
        <v>7</v>
      </c>
      <c r="C2019" s="3">
        <v>7115271753901</v>
      </c>
      <c r="D2019" s="2">
        <v>44476.364583333336</v>
      </c>
      <c r="E2019" s="2">
        <v>44476.420138888891</v>
      </c>
      <c r="F2019" s="23">
        <f t="shared" si="93"/>
        <v>5.5555555554747116E-2</v>
      </c>
      <c r="G2019" s="24">
        <f t="shared" si="95"/>
        <v>225.00000000327418</v>
      </c>
      <c r="H2019" s="1" t="s">
        <v>1</v>
      </c>
      <c r="I2019" s="4" t="s">
        <v>2</v>
      </c>
      <c r="J2019" s="14">
        <v>0.36458333333333331</v>
      </c>
      <c r="K2019" s="20" t="str">
        <f t="shared" si="94"/>
        <v>1st Shift</v>
      </c>
    </row>
    <row r="2020" spans="1:11" x14ac:dyDescent="0.25">
      <c r="A2020" s="1">
        <v>2019</v>
      </c>
      <c r="B2020" s="1">
        <v>7</v>
      </c>
      <c r="C2020" s="3">
        <v>7115271753900</v>
      </c>
      <c r="D2020" s="2">
        <v>44476.364583333336</v>
      </c>
      <c r="E2020" s="2">
        <v>44476.420138888891</v>
      </c>
      <c r="F2020" s="23">
        <f t="shared" si="93"/>
        <v>5.5555555554747116E-2</v>
      </c>
      <c r="G2020" s="24">
        <f t="shared" si="95"/>
        <v>225.00000000327418</v>
      </c>
      <c r="H2020" s="1" t="s">
        <v>1</v>
      </c>
      <c r="I2020" s="4" t="s">
        <v>3</v>
      </c>
      <c r="J2020" s="14">
        <v>0.36458333333333331</v>
      </c>
      <c r="K2020" s="20" t="str">
        <f t="shared" si="94"/>
        <v>1st Shift</v>
      </c>
    </row>
    <row r="2021" spans="1:11" x14ac:dyDescent="0.25">
      <c r="A2021" s="1">
        <v>2020</v>
      </c>
      <c r="B2021" s="1">
        <v>9</v>
      </c>
      <c r="C2021" s="3">
        <v>9115271953101</v>
      </c>
      <c r="D2021" s="2">
        <v>44476.6875</v>
      </c>
      <c r="E2021" s="2">
        <v>44476.75</v>
      </c>
      <c r="F2021" s="23">
        <f t="shared" si="93"/>
        <v>6.25E-2</v>
      </c>
      <c r="G2021" s="24">
        <f t="shared" si="95"/>
        <v>200</v>
      </c>
      <c r="H2021" s="1" t="s">
        <v>1</v>
      </c>
      <c r="I2021" s="4" t="s">
        <v>2</v>
      </c>
      <c r="J2021" s="14">
        <v>0.6875</v>
      </c>
      <c r="K2021" s="20" t="str">
        <f t="shared" si="94"/>
        <v>2nd Shift</v>
      </c>
    </row>
    <row r="2022" spans="1:11" x14ac:dyDescent="0.25">
      <c r="A2022" s="1">
        <v>2021</v>
      </c>
      <c r="B2022" s="1">
        <v>9</v>
      </c>
      <c r="C2022" s="3">
        <v>9115271953100</v>
      </c>
      <c r="D2022" s="2">
        <v>44476.6875</v>
      </c>
      <c r="E2022" s="2">
        <v>44476.75</v>
      </c>
      <c r="F2022" s="23">
        <f t="shared" si="93"/>
        <v>6.25E-2</v>
      </c>
      <c r="G2022" s="24">
        <f t="shared" si="95"/>
        <v>200</v>
      </c>
      <c r="H2022" s="1" t="s">
        <v>1</v>
      </c>
      <c r="I2022" s="4" t="s">
        <v>2</v>
      </c>
      <c r="J2022" s="14">
        <v>0.6875</v>
      </c>
      <c r="K2022" s="20" t="str">
        <f t="shared" si="94"/>
        <v>2nd Shift</v>
      </c>
    </row>
    <row r="2023" spans="1:11" x14ac:dyDescent="0.25">
      <c r="A2023" s="1">
        <v>2022</v>
      </c>
      <c r="B2023" s="1">
        <v>7</v>
      </c>
      <c r="C2023" s="3">
        <v>7115271768106</v>
      </c>
      <c r="D2023" s="2">
        <v>44476.6875</v>
      </c>
      <c r="E2023" s="2">
        <v>44476.75</v>
      </c>
      <c r="F2023" s="23">
        <f t="shared" si="93"/>
        <v>6.25E-2</v>
      </c>
      <c r="G2023" s="24">
        <f t="shared" si="95"/>
        <v>200</v>
      </c>
      <c r="H2023" s="1" t="s">
        <v>1</v>
      </c>
      <c r="I2023" s="4" t="s">
        <v>2</v>
      </c>
      <c r="J2023" s="14">
        <v>0.6875</v>
      </c>
      <c r="K2023" s="20" t="str">
        <f t="shared" si="94"/>
        <v>2nd Shift</v>
      </c>
    </row>
    <row r="2024" spans="1:11" x14ac:dyDescent="0.25">
      <c r="A2024" s="1">
        <v>2023</v>
      </c>
      <c r="B2024" s="1">
        <v>7</v>
      </c>
      <c r="C2024" s="3">
        <v>7115271768105</v>
      </c>
      <c r="D2024" s="2">
        <v>44476.6875</v>
      </c>
      <c r="E2024" s="2">
        <v>44476.75</v>
      </c>
      <c r="F2024" s="23">
        <f t="shared" si="93"/>
        <v>6.25E-2</v>
      </c>
      <c r="G2024" s="24">
        <f t="shared" si="95"/>
        <v>200</v>
      </c>
      <c r="H2024" s="1" t="s">
        <v>1</v>
      </c>
      <c r="I2024" s="4" t="s">
        <v>2</v>
      </c>
      <c r="J2024" s="14">
        <v>0.6875</v>
      </c>
      <c r="K2024" s="20" t="str">
        <f t="shared" si="94"/>
        <v>2nd Shift</v>
      </c>
    </row>
    <row r="2025" spans="1:11" x14ac:dyDescent="0.25">
      <c r="A2025" s="1">
        <v>2024</v>
      </c>
      <c r="B2025" s="1">
        <v>15</v>
      </c>
      <c r="C2025" s="3">
        <v>15115271782108</v>
      </c>
      <c r="D2025" s="2">
        <v>44476.791666666664</v>
      </c>
      <c r="E2025" s="2">
        <v>44476.892361111109</v>
      </c>
      <c r="F2025" s="23">
        <f t="shared" si="93"/>
        <v>0.10069444444525288</v>
      </c>
      <c r="G2025" s="24">
        <f t="shared" si="95"/>
        <v>124.1379310334861</v>
      </c>
      <c r="H2025" s="1" t="s">
        <v>1</v>
      </c>
      <c r="I2025" s="4" t="s">
        <v>3</v>
      </c>
      <c r="J2025" s="14">
        <v>0.79166666666666663</v>
      </c>
      <c r="K2025" s="20" t="str">
        <f t="shared" si="94"/>
        <v>2nd Shift</v>
      </c>
    </row>
    <row r="2026" spans="1:11" x14ac:dyDescent="0.25">
      <c r="A2026" s="1">
        <v>2025</v>
      </c>
      <c r="B2026" s="1">
        <v>15</v>
      </c>
      <c r="C2026" s="3">
        <v>15115271782107</v>
      </c>
      <c r="D2026" s="2">
        <v>44476.791666666664</v>
      </c>
      <c r="E2026" s="2">
        <v>44476.892361111109</v>
      </c>
      <c r="F2026" s="23">
        <f t="shared" si="93"/>
        <v>0.10069444444525288</v>
      </c>
      <c r="G2026" s="24">
        <f t="shared" si="95"/>
        <v>124.1379310334861</v>
      </c>
      <c r="H2026" s="1" t="s">
        <v>1</v>
      </c>
      <c r="I2026" s="4" t="s">
        <v>2</v>
      </c>
      <c r="J2026" s="14">
        <v>0.79166666666666663</v>
      </c>
      <c r="K2026" s="20" t="str">
        <f t="shared" si="94"/>
        <v>2nd Shift</v>
      </c>
    </row>
    <row r="2027" spans="1:11" x14ac:dyDescent="0.25">
      <c r="A2027" s="1">
        <v>2026</v>
      </c>
      <c r="B2027" s="1">
        <v>15</v>
      </c>
      <c r="C2027" s="3">
        <v>15115271782103</v>
      </c>
      <c r="D2027" s="2">
        <v>44476.791666666664</v>
      </c>
      <c r="E2027" s="2">
        <v>44476.892361111109</v>
      </c>
      <c r="F2027" s="23">
        <f t="shared" si="93"/>
        <v>0.10069444444525288</v>
      </c>
      <c r="G2027" s="24">
        <f t="shared" si="95"/>
        <v>124.1379310334861</v>
      </c>
      <c r="H2027" s="1" t="s">
        <v>1</v>
      </c>
      <c r="I2027" s="4" t="s">
        <v>2</v>
      </c>
      <c r="J2027" s="14">
        <v>0.79166666666666663</v>
      </c>
      <c r="K2027" s="20" t="str">
        <f t="shared" si="94"/>
        <v>2nd Shift</v>
      </c>
    </row>
    <row r="2028" spans="1:11" x14ac:dyDescent="0.25">
      <c r="A2028" s="1">
        <v>2027</v>
      </c>
      <c r="B2028" s="1">
        <v>5</v>
      </c>
      <c r="C2028" s="3">
        <v>5115271276701</v>
      </c>
      <c r="D2028" s="2">
        <v>44476.791666666664</v>
      </c>
      <c r="E2028" s="2">
        <v>44476.892361111109</v>
      </c>
      <c r="F2028" s="23">
        <f t="shared" si="93"/>
        <v>0.10069444444525288</v>
      </c>
      <c r="G2028" s="24">
        <f t="shared" si="95"/>
        <v>124.1379310334861</v>
      </c>
      <c r="H2028" s="1" t="s">
        <v>1</v>
      </c>
      <c r="I2028" s="4" t="s">
        <v>2</v>
      </c>
      <c r="J2028" s="14">
        <v>0.79166666666666663</v>
      </c>
      <c r="K2028" s="20" t="str">
        <f t="shared" si="94"/>
        <v>2nd Shift</v>
      </c>
    </row>
    <row r="2029" spans="1:11" x14ac:dyDescent="0.25">
      <c r="A2029" s="1">
        <v>2028</v>
      </c>
      <c r="B2029" s="1">
        <v>5</v>
      </c>
      <c r="C2029" s="3">
        <v>5115271276700</v>
      </c>
      <c r="D2029" s="2">
        <v>44476.791666666664</v>
      </c>
      <c r="E2029" s="2">
        <v>44476.892361111109</v>
      </c>
      <c r="F2029" s="23">
        <f t="shared" si="93"/>
        <v>0.10069444444525288</v>
      </c>
      <c r="G2029" s="24">
        <f t="shared" si="95"/>
        <v>124.1379310334861</v>
      </c>
      <c r="H2029" s="1" t="s">
        <v>1</v>
      </c>
      <c r="I2029" s="4" t="s">
        <v>2</v>
      </c>
      <c r="J2029" s="14">
        <v>0.79166666666666663</v>
      </c>
      <c r="K2029" s="20" t="str">
        <f t="shared" si="94"/>
        <v>2nd Shift</v>
      </c>
    </row>
    <row r="2030" spans="1:11" x14ac:dyDescent="0.25">
      <c r="A2030" s="1">
        <v>2029</v>
      </c>
      <c r="B2030" s="1">
        <v>1</v>
      </c>
      <c r="C2030" s="3">
        <v>1115270127201</v>
      </c>
      <c r="D2030" s="2">
        <v>44476.791666666664</v>
      </c>
      <c r="E2030" s="2">
        <v>44476.892361111109</v>
      </c>
      <c r="F2030" s="23">
        <f t="shared" si="93"/>
        <v>0.10069444444525288</v>
      </c>
      <c r="G2030" s="24">
        <f t="shared" si="95"/>
        <v>124.1379310334861</v>
      </c>
      <c r="H2030" s="1" t="s">
        <v>1</v>
      </c>
      <c r="I2030" s="4" t="s">
        <v>2</v>
      </c>
      <c r="J2030" s="14">
        <v>0.79166666666666663</v>
      </c>
      <c r="K2030" s="20" t="str">
        <f t="shared" si="94"/>
        <v>2nd Shift</v>
      </c>
    </row>
    <row r="2031" spans="1:11" x14ac:dyDescent="0.25">
      <c r="A2031" s="1">
        <v>2030</v>
      </c>
      <c r="B2031" s="1">
        <v>1</v>
      </c>
      <c r="C2031" s="3">
        <v>1115270127200</v>
      </c>
      <c r="D2031" s="2">
        <v>44476.791666666664</v>
      </c>
      <c r="E2031" s="2">
        <v>44476.892361111109</v>
      </c>
      <c r="F2031" s="23">
        <f t="shared" si="93"/>
        <v>0.10069444444525288</v>
      </c>
      <c r="G2031" s="24">
        <f t="shared" si="95"/>
        <v>124.1379310334861</v>
      </c>
      <c r="H2031" s="1" t="s">
        <v>1</v>
      </c>
      <c r="I2031" s="4" t="s">
        <v>2</v>
      </c>
      <c r="J2031" s="14">
        <v>0.79166666666666663</v>
      </c>
      <c r="K2031" s="20" t="str">
        <f t="shared" si="94"/>
        <v>2nd Shift</v>
      </c>
    </row>
    <row r="2032" spans="1:11" x14ac:dyDescent="0.25">
      <c r="A2032" s="1">
        <v>2031</v>
      </c>
      <c r="B2032" s="1">
        <v>4</v>
      </c>
      <c r="C2032" s="3">
        <v>4115270858306</v>
      </c>
      <c r="D2032" s="2">
        <v>44477.399305555555</v>
      </c>
      <c r="E2032" s="2">
        <v>44477.444444444445</v>
      </c>
      <c r="F2032" s="23">
        <f t="shared" si="93"/>
        <v>4.5138888890505768E-2</v>
      </c>
      <c r="G2032" s="24">
        <f t="shared" si="95"/>
        <v>276.9230769131575</v>
      </c>
      <c r="H2032" s="1" t="s">
        <v>1</v>
      </c>
      <c r="I2032" s="4" t="s">
        <v>2</v>
      </c>
      <c r="J2032" s="14">
        <v>0.39930555555555558</v>
      </c>
      <c r="K2032" s="20" t="str">
        <f t="shared" si="94"/>
        <v>1st Shift</v>
      </c>
    </row>
    <row r="2033" spans="1:11" x14ac:dyDescent="0.25">
      <c r="A2033" s="1">
        <v>2032</v>
      </c>
      <c r="B2033" s="1">
        <v>4</v>
      </c>
      <c r="C2033" s="3">
        <v>4115270858305</v>
      </c>
      <c r="D2033" s="2">
        <v>44477.399305555555</v>
      </c>
      <c r="E2033" s="2">
        <v>44477.444444444445</v>
      </c>
      <c r="F2033" s="23">
        <f t="shared" si="93"/>
        <v>4.5138888890505768E-2</v>
      </c>
      <c r="G2033" s="24">
        <f t="shared" si="95"/>
        <v>276.9230769131575</v>
      </c>
      <c r="H2033" s="1" t="s">
        <v>1</v>
      </c>
      <c r="I2033" s="4" t="s">
        <v>2</v>
      </c>
      <c r="J2033" s="14">
        <v>0.39930555555555558</v>
      </c>
      <c r="K2033" s="20" t="str">
        <f t="shared" si="94"/>
        <v>1st Shift</v>
      </c>
    </row>
    <row r="2034" spans="1:11" x14ac:dyDescent="0.25">
      <c r="A2034" s="1">
        <v>2033</v>
      </c>
      <c r="B2034" s="1">
        <v>3</v>
      </c>
      <c r="C2034" s="3">
        <v>3115270366207</v>
      </c>
      <c r="D2034" s="2">
        <v>44477.399305555555</v>
      </c>
      <c r="E2034" s="2">
        <v>44477.444444444445</v>
      </c>
      <c r="F2034" s="23">
        <f t="shared" si="93"/>
        <v>4.5138888890505768E-2</v>
      </c>
      <c r="G2034" s="24">
        <f t="shared" si="95"/>
        <v>276.9230769131575</v>
      </c>
      <c r="H2034" s="1" t="s">
        <v>1</v>
      </c>
      <c r="I2034" s="4" t="s">
        <v>2</v>
      </c>
      <c r="J2034" s="14">
        <v>0.39930555555555558</v>
      </c>
      <c r="K2034" s="20" t="str">
        <f t="shared" si="94"/>
        <v>1st Shift</v>
      </c>
    </row>
    <row r="2035" spans="1:11" x14ac:dyDescent="0.25">
      <c r="A2035" s="1">
        <v>2034</v>
      </c>
      <c r="B2035" s="1">
        <v>3</v>
      </c>
      <c r="C2035" s="3">
        <v>3115270366201</v>
      </c>
      <c r="D2035" s="2">
        <v>44477.399305555555</v>
      </c>
      <c r="E2035" s="2">
        <v>44477.444444444445</v>
      </c>
      <c r="F2035" s="23">
        <f t="shared" si="93"/>
        <v>4.5138888890505768E-2</v>
      </c>
      <c r="G2035" s="24">
        <f t="shared" si="95"/>
        <v>276.9230769131575</v>
      </c>
      <c r="H2035" s="1" t="s">
        <v>1</v>
      </c>
      <c r="I2035" s="4" t="s">
        <v>3</v>
      </c>
      <c r="J2035" s="14">
        <v>0.39930555555555558</v>
      </c>
      <c r="K2035" s="20" t="str">
        <f t="shared" si="94"/>
        <v>1st Shift</v>
      </c>
    </row>
    <row r="2036" spans="1:11" x14ac:dyDescent="0.25">
      <c r="A2036" s="1">
        <v>2035</v>
      </c>
      <c r="B2036" s="1">
        <v>7</v>
      </c>
      <c r="C2036" s="3">
        <v>7115271801701</v>
      </c>
      <c r="D2036" s="2">
        <v>44477.458333333336</v>
      </c>
      <c r="E2036" s="2">
        <v>44477.53125</v>
      </c>
      <c r="F2036" s="23">
        <f t="shared" si="93"/>
        <v>7.2916666664241347E-2</v>
      </c>
      <c r="G2036" s="24">
        <f t="shared" si="95"/>
        <v>171.42857143427341</v>
      </c>
      <c r="H2036" s="1" t="s">
        <v>1</v>
      </c>
      <c r="I2036" s="4" t="s">
        <v>2</v>
      </c>
      <c r="J2036" s="14">
        <v>0.45833333333333331</v>
      </c>
      <c r="K2036" s="20" t="str">
        <f t="shared" si="94"/>
        <v>1st Shift</v>
      </c>
    </row>
    <row r="2037" spans="1:11" x14ac:dyDescent="0.25">
      <c r="A2037" s="1">
        <v>2036</v>
      </c>
      <c r="B2037" s="1">
        <v>7</v>
      </c>
      <c r="C2037" s="3">
        <v>7115271801700</v>
      </c>
      <c r="D2037" s="2">
        <v>44477.458333333336</v>
      </c>
      <c r="E2037" s="2">
        <v>44477.53125</v>
      </c>
      <c r="F2037" s="23">
        <f t="shared" si="93"/>
        <v>7.2916666664241347E-2</v>
      </c>
      <c r="G2037" s="24">
        <f t="shared" si="95"/>
        <v>171.42857143427341</v>
      </c>
      <c r="H2037" s="1" t="s">
        <v>1</v>
      </c>
      <c r="I2037" s="4" t="s">
        <v>2</v>
      </c>
      <c r="J2037" s="14">
        <v>0.45833333333333331</v>
      </c>
      <c r="K2037" s="20" t="str">
        <f t="shared" si="94"/>
        <v>1st Shift</v>
      </c>
    </row>
    <row r="2038" spans="1:11" x14ac:dyDescent="0.25">
      <c r="A2038" s="1">
        <v>2037</v>
      </c>
      <c r="B2038" s="1">
        <v>6</v>
      </c>
      <c r="C2038" s="3">
        <v>6115271715302</v>
      </c>
      <c r="D2038" s="2">
        <v>44477.458333333336</v>
      </c>
      <c r="E2038" s="2">
        <v>44477.53125</v>
      </c>
      <c r="F2038" s="23">
        <f t="shared" si="93"/>
        <v>7.2916666664241347E-2</v>
      </c>
      <c r="G2038" s="24">
        <f t="shared" si="95"/>
        <v>171.42857143427341</v>
      </c>
      <c r="H2038" s="1" t="s">
        <v>1</v>
      </c>
      <c r="I2038" s="4" t="s">
        <v>3</v>
      </c>
      <c r="J2038" s="14">
        <v>0.45833333333333331</v>
      </c>
      <c r="K2038" s="20" t="str">
        <f t="shared" si="94"/>
        <v>1st Shift</v>
      </c>
    </row>
    <row r="2039" spans="1:11" x14ac:dyDescent="0.25">
      <c r="A2039" s="1">
        <v>2038</v>
      </c>
      <c r="B2039" s="1">
        <v>6</v>
      </c>
      <c r="C2039" s="3">
        <v>6115271715301</v>
      </c>
      <c r="D2039" s="2">
        <v>44477.458333333336</v>
      </c>
      <c r="E2039" s="2">
        <v>44477.53125</v>
      </c>
      <c r="F2039" s="23">
        <f t="shared" si="93"/>
        <v>7.2916666664241347E-2</v>
      </c>
      <c r="G2039" s="24">
        <f t="shared" si="95"/>
        <v>171.42857143427341</v>
      </c>
      <c r="H2039" s="1" t="s">
        <v>1</v>
      </c>
      <c r="I2039" s="4" t="s">
        <v>4</v>
      </c>
      <c r="J2039" s="14">
        <v>0.45833333333333331</v>
      </c>
      <c r="K2039" s="20" t="str">
        <f t="shared" si="94"/>
        <v>1st Shift</v>
      </c>
    </row>
    <row r="2040" spans="1:11" x14ac:dyDescent="0.25">
      <c r="A2040" s="1">
        <v>2039</v>
      </c>
      <c r="B2040" s="1">
        <v>12</v>
      </c>
      <c r="C2040" s="3">
        <v>12115271575327</v>
      </c>
      <c r="D2040" s="2">
        <v>44477.666666666664</v>
      </c>
      <c r="E2040" s="2">
        <v>44477.777777777781</v>
      </c>
      <c r="F2040" s="23">
        <f t="shared" si="93"/>
        <v>0.11111111111677019</v>
      </c>
      <c r="G2040" s="24">
        <f t="shared" si="95"/>
        <v>112.49999999427018</v>
      </c>
      <c r="H2040" s="1" t="s">
        <v>1</v>
      </c>
      <c r="I2040" s="4" t="s">
        <v>2</v>
      </c>
      <c r="J2040" s="14">
        <v>0.66666666666666663</v>
      </c>
      <c r="K2040" s="20" t="str">
        <f t="shared" si="94"/>
        <v>2nd Shift</v>
      </c>
    </row>
    <row r="2041" spans="1:11" x14ac:dyDescent="0.25">
      <c r="A2041" s="1">
        <v>2040</v>
      </c>
      <c r="B2041" s="1">
        <v>12</v>
      </c>
      <c r="C2041" s="3">
        <v>12115271575320</v>
      </c>
      <c r="D2041" s="2">
        <v>44477.666666666664</v>
      </c>
      <c r="E2041" s="2">
        <v>44477.777777777781</v>
      </c>
      <c r="F2041" s="23">
        <f t="shared" si="93"/>
        <v>0.11111111111677019</v>
      </c>
      <c r="G2041" s="24">
        <f t="shared" si="95"/>
        <v>112.49999999427018</v>
      </c>
      <c r="H2041" s="1" t="s">
        <v>1</v>
      </c>
      <c r="I2041" s="4" t="s">
        <v>2</v>
      </c>
      <c r="J2041" s="14">
        <v>0.66666666666666663</v>
      </c>
      <c r="K2041" s="20" t="str">
        <f t="shared" si="94"/>
        <v>2nd Shift</v>
      </c>
    </row>
    <row r="2042" spans="1:11" x14ac:dyDescent="0.25">
      <c r="A2042" s="1">
        <v>2041</v>
      </c>
      <c r="B2042" s="1">
        <v>7</v>
      </c>
      <c r="C2042" s="3">
        <v>7115271774603</v>
      </c>
      <c r="D2042" s="2">
        <v>44477.666666666664</v>
      </c>
      <c r="E2042" s="2">
        <v>44477.777777777781</v>
      </c>
      <c r="F2042" s="23">
        <f t="shared" si="93"/>
        <v>0.11111111111677019</v>
      </c>
      <c r="G2042" s="24">
        <f t="shared" si="95"/>
        <v>112.49999999427018</v>
      </c>
      <c r="H2042" s="1" t="s">
        <v>1</v>
      </c>
      <c r="I2042" s="4" t="s">
        <v>3</v>
      </c>
      <c r="J2042" s="14">
        <v>0.66666666666666663</v>
      </c>
      <c r="K2042" s="20" t="str">
        <f t="shared" si="94"/>
        <v>2nd Shift</v>
      </c>
    </row>
    <row r="2043" spans="1:11" x14ac:dyDescent="0.25">
      <c r="A2043" s="1">
        <v>2042</v>
      </c>
      <c r="B2043" s="1">
        <v>7</v>
      </c>
      <c r="C2043" s="3">
        <v>7115271774601</v>
      </c>
      <c r="D2043" s="2">
        <v>44477.666666666664</v>
      </c>
      <c r="E2043" s="2">
        <v>44477.777777777781</v>
      </c>
      <c r="F2043" s="23">
        <f t="shared" si="93"/>
        <v>0.11111111111677019</v>
      </c>
      <c r="G2043" s="24">
        <f t="shared" si="95"/>
        <v>112.49999999427018</v>
      </c>
      <c r="H2043" s="1" t="s">
        <v>1</v>
      </c>
      <c r="I2043" s="4" t="s">
        <v>2</v>
      </c>
      <c r="J2043" s="14">
        <v>0.66666666666666663</v>
      </c>
      <c r="K2043" s="20" t="str">
        <f t="shared" si="94"/>
        <v>2nd Shift</v>
      </c>
    </row>
    <row r="2044" spans="1:11" x14ac:dyDescent="0.25">
      <c r="A2044" s="1">
        <v>2043</v>
      </c>
      <c r="B2044" s="1">
        <v>3</v>
      </c>
      <c r="C2044" s="3">
        <v>3115270333001</v>
      </c>
      <c r="D2044" s="2">
        <v>44477.666666666664</v>
      </c>
      <c r="E2044" s="2">
        <v>44477.777777777781</v>
      </c>
      <c r="F2044" s="23">
        <f t="shared" si="93"/>
        <v>0.11111111111677019</v>
      </c>
      <c r="G2044" s="24">
        <f t="shared" si="95"/>
        <v>112.49999999427018</v>
      </c>
      <c r="H2044" s="1" t="s">
        <v>1</v>
      </c>
      <c r="I2044" s="4" t="s">
        <v>4</v>
      </c>
      <c r="J2044" s="14">
        <v>0.66666666666666663</v>
      </c>
      <c r="K2044" s="20" t="str">
        <f t="shared" si="94"/>
        <v>2nd Shift</v>
      </c>
    </row>
    <row r="2045" spans="1:11" x14ac:dyDescent="0.25">
      <c r="A2045" s="1">
        <v>2044</v>
      </c>
      <c r="B2045" s="1">
        <v>3</v>
      </c>
      <c r="C2045" s="3">
        <v>3115270333000</v>
      </c>
      <c r="D2045" s="2">
        <v>44477.666666666664</v>
      </c>
      <c r="E2045" s="2">
        <v>44477.777777777781</v>
      </c>
      <c r="F2045" s="23">
        <f t="shared" si="93"/>
        <v>0.11111111111677019</v>
      </c>
      <c r="G2045" s="24">
        <f t="shared" si="95"/>
        <v>112.49999999427018</v>
      </c>
      <c r="H2045" s="1" t="s">
        <v>1</v>
      </c>
      <c r="I2045" s="4" t="s">
        <v>2</v>
      </c>
      <c r="J2045" s="14">
        <v>0.66666666666666663</v>
      </c>
      <c r="K2045" s="20" t="str">
        <f t="shared" si="94"/>
        <v>2nd Shift</v>
      </c>
    </row>
    <row r="2046" spans="1:11" x14ac:dyDescent="0.25">
      <c r="A2046" s="1">
        <v>2045</v>
      </c>
      <c r="B2046" s="1">
        <v>2</v>
      </c>
      <c r="C2046" s="3">
        <v>2115270159202</v>
      </c>
      <c r="D2046" s="2">
        <v>44477.666666666664</v>
      </c>
      <c r="E2046" s="2">
        <v>44477.777777777781</v>
      </c>
      <c r="F2046" s="23">
        <f t="shared" si="93"/>
        <v>0.11111111111677019</v>
      </c>
      <c r="G2046" s="24">
        <f t="shared" si="95"/>
        <v>112.49999999427018</v>
      </c>
      <c r="H2046" s="1" t="s">
        <v>1</v>
      </c>
      <c r="I2046" s="4" t="s">
        <v>3</v>
      </c>
      <c r="J2046" s="14">
        <v>0.66666666666666663</v>
      </c>
      <c r="K2046" s="20" t="str">
        <f t="shared" si="94"/>
        <v>2nd Shift</v>
      </c>
    </row>
    <row r="2047" spans="1:11" x14ac:dyDescent="0.25">
      <c r="A2047" s="1">
        <v>2046</v>
      </c>
      <c r="B2047" s="1">
        <v>2</v>
      </c>
      <c r="C2047" s="3">
        <v>2115270159200</v>
      </c>
      <c r="D2047" s="2">
        <v>44477.666666666664</v>
      </c>
      <c r="E2047" s="2">
        <v>44477.777777777781</v>
      </c>
      <c r="F2047" s="23">
        <f t="shared" si="93"/>
        <v>0.11111111111677019</v>
      </c>
      <c r="G2047" s="24">
        <f t="shared" si="95"/>
        <v>112.49999999427018</v>
      </c>
      <c r="H2047" s="1" t="s">
        <v>1</v>
      </c>
      <c r="I2047" s="4" t="s">
        <v>2</v>
      </c>
      <c r="J2047" s="14">
        <v>0.66666666666666663</v>
      </c>
      <c r="K2047" s="20" t="str">
        <f t="shared" si="94"/>
        <v>2nd Shift</v>
      </c>
    </row>
    <row r="2048" spans="1:11" x14ac:dyDescent="0.25">
      <c r="A2048" s="1">
        <v>2047</v>
      </c>
      <c r="B2048" s="1">
        <v>3</v>
      </c>
      <c r="C2048" s="3">
        <v>3115270333608</v>
      </c>
      <c r="D2048" s="2">
        <v>44477.815972222219</v>
      </c>
      <c r="E2048" s="2">
        <v>44477.84375</v>
      </c>
      <c r="F2048" s="23">
        <f t="shared" si="93"/>
        <v>2.7777777781011537E-2</v>
      </c>
      <c r="G2048" s="24">
        <f t="shared" si="95"/>
        <v>449.99999994761311</v>
      </c>
      <c r="H2048" s="1" t="s">
        <v>1</v>
      </c>
      <c r="I2048" s="4" t="s">
        <v>2</v>
      </c>
      <c r="J2048" s="14">
        <v>0.81597222222222221</v>
      </c>
      <c r="K2048" s="20" t="str">
        <f t="shared" si="94"/>
        <v>2nd Shift</v>
      </c>
    </row>
    <row r="2049" spans="1:11" x14ac:dyDescent="0.25">
      <c r="A2049" s="1">
        <v>2048</v>
      </c>
      <c r="B2049" s="1">
        <v>3</v>
      </c>
      <c r="C2049" s="3">
        <v>3115270333600</v>
      </c>
      <c r="D2049" s="2">
        <v>44477.815972222219</v>
      </c>
      <c r="E2049" s="2">
        <v>44477.84375</v>
      </c>
      <c r="F2049" s="23">
        <f t="shared" si="93"/>
        <v>2.7777777781011537E-2</v>
      </c>
      <c r="G2049" s="24">
        <f t="shared" si="95"/>
        <v>449.99999994761311</v>
      </c>
      <c r="H2049" s="1" t="s">
        <v>1</v>
      </c>
      <c r="I2049" s="4" t="s">
        <v>2</v>
      </c>
      <c r="J2049" s="14">
        <v>0.81597222222222221</v>
      </c>
      <c r="K2049" s="20" t="str">
        <f t="shared" si="94"/>
        <v>2nd Shift</v>
      </c>
    </row>
    <row r="2050" spans="1:11" x14ac:dyDescent="0.25">
      <c r="A2050" s="1">
        <v>2049</v>
      </c>
      <c r="B2050" s="1">
        <v>12</v>
      </c>
      <c r="C2050" s="3">
        <v>12115271573406</v>
      </c>
      <c r="D2050" s="2">
        <v>44477.854166666664</v>
      </c>
      <c r="E2050" s="2">
        <v>44477.902777777781</v>
      </c>
      <c r="F2050" s="23">
        <f t="shared" ref="F2050:F2113" si="96">E2050-D2050</f>
        <v>4.8611111116770189E-2</v>
      </c>
      <c r="G2050" s="24">
        <f t="shared" si="95"/>
        <v>257.14285711292177</v>
      </c>
      <c r="H2050" s="1" t="s">
        <v>1</v>
      </c>
      <c r="I2050" s="4" t="s">
        <v>4</v>
      </c>
      <c r="J2050" s="14">
        <v>0.85416666666666663</v>
      </c>
      <c r="K2050" s="20" t="str">
        <f t="shared" ref="K2050:K2113" si="97">IF(AND(J2050&gt;=$M$3,J2050&lt;$M$4),"1st Shift",IF(AND(J2050&gt;=$M$4,J2050&lt;$M$5),"2nd Shift","3rd Shift"))</f>
        <v>2nd Shift</v>
      </c>
    </row>
    <row r="2051" spans="1:11" x14ac:dyDescent="0.25">
      <c r="A2051" s="1">
        <v>2050</v>
      </c>
      <c r="B2051" s="1">
        <v>6</v>
      </c>
      <c r="C2051" s="3">
        <v>6115271690510</v>
      </c>
      <c r="D2051" s="2">
        <v>44478.020833333336</v>
      </c>
      <c r="E2051" s="2">
        <v>44478.21875</v>
      </c>
      <c r="F2051" s="23">
        <f t="shared" si="96"/>
        <v>0.19791666666424135</v>
      </c>
      <c r="G2051" s="24">
        <f t="shared" ref="G2051:G2114" si="98">$M$9/F2051*100</f>
        <v>63.157894737616061</v>
      </c>
      <c r="H2051" s="1" t="s">
        <v>1</v>
      </c>
      <c r="I2051" s="4" t="s">
        <v>2</v>
      </c>
      <c r="J2051" s="14">
        <v>2.0833333333333332E-2</v>
      </c>
      <c r="K2051" s="20" t="str">
        <f t="shared" si="97"/>
        <v>3rd Shift</v>
      </c>
    </row>
    <row r="2052" spans="1:11" x14ac:dyDescent="0.25">
      <c r="A2052" s="1">
        <v>2051</v>
      </c>
      <c r="B2052" s="1">
        <v>15</v>
      </c>
      <c r="C2052" s="3">
        <v>15115271743901</v>
      </c>
      <c r="D2052" s="2">
        <v>44478.333333333336</v>
      </c>
      <c r="E2052" s="2">
        <v>44478.576388888891</v>
      </c>
      <c r="F2052" s="23">
        <f t="shared" si="96"/>
        <v>0.24305555555474712</v>
      </c>
      <c r="G2052" s="24">
        <f t="shared" si="98"/>
        <v>51.428571428742487</v>
      </c>
      <c r="H2052" s="1" t="s">
        <v>1</v>
      </c>
      <c r="I2052" s="4" t="s">
        <v>2</v>
      </c>
      <c r="J2052" s="14">
        <v>0.33333333333333331</v>
      </c>
      <c r="K2052" s="20" t="str">
        <f t="shared" si="97"/>
        <v>1st Shift</v>
      </c>
    </row>
    <row r="2053" spans="1:11" x14ac:dyDescent="0.25">
      <c r="A2053" s="1">
        <v>2052</v>
      </c>
      <c r="B2053" s="1">
        <v>14</v>
      </c>
      <c r="C2053" s="3">
        <v>14115271675351</v>
      </c>
      <c r="D2053" s="2">
        <v>44478.333333333336</v>
      </c>
      <c r="E2053" s="2">
        <v>44478.576388888891</v>
      </c>
      <c r="F2053" s="23">
        <f t="shared" si="96"/>
        <v>0.24305555555474712</v>
      </c>
      <c r="G2053" s="24">
        <f t="shared" si="98"/>
        <v>51.428571428742487</v>
      </c>
      <c r="H2053" s="1" t="s">
        <v>1</v>
      </c>
      <c r="I2053" s="4" t="s">
        <v>2</v>
      </c>
      <c r="J2053" s="14">
        <v>0.33333333333333331</v>
      </c>
      <c r="K2053" s="20" t="str">
        <f t="shared" si="97"/>
        <v>1st Shift</v>
      </c>
    </row>
    <row r="2054" spans="1:11" x14ac:dyDescent="0.25">
      <c r="A2054" s="1">
        <v>2053</v>
      </c>
      <c r="B2054" s="1">
        <v>14</v>
      </c>
      <c r="C2054" s="3">
        <v>14115271672412</v>
      </c>
      <c r="D2054" s="2">
        <v>44478.333333333336</v>
      </c>
      <c r="E2054" s="2">
        <v>44478.576388888891</v>
      </c>
      <c r="F2054" s="23">
        <f t="shared" si="96"/>
        <v>0.24305555555474712</v>
      </c>
      <c r="G2054" s="24">
        <f t="shared" si="98"/>
        <v>51.428571428742487</v>
      </c>
      <c r="H2054" s="1" t="s">
        <v>1</v>
      </c>
      <c r="I2054" s="4" t="s">
        <v>4</v>
      </c>
      <c r="J2054" s="14">
        <v>0.33333333333333331</v>
      </c>
      <c r="K2054" s="20" t="str">
        <f t="shared" si="97"/>
        <v>1st Shift</v>
      </c>
    </row>
    <row r="2055" spans="1:11" x14ac:dyDescent="0.25">
      <c r="A2055" s="1">
        <v>2054</v>
      </c>
      <c r="B2055" s="1">
        <v>11</v>
      </c>
      <c r="C2055" s="3">
        <v>11115271550801</v>
      </c>
      <c r="D2055" s="2">
        <v>44478.333333333336</v>
      </c>
      <c r="E2055" s="2">
        <v>44478.576388888891</v>
      </c>
      <c r="F2055" s="23">
        <f t="shared" si="96"/>
        <v>0.24305555555474712</v>
      </c>
      <c r="G2055" s="24">
        <f t="shared" si="98"/>
        <v>51.428571428742487</v>
      </c>
      <c r="H2055" s="1" t="s">
        <v>1</v>
      </c>
      <c r="I2055" s="4" t="s">
        <v>3</v>
      </c>
      <c r="J2055" s="14">
        <v>0.33333333333333331</v>
      </c>
      <c r="K2055" s="20" t="str">
        <f t="shared" si="97"/>
        <v>1st Shift</v>
      </c>
    </row>
    <row r="2056" spans="1:11" x14ac:dyDescent="0.25">
      <c r="A2056" s="1">
        <v>2055</v>
      </c>
      <c r="B2056" s="1">
        <v>6</v>
      </c>
      <c r="C2056" s="3">
        <v>6115271715400</v>
      </c>
      <c r="D2056" s="2">
        <v>44478.333333333336</v>
      </c>
      <c r="E2056" s="2">
        <v>44478.576388888891</v>
      </c>
      <c r="F2056" s="23">
        <f t="shared" si="96"/>
        <v>0.24305555555474712</v>
      </c>
      <c r="G2056" s="24">
        <f t="shared" si="98"/>
        <v>51.428571428742487</v>
      </c>
      <c r="H2056" s="1" t="s">
        <v>1</v>
      </c>
      <c r="I2056" s="4" t="s">
        <v>2</v>
      </c>
      <c r="J2056" s="14">
        <v>0.33333333333333331</v>
      </c>
      <c r="K2056" s="20" t="str">
        <f t="shared" si="97"/>
        <v>1st Shift</v>
      </c>
    </row>
    <row r="2057" spans="1:11" x14ac:dyDescent="0.25">
      <c r="A2057" s="1">
        <v>2056</v>
      </c>
      <c r="B2057" s="1">
        <v>6</v>
      </c>
      <c r="C2057" s="3">
        <v>6115271701000</v>
      </c>
      <c r="D2057" s="2">
        <v>44478.333333333336</v>
      </c>
      <c r="E2057" s="2">
        <v>44478.576388888891</v>
      </c>
      <c r="F2057" s="23">
        <f t="shared" si="96"/>
        <v>0.24305555555474712</v>
      </c>
      <c r="G2057" s="24">
        <f t="shared" si="98"/>
        <v>51.428571428742487</v>
      </c>
      <c r="H2057" s="1" t="s">
        <v>1</v>
      </c>
      <c r="I2057" s="4" t="s">
        <v>2</v>
      </c>
      <c r="J2057" s="14">
        <v>0.33333333333333331</v>
      </c>
      <c r="K2057" s="20" t="str">
        <f t="shared" si="97"/>
        <v>1st Shift</v>
      </c>
    </row>
    <row r="2058" spans="1:11" x14ac:dyDescent="0.25">
      <c r="A2058" s="1">
        <v>2057</v>
      </c>
      <c r="B2058" s="1">
        <v>6</v>
      </c>
      <c r="C2058" s="3">
        <v>6115271690404</v>
      </c>
      <c r="D2058" s="2">
        <v>44478.333333333336</v>
      </c>
      <c r="E2058" s="2">
        <v>44478.576388888891</v>
      </c>
      <c r="F2058" s="23">
        <f t="shared" si="96"/>
        <v>0.24305555555474712</v>
      </c>
      <c r="G2058" s="24">
        <f t="shared" si="98"/>
        <v>51.428571428742487</v>
      </c>
      <c r="H2058" s="1" t="s">
        <v>1</v>
      </c>
      <c r="I2058" s="4" t="s">
        <v>2</v>
      </c>
      <c r="J2058" s="14">
        <v>0.33333333333333331</v>
      </c>
      <c r="K2058" s="20" t="str">
        <f t="shared" si="97"/>
        <v>1st Shift</v>
      </c>
    </row>
    <row r="2059" spans="1:11" x14ac:dyDescent="0.25">
      <c r="A2059" s="1">
        <v>2058</v>
      </c>
      <c r="B2059" s="1">
        <v>4</v>
      </c>
      <c r="C2059" s="3">
        <v>4115271221501</v>
      </c>
      <c r="D2059" s="2">
        <v>44478.333333333336</v>
      </c>
      <c r="E2059" s="2">
        <v>44478.576388888891</v>
      </c>
      <c r="F2059" s="23">
        <f t="shared" si="96"/>
        <v>0.24305555555474712</v>
      </c>
      <c r="G2059" s="24">
        <f t="shared" si="98"/>
        <v>51.428571428742487</v>
      </c>
      <c r="H2059" s="1" t="s">
        <v>1</v>
      </c>
      <c r="I2059" s="4" t="s">
        <v>3</v>
      </c>
      <c r="J2059" s="14">
        <v>0.33333333333333331</v>
      </c>
      <c r="K2059" s="20" t="str">
        <f t="shared" si="97"/>
        <v>1st Shift</v>
      </c>
    </row>
    <row r="2060" spans="1:11" x14ac:dyDescent="0.25">
      <c r="A2060" s="1">
        <v>2059</v>
      </c>
      <c r="B2060" s="1">
        <v>3</v>
      </c>
      <c r="C2060" s="3">
        <v>3115270349700</v>
      </c>
      <c r="D2060" s="2">
        <v>44478.333333333336</v>
      </c>
      <c r="E2060" s="2">
        <v>44478.576388888891</v>
      </c>
      <c r="F2060" s="23">
        <f t="shared" si="96"/>
        <v>0.24305555555474712</v>
      </c>
      <c r="G2060" s="24">
        <f t="shared" si="98"/>
        <v>51.428571428742487</v>
      </c>
      <c r="H2060" s="1" t="s">
        <v>1</v>
      </c>
      <c r="I2060" s="4" t="s">
        <v>2</v>
      </c>
      <c r="J2060" s="14">
        <v>0.33333333333333331</v>
      </c>
      <c r="K2060" s="20" t="str">
        <f t="shared" si="97"/>
        <v>1st Shift</v>
      </c>
    </row>
    <row r="2061" spans="1:11" x14ac:dyDescent="0.25">
      <c r="A2061" s="1">
        <v>2060</v>
      </c>
      <c r="B2061" s="1">
        <v>3</v>
      </c>
      <c r="C2061" s="3">
        <v>3115270340501</v>
      </c>
      <c r="D2061" s="2">
        <v>44478.333333333336</v>
      </c>
      <c r="E2061" s="2">
        <v>44478.576388888891</v>
      </c>
      <c r="F2061" s="23">
        <f t="shared" si="96"/>
        <v>0.24305555555474712</v>
      </c>
      <c r="G2061" s="24">
        <f t="shared" si="98"/>
        <v>51.428571428742487</v>
      </c>
      <c r="H2061" s="1" t="s">
        <v>1</v>
      </c>
      <c r="I2061" s="4" t="s">
        <v>2</v>
      </c>
      <c r="J2061" s="14">
        <v>0.33333333333333331</v>
      </c>
      <c r="K2061" s="20" t="str">
        <f t="shared" si="97"/>
        <v>1st Shift</v>
      </c>
    </row>
    <row r="2062" spans="1:11" x14ac:dyDescent="0.25">
      <c r="A2062" s="1">
        <v>2061</v>
      </c>
      <c r="B2062" s="1">
        <v>2</v>
      </c>
      <c r="C2062" s="3">
        <v>2115270274800</v>
      </c>
      <c r="D2062" s="2">
        <v>44478.333333333336</v>
      </c>
      <c r="E2062" s="2">
        <v>44478.576388888891</v>
      </c>
      <c r="F2062" s="23">
        <f t="shared" si="96"/>
        <v>0.24305555555474712</v>
      </c>
      <c r="G2062" s="24">
        <f t="shared" si="98"/>
        <v>51.428571428742487</v>
      </c>
      <c r="H2062" s="1" t="s">
        <v>1</v>
      </c>
      <c r="I2062" s="4" t="s">
        <v>2</v>
      </c>
      <c r="J2062" s="14">
        <v>0.33333333333333331</v>
      </c>
      <c r="K2062" s="20" t="str">
        <f t="shared" si="97"/>
        <v>1st Shift</v>
      </c>
    </row>
    <row r="2063" spans="1:11" x14ac:dyDescent="0.25">
      <c r="A2063" s="1">
        <v>2062</v>
      </c>
      <c r="B2063" s="1">
        <v>2</v>
      </c>
      <c r="C2063" s="3">
        <v>2115270241700</v>
      </c>
      <c r="D2063" s="2">
        <v>44478.333333333336</v>
      </c>
      <c r="E2063" s="2">
        <v>44478.576388888891</v>
      </c>
      <c r="F2063" s="23">
        <f t="shared" si="96"/>
        <v>0.24305555555474712</v>
      </c>
      <c r="G2063" s="24">
        <f t="shared" si="98"/>
        <v>51.428571428742487</v>
      </c>
      <c r="H2063" s="1" t="s">
        <v>1</v>
      </c>
      <c r="I2063" s="4" t="s">
        <v>2</v>
      </c>
      <c r="J2063" s="14">
        <v>0.33333333333333331</v>
      </c>
      <c r="K2063" s="20" t="str">
        <f t="shared" si="97"/>
        <v>1st Shift</v>
      </c>
    </row>
    <row r="2064" spans="1:11" x14ac:dyDescent="0.25">
      <c r="A2064" s="1">
        <v>2063</v>
      </c>
      <c r="B2064" s="1">
        <v>3</v>
      </c>
      <c r="C2064" s="3">
        <v>3115270392900</v>
      </c>
      <c r="D2064" s="2">
        <v>44478.770833333336</v>
      </c>
      <c r="E2064" s="2">
        <v>44478.805555555555</v>
      </c>
      <c r="F2064" s="23">
        <f t="shared" si="96"/>
        <v>3.4722222218988463E-2</v>
      </c>
      <c r="G2064" s="24">
        <f t="shared" si="98"/>
        <v>360.00000003352761</v>
      </c>
      <c r="H2064" s="1" t="s">
        <v>1</v>
      </c>
      <c r="I2064" s="4" t="s">
        <v>5</v>
      </c>
      <c r="J2064" s="14">
        <v>0.77083333333333337</v>
      </c>
      <c r="K2064" s="20" t="str">
        <f t="shared" si="97"/>
        <v>2nd Shift</v>
      </c>
    </row>
    <row r="2065" spans="1:11" x14ac:dyDescent="0.25">
      <c r="A2065" s="1">
        <v>2064</v>
      </c>
      <c r="B2065" s="1">
        <v>10</v>
      </c>
      <c r="C2065" s="3">
        <v>10115270972300</v>
      </c>
      <c r="D2065" s="2">
        <v>44478.826388888891</v>
      </c>
      <c r="E2065" s="2">
        <v>44478.920138888891</v>
      </c>
      <c r="F2065" s="23">
        <f t="shared" si="96"/>
        <v>9.375E-2</v>
      </c>
      <c r="G2065" s="24">
        <f t="shared" si="98"/>
        <v>133.33333333333331</v>
      </c>
      <c r="H2065" s="1" t="s">
        <v>1</v>
      </c>
      <c r="I2065" s="4" t="s">
        <v>2</v>
      </c>
      <c r="J2065" s="14">
        <v>0.82638888888888884</v>
      </c>
      <c r="K2065" s="20" t="str">
        <f t="shared" si="97"/>
        <v>2nd Shift</v>
      </c>
    </row>
    <row r="2066" spans="1:11" x14ac:dyDescent="0.25">
      <c r="A2066" s="1">
        <v>2065</v>
      </c>
      <c r="B2066" s="1">
        <v>6</v>
      </c>
      <c r="C2066" s="3">
        <v>6115271738604</v>
      </c>
      <c r="D2066" s="2">
        <v>44478.826388888891</v>
      </c>
      <c r="E2066" s="2">
        <v>44478.878472222219</v>
      </c>
      <c r="F2066" s="23">
        <f t="shared" si="96"/>
        <v>5.2083333328482695E-2</v>
      </c>
      <c r="G2066" s="24">
        <f t="shared" si="98"/>
        <v>240.00000002235174</v>
      </c>
      <c r="H2066" s="1" t="s">
        <v>1</v>
      </c>
      <c r="I2066" s="4" t="s">
        <v>5</v>
      </c>
      <c r="J2066" s="14">
        <v>0.82638888888888884</v>
      </c>
      <c r="K2066" s="20" t="str">
        <f t="shared" si="97"/>
        <v>2nd Shift</v>
      </c>
    </row>
    <row r="2067" spans="1:11" x14ac:dyDescent="0.25">
      <c r="A2067" s="1">
        <v>2066</v>
      </c>
      <c r="B2067" s="1">
        <v>9</v>
      </c>
      <c r="C2067" s="3">
        <v>9115271944600</v>
      </c>
      <c r="D2067" s="2">
        <v>44478.826388888891</v>
      </c>
      <c r="E2067" s="2">
        <v>44478.920138888891</v>
      </c>
      <c r="F2067" s="23">
        <f t="shared" si="96"/>
        <v>9.375E-2</v>
      </c>
      <c r="G2067" s="24">
        <f t="shared" si="98"/>
        <v>133.33333333333331</v>
      </c>
      <c r="H2067" s="1" t="s">
        <v>1</v>
      </c>
      <c r="I2067" s="4" t="s">
        <v>2</v>
      </c>
      <c r="J2067" s="14">
        <v>0.82638888888888884</v>
      </c>
      <c r="K2067" s="20" t="str">
        <f t="shared" si="97"/>
        <v>2nd Shift</v>
      </c>
    </row>
    <row r="2068" spans="1:11" x14ac:dyDescent="0.25">
      <c r="A2068" s="1">
        <v>2067</v>
      </c>
      <c r="B2068" s="1">
        <v>3</v>
      </c>
      <c r="C2068" s="3">
        <v>3115270411900</v>
      </c>
      <c r="D2068" s="2">
        <v>44478.826388888891</v>
      </c>
      <c r="E2068" s="2">
        <v>44478.920138888891</v>
      </c>
      <c r="F2068" s="23">
        <f t="shared" si="96"/>
        <v>9.375E-2</v>
      </c>
      <c r="G2068" s="24">
        <f t="shared" si="98"/>
        <v>133.33333333333331</v>
      </c>
      <c r="H2068" s="1" t="s">
        <v>1</v>
      </c>
      <c r="I2068" s="4" t="s">
        <v>3</v>
      </c>
      <c r="J2068" s="14">
        <v>0.82638888888888884</v>
      </c>
      <c r="K2068" s="20" t="str">
        <f t="shared" si="97"/>
        <v>2nd Shift</v>
      </c>
    </row>
    <row r="2069" spans="1:11" x14ac:dyDescent="0.25">
      <c r="A2069" s="1">
        <v>2068</v>
      </c>
      <c r="B2069" s="1">
        <v>1</v>
      </c>
      <c r="C2069" s="3">
        <v>1115270141500</v>
      </c>
      <c r="D2069" s="2">
        <v>44478.826388888891</v>
      </c>
      <c r="E2069" s="2">
        <v>44478.920138888891</v>
      </c>
      <c r="F2069" s="23">
        <f t="shared" si="96"/>
        <v>9.375E-2</v>
      </c>
      <c r="G2069" s="24">
        <f t="shared" si="98"/>
        <v>133.33333333333331</v>
      </c>
      <c r="H2069" s="1" t="s">
        <v>1</v>
      </c>
      <c r="I2069" s="4" t="s">
        <v>2</v>
      </c>
      <c r="J2069" s="14">
        <v>0.82638888888888884</v>
      </c>
      <c r="K2069" s="20" t="str">
        <f t="shared" si="97"/>
        <v>2nd Shift</v>
      </c>
    </row>
    <row r="2070" spans="1:11" x14ac:dyDescent="0.25">
      <c r="A2070" s="1">
        <v>2069</v>
      </c>
      <c r="B2070" s="1">
        <v>3</v>
      </c>
      <c r="C2070" s="3">
        <v>3115270349800</v>
      </c>
      <c r="D2070" s="2">
        <v>44478.9375</v>
      </c>
      <c r="E2070" s="2">
        <v>44479.020833333336</v>
      </c>
      <c r="F2070" s="23">
        <f t="shared" si="96"/>
        <v>8.3333333335758653E-2</v>
      </c>
      <c r="G2070" s="24">
        <f t="shared" si="98"/>
        <v>149.99999999563443</v>
      </c>
      <c r="H2070" s="1" t="s">
        <v>1</v>
      </c>
      <c r="I2070" s="4" t="s">
        <v>2</v>
      </c>
      <c r="J2070" s="14">
        <v>0.9375</v>
      </c>
      <c r="K2070" s="20" t="str">
        <f t="shared" si="97"/>
        <v>3rd Shift</v>
      </c>
    </row>
    <row r="2071" spans="1:11" x14ac:dyDescent="0.25">
      <c r="A2071" s="1">
        <v>2070</v>
      </c>
      <c r="B2071" s="1">
        <v>15</v>
      </c>
      <c r="C2071" s="3">
        <v>15115271798314</v>
      </c>
      <c r="D2071" s="2">
        <v>44479.361111111109</v>
      </c>
      <c r="E2071" s="2">
        <v>44479.527777777781</v>
      </c>
      <c r="F2071" s="23">
        <f t="shared" si="96"/>
        <v>0.16666666667151731</v>
      </c>
      <c r="G2071" s="24">
        <f t="shared" si="98"/>
        <v>74.999999997817213</v>
      </c>
      <c r="H2071" s="1" t="s">
        <v>1</v>
      </c>
      <c r="I2071" s="4" t="s">
        <v>2</v>
      </c>
      <c r="J2071" s="14">
        <v>0.3611111111111111</v>
      </c>
      <c r="K2071" s="20" t="str">
        <f t="shared" si="97"/>
        <v>1st Shift</v>
      </c>
    </row>
    <row r="2072" spans="1:11" x14ac:dyDescent="0.25">
      <c r="A2072" s="1">
        <v>2071</v>
      </c>
      <c r="B2072" s="1">
        <v>12</v>
      </c>
      <c r="C2072" s="3">
        <v>12115271565300</v>
      </c>
      <c r="D2072" s="2">
        <v>44479.361111111109</v>
      </c>
      <c r="E2072" s="2">
        <v>44479.527777777781</v>
      </c>
      <c r="F2072" s="23">
        <f t="shared" si="96"/>
        <v>0.16666666667151731</v>
      </c>
      <c r="G2072" s="24">
        <f t="shared" si="98"/>
        <v>74.999999997817213</v>
      </c>
      <c r="H2072" s="1" t="s">
        <v>1</v>
      </c>
      <c r="I2072" s="4" t="s">
        <v>3</v>
      </c>
      <c r="J2072" s="14">
        <v>0.3611111111111111</v>
      </c>
      <c r="K2072" s="20" t="str">
        <f t="shared" si="97"/>
        <v>1st Shift</v>
      </c>
    </row>
    <row r="2073" spans="1:11" x14ac:dyDescent="0.25">
      <c r="A2073" s="1">
        <v>2072</v>
      </c>
      <c r="B2073" s="1">
        <v>7</v>
      </c>
      <c r="C2073" s="3">
        <v>7115271768104</v>
      </c>
      <c r="D2073" s="2">
        <v>44479.361111111109</v>
      </c>
      <c r="E2073" s="2">
        <v>44479.527777777781</v>
      </c>
      <c r="F2073" s="23">
        <f t="shared" si="96"/>
        <v>0.16666666667151731</v>
      </c>
      <c r="G2073" s="24">
        <f t="shared" si="98"/>
        <v>74.999999997817213</v>
      </c>
      <c r="H2073" s="1" t="s">
        <v>1</v>
      </c>
      <c r="I2073" s="4" t="s">
        <v>2</v>
      </c>
      <c r="J2073" s="14">
        <v>0.3611111111111111</v>
      </c>
      <c r="K2073" s="20" t="str">
        <f t="shared" si="97"/>
        <v>1st Shift</v>
      </c>
    </row>
    <row r="2074" spans="1:11" x14ac:dyDescent="0.25">
      <c r="A2074" s="1">
        <v>2073</v>
      </c>
      <c r="B2074" s="1">
        <v>6</v>
      </c>
      <c r="C2074" s="3">
        <v>6115271690609</v>
      </c>
      <c r="D2074" s="2">
        <v>44479.361111111109</v>
      </c>
      <c r="E2074" s="2">
        <v>44479.527777777781</v>
      </c>
      <c r="F2074" s="23">
        <f t="shared" si="96"/>
        <v>0.16666666667151731</v>
      </c>
      <c r="G2074" s="24">
        <f t="shared" si="98"/>
        <v>74.999999997817213</v>
      </c>
      <c r="H2074" s="1" t="s">
        <v>1</v>
      </c>
      <c r="I2074" s="4" t="s">
        <v>2</v>
      </c>
      <c r="J2074" s="14">
        <v>0.3611111111111111</v>
      </c>
      <c r="K2074" s="20" t="str">
        <f t="shared" si="97"/>
        <v>1st Shift</v>
      </c>
    </row>
    <row r="2075" spans="1:11" x14ac:dyDescent="0.25">
      <c r="A2075" s="1">
        <v>2074</v>
      </c>
      <c r="B2075" s="1">
        <v>5</v>
      </c>
      <c r="C2075" s="3">
        <v>5115270974501</v>
      </c>
      <c r="D2075" s="2">
        <v>44479.361111111109</v>
      </c>
      <c r="E2075" s="2">
        <v>44479.527777777781</v>
      </c>
      <c r="F2075" s="23">
        <f t="shared" si="96"/>
        <v>0.16666666667151731</v>
      </c>
      <c r="G2075" s="24">
        <f t="shared" si="98"/>
        <v>74.999999997817213</v>
      </c>
      <c r="H2075" s="1" t="s">
        <v>1</v>
      </c>
      <c r="I2075" s="4" t="s">
        <v>2</v>
      </c>
      <c r="J2075" s="14">
        <v>0.3611111111111111</v>
      </c>
      <c r="K2075" s="20" t="str">
        <f t="shared" si="97"/>
        <v>1st Shift</v>
      </c>
    </row>
    <row r="2076" spans="1:11" x14ac:dyDescent="0.25">
      <c r="A2076" s="1">
        <v>2075</v>
      </c>
      <c r="B2076" s="1">
        <v>1</v>
      </c>
      <c r="C2076" s="3">
        <v>1115270067300</v>
      </c>
      <c r="D2076" s="2">
        <v>44479.361111111109</v>
      </c>
      <c r="E2076" s="2">
        <v>44479.527777777781</v>
      </c>
      <c r="F2076" s="23">
        <f t="shared" si="96"/>
        <v>0.16666666667151731</v>
      </c>
      <c r="G2076" s="24">
        <f t="shared" si="98"/>
        <v>74.999999997817213</v>
      </c>
      <c r="H2076" s="1" t="s">
        <v>1</v>
      </c>
      <c r="I2076" s="4" t="s">
        <v>2</v>
      </c>
      <c r="J2076" s="14">
        <v>0.3611111111111111</v>
      </c>
      <c r="K2076" s="20" t="str">
        <f t="shared" si="97"/>
        <v>1st Shift</v>
      </c>
    </row>
    <row r="2077" spans="1:11" x14ac:dyDescent="0.25">
      <c r="A2077" s="1">
        <v>2076</v>
      </c>
      <c r="B2077" s="1">
        <v>1</v>
      </c>
      <c r="C2077" s="3">
        <v>1115270048203</v>
      </c>
      <c r="D2077" s="2">
        <v>44479.361111111109</v>
      </c>
      <c r="E2077" s="2">
        <v>44479.527777777781</v>
      </c>
      <c r="F2077" s="23">
        <f t="shared" si="96"/>
        <v>0.16666666667151731</v>
      </c>
      <c r="G2077" s="24">
        <f t="shared" si="98"/>
        <v>74.999999997817213</v>
      </c>
      <c r="H2077" s="1" t="s">
        <v>1</v>
      </c>
      <c r="I2077" s="4" t="s">
        <v>2</v>
      </c>
      <c r="J2077" s="14">
        <v>0.3611111111111111</v>
      </c>
      <c r="K2077" s="20" t="str">
        <f t="shared" si="97"/>
        <v>1st Shift</v>
      </c>
    </row>
    <row r="2078" spans="1:11" x14ac:dyDescent="0.25">
      <c r="A2078" s="1">
        <v>2077</v>
      </c>
      <c r="B2078" s="1">
        <v>12</v>
      </c>
      <c r="C2078" s="3">
        <v>12115271569400</v>
      </c>
      <c r="D2078" s="2">
        <v>44479.697916666664</v>
      </c>
      <c r="E2078" s="2">
        <v>44479.770833333336</v>
      </c>
      <c r="F2078" s="23">
        <f t="shared" si="96"/>
        <v>7.2916666671517305E-2</v>
      </c>
      <c r="G2078" s="24">
        <f t="shared" si="98"/>
        <v>171.42857141716746</v>
      </c>
      <c r="H2078" s="1" t="s">
        <v>1</v>
      </c>
      <c r="I2078" s="4" t="s">
        <v>3</v>
      </c>
      <c r="J2078" s="14">
        <v>0.69791666666666663</v>
      </c>
      <c r="K2078" s="20" t="str">
        <f t="shared" si="97"/>
        <v>2nd Shift</v>
      </c>
    </row>
    <row r="2079" spans="1:11" x14ac:dyDescent="0.25">
      <c r="A2079" s="1">
        <v>2078</v>
      </c>
      <c r="B2079" s="1">
        <v>11</v>
      </c>
      <c r="C2079" s="3">
        <v>11115271519300</v>
      </c>
      <c r="D2079" s="2">
        <v>44479.697916666664</v>
      </c>
      <c r="E2079" s="2">
        <v>44479.770833333336</v>
      </c>
      <c r="F2079" s="23">
        <f t="shared" si="96"/>
        <v>7.2916666671517305E-2</v>
      </c>
      <c r="G2079" s="24">
        <f t="shared" si="98"/>
        <v>171.42857141716746</v>
      </c>
      <c r="H2079" s="1" t="s">
        <v>1</v>
      </c>
      <c r="I2079" s="4" t="s">
        <v>3</v>
      </c>
      <c r="J2079" s="14">
        <v>0.69791666666666663</v>
      </c>
      <c r="K2079" s="20" t="str">
        <f t="shared" si="97"/>
        <v>2nd Shift</v>
      </c>
    </row>
    <row r="2080" spans="1:11" x14ac:dyDescent="0.25">
      <c r="A2080" s="1">
        <v>2079</v>
      </c>
      <c r="B2080" s="1">
        <v>8</v>
      </c>
      <c r="C2080" s="3">
        <v>8115270614200</v>
      </c>
      <c r="D2080" s="2">
        <v>44479.697916666664</v>
      </c>
      <c r="E2080" s="2">
        <v>44479.770833333336</v>
      </c>
      <c r="F2080" s="23">
        <f t="shared" si="96"/>
        <v>7.2916666671517305E-2</v>
      </c>
      <c r="G2080" s="24">
        <f t="shared" si="98"/>
        <v>171.42857141716746</v>
      </c>
      <c r="H2080" s="1" t="s">
        <v>1</v>
      </c>
      <c r="I2080" s="4" t="s">
        <v>4</v>
      </c>
      <c r="J2080" s="14">
        <v>0.69791666666666663</v>
      </c>
      <c r="K2080" s="20" t="str">
        <f t="shared" si="97"/>
        <v>2nd Shift</v>
      </c>
    </row>
    <row r="2081" spans="1:11" x14ac:dyDescent="0.25">
      <c r="A2081" s="1">
        <v>2080</v>
      </c>
      <c r="B2081" s="1">
        <v>9</v>
      </c>
      <c r="C2081" s="3">
        <v>9115270646500</v>
      </c>
      <c r="D2081" s="2">
        <v>44479.770833333336</v>
      </c>
      <c r="E2081" s="2">
        <v>44479.916666666664</v>
      </c>
      <c r="F2081" s="23">
        <f t="shared" si="96"/>
        <v>0.14583333332848269</v>
      </c>
      <c r="G2081" s="24">
        <f t="shared" si="98"/>
        <v>85.714285717136704</v>
      </c>
      <c r="H2081" s="1" t="s">
        <v>1</v>
      </c>
      <c r="I2081" s="4" t="s">
        <v>4</v>
      </c>
      <c r="J2081" s="14">
        <v>0.77083333333333337</v>
      </c>
      <c r="K2081" s="20" t="str">
        <f t="shared" si="97"/>
        <v>2nd Shift</v>
      </c>
    </row>
    <row r="2082" spans="1:11" x14ac:dyDescent="0.25">
      <c r="A2082" s="1">
        <v>2081</v>
      </c>
      <c r="B2082" s="1">
        <v>5</v>
      </c>
      <c r="C2082" s="3">
        <v>5115271056712</v>
      </c>
      <c r="D2082" s="2">
        <v>44479.770833333336</v>
      </c>
      <c r="E2082" s="2">
        <v>44479.916666666664</v>
      </c>
      <c r="F2082" s="23">
        <f t="shared" si="96"/>
        <v>0.14583333332848269</v>
      </c>
      <c r="G2082" s="24">
        <f t="shared" si="98"/>
        <v>85.714285717136704</v>
      </c>
      <c r="H2082" s="1" t="s">
        <v>1</v>
      </c>
      <c r="I2082" s="4" t="s">
        <v>3</v>
      </c>
      <c r="J2082" s="14">
        <v>0.77083333333333337</v>
      </c>
      <c r="K2082" s="20" t="str">
        <f t="shared" si="97"/>
        <v>2nd Shift</v>
      </c>
    </row>
    <row r="2083" spans="1:11" x14ac:dyDescent="0.25">
      <c r="A2083" s="1">
        <v>2082</v>
      </c>
      <c r="B2083" s="1">
        <v>5</v>
      </c>
      <c r="C2083" s="3">
        <v>5115271056708</v>
      </c>
      <c r="D2083" s="2">
        <v>44479.770833333336</v>
      </c>
      <c r="E2083" s="2">
        <v>44479.916666666664</v>
      </c>
      <c r="F2083" s="23">
        <f t="shared" si="96"/>
        <v>0.14583333332848269</v>
      </c>
      <c r="G2083" s="24">
        <f t="shared" si="98"/>
        <v>85.714285717136704</v>
      </c>
      <c r="H2083" s="1" t="s">
        <v>1</v>
      </c>
      <c r="I2083" s="4" t="s">
        <v>3</v>
      </c>
      <c r="J2083" s="14">
        <v>0.77083333333333337</v>
      </c>
      <c r="K2083" s="20" t="str">
        <f t="shared" si="97"/>
        <v>2nd Shift</v>
      </c>
    </row>
    <row r="2084" spans="1:11" x14ac:dyDescent="0.25">
      <c r="A2084" s="1">
        <v>2083</v>
      </c>
      <c r="B2084" s="1">
        <v>5</v>
      </c>
      <c r="C2084" s="3">
        <v>5115270974200</v>
      </c>
      <c r="D2084" s="2">
        <v>44479.770833333336</v>
      </c>
      <c r="E2084" s="2">
        <v>44479.916666666664</v>
      </c>
      <c r="F2084" s="23">
        <f t="shared" si="96"/>
        <v>0.14583333332848269</v>
      </c>
      <c r="G2084" s="24">
        <f t="shared" si="98"/>
        <v>85.714285717136704</v>
      </c>
      <c r="H2084" s="1" t="s">
        <v>1</v>
      </c>
      <c r="I2084" s="4" t="s">
        <v>8</v>
      </c>
      <c r="J2084" s="14">
        <v>0.77083333333333337</v>
      </c>
      <c r="K2084" s="20" t="str">
        <f t="shared" si="97"/>
        <v>2nd Shift</v>
      </c>
    </row>
    <row r="2085" spans="1:11" x14ac:dyDescent="0.25">
      <c r="A2085" s="1">
        <v>2084</v>
      </c>
      <c r="B2085" s="1">
        <v>2</v>
      </c>
      <c r="C2085" s="3">
        <v>2115270154800</v>
      </c>
      <c r="D2085" s="2">
        <v>44479.732638888891</v>
      </c>
      <c r="E2085" s="2">
        <v>44479.916666666664</v>
      </c>
      <c r="F2085" s="23">
        <f t="shared" si="96"/>
        <v>0.18402777777373558</v>
      </c>
      <c r="G2085" s="24">
        <f t="shared" si="98"/>
        <v>67.924528303378764</v>
      </c>
      <c r="H2085" s="1" t="s">
        <v>1</v>
      </c>
      <c r="I2085" s="4" t="s">
        <v>4</v>
      </c>
      <c r="J2085" s="14">
        <v>0.73263888888888884</v>
      </c>
      <c r="K2085" s="20" t="str">
        <f t="shared" si="97"/>
        <v>2nd Shift</v>
      </c>
    </row>
    <row r="2086" spans="1:11" x14ac:dyDescent="0.25">
      <c r="A2086" s="1">
        <v>2085</v>
      </c>
      <c r="B2086" s="1">
        <v>8</v>
      </c>
      <c r="C2086" s="3">
        <v>8115271838506</v>
      </c>
      <c r="D2086" s="2">
        <v>44479.951388888891</v>
      </c>
      <c r="E2086" s="2">
        <v>44480.020833333336</v>
      </c>
      <c r="F2086" s="23">
        <f t="shared" si="96"/>
        <v>6.9444444445252884E-2</v>
      </c>
      <c r="G2086" s="24">
        <f t="shared" si="98"/>
        <v>179.99999999790452</v>
      </c>
      <c r="H2086" s="1" t="s">
        <v>1</v>
      </c>
      <c r="I2086" s="4" t="s">
        <v>3</v>
      </c>
      <c r="J2086" s="14">
        <v>0.95138888888888884</v>
      </c>
      <c r="K2086" s="20" t="str">
        <f t="shared" si="97"/>
        <v>3rd Shift</v>
      </c>
    </row>
    <row r="2087" spans="1:11" x14ac:dyDescent="0.25">
      <c r="A2087" s="1">
        <v>2086</v>
      </c>
      <c r="B2087" s="1">
        <v>1</v>
      </c>
      <c r="C2087" s="3">
        <v>1115270039800</v>
      </c>
      <c r="D2087" s="2">
        <v>44479.951388888891</v>
      </c>
      <c r="E2087" s="2">
        <v>44480.020833333336</v>
      </c>
      <c r="F2087" s="23">
        <f t="shared" si="96"/>
        <v>6.9444444445252884E-2</v>
      </c>
      <c r="G2087" s="24">
        <f t="shared" si="98"/>
        <v>179.99999999790452</v>
      </c>
      <c r="H2087" s="1" t="s">
        <v>1</v>
      </c>
      <c r="I2087" s="4" t="s">
        <v>4</v>
      </c>
      <c r="J2087" s="14">
        <v>0.95138888888888884</v>
      </c>
      <c r="K2087" s="20" t="str">
        <f t="shared" si="97"/>
        <v>3rd Shift</v>
      </c>
    </row>
    <row r="2088" spans="1:11" x14ac:dyDescent="0.25">
      <c r="A2088" s="1">
        <v>2087</v>
      </c>
      <c r="B2088" s="1">
        <v>11</v>
      </c>
      <c r="C2088" s="3">
        <v>11115271554209</v>
      </c>
      <c r="D2088" s="2">
        <v>44480.445833333331</v>
      </c>
      <c r="E2088" s="2">
        <v>44480.510416666664</v>
      </c>
      <c r="F2088" s="23">
        <f t="shared" si="96"/>
        <v>6.4583333332848269E-2</v>
      </c>
      <c r="G2088" s="24">
        <f t="shared" si="98"/>
        <v>193.54838709822789</v>
      </c>
      <c r="H2088" s="1" t="s">
        <v>1</v>
      </c>
      <c r="I2088" s="4" t="s">
        <v>2</v>
      </c>
      <c r="J2088" s="14">
        <v>0.44583333333333336</v>
      </c>
      <c r="K2088" s="20" t="str">
        <f t="shared" si="97"/>
        <v>1st Shift</v>
      </c>
    </row>
    <row r="2089" spans="1:11" x14ac:dyDescent="0.25">
      <c r="A2089" s="1">
        <v>2088</v>
      </c>
      <c r="B2089" s="1">
        <v>11</v>
      </c>
      <c r="C2089" s="3">
        <v>11115271554201</v>
      </c>
      <c r="D2089" s="2">
        <v>44480.445833333331</v>
      </c>
      <c r="E2089" s="2">
        <v>44480.510416666664</v>
      </c>
      <c r="F2089" s="23">
        <f t="shared" si="96"/>
        <v>6.4583333332848269E-2</v>
      </c>
      <c r="G2089" s="24">
        <f t="shared" si="98"/>
        <v>193.54838709822789</v>
      </c>
      <c r="H2089" s="1" t="s">
        <v>1</v>
      </c>
      <c r="I2089" s="4" t="s">
        <v>4</v>
      </c>
      <c r="J2089" s="14">
        <v>0.44583333333333336</v>
      </c>
      <c r="K2089" s="20" t="str">
        <f t="shared" si="97"/>
        <v>1st Shift</v>
      </c>
    </row>
    <row r="2090" spans="1:11" x14ac:dyDescent="0.25">
      <c r="A2090" s="1">
        <v>2089</v>
      </c>
      <c r="B2090" s="1">
        <v>11</v>
      </c>
      <c r="C2090" s="3">
        <v>11115271554200</v>
      </c>
      <c r="D2090" s="2">
        <v>44480.445833333331</v>
      </c>
      <c r="E2090" s="2">
        <v>44480.510416666664</v>
      </c>
      <c r="F2090" s="23">
        <f t="shared" si="96"/>
        <v>6.4583333332848269E-2</v>
      </c>
      <c r="G2090" s="24">
        <f t="shared" si="98"/>
        <v>193.54838709822789</v>
      </c>
      <c r="H2090" s="1" t="s">
        <v>1</v>
      </c>
      <c r="I2090" s="4" t="s">
        <v>2</v>
      </c>
      <c r="J2090" s="14">
        <v>0.44583333333333336</v>
      </c>
      <c r="K2090" s="20" t="str">
        <f t="shared" si="97"/>
        <v>1st Shift</v>
      </c>
    </row>
    <row r="2091" spans="1:11" x14ac:dyDescent="0.25">
      <c r="A2091" s="1">
        <v>2090</v>
      </c>
      <c r="B2091" s="1">
        <v>7</v>
      </c>
      <c r="C2091" s="3">
        <v>7115271789907</v>
      </c>
      <c r="D2091" s="2">
        <v>44480.445833333331</v>
      </c>
      <c r="E2091" s="2">
        <v>44480.510416666664</v>
      </c>
      <c r="F2091" s="23">
        <f t="shared" si="96"/>
        <v>6.4583333332848269E-2</v>
      </c>
      <c r="G2091" s="24">
        <f t="shared" si="98"/>
        <v>193.54838709822789</v>
      </c>
      <c r="H2091" s="1" t="s">
        <v>1</v>
      </c>
      <c r="I2091" s="4" t="s">
        <v>2</v>
      </c>
      <c r="J2091" s="14">
        <v>0.44583333333333336</v>
      </c>
      <c r="K2091" s="20" t="str">
        <f t="shared" si="97"/>
        <v>1st Shift</v>
      </c>
    </row>
    <row r="2092" spans="1:11" x14ac:dyDescent="0.25">
      <c r="A2092" s="1">
        <v>2091</v>
      </c>
      <c r="B2092" s="1">
        <v>7</v>
      </c>
      <c r="C2092" s="3">
        <v>7115271789906</v>
      </c>
      <c r="D2092" s="2">
        <v>44480.445833333331</v>
      </c>
      <c r="E2092" s="2">
        <v>44480.510416666664</v>
      </c>
      <c r="F2092" s="23">
        <f t="shared" si="96"/>
        <v>6.4583333332848269E-2</v>
      </c>
      <c r="G2092" s="24">
        <f t="shared" si="98"/>
        <v>193.54838709822789</v>
      </c>
      <c r="H2092" s="1" t="s">
        <v>1</v>
      </c>
      <c r="I2092" s="4" t="s">
        <v>5</v>
      </c>
      <c r="J2092" s="14">
        <v>0.44583333333333336</v>
      </c>
      <c r="K2092" s="20" t="str">
        <f t="shared" si="97"/>
        <v>1st Shift</v>
      </c>
    </row>
    <row r="2093" spans="1:11" x14ac:dyDescent="0.25">
      <c r="A2093" s="1">
        <v>2092</v>
      </c>
      <c r="B2093" s="1">
        <v>15</v>
      </c>
      <c r="C2093" s="3">
        <v>15115271798111</v>
      </c>
      <c r="D2093" s="2">
        <v>44480.642361111109</v>
      </c>
      <c r="E2093" s="2">
        <v>44480.701388888891</v>
      </c>
      <c r="F2093" s="23">
        <f t="shared" si="96"/>
        <v>5.9027777781011537E-2</v>
      </c>
      <c r="G2093" s="24">
        <f t="shared" si="98"/>
        <v>211.7647058707517</v>
      </c>
      <c r="H2093" s="1" t="s">
        <v>1</v>
      </c>
      <c r="I2093" s="4" t="s">
        <v>2</v>
      </c>
      <c r="J2093" s="14">
        <v>0.64236111111111116</v>
      </c>
      <c r="K2093" s="20" t="str">
        <f t="shared" si="97"/>
        <v>2nd Shift</v>
      </c>
    </row>
    <row r="2094" spans="1:11" x14ac:dyDescent="0.25">
      <c r="A2094" s="1">
        <v>2093</v>
      </c>
      <c r="B2094" s="1">
        <v>15</v>
      </c>
      <c r="C2094" s="3">
        <v>15115271798110</v>
      </c>
      <c r="D2094" s="2">
        <v>44480.642361111109</v>
      </c>
      <c r="E2094" s="2">
        <v>44480.701388888891</v>
      </c>
      <c r="F2094" s="23">
        <f t="shared" si="96"/>
        <v>5.9027777781011537E-2</v>
      </c>
      <c r="G2094" s="24">
        <f t="shared" si="98"/>
        <v>211.7647058707517</v>
      </c>
      <c r="H2094" s="1" t="s">
        <v>1</v>
      </c>
      <c r="I2094" s="4" t="s">
        <v>4</v>
      </c>
      <c r="J2094" s="14">
        <v>0.64236111111111116</v>
      </c>
      <c r="K2094" s="20" t="str">
        <f t="shared" si="97"/>
        <v>2nd Shift</v>
      </c>
    </row>
    <row r="2095" spans="1:11" x14ac:dyDescent="0.25">
      <c r="A2095" s="1">
        <v>2094</v>
      </c>
      <c r="B2095" s="1">
        <v>7</v>
      </c>
      <c r="C2095" s="3">
        <v>7115271790501</v>
      </c>
      <c r="D2095" s="2">
        <v>44480.642361111109</v>
      </c>
      <c r="E2095" s="2">
        <v>44480.701388888891</v>
      </c>
      <c r="F2095" s="23">
        <f t="shared" si="96"/>
        <v>5.9027777781011537E-2</v>
      </c>
      <c r="G2095" s="24">
        <f t="shared" si="98"/>
        <v>211.7647058707517</v>
      </c>
      <c r="H2095" s="1" t="s">
        <v>1</v>
      </c>
      <c r="I2095" s="4" t="s">
        <v>2</v>
      </c>
      <c r="J2095" s="14">
        <v>0.64236111111111116</v>
      </c>
      <c r="K2095" s="20" t="str">
        <f t="shared" si="97"/>
        <v>2nd Shift</v>
      </c>
    </row>
    <row r="2096" spans="1:11" x14ac:dyDescent="0.25">
      <c r="A2096" s="1">
        <v>2095</v>
      </c>
      <c r="B2096" s="1">
        <v>7</v>
      </c>
      <c r="C2096" s="3">
        <v>7115271790500</v>
      </c>
      <c r="D2096" s="2">
        <v>44480.642361111109</v>
      </c>
      <c r="E2096" s="2">
        <v>44480.701388888891</v>
      </c>
      <c r="F2096" s="23">
        <f t="shared" si="96"/>
        <v>5.9027777781011537E-2</v>
      </c>
      <c r="G2096" s="24">
        <f t="shared" si="98"/>
        <v>211.7647058707517</v>
      </c>
      <c r="H2096" s="1" t="s">
        <v>1</v>
      </c>
      <c r="I2096" s="4" t="s">
        <v>3</v>
      </c>
      <c r="J2096" s="14">
        <v>0.64236111111111116</v>
      </c>
      <c r="K2096" s="20" t="str">
        <f t="shared" si="97"/>
        <v>2nd Shift</v>
      </c>
    </row>
    <row r="2097" spans="1:11" x14ac:dyDescent="0.25">
      <c r="A2097" s="1">
        <v>2096</v>
      </c>
      <c r="B2097" s="1">
        <v>10</v>
      </c>
      <c r="C2097" s="3">
        <v>10115271416401</v>
      </c>
      <c r="D2097" s="2">
        <v>44480.826388888891</v>
      </c>
      <c r="E2097" s="2">
        <v>44480.899305555555</v>
      </c>
      <c r="F2097" s="23">
        <f t="shared" si="96"/>
        <v>7.2916666664241347E-2</v>
      </c>
      <c r="G2097" s="24">
        <f t="shared" si="98"/>
        <v>171.42857143427341</v>
      </c>
      <c r="H2097" s="1" t="s">
        <v>1</v>
      </c>
      <c r="I2097" s="4" t="s">
        <v>3</v>
      </c>
      <c r="J2097" s="14">
        <v>0.82638888888888884</v>
      </c>
      <c r="K2097" s="20" t="str">
        <f t="shared" si="97"/>
        <v>2nd Shift</v>
      </c>
    </row>
    <row r="2098" spans="1:11" x14ac:dyDescent="0.25">
      <c r="A2098" s="1">
        <v>2097</v>
      </c>
      <c r="B2098" s="1">
        <v>10</v>
      </c>
      <c r="C2098" s="3">
        <v>10115271416400</v>
      </c>
      <c r="D2098" s="2">
        <v>44480.826388888891</v>
      </c>
      <c r="E2098" s="2">
        <v>44480.899305555555</v>
      </c>
      <c r="F2098" s="23">
        <f t="shared" si="96"/>
        <v>7.2916666664241347E-2</v>
      </c>
      <c r="G2098" s="24">
        <f t="shared" si="98"/>
        <v>171.42857143427341</v>
      </c>
      <c r="H2098" s="1" t="s">
        <v>1</v>
      </c>
      <c r="I2098" s="4" t="s">
        <v>2</v>
      </c>
      <c r="J2098" s="14">
        <v>0.82638888888888884</v>
      </c>
      <c r="K2098" s="20" t="str">
        <f t="shared" si="97"/>
        <v>2nd Shift</v>
      </c>
    </row>
    <row r="2099" spans="1:11" x14ac:dyDescent="0.25">
      <c r="A2099" s="1">
        <v>2098</v>
      </c>
      <c r="B2099" s="1">
        <v>9</v>
      </c>
      <c r="C2099" s="3">
        <v>9115271949001</v>
      </c>
      <c r="D2099" s="2">
        <v>44480.826388888891</v>
      </c>
      <c r="E2099" s="2">
        <v>44480.899305555555</v>
      </c>
      <c r="F2099" s="23">
        <f t="shared" si="96"/>
        <v>7.2916666664241347E-2</v>
      </c>
      <c r="G2099" s="24">
        <f t="shared" si="98"/>
        <v>171.42857143427341</v>
      </c>
      <c r="H2099" s="1" t="s">
        <v>1</v>
      </c>
      <c r="I2099" s="4" t="s">
        <v>2</v>
      </c>
      <c r="J2099" s="14">
        <v>0.82638888888888884</v>
      </c>
      <c r="K2099" s="20" t="str">
        <f t="shared" si="97"/>
        <v>2nd Shift</v>
      </c>
    </row>
    <row r="2100" spans="1:11" x14ac:dyDescent="0.25">
      <c r="A2100" s="1">
        <v>2099</v>
      </c>
      <c r="B2100" s="1">
        <v>9</v>
      </c>
      <c r="C2100" s="3">
        <v>9115271949000</v>
      </c>
      <c r="D2100" s="2">
        <v>44480.826388888891</v>
      </c>
      <c r="E2100" s="2">
        <v>44480.899305555555</v>
      </c>
      <c r="F2100" s="23">
        <f t="shared" si="96"/>
        <v>7.2916666664241347E-2</v>
      </c>
      <c r="G2100" s="24">
        <f t="shared" si="98"/>
        <v>171.42857143427341</v>
      </c>
      <c r="H2100" s="1" t="s">
        <v>1</v>
      </c>
      <c r="I2100" s="4" t="s">
        <v>2</v>
      </c>
      <c r="J2100" s="14">
        <v>0.82638888888888884</v>
      </c>
      <c r="K2100" s="20" t="str">
        <f t="shared" si="97"/>
        <v>2nd Shift</v>
      </c>
    </row>
    <row r="2101" spans="1:11" x14ac:dyDescent="0.25">
      <c r="A2101" s="1">
        <v>2100</v>
      </c>
      <c r="B2101" s="1">
        <v>2</v>
      </c>
      <c r="C2101" s="3">
        <v>2115270278401</v>
      </c>
      <c r="D2101" s="2">
        <v>44480.826388888891</v>
      </c>
      <c r="E2101" s="2">
        <v>44480.899305555555</v>
      </c>
      <c r="F2101" s="23">
        <f t="shared" si="96"/>
        <v>7.2916666664241347E-2</v>
      </c>
      <c r="G2101" s="24">
        <f t="shared" si="98"/>
        <v>171.42857143427341</v>
      </c>
      <c r="H2101" s="1" t="s">
        <v>1</v>
      </c>
      <c r="I2101" s="4" t="s">
        <v>2</v>
      </c>
      <c r="J2101" s="14">
        <v>0.82638888888888884</v>
      </c>
      <c r="K2101" s="20" t="str">
        <f t="shared" si="97"/>
        <v>2nd Shift</v>
      </c>
    </row>
    <row r="2102" spans="1:11" x14ac:dyDescent="0.25">
      <c r="A2102" s="1">
        <v>2101</v>
      </c>
      <c r="B2102" s="1">
        <v>2</v>
      </c>
      <c r="C2102" s="3">
        <v>2115270278400</v>
      </c>
      <c r="D2102" s="2">
        <v>44480.826388888891</v>
      </c>
      <c r="E2102" s="2">
        <v>44480.899305555555</v>
      </c>
      <c r="F2102" s="23">
        <f t="shared" si="96"/>
        <v>7.2916666664241347E-2</v>
      </c>
      <c r="G2102" s="24">
        <f t="shared" si="98"/>
        <v>171.42857143427341</v>
      </c>
      <c r="H2102" s="1" t="s">
        <v>1</v>
      </c>
      <c r="I2102" s="4" t="s">
        <v>2</v>
      </c>
      <c r="J2102" s="14">
        <v>0.82638888888888884</v>
      </c>
      <c r="K2102" s="20" t="str">
        <f t="shared" si="97"/>
        <v>2nd Shift</v>
      </c>
    </row>
    <row r="2103" spans="1:11" x14ac:dyDescent="0.25">
      <c r="A2103" s="1">
        <v>2102</v>
      </c>
      <c r="B2103" s="1">
        <v>3</v>
      </c>
      <c r="C2103" s="3">
        <v>3115270366102</v>
      </c>
      <c r="D2103" s="2">
        <v>44480.972222222219</v>
      </c>
      <c r="E2103" s="2">
        <v>44481.006944444445</v>
      </c>
      <c r="F2103" s="23">
        <f t="shared" si="96"/>
        <v>3.4722222226264421E-2</v>
      </c>
      <c r="G2103" s="24">
        <f t="shared" si="98"/>
        <v>359.99999995809048</v>
      </c>
      <c r="H2103" s="1" t="s">
        <v>1</v>
      </c>
      <c r="I2103" s="4" t="s">
        <v>2</v>
      </c>
      <c r="J2103" s="14">
        <v>0.97222222222222221</v>
      </c>
      <c r="K2103" s="20" t="str">
        <f t="shared" si="97"/>
        <v>3rd Shift</v>
      </c>
    </row>
    <row r="2104" spans="1:11" x14ac:dyDescent="0.25">
      <c r="A2104" s="1">
        <v>2103</v>
      </c>
      <c r="B2104" s="1">
        <v>3</v>
      </c>
      <c r="C2104" s="3">
        <v>3115270366101</v>
      </c>
      <c r="D2104" s="2">
        <v>44480.972222222219</v>
      </c>
      <c r="E2104" s="2">
        <v>44481.006944444445</v>
      </c>
      <c r="F2104" s="23">
        <f t="shared" si="96"/>
        <v>3.4722222226264421E-2</v>
      </c>
      <c r="G2104" s="24">
        <f t="shared" si="98"/>
        <v>359.99999995809048</v>
      </c>
      <c r="H2104" s="1" t="s">
        <v>1</v>
      </c>
      <c r="I2104" s="4" t="s">
        <v>3</v>
      </c>
      <c r="J2104" s="14">
        <v>0.97222222222222221</v>
      </c>
      <c r="K2104" s="20" t="str">
        <f t="shared" si="97"/>
        <v>3rd Shift</v>
      </c>
    </row>
    <row r="2105" spans="1:11" x14ac:dyDescent="0.25">
      <c r="A2105" s="1">
        <v>2104</v>
      </c>
      <c r="B2105" s="1">
        <v>7</v>
      </c>
      <c r="C2105" s="3">
        <v>7115271774604</v>
      </c>
      <c r="D2105" s="2">
        <v>44481.354166666664</v>
      </c>
      <c r="E2105" s="2">
        <v>44481.388888888891</v>
      </c>
      <c r="F2105" s="23">
        <f t="shared" si="96"/>
        <v>3.4722222226264421E-2</v>
      </c>
      <c r="G2105" s="24">
        <f t="shared" si="98"/>
        <v>359.99999995809048</v>
      </c>
      <c r="H2105" s="1" t="s">
        <v>1</v>
      </c>
      <c r="I2105" s="4" t="s">
        <v>2</v>
      </c>
      <c r="J2105" s="14">
        <v>0.35416666666666669</v>
      </c>
      <c r="K2105" s="20" t="str">
        <f t="shared" si="97"/>
        <v>1st Shift</v>
      </c>
    </row>
    <row r="2106" spans="1:11" x14ac:dyDescent="0.25">
      <c r="A2106" s="1">
        <v>2105</v>
      </c>
      <c r="B2106" s="1">
        <v>7</v>
      </c>
      <c r="C2106" s="3">
        <v>7115271774603</v>
      </c>
      <c r="D2106" s="2">
        <v>44481.354166666664</v>
      </c>
      <c r="E2106" s="2">
        <v>44481.388888888891</v>
      </c>
      <c r="F2106" s="23">
        <f t="shared" si="96"/>
        <v>3.4722222226264421E-2</v>
      </c>
      <c r="G2106" s="24">
        <f t="shared" si="98"/>
        <v>359.99999995809048</v>
      </c>
      <c r="H2106" s="1" t="s">
        <v>1</v>
      </c>
      <c r="I2106" s="4" t="s">
        <v>2</v>
      </c>
      <c r="J2106" s="14">
        <v>0.35416666666666669</v>
      </c>
      <c r="K2106" s="20" t="str">
        <f t="shared" si="97"/>
        <v>1st Shift</v>
      </c>
    </row>
    <row r="2107" spans="1:11" x14ac:dyDescent="0.25">
      <c r="A2107" s="1">
        <v>2106</v>
      </c>
      <c r="B2107" s="1">
        <v>12</v>
      </c>
      <c r="C2107" s="3">
        <v>12115271563912</v>
      </c>
      <c r="D2107" s="2">
        <v>44481.395833333336</v>
      </c>
      <c r="E2107" s="2">
        <v>44481.5</v>
      </c>
      <c r="F2107" s="23">
        <f t="shared" si="96"/>
        <v>0.10416666666424135</v>
      </c>
      <c r="G2107" s="24">
        <f t="shared" si="98"/>
        <v>120.00000000279397</v>
      </c>
      <c r="H2107" s="1" t="s">
        <v>1</v>
      </c>
      <c r="I2107" s="4" t="s">
        <v>4</v>
      </c>
      <c r="J2107" s="14">
        <v>0.39583333333333331</v>
      </c>
      <c r="K2107" s="20" t="str">
        <f t="shared" si="97"/>
        <v>1st Shift</v>
      </c>
    </row>
    <row r="2108" spans="1:11" x14ac:dyDescent="0.25">
      <c r="A2108" s="1">
        <v>2107</v>
      </c>
      <c r="B2108" s="1">
        <v>12</v>
      </c>
      <c r="C2108" s="3">
        <v>12115271563911</v>
      </c>
      <c r="D2108" s="2">
        <v>44481.395833333336</v>
      </c>
      <c r="E2108" s="2">
        <v>44481.5</v>
      </c>
      <c r="F2108" s="23">
        <f t="shared" si="96"/>
        <v>0.10416666666424135</v>
      </c>
      <c r="G2108" s="24">
        <f t="shared" si="98"/>
        <v>120.00000000279397</v>
      </c>
      <c r="H2108" s="1" t="s">
        <v>1</v>
      </c>
      <c r="I2108" s="4" t="s">
        <v>3</v>
      </c>
      <c r="J2108" s="14">
        <v>0.39583333333333331</v>
      </c>
      <c r="K2108" s="20" t="str">
        <f t="shared" si="97"/>
        <v>1st Shift</v>
      </c>
    </row>
    <row r="2109" spans="1:11" x14ac:dyDescent="0.25">
      <c r="A2109" s="1">
        <v>2108</v>
      </c>
      <c r="B2109" s="1">
        <v>10</v>
      </c>
      <c r="C2109" s="3">
        <v>10115271478603</v>
      </c>
      <c r="D2109" s="2">
        <v>44481.395833333336</v>
      </c>
      <c r="E2109" s="2">
        <v>44481.5</v>
      </c>
      <c r="F2109" s="23">
        <f t="shared" si="96"/>
        <v>0.10416666666424135</v>
      </c>
      <c r="G2109" s="24">
        <f t="shared" si="98"/>
        <v>120.00000000279397</v>
      </c>
      <c r="H2109" s="1" t="s">
        <v>1</v>
      </c>
      <c r="I2109" s="4" t="s">
        <v>4</v>
      </c>
      <c r="J2109" s="14">
        <v>0.39583333333333331</v>
      </c>
      <c r="K2109" s="20" t="str">
        <f t="shared" si="97"/>
        <v>1st Shift</v>
      </c>
    </row>
    <row r="2110" spans="1:11" x14ac:dyDescent="0.25">
      <c r="A2110" s="1">
        <v>2109</v>
      </c>
      <c r="B2110" s="1">
        <v>10</v>
      </c>
      <c r="C2110" s="3">
        <v>10115271478602</v>
      </c>
      <c r="D2110" s="2">
        <v>44481.395833333336</v>
      </c>
      <c r="E2110" s="2">
        <v>44481.5</v>
      </c>
      <c r="F2110" s="23">
        <f t="shared" si="96"/>
        <v>0.10416666666424135</v>
      </c>
      <c r="G2110" s="24">
        <f t="shared" si="98"/>
        <v>120.00000000279397</v>
      </c>
      <c r="H2110" s="1" t="s">
        <v>1</v>
      </c>
      <c r="I2110" s="4" t="s">
        <v>3</v>
      </c>
      <c r="J2110" s="14">
        <v>0.39583333333333331</v>
      </c>
      <c r="K2110" s="20" t="str">
        <f t="shared" si="97"/>
        <v>1st Shift</v>
      </c>
    </row>
    <row r="2111" spans="1:11" x14ac:dyDescent="0.25">
      <c r="A2111" s="1">
        <v>2110</v>
      </c>
      <c r="B2111" s="1">
        <v>5</v>
      </c>
      <c r="C2111" s="3">
        <v>5115271685519</v>
      </c>
      <c r="D2111" s="2">
        <v>44481.625</v>
      </c>
      <c r="E2111" s="2">
        <v>44481.875</v>
      </c>
      <c r="F2111" s="23">
        <f t="shared" si="96"/>
        <v>0.25</v>
      </c>
      <c r="G2111" s="24">
        <f t="shared" si="98"/>
        <v>50</v>
      </c>
      <c r="H2111" s="1" t="s">
        <v>1</v>
      </c>
      <c r="I2111" s="4" t="s">
        <v>3</v>
      </c>
      <c r="J2111" s="14">
        <v>0.625</v>
      </c>
      <c r="K2111" s="20" t="str">
        <f t="shared" si="97"/>
        <v>2nd Shift</v>
      </c>
    </row>
    <row r="2112" spans="1:11" x14ac:dyDescent="0.25">
      <c r="A2112" s="1">
        <v>2111</v>
      </c>
      <c r="B2112" s="1">
        <v>5</v>
      </c>
      <c r="C2112" s="3">
        <v>5115271685511</v>
      </c>
      <c r="D2112" s="2">
        <v>44481.625</v>
      </c>
      <c r="E2112" s="2">
        <v>44481.875</v>
      </c>
      <c r="F2112" s="23">
        <f t="shared" si="96"/>
        <v>0.25</v>
      </c>
      <c r="G2112" s="24">
        <f t="shared" si="98"/>
        <v>50</v>
      </c>
      <c r="H2112" s="1" t="s">
        <v>1</v>
      </c>
      <c r="I2112" s="4" t="s">
        <v>3</v>
      </c>
      <c r="J2112" s="14">
        <v>0.625</v>
      </c>
      <c r="K2112" s="20" t="str">
        <f t="shared" si="97"/>
        <v>2nd Shift</v>
      </c>
    </row>
    <row r="2113" spans="1:11" x14ac:dyDescent="0.25">
      <c r="A2113" s="1">
        <v>2112</v>
      </c>
      <c r="B2113" s="1">
        <v>5</v>
      </c>
      <c r="C2113" s="3">
        <v>5115271259109</v>
      </c>
      <c r="D2113" s="2">
        <v>44481.625</v>
      </c>
      <c r="E2113" s="2">
        <v>44481.875</v>
      </c>
      <c r="F2113" s="23">
        <f t="shared" si="96"/>
        <v>0.25</v>
      </c>
      <c r="G2113" s="24">
        <f t="shared" si="98"/>
        <v>50</v>
      </c>
      <c r="H2113" s="1" t="s">
        <v>1</v>
      </c>
      <c r="I2113" s="4" t="s">
        <v>3</v>
      </c>
      <c r="J2113" s="14">
        <v>0.625</v>
      </c>
      <c r="K2113" s="20" t="str">
        <f t="shared" si="97"/>
        <v>2nd Shift</v>
      </c>
    </row>
    <row r="2114" spans="1:11" x14ac:dyDescent="0.25">
      <c r="A2114" s="1">
        <v>2113</v>
      </c>
      <c r="B2114" s="1">
        <v>5</v>
      </c>
      <c r="C2114" s="3">
        <v>5115271259107</v>
      </c>
      <c r="D2114" s="2">
        <v>44481.625</v>
      </c>
      <c r="E2114" s="2">
        <v>44481.875</v>
      </c>
      <c r="F2114" s="23">
        <f t="shared" ref="F2114:F2177" si="99">E2114-D2114</f>
        <v>0.25</v>
      </c>
      <c r="G2114" s="24">
        <f t="shared" si="98"/>
        <v>50</v>
      </c>
      <c r="H2114" s="1" t="s">
        <v>1</v>
      </c>
      <c r="I2114" s="4" t="s">
        <v>2</v>
      </c>
      <c r="J2114" s="14">
        <v>0.625</v>
      </c>
      <c r="K2114" s="20" t="str">
        <f t="shared" ref="K2114:K2177" si="100">IF(AND(J2114&gt;=$M$3,J2114&lt;$M$4),"1st Shift",IF(AND(J2114&gt;=$M$4,J2114&lt;$M$5),"2nd Shift","3rd Shift"))</f>
        <v>2nd Shift</v>
      </c>
    </row>
    <row r="2115" spans="1:11" x14ac:dyDescent="0.25">
      <c r="A2115" s="1">
        <v>2114</v>
      </c>
      <c r="B2115" s="1">
        <v>5</v>
      </c>
      <c r="C2115" s="3">
        <v>5115271259100</v>
      </c>
      <c r="D2115" s="2">
        <v>44481.625</v>
      </c>
      <c r="E2115" s="2">
        <v>44481.875</v>
      </c>
      <c r="F2115" s="23">
        <f t="shared" si="99"/>
        <v>0.25</v>
      </c>
      <c r="G2115" s="24">
        <f t="shared" ref="G2115:G2178" si="101">$M$9/F2115*100</f>
        <v>50</v>
      </c>
      <c r="H2115" s="1" t="s">
        <v>1</v>
      </c>
      <c r="I2115" s="4" t="s">
        <v>2</v>
      </c>
      <c r="J2115" s="14">
        <v>0.625</v>
      </c>
      <c r="K2115" s="20" t="str">
        <f t="shared" si="100"/>
        <v>2nd Shift</v>
      </c>
    </row>
    <row r="2116" spans="1:11" x14ac:dyDescent="0.25">
      <c r="A2116" s="1">
        <v>2115</v>
      </c>
      <c r="B2116" s="1">
        <v>2</v>
      </c>
      <c r="C2116" s="3">
        <v>2115270274408</v>
      </c>
      <c r="D2116" s="2">
        <v>44481.625</v>
      </c>
      <c r="E2116" s="2">
        <v>44481.875</v>
      </c>
      <c r="F2116" s="23">
        <f t="shared" si="99"/>
        <v>0.25</v>
      </c>
      <c r="G2116" s="24">
        <f t="shared" si="101"/>
        <v>50</v>
      </c>
      <c r="H2116" s="1" t="s">
        <v>1</v>
      </c>
      <c r="I2116" s="4" t="s">
        <v>2</v>
      </c>
      <c r="J2116" s="14">
        <v>0.625</v>
      </c>
      <c r="K2116" s="20" t="str">
        <f t="shared" si="100"/>
        <v>2nd Shift</v>
      </c>
    </row>
    <row r="2117" spans="1:11" x14ac:dyDescent="0.25">
      <c r="A2117" s="1">
        <v>2116</v>
      </c>
      <c r="B2117" s="1">
        <v>2</v>
      </c>
      <c r="C2117" s="3">
        <v>2115270274406</v>
      </c>
      <c r="D2117" s="2">
        <v>44481.625</v>
      </c>
      <c r="E2117" s="2">
        <v>44481.875</v>
      </c>
      <c r="F2117" s="23">
        <f t="shared" si="99"/>
        <v>0.25</v>
      </c>
      <c r="G2117" s="24">
        <f t="shared" si="101"/>
        <v>50</v>
      </c>
      <c r="H2117" s="1" t="s">
        <v>1</v>
      </c>
      <c r="I2117" s="4" t="s">
        <v>5</v>
      </c>
      <c r="J2117" s="14">
        <v>0.625</v>
      </c>
      <c r="K2117" s="20" t="str">
        <f t="shared" si="100"/>
        <v>2nd Shift</v>
      </c>
    </row>
    <row r="2118" spans="1:11" x14ac:dyDescent="0.25">
      <c r="A2118" s="1">
        <v>2117</v>
      </c>
      <c r="B2118" s="1">
        <v>2</v>
      </c>
      <c r="C2118" s="3">
        <v>2115270274400</v>
      </c>
      <c r="D2118" s="2">
        <v>44481.625</v>
      </c>
      <c r="E2118" s="2">
        <v>44481.875</v>
      </c>
      <c r="F2118" s="23">
        <f t="shared" si="99"/>
        <v>0.25</v>
      </c>
      <c r="G2118" s="24">
        <f t="shared" si="101"/>
        <v>50</v>
      </c>
      <c r="H2118" s="1" t="s">
        <v>1</v>
      </c>
      <c r="I2118" s="4" t="s">
        <v>3</v>
      </c>
      <c r="J2118" s="14">
        <v>0.625</v>
      </c>
      <c r="K2118" s="20" t="str">
        <f t="shared" si="100"/>
        <v>2nd Shift</v>
      </c>
    </row>
    <row r="2119" spans="1:11" x14ac:dyDescent="0.25">
      <c r="A2119" s="1">
        <v>2118</v>
      </c>
      <c r="B2119" s="1">
        <v>6</v>
      </c>
      <c r="C2119" s="3">
        <v>6115271723706</v>
      </c>
      <c r="D2119" s="2">
        <v>44481.940972222219</v>
      </c>
      <c r="E2119" s="2">
        <v>44481.989583333336</v>
      </c>
      <c r="F2119" s="23">
        <f t="shared" si="99"/>
        <v>4.8611111116770189E-2</v>
      </c>
      <c r="G2119" s="24">
        <f t="shared" si="101"/>
        <v>257.14285711292177</v>
      </c>
      <c r="H2119" s="1" t="s">
        <v>1</v>
      </c>
      <c r="I2119" s="4" t="s">
        <v>4</v>
      </c>
      <c r="J2119" s="14">
        <v>0.94097222222222221</v>
      </c>
      <c r="K2119" s="20" t="str">
        <f t="shared" si="100"/>
        <v>3rd Shift</v>
      </c>
    </row>
    <row r="2120" spans="1:11" x14ac:dyDescent="0.25">
      <c r="A2120" s="1">
        <v>2119</v>
      </c>
      <c r="B2120" s="1">
        <v>6</v>
      </c>
      <c r="C2120" s="3">
        <v>6115271723702</v>
      </c>
      <c r="D2120" s="2">
        <v>44481.940972222219</v>
      </c>
      <c r="E2120" s="2">
        <v>44481.989583333336</v>
      </c>
      <c r="F2120" s="23">
        <f t="shared" si="99"/>
        <v>4.8611111116770189E-2</v>
      </c>
      <c r="G2120" s="24">
        <f t="shared" si="101"/>
        <v>257.14285711292177</v>
      </c>
      <c r="H2120" s="1" t="s">
        <v>1</v>
      </c>
      <c r="I2120" s="4" t="s">
        <v>3</v>
      </c>
      <c r="J2120" s="14">
        <v>0.94097222222222221</v>
      </c>
      <c r="K2120" s="20" t="str">
        <f t="shared" si="100"/>
        <v>3rd Shift</v>
      </c>
    </row>
    <row r="2121" spans="1:11" x14ac:dyDescent="0.25">
      <c r="A2121" s="1">
        <v>2120</v>
      </c>
      <c r="B2121" s="1">
        <v>12</v>
      </c>
      <c r="C2121" s="3">
        <v>12115271581103</v>
      </c>
      <c r="D2121" s="2">
        <v>44482.361111111109</v>
      </c>
      <c r="E2121" s="2">
        <v>44482.4375</v>
      </c>
      <c r="F2121" s="23">
        <f t="shared" si="99"/>
        <v>7.6388888890505768E-2</v>
      </c>
      <c r="G2121" s="24">
        <f t="shared" si="101"/>
        <v>163.63636363290004</v>
      </c>
      <c r="H2121" s="1" t="s">
        <v>1</v>
      </c>
      <c r="I2121" s="4" t="s">
        <v>4</v>
      </c>
      <c r="J2121" s="14">
        <v>0.3611111111111111</v>
      </c>
      <c r="K2121" s="20" t="str">
        <f t="shared" si="100"/>
        <v>1st Shift</v>
      </c>
    </row>
    <row r="2122" spans="1:11" x14ac:dyDescent="0.25">
      <c r="A2122" s="1">
        <v>2121</v>
      </c>
      <c r="B2122" s="1">
        <v>1</v>
      </c>
      <c r="C2122" s="3">
        <v>1115270086900</v>
      </c>
      <c r="D2122" s="2">
        <v>44482.361111111109</v>
      </c>
      <c r="E2122" s="2">
        <v>44482.4375</v>
      </c>
      <c r="F2122" s="23">
        <f t="shared" si="99"/>
        <v>7.6388888890505768E-2</v>
      </c>
      <c r="G2122" s="24">
        <f t="shared" si="101"/>
        <v>163.63636363290004</v>
      </c>
      <c r="H2122" s="1" t="s">
        <v>1</v>
      </c>
      <c r="I2122" s="4" t="s">
        <v>3</v>
      </c>
      <c r="J2122" s="14">
        <v>0.3611111111111111</v>
      </c>
      <c r="K2122" s="20" t="str">
        <f t="shared" si="100"/>
        <v>1st Shift</v>
      </c>
    </row>
    <row r="2123" spans="1:11" x14ac:dyDescent="0.25">
      <c r="A2123" s="1">
        <v>2122</v>
      </c>
      <c r="B2123" s="1">
        <v>14</v>
      </c>
      <c r="C2123" s="3">
        <v>14115271769005</v>
      </c>
      <c r="D2123" s="2">
        <v>44482.513888888891</v>
      </c>
      <c r="E2123" s="2">
        <v>44482.586805555555</v>
      </c>
      <c r="F2123" s="23">
        <f t="shared" si="99"/>
        <v>7.2916666664241347E-2</v>
      </c>
      <c r="G2123" s="24">
        <f t="shared" si="101"/>
        <v>171.42857143427341</v>
      </c>
      <c r="H2123" s="1" t="s">
        <v>1</v>
      </c>
      <c r="I2123" s="4" t="s">
        <v>4</v>
      </c>
      <c r="J2123" s="14">
        <v>0.51388888888888884</v>
      </c>
      <c r="K2123" s="20" t="str">
        <f t="shared" si="100"/>
        <v>1st Shift</v>
      </c>
    </row>
    <row r="2124" spans="1:11" x14ac:dyDescent="0.25">
      <c r="A2124" s="1">
        <v>2123</v>
      </c>
      <c r="B2124" s="1">
        <v>7</v>
      </c>
      <c r="C2124" s="3">
        <v>7115271766300</v>
      </c>
      <c r="D2124" s="2">
        <v>44482.513888888891</v>
      </c>
      <c r="E2124" s="2">
        <v>44482.586805555555</v>
      </c>
      <c r="F2124" s="23">
        <f t="shared" si="99"/>
        <v>7.2916666664241347E-2</v>
      </c>
      <c r="G2124" s="24">
        <f t="shared" si="101"/>
        <v>171.42857143427341</v>
      </c>
      <c r="H2124" s="1" t="s">
        <v>1</v>
      </c>
      <c r="I2124" s="4" t="s">
        <v>3</v>
      </c>
      <c r="J2124" s="14">
        <v>0.51388888888888884</v>
      </c>
      <c r="K2124" s="20" t="str">
        <f t="shared" si="100"/>
        <v>1st Shift</v>
      </c>
    </row>
    <row r="2125" spans="1:11" x14ac:dyDescent="0.25">
      <c r="A2125" s="1">
        <v>2124</v>
      </c>
      <c r="B2125" s="1">
        <v>7</v>
      </c>
      <c r="C2125" s="3">
        <v>7115271757300</v>
      </c>
      <c r="D2125" s="2">
        <v>44482.513888888891</v>
      </c>
      <c r="E2125" s="2">
        <v>44482.586805555555</v>
      </c>
      <c r="F2125" s="23">
        <f t="shared" si="99"/>
        <v>7.2916666664241347E-2</v>
      </c>
      <c r="G2125" s="24">
        <f t="shared" si="101"/>
        <v>171.42857143427341</v>
      </c>
      <c r="H2125" s="1" t="s">
        <v>1</v>
      </c>
      <c r="I2125" s="4" t="s">
        <v>2</v>
      </c>
      <c r="J2125" s="14">
        <v>0.51388888888888884</v>
      </c>
      <c r="K2125" s="20" t="str">
        <f t="shared" si="100"/>
        <v>1st Shift</v>
      </c>
    </row>
    <row r="2126" spans="1:11" x14ac:dyDescent="0.25">
      <c r="A2126" s="1">
        <v>2125</v>
      </c>
      <c r="B2126" s="1">
        <v>6</v>
      </c>
      <c r="C2126" s="3">
        <v>6115271691208</v>
      </c>
      <c r="D2126" s="2">
        <v>44482.513888888891</v>
      </c>
      <c r="E2126" s="2">
        <v>44482.586805555555</v>
      </c>
      <c r="F2126" s="23">
        <f t="shared" si="99"/>
        <v>7.2916666664241347E-2</v>
      </c>
      <c r="G2126" s="24">
        <f t="shared" si="101"/>
        <v>171.42857143427341</v>
      </c>
      <c r="H2126" s="1" t="s">
        <v>1</v>
      </c>
      <c r="I2126" s="4" t="s">
        <v>3</v>
      </c>
      <c r="J2126" s="14">
        <v>0.51388888888888884</v>
      </c>
      <c r="K2126" s="20" t="str">
        <f t="shared" si="100"/>
        <v>1st Shift</v>
      </c>
    </row>
    <row r="2127" spans="1:11" x14ac:dyDescent="0.25">
      <c r="A2127" s="1">
        <v>2126</v>
      </c>
      <c r="B2127" s="1">
        <v>3</v>
      </c>
      <c r="C2127" s="3">
        <v>3115270340000</v>
      </c>
      <c r="D2127" s="2">
        <v>44482.513888888891</v>
      </c>
      <c r="E2127" s="2">
        <v>44482.586805555555</v>
      </c>
      <c r="F2127" s="23">
        <f t="shared" si="99"/>
        <v>7.2916666664241347E-2</v>
      </c>
      <c r="G2127" s="24">
        <f t="shared" si="101"/>
        <v>171.42857143427341</v>
      </c>
      <c r="H2127" s="1" t="s">
        <v>1</v>
      </c>
      <c r="I2127" s="4" t="s">
        <v>2</v>
      </c>
      <c r="J2127" s="14">
        <v>0.51388888888888884</v>
      </c>
      <c r="K2127" s="20" t="str">
        <f t="shared" si="100"/>
        <v>1st Shift</v>
      </c>
    </row>
    <row r="2128" spans="1:11" x14ac:dyDescent="0.25">
      <c r="A2128" s="1">
        <v>2127</v>
      </c>
      <c r="B2128" s="1">
        <v>14</v>
      </c>
      <c r="C2128" s="3">
        <v>14115271672410</v>
      </c>
      <c r="D2128" s="2">
        <v>44482.694444444445</v>
      </c>
      <c r="E2128" s="2">
        <v>44482.743055555555</v>
      </c>
      <c r="F2128" s="23">
        <f t="shared" si="99"/>
        <v>4.8611111109494232E-2</v>
      </c>
      <c r="G2128" s="24">
        <f t="shared" si="101"/>
        <v>257.14285715141011</v>
      </c>
      <c r="H2128" s="1" t="s">
        <v>1</v>
      </c>
      <c r="I2128" s="4" t="s">
        <v>3</v>
      </c>
      <c r="J2128" s="14">
        <v>0.69444444444444442</v>
      </c>
      <c r="K2128" s="20" t="str">
        <f t="shared" si="100"/>
        <v>2nd Shift</v>
      </c>
    </row>
    <row r="2129" spans="1:11" x14ac:dyDescent="0.25">
      <c r="A2129" s="1">
        <v>2128</v>
      </c>
      <c r="B2129" s="1">
        <v>7</v>
      </c>
      <c r="C2129" s="3">
        <v>7115271753810</v>
      </c>
      <c r="D2129" s="2">
        <v>44482.694444444445</v>
      </c>
      <c r="E2129" s="2">
        <v>44482.743055555555</v>
      </c>
      <c r="F2129" s="23">
        <f t="shared" si="99"/>
        <v>4.8611111109494232E-2</v>
      </c>
      <c r="G2129" s="24">
        <f t="shared" si="101"/>
        <v>257.14285715141011</v>
      </c>
      <c r="H2129" s="1" t="s">
        <v>1</v>
      </c>
      <c r="I2129" s="4" t="s">
        <v>2</v>
      </c>
      <c r="J2129" s="14">
        <v>0.69444444444444442</v>
      </c>
      <c r="K2129" s="20" t="str">
        <f t="shared" si="100"/>
        <v>2nd Shift</v>
      </c>
    </row>
    <row r="2130" spans="1:11" x14ac:dyDescent="0.25">
      <c r="A2130" s="1">
        <v>2129</v>
      </c>
      <c r="B2130" s="1">
        <v>10</v>
      </c>
      <c r="C2130" s="3">
        <v>10115271477400</v>
      </c>
      <c r="D2130" s="2">
        <v>44482.791666666664</v>
      </c>
      <c r="E2130" s="2">
        <v>44482.84375</v>
      </c>
      <c r="F2130" s="23">
        <f t="shared" si="99"/>
        <v>5.2083333335758653E-2</v>
      </c>
      <c r="G2130" s="24">
        <f t="shared" si="101"/>
        <v>239.99999998882413</v>
      </c>
      <c r="H2130" s="1" t="s">
        <v>1</v>
      </c>
      <c r="I2130" s="4" t="s">
        <v>3</v>
      </c>
      <c r="J2130" s="14">
        <v>0.79166666666666663</v>
      </c>
      <c r="K2130" s="20" t="str">
        <f t="shared" si="100"/>
        <v>2nd Shift</v>
      </c>
    </row>
    <row r="2131" spans="1:11" x14ac:dyDescent="0.25">
      <c r="A2131" s="1">
        <v>2130</v>
      </c>
      <c r="B2131" s="1">
        <v>3</v>
      </c>
      <c r="C2131" s="3">
        <v>3115270306604</v>
      </c>
      <c r="D2131" s="2">
        <v>44482.791666666664</v>
      </c>
      <c r="E2131" s="2">
        <v>44482.84375</v>
      </c>
      <c r="F2131" s="23">
        <f t="shared" si="99"/>
        <v>5.2083333335758653E-2</v>
      </c>
      <c r="G2131" s="24">
        <f t="shared" si="101"/>
        <v>239.99999998882413</v>
      </c>
      <c r="H2131" s="1" t="s">
        <v>1</v>
      </c>
      <c r="I2131" s="4" t="s">
        <v>3</v>
      </c>
      <c r="J2131" s="14">
        <v>0.79166666666666663</v>
      </c>
      <c r="K2131" s="20" t="str">
        <f t="shared" si="100"/>
        <v>2nd Shift</v>
      </c>
    </row>
    <row r="2132" spans="1:11" x14ac:dyDescent="0.25">
      <c r="A2132" s="1">
        <v>2131</v>
      </c>
      <c r="B2132" s="1">
        <v>2</v>
      </c>
      <c r="C2132" s="3">
        <v>2115270217600</v>
      </c>
      <c r="D2132" s="2">
        <v>44483.434027777781</v>
      </c>
      <c r="E2132" s="2">
        <v>44483.461805555555</v>
      </c>
      <c r="F2132" s="23">
        <f t="shared" si="99"/>
        <v>2.7777777773735579E-2</v>
      </c>
      <c r="G2132" s="24">
        <f t="shared" si="101"/>
        <v>450.00000006548362</v>
      </c>
      <c r="H2132" s="1" t="s">
        <v>1</v>
      </c>
      <c r="I2132" s="4" t="s">
        <v>8</v>
      </c>
      <c r="J2132" s="14">
        <v>0.43402777777777779</v>
      </c>
      <c r="K2132" s="20" t="str">
        <f t="shared" si="100"/>
        <v>1st Shift</v>
      </c>
    </row>
    <row r="2133" spans="1:11" x14ac:dyDescent="0.25">
      <c r="A2133" s="1">
        <v>2132</v>
      </c>
      <c r="B2133" s="1">
        <v>3</v>
      </c>
      <c r="C2133" s="3">
        <v>3115270373504</v>
      </c>
      <c r="D2133" s="2">
        <v>44483.65625</v>
      </c>
      <c r="E2133" s="2">
        <v>44483.743055555555</v>
      </c>
      <c r="F2133" s="23">
        <f t="shared" si="99"/>
        <v>8.6805555554747116E-2</v>
      </c>
      <c r="G2133" s="24">
        <f t="shared" si="101"/>
        <v>144.00000000134111</v>
      </c>
      <c r="H2133" s="1" t="s">
        <v>1</v>
      </c>
      <c r="I2133" s="4" t="s">
        <v>2</v>
      </c>
      <c r="J2133" s="14">
        <v>0.65625</v>
      </c>
      <c r="K2133" s="20" t="str">
        <f t="shared" si="100"/>
        <v>2nd Shift</v>
      </c>
    </row>
    <row r="2134" spans="1:11" x14ac:dyDescent="0.25">
      <c r="A2134" s="1">
        <v>2133</v>
      </c>
      <c r="B2134" s="1">
        <v>3</v>
      </c>
      <c r="C2134" s="3">
        <v>3115270350200</v>
      </c>
      <c r="D2134" s="2">
        <v>44483.65625</v>
      </c>
      <c r="E2134" s="2">
        <v>44483.743055555555</v>
      </c>
      <c r="F2134" s="23">
        <f t="shared" si="99"/>
        <v>8.6805555554747116E-2</v>
      </c>
      <c r="G2134" s="24">
        <f t="shared" si="101"/>
        <v>144.00000000134111</v>
      </c>
      <c r="H2134" s="1" t="s">
        <v>1</v>
      </c>
      <c r="I2134" s="4" t="s">
        <v>3</v>
      </c>
      <c r="J2134" s="14">
        <v>0.65625</v>
      </c>
      <c r="K2134" s="20" t="str">
        <f t="shared" si="100"/>
        <v>2nd Shift</v>
      </c>
    </row>
    <row r="2135" spans="1:11" x14ac:dyDescent="0.25">
      <c r="A2135" s="1">
        <v>2134</v>
      </c>
      <c r="B2135" s="1">
        <v>2</v>
      </c>
      <c r="C2135" s="3">
        <v>2115270297600</v>
      </c>
      <c r="D2135" s="2">
        <v>44483.65625</v>
      </c>
      <c r="E2135" s="2">
        <v>44483.743055555555</v>
      </c>
      <c r="F2135" s="23">
        <f t="shared" si="99"/>
        <v>8.6805555554747116E-2</v>
      </c>
      <c r="G2135" s="24">
        <f t="shared" si="101"/>
        <v>144.00000000134111</v>
      </c>
      <c r="H2135" s="1" t="s">
        <v>1</v>
      </c>
      <c r="I2135" s="4" t="s">
        <v>3</v>
      </c>
      <c r="J2135" s="14">
        <v>0.65625</v>
      </c>
      <c r="K2135" s="20" t="str">
        <f t="shared" si="100"/>
        <v>2nd Shift</v>
      </c>
    </row>
    <row r="2136" spans="1:11" x14ac:dyDescent="0.25">
      <c r="A2136" s="1">
        <v>2135</v>
      </c>
      <c r="B2136" s="1">
        <v>11</v>
      </c>
      <c r="C2136" s="3">
        <v>11115271557901</v>
      </c>
      <c r="D2136" s="2">
        <v>44483.756944444445</v>
      </c>
      <c r="E2136" s="2">
        <v>44483.892361111109</v>
      </c>
      <c r="F2136" s="23">
        <f t="shared" si="99"/>
        <v>0.13541666666424135</v>
      </c>
      <c r="G2136" s="24">
        <f t="shared" si="101"/>
        <v>92.307692309345541</v>
      </c>
      <c r="H2136" s="1" t="s">
        <v>1</v>
      </c>
      <c r="I2136" s="4" t="s">
        <v>2</v>
      </c>
      <c r="J2136" s="14">
        <v>0.75694444444444442</v>
      </c>
      <c r="K2136" s="20" t="str">
        <f t="shared" si="100"/>
        <v>2nd Shift</v>
      </c>
    </row>
    <row r="2137" spans="1:11" x14ac:dyDescent="0.25">
      <c r="A2137" s="1">
        <v>2136</v>
      </c>
      <c r="B2137" s="1">
        <v>10</v>
      </c>
      <c r="C2137" s="3">
        <v>10115271958500</v>
      </c>
      <c r="D2137" s="2">
        <v>44483.756944444445</v>
      </c>
      <c r="E2137" s="2">
        <v>44483.892361111109</v>
      </c>
      <c r="F2137" s="23">
        <f t="shared" si="99"/>
        <v>0.13541666666424135</v>
      </c>
      <c r="G2137" s="24">
        <f t="shared" si="101"/>
        <v>92.307692309345541</v>
      </c>
      <c r="H2137" s="1" t="s">
        <v>1</v>
      </c>
      <c r="I2137" s="4" t="s">
        <v>3</v>
      </c>
      <c r="J2137" s="14">
        <v>0.75694444444444442</v>
      </c>
      <c r="K2137" s="20" t="str">
        <f t="shared" si="100"/>
        <v>2nd Shift</v>
      </c>
    </row>
    <row r="2138" spans="1:11" x14ac:dyDescent="0.25">
      <c r="A2138" s="1">
        <v>2137</v>
      </c>
      <c r="B2138" s="1">
        <v>6</v>
      </c>
      <c r="C2138" s="3">
        <v>6115271697600</v>
      </c>
      <c r="D2138" s="2">
        <v>44483.756944444445</v>
      </c>
      <c r="E2138" s="2">
        <v>44483.892361111109</v>
      </c>
      <c r="F2138" s="23">
        <f t="shared" si="99"/>
        <v>0.13541666666424135</v>
      </c>
      <c r="G2138" s="24">
        <f t="shared" si="101"/>
        <v>92.307692309345541</v>
      </c>
      <c r="H2138" s="1" t="s">
        <v>1</v>
      </c>
      <c r="I2138" s="4" t="s">
        <v>3</v>
      </c>
      <c r="J2138" s="14">
        <v>0.75694444444444442</v>
      </c>
      <c r="K2138" s="20" t="str">
        <f t="shared" si="100"/>
        <v>2nd Shift</v>
      </c>
    </row>
    <row r="2139" spans="1:11" x14ac:dyDescent="0.25">
      <c r="A2139" s="1">
        <v>2138</v>
      </c>
      <c r="B2139" s="1">
        <v>8</v>
      </c>
      <c r="C2139" s="3">
        <v>8115271877101</v>
      </c>
      <c r="D2139" s="2">
        <v>44483.927083333336</v>
      </c>
      <c r="E2139" s="2">
        <v>44483.965277777781</v>
      </c>
      <c r="F2139" s="23">
        <f t="shared" si="99"/>
        <v>3.8194444445252884E-2</v>
      </c>
      <c r="G2139" s="24">
        <f t="shared" si="101"/>
        <v>327.27272726580009</v>
      </c>
      <c r="H2139" s="1" t="s">
        <v>1</v>
      </c>
      <c r="I2139" s="4" t="s">
        <v>3</v>
      </c>
      <c r="J2139" s="14">
        <v>0.92708333333333337</v>
      </c>
      <c r="K2139" s="20" t="str">
        <f t="shared" si="100"/>
        <v>3rd Shift</v>
      </c>
    </row>
    <row r="2140" spans="1:11" x14ac:dyDescent="0.25">
      <c r="A2140" s="1">
        <v>2139</v>
      </c>
      <c r="B2140" s="1">
        <v>14</v>
      </c>
      <c r="C2140" s="3">
        <v>14115271672403</v>
      </c>
      <c r="D2140" s="2">
        <v>44484.34375</v>
      </c>
      <c r="E2140" s="2">
        <v>44484.420138888891</v>
      </c>
      <c r="F2140" s="23">
        <f t="shared" si="99"/>
        <v>7.6388888890505768E-2</v>
      </c>
      <c r="G2140" s="24">
        <f t="shared" si="101"/>
        <v>163.63636363290004</v>
      </c>
      <c r="H2140" s="1" t="s">
        <v>1</v>
      </c>
      <c r="I2140" s="4" t="s">
        <v>3</v>
      </c>
      <c r="J2140" s="14">
        <v>0.34375</v>
      </c>
      <c r="K2140" s="20" t="str">
        <f t="shared" si="100"/>
        <v>1st Shift</v>
      </c>
    </row>
    <row r="2141" spans="1:11" x14ac:dyDescent="0.25">
      <c r="A2141" s="1">
        <v>2140</v>
      </c>
      <c r="B2141" s="1">
        <v>10</v>
      </c>
      <c r="C2141" s="3">
        <v>10115271478303</v>
      </c>
      <c r="D2141" s="2">
        <v>44484.34375</v>
      </c>
      <c r="E2141" s="2">
        <v>44484.420138888891</v>
      </c>
      <c r="F2141" s="23">
        <f t="shared" si="99"/>
        <v>7.6388888890505768E-2</v>
      </c>
      <c r="G2141" s="24">
        <f t="shared" si="101"/>
        <v>163.63636363290004</v>
      </c>
      <c r="H2141" s="1" t="s">
        <v>1</v>
      </c>
      <c r="I2141" s="4" t="s">
        <v>2</v>
      </c>
      <c r="J2141" s="14">
        <v>0.34375</v>
      </c>
      <c r="K2141" s="20" t="str">
        <f t="shared" si="100"/>
        <v>1st Shift</v>
      </c>
    </row>
    <row r="2142" spans="1:11" x14ac:dyDescent="0.25">
      <c r="A2142" s="1">
        <v>2141</v>
      </c>
      <c r="B2142" s="1">
        <v>7</v>
      </c>
      <c r="C2142" s="3">
        <v>7115271793801</v>
      </c>
      <c r="D2142" s="2">
        <v>44484.34375</v>
      </c>
      <c r="E2142" s="2">
        <v>44484.420138888891</v>
      </c>
      <c r="F2142" s="23">
        <f t="shared" si="99"/>
        <v>7.6388888890505768E-2</v>
      </c>
      <c r="G2142" s="24">
        <f t="shared" si="101"/>
        <v>163.63636363290004</v>
      </c>
      <c r="H2142" s="1" t="s">
        <v>1</v>
      </c>
      <c r="I2142" s="4" t="s">
        <v>2</v>
      </c>
      <c r="J2142" s="14">
        <v>0.34375</v>
      </c>
      <c r="K2142" s="20" t="str">
        <f t="shared" si="100"/>
        <v>1st Shift</v>
      </c>
    </row>
    <row r="2143" spans="1:11" x14ac:dyDescent="0.25">
      <c r="A2143" s="1">
        <v>2142</v>
      </c>
      <c r="B2143" s="1">
        <v>8</v>
      </c>
      <c r="C2143" s="3">
        <v>8115271820800</v>
      </c>
      <c r="D2143" s="2">
        <v>44484.427083333336</v>
      </c>
      <c r="E2143" s="2">
        <v>44484.541666666664</v>
      </c>
      <c r="F2143" s="23">
        <f t="shared" si="99"/>
        <v>0.11458333332848269</v>
      </c>
      <c r="G2143" s="24">
        <f t="shared" si="101"/>
        <v>109.09090909552721</v>
      </c>
      <c r="H2143" s="1" t="s">
        <v>1</v>
      </c>
      <c r="I2143" s="4" t="s">
        <v>3</v>
      </c>
      <c r="J2143" s="14">
        <v>0.42708333333333331</v>
      </c>
      <c r="K2143" s="20" t="str">
        <f t="shared" si="100"/>
        <v>1st Shift</v>
      </c>
    </row>
    <row r="2144" spans="1:11" x14ac:dyDescent="0.25">
      <c r="A2144" s="1">
        <v>2143</v>
      </c>
      <c r="B2144" s="1">
        <v>8</v>
      </c>
      <c r="C2144" s="3">
        <v>8115270613300</v>
      </c>
      <c r="D2144" s="2">
        <v>44484.427083333336</v>
      </c>
      <c r="E2144" s="2">
        <v>44484.541666666664</v>
      </c>
      <c r="F2144" s="23">
        <f t="shared" si="99"/>
        <v>0.11458333332848269</v>
      </c>
      <c r="G2144" s="24">
        <f t="shared" si="101"/>
        <v>109.09090909552721</v>
      </c>
      <c r="H2144" s="1" t="s">
        <v>1</v>
      </c>
      <c r="I2144" s="4" t="s">
        <v>4</v>
      </c>
      <c r="J2144" s="14">
        <v>0.42708333333333331</v>
      </c>
      <c r="K2144" s="20" t="str">
        <f t="shared" si="100"/>
        <v>1st Shift</v>
      </c>
    </row>
    <row r="2145" spans="1:11" x14ac:dyDescent="0.25">
      <c r="A2145" s="1">
        <v>2144</v>
      </c>
      <c r="B2145" s="1">
        <v>7</v>
      </c>
      <c r="C2145" s="3">
        <v>7115271786412</v>
      </c>
      <c r="D2145" s="2">
        <v>44484.427083333336</v>
      </c>
      <c r="E2145" s="2">
        <v>44484.541666666664</v>
      </c>
      <c r="F2145" s="23">
        <f t="shared" si="99"/>
        <v>0.11458333332848269</v>
      </c>
      <c r="G2145" s="24">
        <f t="shared" si="101"/>
        <v>109.09090909552721</v>
      </c>
      <c r="H2145" s="1" t="s">
        <v>1</v>
      </c>
      <c r="I2145" s="4" t="s">
        <v>3</v>
      </c>
      <c r="J2145" s="14">
        <v>0.42708333333333331</v>
      </c>
      <c r="K2145" s="20" t="str">
        <f t="shared" si="100"/>
        <v>1st Shift</v>
      </c>
    </row>
    <row r="2146" spans="1:11" x14ac:dyDescent="0.25">
      <c r="A2146" s="1">
        <v>2145</v>
      </c>
      <c r="B2146" s="1">
        <v>7</v>
      </c>
      <c r="C2146" s="3">
        <v>7115271756400</v>
      </c>
      <c r="D2146" s="2">
        <v>44484.427083333336</v>
      </c>
      <c r="E2146" s="2">
        <v>44484.541666666664</v>
      </c>
      <c r="F2146" s="23">
        <f t="shared" si="99"/>
        <v>0.11458333332848269</v>
      </c>
      <c r="G2146" s="24">
        <f t="shared" si="101"/>
        <v>109.09090909552721</v>
      </c>
      <c r="H2146" s="1" t="s">
        <v>1</v>
      </c>
      <c r="I2146" s="4" t="s">
        <v>3</v>
      </c>
      <c r="J2146" s="14">
        <v>0.42708333333333331</v>
      </c>
      <c r="K2146" s="20" t="str">
        <f t="shared" si="100"/>
        <v>1st Shift</v>
      </c>
    </row>
    <row r="2147" spans="1:11" x14ac:dyDescent="0.25">
      <c r="A2147" s="1">
        <v>2146</v>
      </c>
      <c r="B2147" s="1">
        <v>3</v>
      </c>
      <c r="C2147" s="3">
        <v>3115270350001</v>
      </c>
      <c r="D2147" s="2">
        <v>44484.427083333336</v>
      </c>
      <c r="E2147" s="2">
        <v>44484.541666666664</v>
      </c>
      <c r="F2147" s="23">
        <f t="shared" si="99"/>
        <v>0.11458333332848269</v>
      </c>
      <c r="G2147" s="24">
        <f t="shared" si="101"/>
        <v>109.09090909552721</v>
      </c>
      <c r="H2147" s="1" t="s">
        <v>1</v>
      </c>
      <c r="I2147" s="4" t="s">
        <v>3</v>
      </c>
      <c r="J2147" s="14">
        <v>0.42708333333333331</v>
      </c>
      <c r="K2147" s="20" t="str">
        <f t="shared" si="100"/>
        <v>1st Shift</v>
      </c>
    </row>
    <row r="2148" spans="1:11" x14ac:dyDescent="0.25">
      <c r="A2148" s="1">
        <v>2147</v>
      </c>
      <c r="B2148" s="1">
        <v>1</v>
      </c>
      <c r="C2148" s="3">
        <v>1115270058701</v>
      </c>
      <c r="D2148" s="2">
        <v>44484.427083333336</v>
      </c>
      <c r="E2148" s="2">
        <v>44484.541666666664</v>
      </c>
      <c r="F2148" s="23">
        <f t="shared" si="99"/>
        <v>0.11458333332848269</v>
      </c>
      <c r="G2148" s="24">
        <f t="shared" si="101"/>
        <v>109.09090909552721</v>
      </c>
      <c r="H2148" s="1" t="s">
        <v>1</v>
      </c>
      <c r="I2148" s="4" t="s">
        <v>3</v>
      </c>
      <c r="J2148" s="14">
        <v>0.42708333333333331</v>
      </c>
      <c r="K2148" s="20" t="str">
        <f t="shared" si="100"/>
        <v>1st Shift</v>
      </c>
    </row>
    <row r="2149" spans="1:11" x14ac:dyDescent="0.25">
      <c r="A2149" s="1">
        <v>2148</v>
      </c>
      <c r="B2149" s="1">
        <v>8</v>
      </c>
      <c r="C2149" s="3">
        <v>8115271827600</v>
      </c>
      <c r="D2149" s="2">
        <v>44484.715277777781</v>
      </c>
      <c r="E2149" s="2">
        <v>44484.767361111109</v>
      </c>
      <c r="F2149" s="23">
        <f t="shared" si="99"/>
        <v>5.2083333328482695E-2</v>
      </c>
      <c r="G2149" s="24">
        <f t="shared" si="101"/>
        <v>240.00000002235174</v>
      </c>
      <c r="H2149" s="1" t="s">
        <v>1</v>
      </c>
      <c r="I2149" s="4" t="s">
        <v>3</v>
      </c>
      <c r="J2149" s="14">
        <v>0.71527777777777779</v>
      </c>
      <c r="K2149" s="20" t="str">
        <f t="shared" si="100"/>
        <v>2nd Shift</v>
      </c>
    </row>
    <row r="2150" spans="1:11" x14ac:dyDescent="0.25">
      <c r="A2150" s="1">
        <v>2149</v>
      </c>
      <c r="B2150" s="1">
        <v>6</v>
      </c>
      <c r="C2150" s="3">
        <v>6115271740100</v>
      </c>
      <c r="D2150" s="2">
        <v>44484.715277777781</v>
      </c>
      <c r="E2150" s="2">
        <v>44484.767361111109</v>
      </c>
      <c r="F2150" s="23">
        <f t="shared" si="99"/>
        <v>5.2083333328482695E-2</v>
      </c>
      <c r="G2150" s="24">
        <f t="shared" si="101"/>
        <v>240.00000002235174</v>
      </c>
      <c r="H2150" s="1" t="s">
        <v>1</v>
      </c>
      <c r="I2150" s="4" t="s">
        <v>3</v>
      </c>
      <c r="J2150" s="14">
        <v>0.71527777777777779</v>
      </c>
      <c r="K2150" s="20" t="str">
        <f t="shared" si="100"/>
        <v>2nd Shift</v>
      </c>
    </row>
    <row r="2151" spans="1:11" x14ac:dyDescent="0.25">
      <c r="A2151" s="1">
        <v>2150</v>
      </c>
      <c r="B2151" s="1">
        <v>3</v>
      </c>
      <c r="C2151" s="3">
        <v>3115270311200</v>
      </c>
      <c r="D2151" s="2">
        <v>44484.826388888891</v>
      </c>
      <c r="E2151" s="2">
        <v>44484.855555555558</v>
      </c>
      <c r="F2151" s="23">
        <f t="shared" si="99"/>
        <v>2.9166666667151731E-2</v>
      </c>
      <c r="G2151" s="24">
        <f t="shared" si="101"/>
        <v>428.57142856430113</v>
      </c>
      <c r="H2151" s="1" t="s">
        <v>1</v>
      </c>
      <c r="I2151" s="4" t="s">
        <v>3</v>
      </c>
      <c r="J2151" s="14">
        <v>0.82638888888888884</v>
      </c>
      <c r="K2151" s="20" t="str">
        <f t="shared" si="100"/>
        <v>2nd Shift</v>
      </c>
    </row>
    <row r="2152" spans="1:11" x14ac:dyDescent="0.25">
      <c r="A2152" s="1">
        <v>2151</v>
      </c>
      <c r="B2152" s="1">
        <v>11</v>
      </c>
      <c r="C2152" s="3">
        <v>11115271542506</v>
      </c>
      <c r="D2152" s="2">
        <v>44484.868055555555</v>
      </c>
      <c r="E2152" s="2">
        <v>44484.940972222219</v>
      </c>
      <c r="F2152" s="23">
        <f t="shared" si="99"/>
        <v>7.2916666664241347E-2</v>
      </c>
      <c r="G2152" s="24">
        <f t="shared" si="101"/>
        <v>171.42857143427341</v>
      </c>
      <c r="H2152" s="1" t="s">
        <v>1</v>
      </c>
      <c r="I2152" s="4" t="s">
        <v>2</v>
      </c>
      <c r="J2152" s="14">
        <v>0.86805555555555558</v>
      </c>
      <c r="K2152" s="20" t="str">
        <f t="shared" si="100"/>
        <v>2nd Shift</v>
      </c>
    </row>
    <row r="2153" spans="1:11" x14ac:dyDescent="0.25">
      <c r="A2153" s="1">
        <v>2152</v>
      </c>
      <c r="B2153" s="1">
        <v>8</v>
      </c>
      <c r="C2153" s="3">
        <v>8115271841000</v>
      </c>
      <c r="D2153" s="2">
        <v>44484.868055555555</v>
      </c>
      <c r="E2153" s="2">
        <v>44484.940972222219</v>
      </c>
      <c r="F2153" s="23">
        <f t="shared" si="99"/>
        <v>7.2916666664241347E-2</v>
      </c>
      <c r="G2153" s="24">
        <f t="shared" si="101"/>
        <v>171.42857143427341</v>
      </c>
      <c r="H2153" s="1" t="s">
        <v>1</v>
      </c>
      <c r="I2153" s="4" t="s">
        <v>2</v>
      </c>
      <c r="J2153" s="14">
        <v>0.86805555555555558</v>
      </c>
      <c r="K2153" s="20" t="str">
        <f t="shared" si="100"/>
        <v>2nd Shift</v>
      </c>
    </row>
    <row r="2154" spans="1:11" x14ac:dyDescent="0.25">
      <c r="A2154" s="1">
        <v>2153</v>
      </c>
      <c r="B2154" s="1">
        <v>10</v>
      </c>
      <c r="C2154" s="3">
        <v>10115271958300</v>
      </c>
      <c r="D2154" s="2">
        <v>44484.96875</v>
      </c>
      <c r="E2154" s="2">
        <v>44485.027777777781</v>
      </c>
      <c r="F2154" s="23">
        <f t="shared" si="99"/>
        <v>5.9027777781011537E-2</v>
      </c>
      <c r="G2154" s="24">
        <f t="shared" si="101"/>
        <v>211.7647058707517</v>
      </c>
      <c r="H2154" s="1" t="s">
        <v>1</v>
      </c>
      <c r="I2154" s="4" t="s">
        <v>2</v>
      </c>
      <c r="J2154" s="14">
        <v>0.96875</v>
      </c>
      <c r="K2154" s="20" t="str">
        <f t="shared" si="100"/>
        <v>3rd Shift</v>
      </c>
    </row>
    <row r="2155" spans="1:11" x14ac:dyDescent="0.25">
      <c r="A2155" s="1">
        <v>2154</v>
      </c>
      <c r="B2155" s="1">
        <v>6</v>
      </c>
      <c r="C2155" s="3">
        <v>6115271753111</v>
      </c>
      <c r="D2155" s="2">
        <v>44484.96875</v>
      </c>
      <c r="E2155" s="2">
        <v>44485.027777777781</v>
      </c>
      <c r="F2155" s="23">
        <f t="shared" si="99"/>
        <v>5.9027777781011537E-2</v>
      </c>
      <c r="G2155" s="24">
        <f t="shared" si="101"/>
        <v>211.7647058707517</v>
      </c>
      <c r="H2155" s="1" t="s">
        <v>1</v>
      </c>
      <c r="I2155" s="4" t="s">
        <v>2</v>
      </c>
      <c r="J2155" s="14">
        <v>0.96875</v>
      </c>
      <c r="K2155" s="20" t="str">
        <f t="shared" si="100"/>
        <v>3rd Shift</v>
      </c>
    </row>
    <row r="2156" spans="1:11" x14ac:dyDescent="0.25">
      <c r="A2156" s="1">
        <v>2155</v>
      </c>
      <c r="B2156" s="1">
        <v>15</v>
      </c>
      <c r="C2156" s="3">
        <v>15115271743900</v>
      </c>
      <c r="D2156" s="2">
        <v>44485.399305555555</v>
      </c>
      <c r="E2156" s="2">
        <v>44485.552083333336</v>
      </c>
      <c r="F2156" s="23">
        <f t="shared" si="99"/>
        <v>0.15277777778101154</v>
      </c>
      <c r="G2156" s="24">
        <f t="shared" si="101"/>
        <v>81.818181816450021</v>
      </c>
      <c r="H2156" s="1" t="s">
        <v>1</v>
      </c>
      <c r="I2156" s="4" t="s">
        <v>2</v>
      </c>
      <c r="J2156" s="14">
        <v>0.39930555555555558</v>
      </c>
      <c r="K2156" s="20" t="str">
        <f t="shared" si="100"/>
        <v>1st Shift</v>
      </c>
    </row>
    <row r="2157" spans="1:11" x14ac:dyDescent="0.25">
      <c r="A2157" s="1">
        <v>2156</v>
      </c>
      <c r="B2157" s="1">
        <v>14</v>
      </c>
      <c r="C2157" s="3">
        <v>14115271672406</v>
      </c>
      <c r="D2157" s="2">
        <v>44485.399305555555</v>
      </c>
      <c r="E2157" s="2">
        <v>44485.552083333336</v>
      </c>
      <c r="F2157" s="23">
        <f t="shared" si="99"/>
        <v>0.15277777778101154</v>
      </c>
      <c r="G2157" s="24">
        <f t="shared" si="101"/>
        <v>81.818181816450021</v>
      </c>
      <c r="H2157" s="1" t="s">
        <v>1</v>
      </c>
      <c r="I2157" s="4" t="s">
        <v>2</v>
      </c>
      <c r="J2157" s="14">
        <v>0.39930555555555558</v>
      </c>
      <c r="K2157" s="20" t="str">
        <f t="shared" si="100"/>
        <v>1st Shift</v>
      </c>
    </row>
    <row r="2158" spans="1:11" x14ac:dyDescent="0.25">
      <c r="A2158" s="1">
        <v>2157</v>
      </c>
      <c r="B2158" s="1">
        <v>9</v>
      </c>
      <c r="C2158" s="3">
        <v>9115270624000</v>
      </c>
      <c r="D2158" s="2">
        <v>44485.399305555555</v>
      </c>
      <c r="E2158" s="2">
        <v>44485.552083333336</v>
      </c>
      <c r="F2158" s="23">
        <f t="shared" si="99"/>
        <v>0.15277777778101154</v>
      </c>
      <c r="G2158" s="24">
        <f t="shared" si="101"/>
        <v>81.818181816450021</v>
      </c>
      <c r="H2158" s="1" t="s">
        <v>1</v>
      </c>
      <c r="I2158" s="4" t="s">
        <v>3</v>
      </c>
      <c r="J2158" s="14">
        <v>0.39930555555555558</v>
      </c>
      <c r="K2158" s="20" t="str">
        <f t="shared" si="100"/>
        <v>1st Shift</v>
      </c>
    </row>
    <row r="2159" spans="1:11" x14ac:dyDescent="0.25">
      <c r="A2159" s="1">
        <v>2158</v>
      </c>
      <c r="B2159" s="1">
        <v>6</v>
      </c>
      <c r="C2159" s="3">
        <v>6115271739100</v>
      </c>
      <c r="D2159" s="2">
        <v>44485.399305555555</v>
      </c>
      <c r="E2159" s="2">
        <v>44485.552083333336</v>
      </c>
      <c r="F2159" s="23">
        <f t="shared" si="99"/>
        <v>0.15277777778101154</v>
      </c>
      <c r="G2159" s="24">
        <f t="shared" si="101"/>
        <v>81.818181816450021</v>
      </c>
      <c r="H2159" s="1" t="s">
        <v>1</v>
      </c>
      <c r="I2159" s="4" t="s">
        <v>3</v>
      </c>
      <c r="J2159" s="14">
        <v>0.39930555555555558</v>
      </c>
      <c r="K2159" s="20" t="str">
        <f t="shared" si="100"/>
        <v>1st Shift</v>
      </c>
    </row>
    <row r="2160" spans="1:11" x14ac:dyDescent="0.25">
      <c r="A2160" s="1">
        <v>2159</v>
      </c>
      <c r="B2160" s="1">
        <v>1</v>
      </c>
      <c r="C2160" s="3">
        <v>1115270079800</v>
      </c>
      <c r="D2160" s="2">
        <v>44485.399305555555</v>
      </c>
      <c r="E2160" s="2">
        <v>44485.552083333336</v>
      </c>
      <c r="F2160" s="23">
        <f t="shared" si="99"/>
        <v>0.15277777778101154</v>
      </c>
      <c r="G2160" s="24">
        <f t="shared" si="101"/>
        <v>81.818181816450021</v>
      </c>
      <c r="H2160" s="1" t="s">
        <v>1</v>
      </c>
      <c r="I2160" s="4" t="s">
        <v>2</v>
      </c>
      <c r="J2160" s="14">
        <v>0.39930555555555558</v>
      </c>
      <c r="K2160" s="20" t="str">
        <f t="shared" si="100"/>
        <v>1st Shift</v>
      </c>
    </row>
    <row r="2161" spans="1:11" x14ac:dyDescent="0.25">
      <c r="A2161" s="1">
        <v>2160</v>
      </c>
      <c r="B2161" s="1">
        <v>14</v>
      </c>
      <c r="C2161" s="3">
        <v>14115271672402</v>
      </c>
      <c r="D2161" s="2">
        <v>44485.652777777781</v>
      </c>
      <c r="E2161" s="2">
        <v>44485.756944444445</v>
      </c>
      <c r="F2161" s="23">
        <f t="shared" si="99"/>
        <v>0.10416666666424135</v>
      </c>
      <c r="G2161" s="24">
        <f t="shared" si="101"/>
        <v>120.00000000279397</v>
      </c>
      <c r="H2161" s="1" t="s">
        <v>1</v>
      </c>
      <c r="I2161" s="4" t="s">
        <v>2</v>
      </c>
      <c r="J2161" s="14">
        <v>0.65277777777777779</v>
      </c>
      <c r="K2161" s="20" t="str">
        <f t="shared" si="100"/>
        <v>2nd Shift</v>
      </c>
    </row>
    <row r="2162" spans="1:11" x14ac:dyDescent="0.25">
      <c r="A2162" s="1">
        <v>2161</v>
      </c>
      <c r="B2162" s="1">
        <v>11</v>
      </c>
      <c r="C2162" s="3">
        <v>11115271553900</v>
      </c>
      <c r="D2162" s="2">
        <v>44485.652777777781</v>
      </c>
      <c r="E2162" s="2">
        <v>44485.756944444445</v>
      </c>
      <c r="F2162" s="23">
        <f t="shared" si="99"/>
        <v>0.10416666666424135</v>
      </c>
      <c r="G2162" s="24">
        <f t="shared" si="101"/>
        <v>120.00000000279397</v>
      </c>
      <c r="H2162" s="1" t="s">
        <v>1</v>
      </c>
      <c r="I2162" s="4" t="s">
        <v>2</v>
      </c>
      <c r="J2162" s="14">
        <v>0.65277777777777779</v>
      </c>
      <c r="K2162" s="20" t="str">
        <f t="shared" si="100"/>
        <v>2nd Shift</v>
      </c>
    </row>
    <row r="2163" spans="1:11" x14ac:dyDescent="0.25">
      <c r="A2163" s="1">
        <v>2162</v>
      </c>
      <c r="B2163" s="1">
        <v>8</v>
      </c>
      <c r="C2163" s="3">
        <v>8115271842000</v>
      </c>
      <c r="D2163" s="2">
        <v>44485.652777777781</v>
      </c>
      <c r="E2163" s="2">
        <v>44485.756944444445</v>
      </c>
      <c r="F2163" s="23">
        <f t="shared" si="99"/>
        <v>0.10416666666424135</v>
      </c>
      <c r="G2163" s="24">
        <f t="shared" si="101"/>
        <v>120.00000000279397</v>
      </c>
      <c r="H2163" s="1" t="s">
        <v>1</v>
      </c>
      <c r="I2163" s="4" t="s">
        <v>2</v>
      </c>
      <c r="J2163" s="14">
        <v>0.65277777777777779</v>
      </c>
      <c r="K2163" s="20" t="str">
        <f t="shared" si="100"/>
        <v>2nd Shift</v>
      </c>
    </row>
    <row r="2164" spans="1:11" x14ac:dyDescent="0.25">
      <c r="A2164" s="1">
        <v>2163</v>
      </c>
      <c r="B2164" s="1">
        <v>14</v>
      </c>
      <c r="C2164" s="3">
        <v>14115271689610</v>
      </c>
      <c r="D2164" s="2">
        <v>44486.361111111109</v>
      </c>
      <c r="E2164" s="2">
        <v>44486.472222222219</v>
      </c>
      <c r="F2164" s="23">
        <f t="shared" si="99"/>
        <v>0.11111111110949423</v>
      </c>
      <c r="G2164" s="24">
        <f t="shared" si="101"/>
        <v>112.50000000163709</v>
      </c>
      <c r="H2164" s="1" t="s">
        <v>1</v>
      </c>
      <c r="I2164" s="4" t="s">
        <v>2</v>
      </c>
      <c r="J2164" s="14">
        <v>0.3611111111111111</v>
      </c>
      <c r="K2164" s="20" t="str">
        <f t="shared" si="100"/>
        <v>1st Shift</v>
      </c>
    </row>
    <row r="2165" spans="1:11" x14ac:dyDescent="0.25">
      <c r="A2165" s="1">
        <v>2164</v>
      </c>
      <c r="B2165" s="1">
        <v>10</v>
      </c>
      <c r="C2165" s="3">
        <v>10115271959001</v>
      </c>
      <c r="D2165" s="2">
        <v>44486.361111111109</v>
      </c>
      <c r="E2165" s="2">
        <v>44486.472222222219</v>
      </c>
      <c r="F2165" s="23">
        <f t="shared" si="99"/>
        <v>0.11111111110949423</v>
      </c>
      <c r="G2165" s="24">
        <f t="shared" si="101"/>
        <v>112.50000000163709</v>
      </c>
      <c r="H2165" s="1" t="s">
        <v>1</v>
      </c>
      <c r="I2165" s="4" t="s">
        <v>2</v>
      </c>
      <c r="J2165" s="14">
        <v>0.3611111111111111</v>
      </c>
      <c r="K2165" s="20" t="str">
        <f t="shared" si="100"/>
        <v>1st Shift</v>
      </c>
    </row>
    <row r="2166" spans="1:11" x14ac:dyDescent="0.25">
      <c r="A2166" s="1">
        <v>2165</v>
      </c>
      <c r="B2166" s="1">
        <v>7</v>
      </c>
      <c r="C2166" s="3">
        <v>7115271777003</v>
      </c>
      <c r="D2166" s="2">
        <v>44486.361111111109</v>
      </c>
      <c r="E2166" s="2">
        <v>44486.472222222219</v>
      </c>
      <c r="F2166" s="23">
        <f t="shared" si="99"/>
        <v>0.11111111110949423</v>
      </c>
      <c r="G2166" s="24">
        <f t="shared" si="101"/>
        <v>112.50000000163709</v>
      </c>
      <c r="H2166" s="1" t="s">
        <v>1</v>
      </c>
      <c r="I2166" s="4" t="s">
        <v>4</v>
      </c>
      <c r="J2166" s="14">
        <v>0.3611111111111111</v>
      </c>
      <c r="K2166" s="20" t="str">
        <f t="shared" si="100"/>
        <v>1st Shift</v>
      </c>
    </row>
    <row r="2167" spans="1:11" x14ac:dyDescent="0.25">
      <c r="A2167" s="1">
        <v>2166</v>
      </c>
      <c r="B2167" s="1">
        <v>6</v>
      </c>
      <c r="C2167" s="3">
        <v>6115271745600</v>
      </c>
      <c r="D2167" s="2">
        <v>44486.361111111109</v>
      </c>
      <c r="E2167" s="2">
        <v>44486.472222222219</v>
      </c>
      <c r="F2167" s="23">
        <f t="shared" si="99"/>
        <v>0.11111111110949423</v>
      </c>
      <c r="G2167" s="24">
        <f t="shared" si="101"/>
        <v>112.50000000163709</v>
      </c>
      <c r="H2167" s="1" t="s">
        <v>1</v>
      </c>
      <c r="I2167" s="4" t="s">
        <v>2</v>
      </c>
      <c r="J2167" s="14">
        <v>0.3611111111111111</v>
      </c>
      <c r="K2167" s="20" t="str">
        <f t="shared" si="100"/>
        <v>1st Shift</v>
      </c>
    </row>
    <row r="2168" spans="1:11" x14ac:dyDescent="0.25">
      <c r="A2168" s="1">
        <v>2167</v>
      </c>
      <c r="B2168" s="1">
        <v>7</v>
      </c>
      <c r="C2168" s="3">
        <v>7115271766800</v>
      </c>
      <c r="D2168" s="2">
        <v>44486.520833333336</v>
      </c>
      <c r="E2168" s="2">
        <v>44486.583333333336</v>
      </c>
      <c r="F2168" s="23">
        <f t="shared" si="99"/>
        <v>6.25E-2</v>
      </c>
      <c r="G2168" s="24">
        <f t="shared" si="101"/>
        <v>200</v>
      </c>
      <c r="H2168" s="1" t="s">
        <v>1</v>
      </c>
      <c r="I2168" s="4" t="s">
        <v>2</v>
      </c>
      <c r="J2168" s="14">
        <v>0.52083333333333337</v>
      </c>
      <c r="K2168" s="20" t="str">
        <f t="shared" si="100"/>
        <v>1st Shift</v>
      </c>
    </row>
    <row r="2169" spans="1:11" x14ac:dyDescent="0.25">
      <c r="A2169" s="1">
        <v>2168</v>
      </c>
      <c r="B2169" s="1">
        <v>6</v>
      </c>
      <c r="C2169" s="3">
        <v>6115271701000</v>
      </c>
      <c r="D2169" s="2">
        <v>44486.520833333336</v>
      </c>
      <c r="E2169" s="2">
        <v>44486.583333333336</v>
      </c>
      <c r="F2169" s="23">
        <f t="shared" si="99"/>
        <v>6.25E-2</v>
      </c>
      <c r="G2169" s="24">
        <f t="shared" si="101"/>
        <v>200</v>
      </c>
      <c r="H2169" s="1" t="s">
        <v>1</v>
      </c>
      <c r="I2169" s="4" t="s">
        <v>2</v>
      </c>
      <c r="J2169" s="14">
        <v>0.52083333333333337</v>
      </c>
      <c r="K2169" s="20" t="str">
        <f t="shared" si="100"/>
        <v>1st Shift</v>
      </c>
    </row>
    <row r="2170" spans="1:11" x14ac:dyDescent="0.25">
      <c r="A2170" s="1">
        <v>2169</v>
      </c>
      <c r="B2170" s="1">
        <v>3</v>
      </c>
      <c r="C2170" s="3">
        <v>3115270308900</v>
      </c>
      <c r="D2170" s="2">
        <v>44486.673611111109</v>
      </c>
      <c r="E2170" s="2">
        <v>44486.71875</v>
      </c>
      <c r="F2170" s="23">
        <f t="shared" si="99"/>
        <v>4.5138888890505768E-2</v>
      </c>
      <c r="G2170" s="24">
        <f t="shared" si="101"/>
        <v>276.9230769131575</v>
      </c>
      <c r="H2170" s="1" t="s">
        <v>1</v>
      </c>
      <c r="I2170" s="4" t="s">
        <v>3</v>
      </c>
      <c r="J2170" s="14">
        <v>0.67361111111111116</v>
      </c>
      <c r="K2170" s="20" t="str">
        <f t="shared" si="100"/>
        <v>2nd Shift</v>
      </c>
    </row>
    <row r="2171" spans="1:11" x14ac:dyDescent="0.25">
      <c r="A2171" s="1">
        <v>2170</v>
      </c>
      <c r="B2171" s="1">
        <v>1</v>
      </c>
      <c r="C2171" s="3">
        <v>1115270088400</v>
      </c>
      <c r="D2171" s="2">
        <v>44486.673611111109</v>
      </c>
      <c r="E2171" s="2">
        <v>44486.71875</v>
      </c>
      <c r="F2171" s="23">
        <f t="shared" si="99"/>
        <v>4.5138888890505768E-2</v>
      </c>
      <c r="G2171" s="24">
        <f t="shared" si="101"/>
        <v>276.9230769131575</v>
      </c>
      <c r="H2171" s="1" t="s">
        <v>1</v>
      </c>
      <c r="I2171" s="4" t="s">
        <v>2</v>
      </c>
      <c r="J2171" s="14">
        <v>0.67361111111111116</v>
      </c>
      <c r="K2171" s="20" t="str">
        <f t="shared" si="100"/>
        <v>2nd Shift</v>
      </c>
    </row>
    <row r="2172" spans="1:11" x14ac:dyDescent="0.25">
      <c r="A2172" s="1">
        <v>2171</v>
      </c>
      <c r="B2172" s="1">
        <v>12</v>
      </c>
      <c r="C2172" s="3">
        <v>12115271560120</v>
      </c>
      <c r="D2172" s="2">
        <v>44486.739583333336</v>
      </c>
      <c r="E2172" s="2">
        <v>44486.84375</v>
      </c>
      <c r="F2172" s="23">
        <f t="shared" si="99"/>
        <v>0.10416666666424135</v>
      </c>
      <c r="G2172" s="24">
        <f t="shared" si="101"/>
        <v>120.00000000279397</v>
      </c>
      <c r="H2172" s="1" t="s">
        <v>1</v>
      </c>
      <c r="I2172" s="4" t="s">
        <v>2</v>
      </c>
      <c r="J2172" s="14">
        <v>0.73958333333333337</v>
      </c>
      <c r="K2172" s="20" t="str">
        <f t="shared" si="100"/>
        <v>2nd Shift</v>
      </c>
    </row>
    <row r="2173" spans="1:11" x14ac:dyDescent="0.25">
      <c r="A2173" s="1">
        <v>2172</v>
      </c>
      <c r="B2173" s="1">
        <v>7</v>
      </c>
      <c r="C2173" s="3">
        <v>7115271767806</v>
      </c>
      <c r="D2173" s="2">
        <v>44486.739583333336</v>
      </c>
      <c r="E2173" s="2">
        <v>44486.84375</v>
      </c>
      <c r="F2173" s="23">
        <f t="shared" si="99"/>
        <v>0.10416666666424135</v>
      </c>
      <c r="G2173" s="24">
        <f t="shared" si="101"/>
        <v>120.00000000279397</v>
      </c>
      <c r="H2173" s="1" t="s">
        <v>1</v>
      </c>
      <c r="I2173" s="4" t="s">
        <v>2</v>
      </c>
      <c r="J2173" s="14">
        <v>0.73958333333333337</v>
      </c>
      <c r="K2173" s="20" t="str">
        <f t="shared" si="100"/>
        <v>2nd Shift</v>
      </c>
    </row>
    <row r="2174" spans="1:11" x14ac:dyDescent="0.25">
      <c r="A2174" s="1">
        <v>2173</v>
      </c>
      <c r="B2174" s="1">
        <v>6</v>
      </c>
      <c r="C2174" s="3">
        <v>6115271741400</v>
      </c>
      <c r="D2174" s="2">
        <v>44486.739583333336</v>
      </c>
      <c r="E2174" s="2">
        <v>44486.84375</v>
      </c>
      <c r="F2174" s="23">
        <f t="shared" si="99"/>
        <v>0.10416666666424135</v>
      </c>
      <c r="G2174" s="24">
        <f t="shared" si="101"/>
        <v>120.00000000279397</v>
      </c>
      <c r="H2174" s="1" t="s">
        <v>1</v>
      </c>
      <c r="I2174" s="4" t="s">
        <v>2</v>
      </c>
      <c r="J2174" s="14">
        <v>0.73958333333333337</v>
      </c>
      <c r="K2174" s="20" t="str">
        <f t="shared" si="100"/>
        <v>2nd Shift</v>
      </c>
    </row>
    <row r="2175" spans="1:11" x14ac:dyDescent="0.25">
      <c r="A2175" s="1">
        <v>2174</v>
      </c>
      <c r="B2175" s="1">
        <v>1</v>
      </c>
      <c r="C2175" s="3">
        <v>1115270070900</v>
      </c>
      <c r="D2175" s="2">
        <v>44486.739583333336</v>
      </c>
      <c r="E2175" s="2">
        <v>44486.84375</v>
      </c>
      <c r="F2175" s="23">
        <f t="shared" si="99"/>
        <v>0.10416666666424135</v>
      </c>
      <c r="G2175" s="24">
        <f t="shared" si="101"/>
        <v>120.00000000279397</v>
      </c>
      <c r="H2175" s="1" t="s">
        <v>1</v>
      </c>
      <c r="I2175" s="4" t="s">
        <v>3</v>
      </c>
      <c r="J2175" s="14">
        <v>0.73958333333333337</v>
      </c>
      <c r="K2175" s="20" t="str">
        <f t="shared" si="100"/>
        <v>2nd Shift</v>
      </c>
    </row>
    <row r="2176" spans="1:11" x14ac:dyDescent="0.25">
      <c r="A2176" s="1">
        <v>2175</v>
      </c>
      <c r="B2176" s="1">
        <v>10</v>
      </c>
      <c r="C2176" s="3">
        <v>10115271959500</v>
      </c>
      <c r="D2176" s="2">
        <v>44486.881944444445</v>
      </c>
      <c r="E2176" s="2">
        <v>44486.916666666664</v>
      </c>
      <c r="F2176" s="23">
        <f t="shared" si="99"/>
        <v>3.4722222218988463E-2</v>
      </c>
      <c r="G2176" s="24">
        <f t="shared" si="101"/>
        <v>360.00000003352761</v>
      </c>
      <c r="H2176" s="1" t="s">
        <v>1</v>
      </c>
      <c r="I2176" s="4" t="s">
        <v>2</v>
      </c>
      <c r="J2176" s="14">
        <v>0.88194444444444442</v>
      </c>
      <c r="K2176" s="20" t="str">
        <f t="shared" si="100"/>
        <v>2nd Shift</v>
      </c>
    </row>
    <row r="2177" spans="1:11" x14ac:dyDescent="0.25">
      <c r="A2177" s="1">
        <v>2176</v>
      </c>
      <c r="B2177" s="1">
        <v>11</v>
      </c>
      <c r="C2177" s="3">
        <v>11115271542700</v>
      </c>
      <c r="D2177" s="2">
        <v>44486.979166666664</v>
      </c>
      <c r="E2177" s="2">
        <v>44487.052083333336</v>
      </c>
      <c r="F2177" s="23">
        <f t="shared" si="99"/>
        <v>7.2916666671517305E-2</v>
      </c>
      <c r="G2177" s="24">
        <f t="shared" si="101"/>
        <v>171.42857141716746</v>
      </c>
      <c r="H2177" s="1" t="s">
        <v>1</v>
      </c>
      <c r="I2177" s="4" t="s">
        <v>2</v>
      </c>
      <c r="J2177" s="14">
        <v>0.97916666666666663</v>
      </c>
      <c r="K2177" s="20" t="str">
        <f t="shared" si="100"/>
        <v>3rd Shift</v>
      </c>
    </row>
    <row r="2178" spans="1:11" x14ac:dyDescent="0.25">
      <c r="A2178" s="1">
        <v>2177</v>
      </c>
      <c r="B2178" s="1">
        <v>6</v>
      </c>
      <c r="C2178" s="3">
        <v>6115271690603</v>
      </c>
      <c r="D2178" s="2">
        <v>44486.979166666664</v>
      </c>
      <c r="E2178" s="2">
        <v>44487.052083333336</v>
      </c>
      <c r="F2178" s="23">
        <f t="shared" ref="F2178:F2241" si="102">E2178-D2178</f>
        <v>7.2916666671517305E-2</v>
      </c>
      <c r="G2178" s="24">
        <f t="shared" si="101"/>
        <v>171.42857141716746</v>
      </c>
      <c r="H2178" s="1" t="s">
        <v>1</v>
      </c>
      <c r="I2178" s="4" t="s">
        <v>2</v>
      </c>
      <c r="J2178" s="14">
        <v>0.97916666666666663</v>
      </c>
      <c r="K2178" s="20" t="str">
        <f t="shared" ref="K2178:K2241" si="103">IF(AND(J2178&gt;=$M$3,J2178&lt;$M$4),"1st Shift",IF(AND(J2178&gt;=$M$4,J2178&lt;$M$5),"2nd Shift","3rd Shift"))</f>
        <v>3rd Shift</v>
      </c>
    </row>
    <row r="2179" spans="1:11" x14ac:dyDescent="0.25">
      <c r="A2179" s="1">
        <v>2178</v>
      </c>
      <c r="B2179" s="1">
        <v>13</v>
      </c>
      <c r="C2179" s="3">
        <v>13115271590601</v>
      </c>
      <c r="D2179" s="2">
        <v>44487.40625</v>
      </c>
      <c r="E2179" s="2">
        <v>44487.520833333336</v>
      </c>
      <c r="F2179" s="23">
        <f t="shared" si="102"/>
        <v>0.11458333333575865</v>
      </c>
      <c r="G2179" s="24">
        <f t="shared" ref="G2179:G2242" si="104">$M$9/F2179*100</f>
        <v>109.09090908860001</v>
      </c>
      <c r="H2179" s="1" t="s">
        <v>1</v>
      </c>
      <c r="I2179" s="4" t="s">
        <v>4</v>
      </c>
      <c r="J2179" s="14">
        <v>0.40625</v>
      </c>
      <c r="K2179" s="20" t="str">
        <f t="shared" si="103"/>
        <v>1st Shift</v>
      </c>
    </row>
    <row r="2180" spans="1:11" x14ac:dyDescent="0.25">
      <c r="A2180" s="1">
        <v>2179</v>
      </c>
      <c r="B2180" s="1">
        <v>12</v>
      </c>
      <c r="C2180" s="3">
        <v>12115271571051</v>
      </c>
      <c r="D2180" s="2">
        <v>44487.40625</v>
      </c>
      <c r="E2180" s="2">
        <v>44487.520833333336</v>
      </c>
      <c r="F2180" s="23">
        <f t="shared" si="102"/>
        <v>0.11458333333575865</v>
      </c>
      <c r="G2180" s="24">
        <f t="shared" si="104"/>
        <v>109.09090908860001</v>
      </c>
      <c r="H2180" s="1" t="s">
        <v>1</v>
      </c>
      <c r="I2180" s="4" t="s">
        <v>2</v>
      </c>
      <c r="J2180" s="14">
        <v>0.40625</v>
      </c>
      <c r="K2180" s="20" t="str">
        <f t="shared" si="103"/>
        <v>1st Shift</v>
      </c>
    </row>
    <row r="2181" spans="1:11" x14ac:dyDescent="0.25">
      <c r="A2181" s="1">
        <v>2180</v>
      </c>
      <c r="B2181" s="1">
        <v>10</v>
      </c>
      <c r="C2181" s="3">
        <v>10115271958900</v>
      </c>
      <c r="D2181" s="2">
        <v>44487.40625</v>
      </c>
      <c r="E2181" s="2">
        <v>44487.520833333336</v>
      </c>
      <c r="F2181" s="23">
        <f t="shared" si="102"/>
        <v>0.11458333333575865</v>
      </c>
      <c r="G2181" s="24">
        <f t="shared" si="104"/>
        <v>109.09090908860001</v>
      </c>
      <c r="H2181" s="1" t="s">
        <v>1</v>
      </c>
      <c r="I2181" s="4" t="s">
        <v>2</v>
      </c>
      <c r="J2181" s="14">
        <v>0.40625</v>
      </c>
      <c r="K2181" s="20" t="str">
        <f t="shared" si="103"/>
        <v>1st Shift</v>
      </c>
    </row>
    <row r="2182" spans="1:11" x14ac:dyDescent="0.25">
      <c r="A2182" s="1">
        <v>2181</v>
      </c>
      <c r="B2182" s="1">
        <v>8</v>
      </c>
      <c r="C2182" s="3">
        <v>8115271856800</v>
      </c>
      <c r="D2182" s="2">
        <v>44487.40625</v>
      </c>
      <c r="E2182" s="2">
        <v>44487.520833333336</v>
      </c>
      <c r="F2182" s="23">
        <f t="shared" si="102"/>
        <v>0.11458333333575865</v>
      </c>
      <c r="G2182" s="24">
        <f t="shared" si="104"/>
        <v>109.09090908860001</v>
      </c>
      <c r="H2182" s="1" t="s">
        <v>1</v>
      </c>
      <c r="I2182" s="4" t="s">
        <v>2</v>
      </c>
      <c r="J2182" s="14">
        <v>0.40625</v>
      </c>
      <c r="K2182" s="20" t="str">
        <f t="shared" si="103"/>
        <v>1st Shift</v>
      </c>
    </row>
    <row r="2183" spans="1:11" x14ac:dyDescent="0.25">
      <c r="A2183" s="1">
        <v>2182</v>
      </c>
      <c r="B2183" s="1">
        <v>3</v>
      </c>
      <c r="C2183" s="3">
        <v>3115270318803</v>
      </c>
      <c r="D2183" s="2">
        <v>44488.027777777781</v>
      </c>
      <c r="E2183" s="2">
        <v>44488.083333333336</v>
      </c>
      <c r="F2183" s="23">
        <f t="shared" si="102"/>
        <v>5.5555555554747116E-2</v>
      </c>
      <c r="G2183" s="24">
        <f t="shared" si="104"/>
        <v>225.00000000327418</v>
      </c>
      <c r="H2183" s="1" t="s">
        <v>1</v>
      </c>
      <c r="I2183" s="4" t="s">
        <v>2</v>
      </c>
      <c r="J2183" s="14">
        <v>2.7777777777777776E-2</v>
      </c>
      <c r="K2183" s="20" t="str">
        <f t="shared" si="103"/>
        <v>3rd Shift</v>
      </c>
    </row>
    <row r="2184" spans="1:11" x14ac:dyDescent="0.25">
      <c r="A2184" s="1">
        <v>2183</v>
      </c>
      <c r="B2184" s="1">
        <v>7</v>
      </c>
      <c r="C2184" s="3">
        <v>7115271794200</v>
      </c>
      <c r="D2184" s="2">
        <v>44488.395833333336</v>
      </c>
      <c r="E2184" s="2">
        <v>44488.5625</v>
      </c>
      <c r="F2184" s="23">
        <f t="shared" si="102"/>
        <v>0.16666666666424135</v>
      </c>
      <c r="G2184" s="24">
        <f t="shared" si="104"/>
        <v>75.000000001091394</v>
      </c>
      <c r="H2184" s="1" t="s">
        <v>1</v>
      </c>
      <c r="I2184" s="4" t="s">
        <v>2</v>
      </c>
      <c r="J2184" s="14">
        <v>0.39583333333333331</v>
      </c>
      <c r="K2184" s="20" t="str">
        <f t="shared" si="103"/>
        <v>1st Shift</v>
      </c>
    </row>
    <row r="2185" spans="1:11" x14ac:dyDescent="0.25">
      <c r="A2185" s="1">
        <v>2184</v>
      </c>
      <c r="B2185" s="1">
        <v>4</v>
      </c>
      <c r="C2185" s="3">
        <v>4115270854201</v>
      </c>
      <c r="D2185" s="2">
        <v>44488.395833333336</v>
      </c>
      <c r="E2185" s="2">
        <v>44488.565972222219</v>
      </c>
      <c r="F2185" s="23">
        <f t="shared" si="102"/>
        <v>0.17013888888322981</v>
      </c>
      <c r="G2185" s="24">
        <f t="shared" si="104"/>
        <v>73.469387757545746</v>
      </c>
      <c r="H2185" s="1" t="s">
        <v>1</v>
      </c>
      <c r="I2185" s="4" t="s">
        <v>2</v>
      </c>
      <c r="J2185" s="14">
        <v>0.39583333333333331</v>
      </c>
      <c r="K2185" s="20" t="str">
        <f t="shared" si="103"/>
        <v>1st Shift</v>
      </c>
    </row>
    <row r="2186" spans="1:11" x14ac:dyDescent="0.25">
      <c r="A2186" s="1">
        <v>2185</v>
      </c>
      <c r="B2186" s="1">
        <v>2</v>
      </c>
      <c r="C2186" s="3">
        <v>2115270303000</v>
      </c>
      <c r="D2186" s="2">
        <v>44488.930555555555</v>
      </c>
      <c r="E2186" s="2">
        <v>44488.962500000001</v>
      </c>
      <c r="F2186" s="23">
        <f t="shared" si="102"/>
        <v>3.1944444446708076E-2</v>
      </c>
      <c r="G2186" s="24">
        <f t="shared" si="104"/>
        <v>391.30434779835855</v>
      </c>
      <c r="H2186" s="1" t="s">
        <v>1</v>
      </c>
      <c r="I2186" s="4" t="s">
        <v>2</v>
      </c>
      <c r="J2186" s="14">
        <v>0.93055555555555558</v>
      </c>
      <c r="K2186" s="20" t="str">
        <f t="shared" si="103"/>
        <v>3rd Shift</v>
      </c>
    </row>
    <row r="2187" spans="1:11" x14ac:dyDescent="0.25">
      <c r="A2187" s="1">
        <v>2186</v>
      </c>
      <c r="B2187" s="1">
        <v>13</v>
      </c>
      <c r="C2187" s="3">
        <v>13115271634400</v>
      </c>
      <c r="D2187" s="2">
        <v>44489.416666666664</v>
      </c>
      <c r="E2187" s="2">
        <v>44489.534722222219</v>
      </c>
      <c r="F2187" s="23">
        <f t="shared" si="102"/>
        <v>0.11805555555474712</v>
      </c>
      <c r="G2187" s="24">
        <f t="shared" si="104"/>
        <v>105.88235294190156</v>
      </c>
      <c r="H2187" s="1" t="s">
        <v>1</v>
      </c>
      <c r="I2187" s="4" t="s">
        <v>2</v>
      </c>
      <c r="J2187" s="14">
        <v>0.41666666666666669</v>
      </c>
      <c r="K2187" s="20" t="str">
        <f t="shared" si="103"/>
        <v>1st Shift</v>
      </c>
    </row>
    <row r="2188" spans="1:11" x14ac:dyDescent="0.25">
      <c r="A2188" s="1">
        <v>2187</v>
      </c>
      <c r="B2188" s="1">
        <v>10</v>
      </c>
      <c r="C2188" s="3">
        <v>10115271419500</v>
      </c>
      <c r="D2188" s="2">
        <v>44489.416666666664</v>
      </c>
      <c r="E2188" s="2">
        <v>44489.534722222219</v>
      </c>
      <c r="F2188" s="23">
        <f t="shared" si="102"/>
        <v>0.11805555555474712</v>
      </c>
      <c r="G2188" s="24">
        <f t="shared" si="104"/>
        <v>105.88235294190156</v>
      </c>
      <c r="H2188" s="1" t="s">
        <v>1</v>
      </c>
      <c r="I2188" s="4" t="s">
        <v>3</v>
      </c>
      <c r="J2188" s="14">
        <v>0.41666666666666669</v>
      </c>
      <c r="K2188" s="20" t="str">
        <f t="shared" si="103"/>
        <v>1st Shift</v>
      </c>
    </row>
    <row r="2189" spans="1:11" x14ac:dyDescent="0.25">
      <c r="A2189" s="1">
        <v>2188</v>
      </c>
      <c r="B2189" s="1">
        <v>7</v>
      </c>
      <c r="C2189" s="3">
        <v>7115271799205</v>
      </c>
      <c r="D2189" s="2">
        <v>44489.416666666664</v>
      </c>
      <c r="E2189" s="2">
        <v>44489.534722222219</v>
      </c>
      <c r="F2189" s="23">
        <f t="shared" si="102"/>
        <v>0.11805555555474712</v>
      </c>
      <c r="G2189" s="24">
        <f t="shared" si="104"/>
        <v>105.88235294190156</v>
      </c>
      <c r="H2189" s="1" t="s">
        <v>1</v>
      </c>
      <c r="I2189" s="4" t="s">
        <v>2</v>
      </c>
      <c r="J2189" s="14">
        <v>0.41666666666666669</v>
      </c>
      <c r="K2189" s="20" t="str">
        <f t="shared" si="103"/>
        <v>1st Shift</v>
      </c>
    </row>
    <row r="2190" spans="1:11" x14ac:dyDescent="0.25">
      <c r="A2190" s="1">
        <v>2189</v>
      </c>
      <c r="B2190" s="1">
        <v>1</v>
      </c>
      <c r="C2190" s="3">
        <v>1115270056000</v>
      </c>
      <c r="D2190" s="2">
        <v>44489.416666666664</v>
      </c>
      <c r="E2190" s="2">
        <v>44489.534722222219</v>
      </c>
      <c r="F2190" s="23">
        <f t="shared" si="102"/>
        <v>0.11805555555474712</v>
      </c>
      <c r="G2190" s="24">
        <f t="shared" si="104"/>
        <v>105.88235294190156</v>
      </c>
      <c r="H2190" s="1" t="s">
        <v>1</v>
      </c>
      <c r="I2190" s="4" t="s">
        <v>5</v>
      </c>
      <c r="J2190" s="14">
        <v>0.41666666666666669</v>
      </c>
      <c r="K2190" s="20" t="str">
        <f t="shared" si="103"/>
        <v>1st Shift</v>
      </c>
    </row>
    <row r="2191" spans="1:11" x14ac:dyDescent="0.25">
      <c r="A2191" s="1">
        <v>2190</v>
      </c>
      <c r="B2191" s="1">
        <v>12</v>
      </c>
      <c r="C2191" s="3">
        <v>12115271572900</v>
      </c>
      <c r="D2191" s="2">
        <v>44489.649305555555</v>
      </c>
      <c r="E2191" s="2">
        <v>44489.75</v>
      </c>
      <c r="F2191" s="23">
        <f t="shared" si="102"/>
        <v>0.10069444444525288</v>
      </c>
      <c r="G2191" s="24">
        <f t="shared" si="104"/>
        <v>124.1379310334861</v>
      </c>
      <c r="H2191" s="1" t="s">
        <v>1</v>
      </c>
      <c r="I2191" s="4" t="s">
        <v>2</v>
      </c>
      <c r="J2191" s="14">
        <v>0.64930555555555558</v>
      </c>
      <c r="K2191" s="20" t="str">
        <f t="shared" si="103"/>
        <v>2nd Shift</v>
      </c>
    </row>
    <row r="2192" spans="1:11" x14ac:dyDescent="0.25">
      <c r="A2192" s="1">
        <v>2191</v>
      </c>
      <c r="B2192" s="1">
        <v>12</v>
      </c>
      <c r="C2192" s="3">
        <v>12115271562009</v>
      </c>
      <c r="D2192" s="2">
        <v>44489.649305555555</v>
      </c>
      <c r="E2192" s="2">
        <v>44489.75</v>
      </c>
      <c r="F2192" s="23">
        <f t="shared" si="102"/>
        <v>0.10069444444525288</v>
      </c>
      <c r="G2192" s="24">
        <f t="shared" si="104"/>
        <v>124.1379310334861</v>
      </c>
      <c r="H2192" s="1" t="s">
        <v>1</v>
      </c>
      <c r="I2192" s="4" t="s">
        <v>2</v>
      </c>
      <c r="J2192" s="14">
        <v>0.64930555555555558</v>
      </c>
      <c r="K2192" s="20" t="str">
        <f t="shared" si="103"/>
        <v>2nd Shift</v>
      </c>
    </row>
    <row r="2193" spans="1:11" x14ac:dyDescent="0.25">
      <c r="A2193" s="1">
        <v>2192</v>
      </c>
      <c r="B2193" s="1">
        <v>7</v>
      </c>
      <c r="C2193" s="3">
        <v>7115271767803</v>
      </c>
      <c r="D2193" s="2">
        <v>44490.385416666664</v>
      </c>
      <c r="E2193" s="2">
        <v>44490.517361111109</v>
      </c>
      <c r="F2193" s="23">
        <f t="shared" si="102"/>
        <v>0.13194444444525288</v>
      </c>
      <c r="G2193" s="24">
        <f t="shared" si="104"/>
        <v>94.736842104682694</v>
      </c>
      <c r="H2193" s="1" t="s">
        <v>1</v>
      </c>
      <c r="I2193" s="4" t="s">
        <v>2</v>
      </c>
      <c r="J2193" s="14">
        <v>0.38541666666666669</v>
      </c>
      <c r="K2193" s="20" t="str">
        <f t="shared" si="103"/>
        <v>1st Shift</v>
      </c>
    </row>
    <row r="2194" spans="1:11" x14ac:dyDescent="0.25">
      <c r="A2194" s="1">
        <v>2193</v>
      </c>
      <c r="B2194" s="1">
        <v>6</v>
      </c>
      <c r="C2194" s="3">
        <v>6115271721101</v>
      </c>
      <c r="D2194" s="2">
        <v>44490.385416666664</v>
      </c>
      <c r="E2194" s="2">
        <v>44490.517361111109</v>
      </c>
      <c r="F2194" s="23">
        <f t="shared" si="102"/>
        <v>0.13194444444525288</v>
      </c>
      <c r="G2194" s="24">
        <f t="shared" si="104"/>
        <v>94.736842104682694</v>
      </c>
      <c r="H2194" s="1" t="s">
        <v>1</v>
      </c>
      <c r="I2194" s="4" t="s">
        <v>3</v>
      </c>
      <c r="J2194" s="14">
        <v>0.38541666666666669</v>
      </c>
      <c r="K2194" s="20" t="str">
        <f t="shared" si="103"/>
        <v>1st Shift</v>
      </c>
    </row>
    <row r="2195" spans="1:11" x14ac:dyDescent="0.25">
      <c r="A2195" s="1">
        <v>2194</v>
      </c>
      <c r="B2195" s="1">
        <v>3</v>
      </c>
      <c r="C2195" s="3">
        <v>3115270349600</v>
      </c>
      <c r="D2195" s="2">
        <v>44490.385416666664</v>
      </c>
      <c r="E2195" s="2">
        <v>44490.517361111109</v>
      </c>
      <c r="F2195" s="23">
        <f t="shared" si="102"/>
        <v>0.13194444444525288</v>
      </c>
      <c r="G2195" s="24">
        <f t="shared" si="104"/>
        <v>94.736842104682694</v>
      </c>
      <c r="H2195" s="1" t="s">
        <v>1</v>
      </c>
      <c r="I2195" s="4" t="s">
        <v>5</v>
      </c>
      <c r="J2195" s="14">
        <v>0.38541666666666669</v>
      </c>
      <c r="K2195" s="20" t="str">
        <f t="shared" si="103"/>
        <v>1st Shift</v>
      </c>
    </row>
    <row r="2196" spans="1:11" x14ac:dyDescent="0.25">
      <c r="A2196" s="1">
        <v>2195</v>
      </c>
      <c r="B2196" s="1">
        <v>2</v>
      </c>
      <c r="C2196" s="3">
        <v>2115270273700</v>
      </c>
      <c r="D2196" s="2">
        <v>44490.385416666664</v>
      </c>
      <c r="E2196" s="2">
        <v>44490.517361111109</v>
      </c>
      <c r="F2196" s="23">
        <f t="shared" si="102"/>
        <v>0.13194444444525288</v>
      </c>
      <c r="G2196" s="24">
        <f t="shared" si="104"/>
        <v>94.736842104682694</v>
      </c>
      <c r="H2196" s="1" t="s">
        <v>1</v>
      </c>
      <c r="I2196" s="4" t="s">
        <v>8</v>
      </c>
      <c r="J2196" s="14">
        <v>0.38541666666666669</v>
      </c>
      <c r="K2196" s="20" t="str">
        <f t="shared" si="103"/>
        <v>1st Shift</v>
      </c>
    </row>
    <row r="2197" spans="1:11" x14ac:dyDescent="0.25">
      <c r="A2197" s="1">
        <v>2196</v>
      </c>
      <c r="B2197" s="1">
        <v>14</v>
      </c>
      <c r="C2197" s="3">
        <v>14115271690705</v>
      </c>
      <c r="D2197" s="2">
        <v>44490.642361111109</v>
      </c>
      <c r="E2197" s="2">
        <v>44490.71875</v>
      </c>
      <c r="F2197" s="23">
        <f t="shared" si="102"/>
        <v>7.6388888890505768E-2</v>
      </c>
      <c r="G2197" s="24">
        <f t="shared" si="104"/>
        <v>163.63636363290004</v>
      </c>
      <c r="H2197" s="1" t="s">
        <v>1</v>
      </c>
      <c r="I2197" s="4" t="s">
        <v>2</v>
      </c>
      <c r="J2197" s="14">
        <v>0.64236111111111116</v>
      </c>
      <c r="K2197" s="20" t="str">
        <f t="shared" si="103"/>
        <v>2nd Shift</v>
      </c>
    </row>
    <row r="2198" spans="1:11" x14ac:dyDescent="0.25">
      <c r="A2198" s="1">
        <v>2197</v>
      </c>
      <c r="B2198" s="1">
        <v>12</v>
      </c>
      <c r="C2198" s="3">
        <v>12115271561606</v>
      </c>
      <c r="D2198" s="2">
        <v>44490.642361111109</v>
      </c>
      <c r="E2198" s="2">
        <v>44490.71875</v>
      </c>
      <c r="F2198" s="23">
        <f t="shared" si="102"/>
        <v>7.6388888890505768E-2</v>
      </c>
      <c r="G2198" s="24">
        <f t="shared" si="104"/>
        <v>163.63636363290004</v>
      </c>
      <c r="H2198" s="1" t="s">
        <v>1</v>
      </c>
      <c r="I2198" s="4" t="s">
        <v>2</v>
      </c>
      <c r="J2198" s="14">
        <v>0.64236111111111116</v>
      </c>
      <c r="K2198" s="20" t="str">
        <f t="shared" si="103"/>
        <v>2nd Shift</v>
      </c>
    </row>
    <row r="2199" spans="1:11" x14ac:dyDescent="0.25">
      <c r="A2199" s="1">
        <v>2198</v>
      </c>
      <c r="B2199" s="1">
        <v>10</v>
      </c>
      <c r="C2199" s="3">
        <v>10115271733703</v>
      </c>
      <c r="D2199" s="2">
        <v>44490.642361111109</v>
      </c>
      <c r="E2199" s="2">
        <v>44490.71875</v>
      </c>
      <c r="F2199" s="23">
        <f t="shared" si="102"/>
        <v>7.6388888890505768E-2</v>
      </c>
      <c r="G2199" s="24">
        <f t="shared" si="104"/>
        <v>163.63636363290004</v>
      </c>
      <c r="H2199" s="1" t="s">
        <v>1</v>
      </c>
      <c r="I2199" s="4" t="s">
        <v>3</v>
      </c>
      <c r="J2199" s="14">
        <v>0.64236111111111116</v>
      </c>
      <c r="K2199" s="20" t="str">
        <f t="shared" si="103"/>
        <v>2nd Shift</v>
      </c>
    </row>
    <row r="2200" spans="1:11" x14ac:dyDescent="0.25">
      <c r="A2200" s="1">
        <v>2199</v>
      </c>
      <c r="B2200" s="1">
        <v>2</v>
      </c>
      <c r="C2200" s="3">
        <v>2115270274300</v>
      </c>
      <c r="D2200" s="2">
        <v>44490.642361111109</v>
      </c>
      <c r="E2200" s="2">
        <v>44490.71875</v>
      </c>
      <c r="F2200" s="23">
        <f t="shared" si="102"/>
        <v>7.6388888890505768E-2</v>
      </c>
      <c r="G2200" s="24">
        <f t="shared" si="104"/>
        <v>163.63636363290004</v>
      </c>
      <c r="H2200" s="1" t="s">
        <v>1</v>
      </c>
      <c r="I2200" s="4" t="s">
        <v>2</v>
      </c>
      <c r="J2200" s="14">
        <v>0.64236111111111116</v>
      </c>
      <c r="K2200" s="20" t="str">
        <f t="shared" si="103"/>
        <v>2nd Shift</v>
      </c>
    </row>
    <row r="2201" spans="1:11" x14ac:dyDescent="0.25">
      <c r="A2201" s="1">
        <v>2200</v>
      </c>
      <c r="B2201" s="1">
        <v>12</v>
      </c>
      <c r="C2201" s="3">
        <v>12115271560129</v>
      </c>
      <c r="D2201" s="2">
        <v>44490.840277777781</v>
      </c>
      <c r="E2201" s="2">
        <v>44490.878472222219</v>
      </c>
      <c r="F2201" s="23">
        <f t="shared" si="102"/>
        <v>3.8194444437976927E-2</v>
      </c>
      <c r="G2201" s="24">
        <f t="shared" si="104"/>
        <v>327.27272732814481</v>
      </c>
      <c r="H2201" s="1" t="s">
        <v>1</v>
      </c>
      <c r="I2201" s="4" t="s">
        <v>2</v>
      </c>
      <c r="J2201" s="14">
        <v>0.84027777777777779</v>
      </c>
      <c r="K2201" s="20" t="str">
        <f t="shared" si="103"/>
        <v>2nd Shift</v>
      </c>
    </row>
    <row r="2202" spans="1:11" x14ac:dyDescent="0.25">
      <c r="A2202" s="1">
        <v>2201</v>
      </c>
      <c r="B2202" s="1">
        <v>11</v>
      </c>
      <c r="C2202" s="3">
        <v>11115271506703</v>
      </c>
      <c r="D2202" s="2">
        <v>44490.885416666664</v>
      </c>
      <c r="E2202" s="2">
        <v>44490.909722222219</v>
      </c>
      <c r="F2202" s="23">
        <f t="shared" si="102"/>
        <v>2.4305555554747116E-2</v>
      </c>
      <c r="G2202" s="24">
        <f t="shared" si="104"/>
        <v>514.28571430282022</v>
      </c>
      <c r="H2202" s="1" t="s">
        <v>1</v>
      </c>
      <c r="I2202" s="4" t="s">
        <v>2</v>
      </c>
      <c r="J2202" s="14">
        <v>0.88541666666666663</v>
      </c>
      <c r="K2202" s="20" t="str">
        <f t="shared" si="103"/>
        <v>2nd Shift</v>
      </c>
    </row>
    <row r="2203" spans="1:11" x14ac:dyDescent="0.25">
      <c r="A2203" s="1">
        <v>2202</v>
      </c>
      <c r="B2203" s="1">
        <v>9</v>
      </c>
      <c r="C2203" s="3">
        <v>9115271952500</v>
      </c>
      <c r="D2203" s="2">
        <v>44490.930555555555</v>
      </c>
      <c r="E2203" s="2">
        <v>44490.986111111109</v>
      </c>
      <c r="F2203" s="23">
        <f t="shared" si="102"/>
        <v>5.5555555554747116E-2</v>
      </c>
      <c r="G2203" s="24">
        <f t="shared" si="104"/>
        <v>225.00000000327418</v>
      </c>
      <c r="H2203" s="1" t="s">
        <v>1</v>
      </c>
      <c r="I2203" s="4" t="s">
        <v>8</v>
      </c>
      <c r="J2203" s="14">
        <v>0.93055555555555558</v>
      </c>
      <c r="K2203" s="20" t="str">
        <f t="shared" si="103"/>
        <v>3rd Shift</v>
      </c>
    </row>
    <row r="2204" spans="1:11" x14ac:dyDescent="0.25">
      <c r="A2204" s="1">
        <v>2203</v>
      </c>
      <c r="B2204" s="1">
        <v>11</v>
      </c>
      <c r="C2204" s="3">
        <v>11115271542604</v>
      </c>
      <c r="D2204" s="2">
        <v>44491.447916666664</v>
      </c>
      <c r="E2204" s="2">
        <v>44491.5</v>
      </c>
      <c r="F2204" s="23">
        <f t="shared" si="102"/>
        <v>5.2083333335758653E-2</v>
      </c>
      <c r="G2204" s="24">
        <f t="shared" si="104"/>
        <v>239.99999998882413</v>
      </c>
      <c r="H2204" s="1" t="s">
        <v>1</v>
      </c>
      <c r="I2204" s="4" t="s">
        <v>2</v>
      </c>
      <c r="J2204" s="14">
        <v>0.44791666666666669</v>
      </c>
      <c r="K2204" s="20" t="str">
        <f t="shared" si="103"/>
        <v>1st Shift</v>
      </c>
    </row>
    <row r="2205" spans="1:11" x14ac:dyDescent="0.25">
      <c r="A2205" s="1">
        <v>2204</v>
      </c>
      <c r="B2205" s="1">
        <v>3</v>
      </c>
      <c r="C2205" s="3">
        <v>3115270349500</v>
      </c>
      <c r="D2205" s="2">
        <v>44491.447916666664</v>
      </c>
      <c r="E2205" s="2">
        <v>44491.5</v>
      </c>
      <c r="F2205" s="23">
        <f t="shared" si="102"/>
        <v>5.2083333335758653E-2</v>
      </c>
      <c r="G2205" s="24">
        <f t="shared" si="104"/>
        <v>239.99999998882413</v>
      </c>
      <c r="H2205" s="1" t="s">
        <v>1</v>
      </c>
      <c r="I2205" s="4" t="s">
        <v>3</v>
      </c>
      <c r="J2205" s="14">
        <v>0.44791666666666669</v>
      </c>
      <c r="K2205" s="20" t="str">
        <f t="shared" si="103"/>
        <v>1st Shift</v>
      </c>
    </row>
    <row r="2206" spans="1:11" x14ac:dyDescent="0.25">
      <c r="A2206" s="1">
        <v>2205</v>
      </c>
      <c r="B2206" s="1">
        <v>14</v>
      </c>
      <c r="C2206" s="3">
        <v>14115271690219</v>
      </c>
      <c r="D2206" s="2">
        <v>44491.506944444445</v>
      </c>
      <c r="E2206" s="2">
        <v>44491.590277777781</v>
      </c>
      <c r="F2206" s="23">
        <f t="shared" si="102"/>
        <v>8.3333333335758653E-2</v>
      </c>
      <c r="G2206" s="24">
        <f t="shared" si="104"/>
        <v>149.99999999563443</v>
      </c>
      <c r="H2206" s="1" t="s">
        <v>1</v>
      </c>
      <c r="I2206" s="4" t="s">
        <v>2</v>
      </c>
      <c r="J2206" s="14">
        <v>0.50694444444444442</v>
      </c>
      <c r="K2206" s="20" t="str">
        <f t="shared" si="103"/>
        <v>1st Shift</v>
      </c>
    </row>
    <row r="2207" spans="1:11" x14ac:dyDescent="0.25">
      <c r="A2207" s="1">
        <v>2206</v>
      </c>
      <c r="B2207" s="1">
        <v>12</v>
      </c>
      <c r="C2207" s="3">
        <v>12115271569207</v>
      </c>
      <c r="D2207" s="2">
        <v>44491.506944444445</v>
      </c>
      <c r="E2207" s="2">
        <v>44491.590277777781</v>
      </c>
      <c r="F2207" s="23">
        <f t="shared" si="102"/>
        <v>8.3333333335758653E-2</v>
      </c>
      <c r="G2207" s="24">
        <f t="shared" si="104"/>
        <v>149.99999999563443</v>
      </c>
      <c r="H2207" s="1" t="s">
        <v>1</v>
      </c>
      <c r="I2207" s="4" t="s">
        <v>2</v>
      </c>
      <c r="J2207" s="14">
        <v>0.50694444444444442</v>
      </c>
      <c r="K2207" s="20" t="str">
        <f t="shared" si="103"/>
        <v>1st Shift</v>
      </c>
    </row>
    <row r="2208" spans="1:11" x14ac:dyDescent="0.25">
      <c r="A2208" s="1">
        <v>2207</v>
      </c>
      <c r="B2208" s="1">
        <v>1</v>
      </c>
      <c r="C2208" s="3">
        <v>1115270095500</v>
      </c>
      <c r="D2208" s="2">
        <v>44491.506944444445</v>
      </c>
      <c r="E2208" s="2">
        <v>44491.590277777781</v>
      </c>
      <c r="F2208" s="23">
        <f t="shared" si="102"/>
        <v>8.3333333335758653E-2</v>
      </c>
      <c r="G2208" s="24">
        <f t="shared" si="104"/>
        <v>149.99999999563443</v>
      </c>
      <c r="H2208" s="1" t="s">
        <v>1</v>
      </c>
      <c r="I2208" s="4" t="s">
        <v>2</v>
      </c>
      <c r="J2208" s="14">
        <v>0.50694444444444442</v>
      </c>
      <c r="K2208" s="20" t="str">
        <f t="shared" si="103"/>
        <v>1st Shift</v>
      </c>
    </row>
    <row r="2209" spans="1:11" x14ac:dyDescent="0.25">
      <c r="A2209" s="1">
        <v>2208</v>
      </c>
      <c r="B2209" s="1">
        <v>46</v>
      </c>
      <c r="C2209" s="3">
        <v>46115273094116</v>
      </c>
      <c r="D2209" s="2">
        <v>44491.774305555555</v>
      </c>
      <c r="E2209" s="2">
        <v>44491.840277777781</v>
      </c>
      <c r="F2209" s="23">
        <f t="shared" si="102"/>
        <v>6.5972222226264421E-2</v>
      </c>
      <c r="G2209" s="24">
        <f t="shared" si="104"/>
        <v>189.47368419891703</v>
      </c>
      <c r="H2209" s="1" t="s">
        <v>1</v>
      </c>
      <c r="I2209" s="4" t="s">
        <v>3</v>
      </c>
      <c r="J2209" s="14">
        <v>0.77430555555555558</v>
      </c>
      <c r="K2209" s="20" t="str">
        <f t="shared" si="103"/>
        <v>2nd Shift</v>
      </c>
    </row>
    <row r="2210" spans="1:11" x14ac:dyDescent="0.25">
      <c r="A2210" s="1">
        <v>2209</v>
      </c>
      <c r="B2210" s="1">
        <v>2</v>
      </c>
      <c r="C2210" s="3">
        <v>2115270158700</v>
      </c>
      <c r="D2210" s="2">
        <v>44491.774305555555</v>
      </c>
      <c r="E2210" s="2">
        <v>44491.840277777781</v>
      </c>
      <c r="F2210" s="23">
        <f t="shared" si="102"/>
        <v>6.5972222226264421E-2</v>
      </c>
      <c r="G2210" s="24">
        <f t="shared" si="104"/>
        <v>189.47368419891703</v>
      </c>
      <c r="H2210" s="1" t="s">
        <v>1</v>
      </c>
      <c r="I2210" s="4" t="s">
        <v>2</v>
      </c>
      <c r="J2210" s="14">
        <v>0.77430555555555558</v>
      </c>
      <c r="K2210" s="20" t="str">
        <f t="shared" si="103"/>
        <v>2nd Shift</v>
      </c>
    </row>
    <row r="2211" spans="1:11" x14ac:dyDescent="0.25">
      <c r="A2211" s="1">
        <v>2210</v>
      </c>
      <c r="B2211" s="1">
        <v>1</v>
      </c>
      <c r="C2211" s="3">
        <v>1115270067300</v>
      </c>
      <c r="D2211" s="2">
        <v>44491.868055555555</v>
      </c>
      <c r="E2211" s="2">
        <v>44491.902777777781</v>
      </c>
      <c r="F2211" s="23">
        <f t="shared" si="102"/>
        <v>3.4722222226264421E-2</v>
      </c>
      <c r="G2211" s="24">
        <f t="shared" si="104"/>
        <v>359.99999995809048</v>
      </c>
      <c r="H2211" s="1" t="s">
        <v>1</v>
      </c>
      <c r="I2211" s="4" t="s">
        <v>2</v>
      </c>
      <c r="J2211" s="14">
        <v>0.86805555555555558</v>
      </c>
      <c r="K2211" s="20" t="str">
        <f t="shared" si="103"/>
        <v>2nd Shift</v>
      </c>
    </row>
    <row r="2212" spans="1:11" x14ac:dyDescent="0.25">
      <c r="A2212" s="1">
        <v>2211</v>
      </c>
      <c r="B2212" s="1">
        <v>14</v>
      </c>
      <c r="C2212" s="3">
        <v>14115271679700</v>
      </c>
      <c r="D2212" s="2">
        <v>44492.402777777781</v>
      </c>
      <c r="E2212" s="2">
        <v>44492.541666666664</v>
      </c>
      <c r="F2212" s="23">
        <f t="shared" si="102"/>
        <v>0.13888888888322981</v>
      </c>
      <c r="G2212" s="24">
        <f t="shared" si="104"/>
        <v>90.000000003667083</v>
      </c>
      <c r="H2212" s="1" t="s">
        <v>1</v>
      </c>
      <c r="I2212" s="4" t="s">
        <v>2</v>
      </c>
      <c r="J2212" s="14">
        <v>0.40277777777777779</v>
      </c>
      <c r="K2212" s="20" t="str">
        <f t="shared" si="103"/>
        <v>1st Shift</v>
      </c>
    </row>
    <row r="2213" spans="1:11" x14ac:dyDescent="0.25">
      <c r="A2213" s="1">
        <v>2212</v>
      </c>
      <c r="B2213" s="1">
        <v>12</v>
      </c>
      <c r="C2213" s="3">
        <v>12115271561607</v>
      </c>
      <c r="D2213" s="2">
        <v>44492.402777777781</v>
      </c>
      <c r="E2213" s="2">
        <v>44492.541666666664</v>
      </c>
      <c r="F2213" s="23">
        <f t="shared" si="102"/>
        <v>0.13888888888322981</v>
      </c>
      <c r="G2213" s="24">
        <f t="shared" si="104"/>
        <v>90.000000003667083</v>
      </c>
      <c r="H2213" s="1" t="s">
        <v>1</v>
      </c>
      <c r="I2213" s="4" t="s">
        <v>2</v>
      </c>
      <c r="J2213" s="14">
        <v>0.40277777777777779</v>
      </c>
      <c r="K2213" s="20" t="str">
        <f t="shared" si="103"/>
        <v>1st Shift</v>
      </c>
    </row>
    <row r="2214" spans="1:11" x14ac:dyDescent="0.25">
      <c r="A2214" s="1">
        <v>2213</v>
      </c>
      <c r="B2214" s="1">
        <v>11</v>
      </c>
      <c r="C2214" s="3">
        <v>11115271483100</v>
      </c>
      <c r="D2214" s="2">
        <v>44492.402777777781</v>
      </c>
      <c r="E2214" s="2">
        <v>44492.541666666664</v>
      </c>
      <c r="F2214" s="23">
        <f t="shared" si="102"/>
        <v>0.13888888888322981</v>
      </c>
      <c r="G2214" s="24">
        <f t="shared" si="104"/>
        <v>90.000000003667083</v>
      </c>
      <c r="H2214" s="1" t="s">
        <v>1</v>
      </c>
      <c r="I2214" s="4" t="s">
        <v>3</v>
      </c>
      <c r="J2214" s="14">
        <v>0.40277777777777779</v>
      </c>
      <c r="K2214" s="20" t="str">
        <f t="shared" si="103"/>
        <v>1st Shift</v>
      </c>
    </row>
    <row r="2215" spans="1:11" x14ac:dyDescent="0.25">
      <c r="A2215" s="1">
        <v>2214</v>
      </c>
      <c r="B2215" s="1">
        <v>10</v>
      </c>
      <c r="C2215" s="3">
        <v>10115271433000</v>
      </c>
      <c r="D2215" s="2">
        <v>44492.402777777781</v>
      </c>
      <c r="E2215" s="2">
        <v>44492.541666666664</v>
      </c>
      <c r="F2215" s="23">
        <f t="shared" si="102"/>
        <v>0.13888888888322981</v>
      </c>
      <c r="G2215" s="24">
        <f t="shared" si="104"/>
        <v>90.000000003667083</v>
      </c>
      <c r="H2215" s="1" t="s">
        <v>1</v>
      </c>
      <c r="I2215" s="4" t="s">
        <v>3</v>
      </c>
      <c r="J2215" s="14">
        <v>0.40277777777777779</v>
      </c>
      <c r="K2215" s="20" t="str">
        <f t="shared" si="103"/>
        <v>1st Shift</v>
      </c>
    </row>
    <row r="2216" spans="1:11" x14ac:dyDescent="0.25">
      <c r="A2216" s="1">
        <v>2215</v>
      </c>
      <c r="B2216" s="1">
        <v>1</v>
      </c>
      <c r="C2216" s="3">
        <v>1115270066100</v>
      </c>
      <c r="D2216" s="2">
        <v>44492.402777777781</v>
      </c>
      <c r="E2216" s="2">
        <v>44492.541666666664</v>
      </c>
      <c r="F2216" s="23">
        <f t="shared" si="102"/>
        <v>0.13888888888322981</v>
      </c>
      <c r="G2216" s="24">
        <f t="shared" si="104"/>
        <v>90.000000003667083</v>
      </c>
      <c r="H2216" s="1" t="s">
        <v>1</v>
      </c>
      <c r="I2216" s="4" t="s">
        <v>3</v>
      </c>
      <c r="J2216" s="14">
        <v>0.40277777777777779</v>
      </c>
      <c r="K2216" s="20" t="str">
        <f t="shared" si="103"/>
        <v>1st Shift</v>
      </c>
    </row>
    <row r="2217" spans="1:11" x14ac:dyDescent="0.25">
      <c r="A2217" s="1">
        <v>2216</v>
      </c>
      <c r="B2217" s="1">
        <v>6</v>
      </c>
      <c r="C2217" s="3">
        <v>6115271751640</v>
      </c>
      <c r="D2217" s="2">
        <v>44492.708333333336</v>
      </c>
      <c r="E2217" s="2">
        <v>44492.763888888891</v>
      </c>
      <c r="F2217" s="23">
        <f t="shared" si="102"/>
        <v>5.5555555554747116E-2</v>
      </c>
      <c r="G2217" s="24">
        <f t="shared" si="104"/>
        <v>225.00000000327418</v>
      </c>
      <c r="H2217" s="1" t="s">
        <v>1</v>
      </c>
      <c r="I2217" s="4" t="s">
        <v>2</v>
      </c>
      <c r="J2217" s="14">
        <v>0.70833333333333337</v>
      </c>
      <c r="K2217" s="20" t="str">
        <f t="shared" si="103"/>
        <v>2nd Shift</v>
      </c>
    </row>
    <row r="2218" spans="1:11" x14ac:dyDescent="0.25">
      <c r="A2218" s="1">
        <v>2217</v>
      </c>
      <c r="B2218" s="1">
        <v>10</v>
      </c>
      <c r="C2218" s="3">
        <v>10115271433901</v>
      </c>
      <c r="D2218" s="2">
        <v>44492.815972222219</v>
      </c>
      <c r="E2218" s="2">
        <v>44492.927083333336</v>
      </c>
      <c r="F2218" s="23">
        <f t="shared" si="102"/>
        <v>0.11111111111677019</v>
      </c>
      <c r="G2218" s="24">
        <f t="shared" si="104"/>
        <v>112.49999999427018</v>
      </c>
      <c r="H2218" s="1" t="s">
        <v>1</v>
      </c>
      <c r="I2218" s="4" t="s">
        <v>2</v>
      </c>
      <c r="J2218" s="14">
        <v>0.81597222222222221</v>
      </c>
      <c r="K2218" s="20" t="str">
        <f t="shared" si="103"/>
        <v>2nd Shift</v>
      </c>
    </row>
    <row r="2219" spans="1:11" x14ac:dyDescent="0.25">
      <c r="A2219" s="1">
        <v>2218</v>
      </c>
      <c r="B2219" s="1">
        <v>5</v>
      </c>
      <c r="C2219" s="3">
        <v>5115270974102</v>
      </c>
      <c r="D2219" s="2">
        <v>44492.815972222219</v>
      </c>
      <c r="E2219" s="2">
        <v>44492.927083333336</v>
      </c>
      <c r="F2219" s="23">
        <f t="shared" si="102"/>
        <v>0.11111111111677019</v>
      </c>
      <c r="G2219" s="24">
        <f t="shared" si="104"/>
        <v>112.49999999427018</v>
      </c>
      <c r="H2219" s="1" t="s">
        <v>1</v>
      </c>
      <c r="I2219" s="4" t="s">
        <v>2</v>
      </c>
      <c r="J2219" s="14">
        <v>0.81597222222222221</v>
      </c>
      <c r="K2219" s="20" t="str">
        <f t="shared" si="103"/>
        <v>2nd Shift</v>
      </c>
    </row>
    <row r="2220" spans="1:11" x14ac:dyDescent="0.25">
      <c r="A2220" s="1">
        <v>2219</v>
      </c>
      <c r="B2220" s="1">
        <v>4</v>
      </c>
      <c r="C2220" s="3">
        <v>4115270844600</v>
      </c>
      <c r="D2220" s="2">
        <v>44492.815972222219</v>
      </c>
      <c r="E2220" s="2">
        <v>44492.927083333336</v>
      </c>
      <c r="F2220" s="23">
        <f t="shared" si="102"/>
        <v>0.11111111111677019</v>
      </c>
      <c r="G2220" s="24">
        <f t="shared" si="104"/>
        <v>112.49999999427018</v>
      </c>
      <c r="H2220" s="1" t="s">
        <v>1</v>
      </c>
      <c r="I2220" s="4" t="s">
        <v>2</v>
      </c>
      <c r="J2220" s="14">
        <v>0.81597222222222221</v>
      </c>
      <c r="K2220" s="20" t="str">
        <f t="shared" si="103"/>
        <v>2nd Shift</v>
      </c>
    </row>
    <row r="2221" spans="1:11" x14ac:dyDescent="0.25">
      <c r="A2221" s="1">
        <v>2220</v>
      </c>
      <c r="B2221" s="1">
        <v>15</v>
      </c>
      <c r="C2221" s="3">
        <v>15115271785818</v>
      </c>
      <c r="D2221" s="2">
        <v>44493.493055555555</v>
      </c>
      <c r="E2221" s="2">
        <v>44493.572916666664</v>
      </c>
      <c r="F2221" s="23">
        <f t="shared" si="102"/>
        <v>7.9861111109494232E-2</v>
      </c>
      <c r="G2221" s="24">
        <f t="shared" si="104"/>
        <v>156.52173913360375</v>
      </c>
      <c r="H2221" s="1" t="s">
        <v>1</v>
      </c>
      <c r="I2221" s="4" t="s">
        <v>2</v>
      </c>
      <c r="J2221" s="14">
        <v>0.49305555555555558</v>
      </c>
      <c r="K2221" s="20" t="str">
        <f t="shared" si="103"/>
        <v>1st Shift</v>
      </c>
    </row>
    <row r="2222" spans="1:11" x14ac:dyDescent="0.25">
      <c r="A2222" s="1">
        <v>2221</v>
      </c>
      <c r="B2222" s="1">
        <v>13</v>
      </c>
      <c r="C2222" s="3">
        <v>13115271592301</v>
      </c>
      <c r="D2222" s="2">
        <v>44493.493055555555</v>
      </c>
      <c r="E2222" s="2">
        <v>44493.572916666664</v>
      </c>
      <c r="F2222" s="23">
        <f t="shared" si="102"/>
        <v>7.9861111109494232E-2</v>
      </c>
      <c r="G2222" s="24">
        <f t="shared" si="104"/>
        <v>156.52173913360375</v>
      </c>
      <c r="H2222" s="1" t="s">
        <v>1</v>
      </c>
      <c r="I2222" s="4" t="s">
        <v>2</v>
      </c>
      <c r="J2222" s="14">
        <v>0.49305555555555558</v>
      </c>
      <c r="K2222" s="20" t="str">
        <f t="shared" si="103"/>
        <v>1st Shift</v>
      </c>
    </row>
    <row r="2223" spans="1:11" x14ac:dyDescent="0.25">
      <c r="A2223" s="1">
        <v>2222</v>
      </c>
      <c r="B2223" s="1">
        <v>12</v>
      </c>
      <c r="C2223" s="3">
        <v>12115271567404</v>
      </c>
      <c r="D2223" s="2">
        <v>44493.493055555555</v>
      </c>
      <c r="E2223" s="2">
        <v>44493.572916666664</v>
      </c>
      <c r="F2223" s="23">
        <f t="shared" si="102"/>
        <v>7.9861111109494232E-2</v>
      </c>
      <c r="G2223" s="24">
        <f t="shared" si="104"/>
        <v>156.52173913360375</v>
      </c>
      <c r="H2223" s="1" t="s">
        <v>1</v>
      </c>
      <c r="I2223" s="4" t="s">
        <v>2</v>
      </c>
      <c r="J2223" s="14">
        <v>0.49305555555555558</v>
      </c>
      <c r="K2223" s="20" t="str">
        <f t="shared" si="103"/>
        <v>1st Shift</v>
      </c>
    </row>
    <row r="2224" spans="1:11" x14ac:dyDescent="0.25">
      <c r="A2224" s="1">
        <v>2223</v>
      </c>
      <c r="B2224" s="1">
        <v>2</v>
      </c>
      <c r="C2224" s="3">
        <v>2115270294800</v>
      </c>
      <c r="D2224" s="2">
        <v>44493.493055555555</v>
      </c>
      <c r="E2224" s="2">
        <v>44493.572916666664</v>
      </c>
      <c r="F2224" s="23">
        <f t="shared" si="102"/>
        <v>7.9861111109494232E-2</v>
      </c>
      <c r="G2224" s="24">
        <f t="shared" si="104"/>
        <v>156.52173913360375</v>
      </c>
      <c r="H2224" s="1" t="s">
        <v>1</v>
      </c>
      <c r="I2224" s="4" t="s">
        <v>2</v>
      </c>
      <c r="J2224" s="14">
        <v>0.49305555555555558</v>
      </c>
      <c r="K2224" s="20" t="str">
        <f t="shared" si="103"/>
        <v>1st Shift</v>
      </c>
    </row>
    <row r="2225" spans="1:11" x14ac:dyDescent="0.25">
      <c r="A2225" s="1">
        <v>2224</v>
      </c>
      <c r="B2225" s="1">
        <v>10</v>
      </c>
      <c r="C2225" s="3">
        <v>10115271964700</v>
      </c>
      <c r="D2225" s="2">
        <v>44493.659722222219</v>
      </c>
      <c r="E2225" s="2">
        <v>44493.684027777781</v>
      </c>
      <c r="F2225" s="23">
        <f t="shared" si="102"/>
        <v>2.4305555562023073E-2</v>
      </c>
      <c r="G2225" s="24">
        <f t="shared" si="104"/>
        <v>514.28571414886687</v>
      </c>
      <c r="H2225" s="1" t="s">
        <v>1</v>
      </c>
      <c r="I2225" s="4" t="s">
        <v>3</v>
      </c>
      <c r="J2225" s="14">
        <v>0.65972222222222221</v>
      </c>
      <c r="K2225" s="20" t="str">
        <f t="shared" si="103"/>
        <v>2nd Shift</v>
      </c>
    </row>
    <row r="2226" spans="1:11" x14ac:dyDescent="0.25">
      <c r="A2226" s="1">
        <v>2225</v>
      </c>
      <c r="B2226" s="1">
        <v>3</v>
      </c>
      <c r="C2226" s="3">
        <v>3115270318501</v>
      </c>
      <c r="D2226" s="2">
        <v>44493.788194444445</v>
      </c>
      <c r="E2226" s="2">
        <v>44493.854166666664</v>
      </c>
      <c r="F2226" s="23">
        <f t="shared" si="102"/>
        <v>6.5972222218988463E-2</v>
      </c>
      <c r="G2226" s="24">
        <f t="shared" si="104"/>
        <v>189.47368421981375</v>
      </c>
      <c r="H2226" s="1" t="s">
        <v>1</v>
      </c>
      <c r="I2226" s="4" t="s">
        <v>3</v>
      </c>
      <c r="J2226" s="14">
        <v>0.78819444444444442</v>
      </c>
      <c r="K2226" s="20" t="str">
        <f t="shared" si="103"/>
        <v>2nd Shift</v>
      </c>
    </row>
    <row r="2227" spans="1:11" x14ac:dyDescent="0.25">
      <c r="A2227" s="1">
        <v>2226</v>
      </c>
      <c r="B2227" s="1">
        <v>2</v>
      </c>
      <c r="C2227" s="3">
        <v>2115270283300</v>
      </c>
      <c r="D2227" s="2">
        <v>44493.788194444445</v>
      </c>
      <c r="E2227" s="2">
        <v>44493.854166666664</v>
      </c>
      <c r="F2227" s="23">
        <f t="shared" si="102"/>
        <v>6.5972222218988463E-2</v>
      </c>
      <c r="G2227" s="24">
        <f t="shared" si="104"/>
        <v>189.47368421981375</v>
      </c>
      <c r="H2227" s="1" t="s">
        <v>1</v>
      </c>
      <c r="I2227" s="4" t="s">
        <v>3</v>
      </c>
      <c r="J2227" s="14">
        <v>0.78819444444444442</v>
      </c>
      <c r="K2227" s="20" t="str">
        <f t="shared" si="103"/>
        <v>2nd Shift</v>
      </c>
    </row>
    <row r="2228" spans="1:11" x14ac:dyDescent="0.25">
      <c r="A2228" s="1">
        <v>2227</v>
      </c>
      <c r="B2228" s="1">
        <v>9</v>
      </c>
      <c r="C2228" s="3">
        <v>9115271930300</v>
      </c>
      <c r="D2228" s="2">
        <v>44494.364583333336</v>
      </c>
      <c r="E2228" s="2">
        <v>44494.409722222219</v>
      </c>
      <c r="F2228" s="23">
        <f t="shared" si="102"/>
        <v>4.5138888883229811E-2</v>
      </c>
      <c r="G2228" s="24">
        <f t="shared" si="104"/>
        <v>276.92307695779488</v>
      </c>
      <c r="H2228" s="1" t="s">
        <v>1</v>
      </c>
      <c r="I2228" s="4" t="s">
        <v>3</v>
      </c>
      <c r="J2228" s="14">
        <v>0.36458333333333331</v>
      </c>
      <c r="K2228" s="20" t="str">
        <f t="shared" si="103"/>
        <v>1st Shift</v>
      </c>
    </row>
    <row r="2229" spans="1:11" x14ac:dyDescent="0.25">
      <c r="A2229" s="1">
        <v>2228</v>
      </c>
      <c r="B2229" s="1">
        <v>2</v>
      </c>
      <c r="C2229" s="3">
        <v>2115270282200</v>
      </c>
      <c r="D2229" s="2">
        <v>44494.545138888891</v>
      </c>
      <c r="E2229" s="2">
        <v>44494.569444444445</v>
      </c>
      <c r="F2229" s="23">
        <f t="shared" si="102"/>
        <v>2.4305555554747116E-2</v>
      </c>
      <c r="G2229" s="24">
        <f t="shared" si="104"/>
        <v>514.28571430282022</v>
      </c>
      <c r="H2229" s="1" t="s">
        <v>1</v>
      </c>
      <c r="I2229" s="4" t="s">
        <v>3</v>
      </c>
      <c r="J2229" s="14">
        <v>0.54513888888888884</v>
      </c>
      <c r="K2229" s="20" t="str">
        <f t="shared" si="103"/>
        <v>1st Shift</v>
      </c>
    </row>
    <row r="2230" spans="1:11" x14ac:dyDescent="0.25">
      <c r="A2230" s="1">
        <v>2229</v>
      </c>
      <c r="B2230" s="1">
        <v>12</v>
      </c>
      <c r="C2230" s="3">
        <v>12115271561608</v>
      </c>
      <c r="D2230" s="2">
        <v>44494.659722222219</v>
      </c>
      <c r="E2230" s="2">
        <v>44494.729166666664</v>
      </c>
      <c r="F2230" s="23">
        <f t="shared" si="102"/>
        <v>6.9444444445252884E-2</v>
      </c>
      <c r="G2230" s="24">
        <f t="shared" si="104"/>
        <v>179.99999999790452</v>
      </c>
      <c r="H2230" s="1" t="s">
        <v>1</v>
      </c>
      <c r="I2230" s="4" t="s">
        <v>3</v>
      </c>
      <c r="J2230" s="14">
        <v>0.65972222222222221</v>
      </c>
      <c r="K2230" s="20" t="str">
        <f t="shared" si="103"/>
        <v>2nd Shift</v>
      </c>
    </row>
    <row r="2231" spans="1:11" x14ac:dyDescent="0.25">
      <c r="A2231" s="1">
        <v>2230</v>
      </c>
      <c r="B2231" s="1">
        <v>7</v>
      </c>
      <c r="C2231" s="3">
        <v>7115271754002</v>
      </c>
      <c r="D2231" s="2">
        <v>44494.659722222219</v>
      </c>
      <c r="E2231" s="2">
        <v>44494.729166666664</v>
      </c>
      <c r="F2231" s="23">
        <f t="shared" si="102"/>
        <v>6.9444444445252884E-2</v>
      </c>
      <c r="G2231" s="24">
        <f t="shared" si="104"/>
        <v>179.99999999790452</v>
      </c>
      <c r="H2231" s="1" t="s">
        <v>1</v>
      </c>
      <c r="I2231" s="4" t="s">
        <v>3</v>
      </c>
      <c r="J2231" s="14">
        <v>0.65972222222222221</v>
      </c>
      <c r="K2231" s="20" t="str">
        <f t="shared" si="103"/>
        <v>2nd Shift</v>
      </c>
    </row>
    <row r="2232" spans="1:11" x14ac:dyDescent="0.25">
      <c r="A2232" s="1">
        <v>2231</v>
      </c>
      <c r="B2232" s="1">
        <v>6</v>
      </c>
      <c r="C2232" s="3">
        <v>6115271736302</v>
      </c>
      <c r="D2232" s="2">
        <v>44494.659722222219</v>
      </c>
      <c r="E2232" s="2">
        <v>44494.729166666664</v>
      </c>
      <c r="F2232" s="23">
        <f t="shared" si="102"/>
        <v>6.9444444445252884E-2</v>
      </c>
      <c r="G2232" s="24">
        <f t="shared" si="104"/>
        <v>179.99999999790452</v>
      </c>
      <c r="H2232" s="1" t="s">
        <v>1</v>
      </c>
      <c r="I2232" s="4" t="s">
        <v>3</v>
      </c>
      <c r="J2232" s="14">
        <v>0.65972222222222221</v>
      </c>
      <c r="K2232" s="20" t="str">
        <f t="shared" si="103"/>
        <v>2nd Shift</v>
      </c>
    </row>
    <row r="2233" spans="1:11" x14ac:dyDescent="0.25">
      <c r="A2233" s="1">
        <v>2232</v>
      </c>
      <c r="B2233" s="1">
        <v>3</v>
      </c>
      <c r="C2233" s="3">
        <v>3115270379903</v>
      </c>
      <c r="D2233" s="2">
        <v>44494.659722222219</v>
      </c>
      <c r="E2233" s="2">
        <v>44494.729166666664</v>
      </c>
      <c r="F2233" s="23">
        <f t="shared" si="102"/>
        <v>6.9444444445252884E-2</v>
      </c>
      <c r="G2233" s="24">
        <f t="shared" si="104"/>
        <v>179.99999999790452</v>
      </c>
      <c r="H2233" s="1" t="s">
        <v>1</v>
      </c>
      <c r="I2233" s="4" t="s">
        <v>3</v>
      </c>
      <c r="J2233" s="14">
        <v>0.65972222222222221</v>
      </c>
      <c r="K2233" s="20" t="str">
        <f t="shared" si="103"/>
        <v>2nd Shift</v>
      </c>
    </row>
    <row r="2234" spans="1:11" x14ac:dyDescent="0.25">
      <c r="A2234" s="1">
        <v>2233</v>
      </c>
      <c r="B2234" s="1">
        <v>3</v>
      </c>
      <c r="C2234" s="3">
        <v>3115270355901</v>
      </c>
      <c r="D2234" s="2">
        <v>44494.659722222219</v>
      </c>
      <c r="E2234" s="2">
        <v>44494.729166666664</v>
      </c>
      <c r="F2234" s="23">
        <f t="shared" si="102"/>
        <v>6.9444444445252884E-2</v>
      </c>
      <c r="G2234" s="24">
        <f t="shared" si="104"/>
        <v>179.99999999790452</v>
      </c>
      <c r="H2234" s="1" t="s">
        <v>1</v>
      </c>
      <c r="I2234" s="4" t="s">
        <v>2</v>
      </c>
      <c r="J2234" s="14">
        <v>0.65972222222222221</v>
      </c>
      <c r="K2234" s="20" t="str">
        <f t="shared" si="103"/>
        <v>2nd Shift</v>
      </c>
    </row>
    <row r="2235" spans="1:11" x14ac:dyDescent="0.25">
      <c r="A2235" s="1">
        <v>2234</v>
      </c>
      <c r="B2235" s="1">
        <v>14</v>
      </c>
      <c r="C2235" s="3">
        <v>14115271687633</v>
      </c>
      <c r="D2235" s="2">
        <v>44495.444444444445</v>
      </c>
      <c r="E2235" s="2">
        <v>44495.541666666664</v>
      </c>
      <c r="F2235" s="23">
        <f t="shared" si="102"/>
        <v>9.7222222218988463E-2</v>
      </c>
      <c r="G2235" s="24">
        <f t="shared" si="104"/>
        <v>128.57142857570506</v>
      </c>
      <c r="H2235" s="1" t="s">
        <v>1</v>
      </c>
      <c r="I2235" s="4" t="s">
        <v>2</v>
      </c>
      <c r="J2235" s="14">
        <v>0.44444444444444442</v>
      </c>
      <c r="K2235" s="20" t="str">
        <f t="shared" si="103"/>
        <v>1st Shift</v>
      </c>
    </row>
    <row r="2236" spans="1:11" x14ac:dyDescent="0.25">
      <c r="A2236" s="1">
        <v>2235</v>
      </c>
      <c r="B2236" s="1">
        <v>7</v>
      </c>
      <c r="C2236" s="3">
        <v>7115271771600</v>
      </c>
      <c r="D2236" s="2">
        <v>44495.444444444445</v>
      </c>
      <c r="E2236" s="2">
        <v>44495.541666666664</v>
      </c>
      <c r="F2236" s="23">
        <f t="shared" si="102"/>
        <v>9.7222222218988463E-2</v>
      </c>
      <c r="G2236" s="24">
        <f t="shared" si="104"/>
        <v>128.57142857570506</v>
      </c>
      <c r="H2236" s="1" t="s">
        <v>1</v>
      </c>
      <c r="I2236" s="4" t="s">
        <v>2</v>
      </c>
      <c r="J2236" s="14">
        <v>0.44444444444444442</v>
      </c>
      <c r="K2236" s="20" t="str">
        <f t="shared" si="103"/>
        <v>1st Shift</v>
      </c>
    </row>
    <row r="2237" spans="1:11" x14ac:dyDescent="0.25">
      <c r="A2237" s="1">
        <v>2236</v>
      </c>
      <c r="B2237" s="1">
        <v>13</v>
      </c>
      <c r="C2237" s="3">
        <v>13115271590508</v>
      </c>
      <c r="D2237" s="2">
        <v>44495.65625</v>
      </c>
      <c r="E2237" s="2">
        <v>44495.6875</v>
      </c>
      <c r="F2237" s="23">
        <f t="shared" si="102"/>
        <v>3.125E-2</v>
      </c>
      <c r="G2237" s="24">
        <f t="shared" si="104"/>
        <v>400</v>
      </c>
      <c r="H2237" s="1" t="s">
        <v>1</v>
      </c>
      <c r="I2237" s="4" t="s">
        <v>2</v>
      </c>
      <c r="J2237" s="14">
        <v>0.65625</v>
      </c>
      <c r="K2237" s="20" t="str">
        <f t="shared" si="103"/>
        <v>2nd Shift</v>
      </c>
    </row>
    <row r="2238" spans="1:11" x14ac:dyDescent="0.25">
      <c r="A2238" s="1">
        <v>2237</v>
      </c>
      <c r="B2238" s="1">
        <v>3</v>
      </c>
      <c r="C2238" s="3">
        <v>3115270310505</v>
      </c>
      <c r="D2238" s="2">
        <v>44495.729166666664</v>
      </c>
      <c r="E2238" s="2">
        <v>44495.75</v>
      </c>
      <c r="F2238" s="23">
        <f t="shared" si="102"/>
        <v>2.0833333335758653E-2</v>
      </c>
      <c r="G2238" s="24">
        <f t="shared" si="104"/>
        <v>599.99999993015081</v>
      </c>
      <c r="H2238" s="1" t="s">
        <v>1</v>
      </c>
      <c r="I2238" s="4" t="s">
        <v>2</v>
      </c>
      <c r="J2238" s="14">
        <v>0.72916666666666663</v>
      </c>
      <c r="K2238" s="20" t="str">
        <f t="shared" si="103"/>
        <v>2nd Shift</v>
      </c>
    </row>
    <row r="2239" spans="1:11" x14ac:dyDescent="0.25">
      <c r="A2239" s="1">
        <v>2238</v>
      </c>
      <c r="B2239" s="1">
        <v>10</v>
      </c>
      <c r="C2239" s="3">
        <v>10115271967801</v>
      </c>
      <c r="D2239" s="2">
        <v>44495.770833333336</v>
      </c>
      <c r="E2239" s="2">
        <v>44495.833333333336</v>
      </c>
      <c r="F2239" s="23">
        <f t="shared" si="102"/>
        <v>6.25E-2</v>
      </c>
      <c r="G2239" s="24">
        <f t="shared" si="104"/>
        <v>200</v>
      </c>
      <c r="H2239" s="1" t="s">
        <v>1</v>
      </c>
      <c r="I2239" s="4" t="s">
        <v>3</v>
      </c>
      <c r="J2239" s="14">
        <v>0.77083333333333337</v>
      </c>
      <c r="K2239" s="20" t="str">
        <f t="shared" si="103"/>
        <v>2nd Shift</v>
      </c>
    </row>
    <row r="2240" spans="1:11" x14ac:dyDescent="0.25">
      <c r="A2240" s="1">
        <v>2239</v>
      </c>
      <c r="B2240" s="1">
        <v>3</v>
      </c>
      <c r="C2240" s="3">
        <v>3115270343200</v>
      </c>
      <c r="D2240" s="2">
        <v>44495.770833333336</v>
      </c>
      <c r="E2240" s="2">
        <v>44495.833333333336</v>
      </c>
      <c r="F2240" s="23">
        <f t="shared" si="102"/>
        <v>6.25E-2</v>
      </c>
      <c r="G2240" s="24">
        <f t="shared" si="104"/>
        <v>200</v>
      </c>
      <c r="H2240" s="1" t="s">
        <v>1</v>
      </c>
      <c r="I2240" s="4" t="s">
        <v>2</v>
      </c>
      <c r="J2240" s="14">
        <v>0.77083333333333337</v>
      </c>
      <c r="K2240" s="20" t="str">
        <f t="shared" si="103"/>
        <v>2nd Shift</v>
      </c>
    </row>
    <row r="2241" spans="1:11" x14ac:dyDescent="0.25">
      <c r="A2241" s="1">
        <v>2240</v>
      </c>
      <c r="B2241" s="1">
        <v>13</v>
      </c>
      <c r="C2241" s="3">
        <v>13115271422301</v>
      </c>
      <c r="D2241" s="2">
        <v>44495.958333333336</v>
      </c>
      <c r="E2241" s="2">
        <v>44496.041666666664</v>
      </c>
      <c r="F2241" s="23">
        <f t="shared" si="102"/>
        <v>8.3333333328482695E-2</v>
      </c>
      <c r="G2241" s="24">
        <f t="shared" si="104"/>
        <v>150.00000000873115</v>
      </c>
      <c r="H2241" s="1" t="s">
        <v>1</v>
      </c>
      <c r="I2241" s="4" t="s">
        <v>3</v>
      </c>
      <c r="J2241" s="14">
        <v>0.95833333333333337</v>
      </c>
      <c r="K2241" s="20" t="str">
        <f t="shared" si="103"/>
        <v>3rd Shift</v>
      </c>
    </row>
    <row r="2242" spans="1:11" x14ac:dyDescent="0.25">
      <c r="A2242" s="1">
        <v>2241</v>
      </c>
      <c r="B2242" s="1">
        <v>3</v>
      </c>
      <c r="C2242" s="3">
        <v>3115270349400</v>
      </c>
      <c r="D2242" s="2">
        <v>44495.958333333336</v>
      </c>
      <c r="E2242" s="2">
        <v>44496.041666666664</v>
      </c>
      <c r="F2242" s="23">
        <f t="shared" ref="F2242:F2305" si="105">E2242-D2242</f>
        <v>8.3333333328482695E-2</v>
      </c>
      <c r="G2242" s="24">
        <f t="shared" si="104"/>
        <v>150.00000000873115</v>
      </c>
      <c r="H2242" s="1" t="s">
        <v>1</v>
      </c>
      <c r="I2242" s="4" t="s">
        <v>3</v>
      </c>
      <c r="J2242" s="14">
        <v>0.95833333333333337</v>
      </c>
      <c r="K2242" s="20" t="str">
        <f t="shared" ref="K2242:K2305" si="106">IF(AND(J2242&gt;=$M$3,J2242&lt;$M$4),"1st Shift",IF(AND(J2242&gt;=$M$4,J2242&lt;$M$5),"2nd Shift","3rd Shift"))</f>
        <v>3rd Shift</v>
      </c>
    </row>
    <row r="2243" spans="1:11" x14ac:dyDescent="0.25">
      <c r="A2243" s="1">
        <v>2242</v>
      </c>
      <c r="B2243" s="1">
        <v>11</v>
      </c>
      <c r="C2243" s="3">
        <v>11115271542606</v>
      </c>
      <c r="D2243" s="2">
        <v>44496.420138888891</v>
      </c>
      <c r="E2243" s="2">
        <v>44496.534722222219</v>
      </c>
      <c r="F2243" s="23">
        <f t="shared" si="105"/>
        <v>0.11458333332848269</v>
      </c>
      <c r="G2243" s="24">
        <f t="shared" ref="G2243:G2306" si="107">$M$9/F2243*100</f>
        <v>109.09090909552721</v>
      </c>
      <c r="H2243" s="1" t="s">
        <v>1</v>
      </c>
      <c r="I2243" s="4" t="s">
        <v>3</v>
      </c>
      <c r="J2243" s="14">
        <v>0.4201388888888889</v>
      </c>
      <c r="K2243" s="20" t="str">
        <f t="shared" si="106"/>
        <v>1st Shift</v>
      </c>
    </row>
    <row r="2244" spans="1:11" x14ac:dyDescent="0.25">
      <c r="A2244" s="1">
        <v>2243</v>
      </c>
      <c r="B2244" s="1">
        <v>8</v>
      </c>
      <c r="C2244" s="3">
        <v>8115270613301</v>
      </c>
      <c r="D2244" s="2">
        <v>44496.420138888891</v>
      </c>
      <c r="E2244" s="2">
        <v>44496.534722222219</v>
      </c>
      <c r="F2244" s="23">
        <f t="shared" si="105"/>
        <v>0.11458333332848269</v>
      </c>
      <c r="G2244" s="24">
        <f t="shared" si="107"/>
        <v>109.09090909552721</v>
      </c>
      <c r="H2244" s="1" t="s">
        <v>1</v>
      </c>
      <c r="I2244" s="4" t="s">
        <v>3</v>
      </c>
      <c r="J2244" s="14">
        <v>0.4201388888888889</v>
      </c>
      <c r="K2244" s="20" t="str">
        <f t="shared" si="106"/>
        <v>1st Shift</v>
      </c>
    </row>
    <row r="2245" spans="1:11" x14ac:dyDescent="0.25">
      <c r="A2245" s="1">
        <v>2244</v>
      </c>
      <c r="B2245" s="1">
        <v>7</v>
      </c>
      <c r="C2245" s="3">
        <v>7115271760200</v>
      </c>
      <c r="D2245" s="2">
        <v>44496.420138888891</v>
      </c>
      <c r="E2245" s="2">
        <v>44496.534722222219</v>
      </c>
      <c r="F2245" s="23">
        <f t="shared" si="105"/>
        <v>0.11458333332848269</v>
      </c>
      <c r="G2245" s="24">
        <f t="shared" si="107"/>
        <v>109.09090909552721</v>
      </c>
      <c r="H2245" s="1" t="s">
        <v>1</v>
      </c>
      <c r="I2245" s="4" t="s">
        <v>2</v>
      </c>
      <c r="J2245" s="14">
        <v>0.4201388888888889</v>
      </c>
      <c r="K2245" s="20" t="str">
        <f t="shared" si="106"/>
        <v>1st Shift</v>
      </c>
    </row>
    <row r="2246" spans="1:11" x14ac:dyDescent="0.25">
      <c r="A2246" s="1">
        <v>2245</v>
      </c>
      <c r="B2246" s="1">
        <v>2</v>
      </c>
      <c r="C2246" s="3">
        <v>2115270250100</v>
      </c>
      <c r="D2246" s="2">
        <v>44496.420138888891</v>
      </c>
      <c r="E2246" s="2">
        <v>44496.534722222219</v>
      </c>
      <c r="F2246" s="23">
        <f t="shared" si="105"/>
        <v>0.11458333332848269</v>
      </c>
      <c r="G2246" s="24">
        <f t="shared" si="107"/>
        <v>109.09090909552721</v>
      </c>
      <c r="H2246" s="1" t="s">
        <v>1</v>
      </c>
      <c r="I2246" s="4" t="s">
        <v>2</v>
      </c>
      <c r="J2246" s="14">
        <v>0.4201388888888889</v>
      </c>
      <c r="K2246" s="20" t="str">
        <f t="shared" si="106"/>
        <v>1st Shift</v>
      </c>
    </row>
    <row r="2247" spans="1:11" x14ac:dyDescent="0.25">
      <c r="A2247" s="1">
        <v>2246</v>
      </c>
      <c r="B2247" s="1">
        <v>15</v>
      </c>
      <c r="C2247" s="3">
        <v>15115271781001</v>
      </c>
      <c r="D2247" s="2">
        <v>44496.555555555555</v>
      </c>
      <c r="E2247" s="2">
        <v>44496.583333333336</v>
      </c>
      <c r="F2247" s="23">
        <f t="shared" si="105"/>
        <v>2.7777777781011537E-2</v>
      </c>
      <c r="G2247" s="24">
        <f t="shared" si="107"/>
        <v>449.99999994761311</v>
      </c>
      <c r="H2247" s="1" t="s">
        <v>1</v>
      </c>
      <c r="I2247" s="4" t="s">
        <v>3</v>
      </c>
      <c r="J2247" s="14">
        <v>0.55555555555555558</v>
      </c>
      <c r="K2247" s="20" t="str">
        <f t="shared" si="106"/>
        <v>1st Shift</v>
      </c>
    </row>
    <row r="2248" spans="1:11" x14ac:dyDescent="0.25">
      <c r="A2248" s="1">
        <v>2247</v>
      </c>
      <c r="B2248" s="1">
        <v>44</v>
      </c>
      <c r="C2248" s="3">
        <v>44115271796624</v>
      </c>
      <c r="D2248" s="2">
        <v>44496.663194444445</v>
      </c>
      <c r="E2248" s="2">
        <v>44496.784722222219</v>
      </c>
      <c r="F2248" s="23">
        <f t="shared" si="105"/>
        <v>0.12152777777373558</v>
      </c>
      <c r="G2248" s="24">
        <f t="shared" si="107"/>
        <v>102.85714286056404</v>
      </c>
      <c r="H2248" s="1" t="s">
        <v>1</v>
      </c>
      <c r="I2248" s="4" t="s">
        <v>2</v>
      </c>
      <c r="J2248" s="14">
        <v>0.66319444444444442</v>
      </c>
      <c r="K2248" s="20" t="str">
        <f t="shared" si="106"/>
        <v>2nd Shift</v>
      </c>
    </row>
    <row r="2249" spans="1:11" x14ac:dyDescent="0.25">
      <c r="A2249" s="1">
        <v>2248</v>
      </c>
      <c r="B2249" s="1">
        <v>12</v>
      </c>
      <c r="C2249" s="3">
        <v>12115271569402</v>
      </c>
      <c r="D2249" s="2">
        <v>44496.663194444445</v>
      </c>
      <c r="E2249" s="2">
        <v>44496.784722222219</v>
      </c>
      <c r="F2249" s="23">
        <f t="shared" si="105"/>
        <v>0.12152777777373558</v>
      </c>
      <c r="G2249" s="24">
        <f t="shared" si="107"/>
        <v>102.85714286056404</v>
      </c>
      <c r="H2249" s="1" t="s">
        <v>1</v>
      </c>
      <c r="I2249" s="4" t="s">
        <v>2</v>
      </c>
      <c r="J2249" s="14">
        <v>0.66319444444444442</v>
      </c>
      <c r="K2249" s="20" t="str">
        <f t="shared" si="106"/>
        <v>2nd Shift</v>
      </c>
    </row>
    <row r="2250" spans="1:11" x14ac:dyDescent="0.25">
      <c r="A2250" s="1">
        <v>2249</v>
      </c>
      <c r="B2250" s="1">
        <v>7</v>
      </c>
      <c r="C2250" s="3">
        <v>7115271767804</v>
      </c>
      <c r="D2250" s="2">
        <v>44496.663194444445</v>
      </c>
      <c r="E2250" s="2">
        <v>44496.784722222219</v>
      </c>
      <c r="F2250" s="23">
        <f t="shared" si="105"/>
        <v>0.12152777777373558</v>
      </c>
      <c r="G2250" s="24">
        <f t="shared" si="107"/>
        <v>102.85714286056404</v>
      </c>
      <c r="H2250" s="1" t="s">
        <v>1</v>
      </c>
      <c r="I2250" s="4" t="s">
        <v>3</v>
      </c>
      <c r="J2250" s="14">
        <v>0.66319444444444442</v>
      </c>
      <c r="K2250" s="20" t="str">
        <f t="shared" si="106"/>
        <v>2nd Shift</v>
      </c>
    </row>
    <row r="2251" spans="1:11" x14ac:dyDescent="0.25">
      <c r="A2251" s="1">
        <v>2250</v>
      </c>
      <c r="B2251" s="1">
        <v>3</v>
      </c>
      <c r="C2251" s="3">
        <v>3115270817004</v>
      </c>
      <c r="D2251" s="2">
        <v>44496.663194444445</v>
      </c>
      <c r="E2251" s="2">
        <v>44496.784722222219</v>
      </c>
      <c r="F2251" s="23">
        <f t="shared" si="105"/>
        <v>0.12152777777373558</v>
      </c>
      <c r="G2251" s="24">
        <f t="shared" si="107"/>
        <v>102.85714286056404</v>
      </c>
      <c r="H2251" s="1" t="s">
        <v>1</v>
      </c>
      <c r="I2251" s="4" t="s">
        <v>3</v>
      </c>
      <c r="J2251" s="14">
        <v>0.66319444444444442</v>
      </c>
      <c r="K2251" s="20" t="str">
        <f t="shared" si="106"/>
        <v>2nd Shift</v>
      </c>
    </row>
    <row r="2252" spans="1:11" x14ac:dyDescent="0.25">
      <c r="A2252" s="1">
        <v>2251</v>
      </c>
      <c r="B2252" s="1">
        <v>3</v>
      </c>
      <c r="C2252" s="3">
        <v>3115270392600</v>
      </c>
      <c r="D2252" s="2">
        <v>44496.802083333336</v>
      </c>
      <c r="E2252" s="2">
        <v>44496.90625</v>
      </c>
      <c r="F2252" s="23">
        <f t="shared" si="105"/>
        <v>0.10416666666424135</v>
      </c>
      <c r="G2252" s="24">
        <f t="shared" si="107"/>
        <v>120.00000000279397</v>
      </c>
      <c r="H2252" s="1" t="s">
        <v>1</v>
      </c>
      <c r="I2252" s="4" t="s">
        <v>2</v>
      </c>
      <c r="J2252" s="14">
        <v>0.80208333333333337</v>
      </c>
      <c r="K2252" s="20" t="str">
        <f t="shared" si="106"/>
        <v>2nd Shift</v>
      </c>
    </row>
    <row r="2253" spans="1:11" x14ac:dyDescent="0.25">
      <c r="A2253" s="1">
        <v>2252</v>
      </c>
      <c r="B2253" s="1">
        <v>2</v>
      </c>
      <c r="C2253" s="3">
        <v>2115270292302</v>
      </c>
      <c r="D2253" s="2">
        <v>44496.802083333336</v>
      </c>
      <c r="E2253" s="2">
        <v>44496.90625</v>
      </c>
      <c r="F2253" s="23">
        <f t="shared" si="105"/>
        <v>0.10416666666424135</v>
      </c>
      <c r="G2253" s="24">
        <f t="shared" si="107"/>
        <v>120.00000000279397</v>
      </c>
      <c r="H2253" s="1" t="s">
        <v>1</v>
      </c>
      <c r="I2253" s="4" t="s">
        <v>2</v>
      </c>
      <c r="J2253" s="14">
        <v>0.80208333333333337</v>
      </c>
      <c r="K2253" s="20" t="str">
        <f t="shared" si="106"/>
        <v>2nd Shift</v>
      </c>
    </row>
    <row r="2254" spans="1:11" x14ac:dyDescent="0.25">
      <c r="A2254" s="1">
        <v>2253</v>
      </c>
      <c r="B2254" s="1">
        <v>1</v>
      </c>
      <c r="C2254" s="3">
        <v>1115270060100</v>
      </c>
      <c r="D2254" s="2">
        <v>44496.802083333336</v>
      </c>
      <c r="E2254" s="2">
        <v>44496.90625</v>
      </c>
      <c r="F2254" s="23">
        <f t="shared" si="105"/>
        <v>0.10416666666424135</v>
      </c>
      <c r="G2254" s="24">
        <f t="shared" si="107"/>
        <v>120.00000000279397</v>
      </c>
      <c r="H2254" s="1" t="s">
        <v>1</v>
      </c>
      <c r="I2254" s="4" t="s">
        <v>3</v>
      </c>
      <c r="J2254" s="14">
        <v>0.80208333333333337</v>
      </c>
      <c r="K2254" s="20" t="str">
        <f t="shared" si="106"/>
        <v>2nd Shift</v>
      </c>
    </row>
    <row r="2255" spans="1:11" x14ac:dyDescent="0.25">
      <c r="A2255" s="1">
        <v>2254</v>
      </c>
      <c r="B2255" s="1">
        <v>7</v>
      </c>
      <c r="C2255" s="3">
        <v>7115271767300</v>
      </c>
      <c r="D2255" s="2">
        <v>44497.375</v>
      </c>
      <c r="E2255" s="2">
        <v>44497.458333333336</v>
      </c>
      <c r="F2255" s="23">
        <f t="shared" si="105"/>
        <v>8.3333333335758653E-2</v>
      </c>
      <c r="G2255" s="24">
        <f t="shared" si="107"/>
        <v>149.99999999563443</v>
      </c>
      <c r="H2255" s="1" t="s">
        <v>1</v>
      </c>
      <c r="I2255" s="4" t="s">
        <v>2</v>
      </c>
      <c r="J2255" s="14">
        <v>0.375</v>
      </c>
      <c r="K2255" s="20" t="str">
        <f t="shared" si="106"/>
        <v>1st Shift</v>
      </c>
    </row>
    <row r="2256" spans="1:11" x14ac:dyDescent="0.25">
      <c r="A2256" s="1">
        <v>2255</v>
      </c>
      <c r="B2256" s="1">
        <v>1</v>
      </c>
      <c r="C2256" s="3">
        <v>1115270127500</v>
      </c>
      <c r="D2256" s="2">
        <v>44497.375</v>
      </c>
      <c r="E2256" s="2">
        <v>44497.458333333336</v>
      </c>
      <c r="F2256" s="23">
        <f t="shared" si="105"/>
        <v>8.3333333335758653E-2</v>
      </c>
      <c r="G2256" s="24">
        <f t="shared" si="107"/>
        <v>149.99999999563443</v>
      </c>
      <c r="H2256" s="1" t="s">
        <v>1</v>
      </c>
      <c r="I2256" s="4" t="s">
        <v>2</v>
      </c>
      <c r="J2256" s="14">
        <v>0.375</v>
      </c>
      <c r="K2256" s="20" t="str">
        <f t="shared" si="106"/>
        <v>1st Shift</v>
      </c>
    </row>
    <row r="2257" spans="1:11" x14ac:dyDescent="0.25">
      <c r="A2257" s="1">
        <v>2256</v>
      </c>
      <c r="B2257" s="1">
        <v>12</v>
      </c>
      <c r="C2257" s="3">
        <v>12115271560130</v>
      </c>
      <c r="D2257" s="2">
        <v>44497.479166666664</v>
      </c>
      <c r="E2257" s="2">
        <v>44497.517361111109</v>
      </c>
      <c r="F2257" s="23">
        <f t="shared" si="105"/>
        <v>3.8194444445252884E-2</v>
      </c>
      <c r="G2257" s="24">
        <f t="shared" si="107"/>
        <v>327.27272726580009</v>
      </c>
      <c r="H2257" s="1" t="s">
        <v>1</v>
      </c>
      <c r="I2257" s="4" t="s">
        <v>2</v>
      </c>
      <c r="J2257" s="14">
        <v>0.47916666666666669</v>
      </c>
      <c r="K2257" s="20" t="str">
        <f t="shared" si="106"/>
        <v>1st Shift</v>
      </c>
    </row>
    <row r="2258" spans="1:11" x14ac:dyDescent="0.25">
      <c r="A2258" s="1">
        <v>2257</v>
      </c>
      <c r="B2258" s="1">
        <v>7</v>
      </c>
      <c r="C2258" s="3">
        <v>7115271767606</v>
      </c>
      <c r="D2258" s="2">
        <v>44497.545138888891</v>
      </c>
      <c r="E2258" s="2">
        <v>44497.579861111109</v>
      </c>
      <c r="F2258" s="23">
        <f t="shared" si="105"/>
        <v>3.4722222218988463E-2</v>
      </c>
      <c r="G2258" s="24">
        <f t="shared" si="107"/>
        <v>360.00000003352761</v>
      </c>
      <c r="H2258" s="1" t="s">
        <v>1</v>
      </c>
      <c r="I2258" s="4" t="s">
        <v>3</v>
      </c>
      <c r="J2258" s="14">
        <v>0.54513888888888884</v>
      </c>
      <c r="K2258" s="20" t="str">
        <f t="shared" si="106"/>
        <v>1st Shift</v>
      </c>
    </row>
    <row r="2259" spans="1:11" x14ac:dyDescent="0.25">
      <c r="A2259" s="1">
        <v>2258</v>
      </c>
      <c r="B2259" s="1">
        <v>3</v>
      </c>
      <c r="C2259" s="3">
        <v>3115270350300</v>
      </c>
      <c r="D2259" s="2">
        <v>44497.638888888891</v>
      </c>
      <c r="E2259" s="2">
        <v>44497.666666666664</v>
      </c>
      <c r="F2259" s="23">
        <f t="shared" si="105"/>
        <v>2.7777777773735579E-2</v>
      </c>
      <c r="G2259" s="24">
        <f t="shared" si="107"/>
        <v>450.00000006548362</v>
      </c>
      <c r="H2259" s="1" t="s">
        <v>1</v>
      </c>
      <c r="I2259" s="4" t="s">
        <v>3</v>
      </c>
      <c r="J2259" s="14">
        <v>0.63888888888888884</v>
      </c>
      <c r="K2259" s="20" t="str">
        <f t="shared" si="106"/>
        <v>2nd Shift</v>
      </c>
    </row>
    <row r="2260" spans="1:11" x14ac:dyDescent="0.25">
      <c r="A2260" s="1">
        <v>2259</v>
      </c>
      <c r="B2260" s="1">
        <v>14</v>
      </c>
      <c r="C2260" s="3">
        <v>14115271672351</v>
      </c>
      <c r="D2260" s="2">
        <v>44498.402777777781</v>
      </c>
      <c r="E2260" s="2">
        <v>44498.451388888891</v>
      </c>
      <c r="F2260" s="23">
        <f t="shared" si="105"/>
        <v>4.8611111109494232E-2</v>
      </c>
      <c r="G2260" s="24">
        <f t="shared" si="107"/>
        <v>257.14285715141011</v>
      </c>
      <c r="H2260" s="1" t="s">
        <v>1</v>
      </c>
      <c r="I2260" s="4" t="s">
        <v>2</v>
      </c>
      <c r="J2260" s="14">
        <v>0.40277777777777779</v>
      </c>
      <c r="K2260" s="20" t="str">
        <f t="shared" si="106"/>
        <v>1st Shift</v>
      </c>
    </row>
    <row r="2261" spans="1:11" x14ac:dyDescent="0.25">
      <c r="A2261" s="1">
        <v>2260</v>
      </c>
      <c r="B2261" s="1">
        <v>10</v>
      </c>
      <c r="C2261" s="3">
        <v>10115271455800</v>
      </c>
      <c r="D2261" s="2">
        <v>44498.504166666666</v>
      </c>
      <c r="E2261" s="2">
        <v>44498.582638888889</v>
      </c>
      <c r="F2261" s="23">
        <f t="shared" si="105"/>
        <v>7.8472222223354038E-2</v>
      </c>
      <c r="G2261" s="24">
        <f t="shared" si="107"/>
        <v>159.2920353959326</v>
      </c>
      <c r="H2261" s="1" t="s">
        <v>1</v>
      </c>
      <c r="I2261" s="4" t="s">
        <v>3</v>
      </c>
      <c r="J2261" s="14">
        <v>0.50416666666666665</v>
      </c>
      <c r="K2261" s="20" t="str">
        <f t="shared" si="106"/>
        <v>1st Shift</v>
      </c>
    </row>
    <row r="2262" spans="1:11" x14ac:dyDescent="0.25">
      <c r="A2262" s="1">
        <v>2261</v>
      </c>
      <c r="B2262" s="1">
        <v>1</v>
      </c>
      <c r="C2262" s="3">
        <v>1115270121700</v>
      </c>
      <c r="D2262" s="2">
        <v>44498.504166666666</v>
      </c>
      <c r="E2262" s="2">
        <v>44498.582638888889</v>
      </c>
      <c r="F2262" s="23">
        <f t="shared" si="105"/>
        <v>7.8472222223354038E-2</v>
      </c>
      <c r="G2262" s="24">
        <f t="shared" si="107"/>
        <v>159.2920353959326</v>
      </c>
      <c r="H2262" s="1" t="s">
        <v>1</v>
      </c>
      <c r="I2262" s="4" t="s">
        <v>3</v>
      </c>
      <c r="J2262" s="14">
        <v>0.50416666666666665</v>
      </c>
      <c r="K2262" s="20" t="str">
        <f t="shared" si="106"/>
        <v>1st Shift</v>
      </c>
    </row>
    <row r="2263" spans="1:11" x14ac:dyDescent="0.25">
      <c r="A2263" s="1">
        <v>2262</v>
      </c>
      <c r="B2263" s="1">
        <v>3</v>
      </c>
      <c r="C2263" s="3">
        <v>3115270421200</v>
      </c>
      <c r="D2263" s="2">
        <v>44498.694444444445</v>
      </c>
      <c r="E2263" s="2">
        <v>44498.722222222219</v>
      </c>
      <c r="F2263" s="23">
        <f t="shared" si="105"/>
        <v>2.7777777773735579E-2</v>
      </c>
      <c r="G2263" s="24">
        <f t="shared" si="107"/>
        <v>450.00000006548362</v>
      </c>
      <c r="H2263" s="1" t="s">
        <v>1</v>
      </c>
      <c r="I2263" s="4" t="s">
        <v>2</v>
      </c>
      <c r="J2263" s="14">
        <v>0.69444444444444442</v>
      </c>
      <c r="K2263" s="20" t="str">
        <f t="shared" si="106"/>
        <v>2nd Shift</v>
      </c>
    </row>
    <row r="2264" spans="1:11" x14ac:dyDescent="0.25">
      <c r="A2264" s="1">
        <v>2263</v>
      </c>
      <c r="B2264" s="1">
        <v>6</v>
      </c>
      <c r="C2264" s="3">
        <v>6115271750914</v>
      </c>
      <c r="D2264" s="2">
        <v>44498.784722222219</v>
      </c>
      <c r="E2264" s="2">
        <v>44498.815972222219</v>
      </c>
      <c r="F2264" s="23">
        <f t="shared" si="105"/>
        <v>3.125E-2</v>
      </c>
      <c r="G2264" s="24">
        <f t="shared" si="107"/>
        <v>400</v>
      </c>
      <c r="H2264" s="1" t="s">
        <v>1</v>
      </c>
      <c r="I2264" s="4" t="s">
        <v>2</v>
      </c>
      <c r="J2264" s="14">
        <v>0.78472222222222221</v>
      </c>
      <c r="K2264" s="20" t="str">
        <f t="shared" si="106"/>
        <v>2nd Shift</v>
      </c>
    </row>
    <row r="2265" spans="1:11" x14ac:dyDescent="0.25">
      <c r="A2265" s="1">
        <v>2264</v>
      </c>
      <c r="B2265" s="1">
        <v>8</v>
      </c>
      <c r="C2265" s="3">
        <v>8115270613400</v>
      </c>
      <c r="D2265" s="2">
        <v>44499.388888888891</v>
      </c>
      <c r="E2265" s="2">
        <v>44499.472222222219</v>
      </c>
      <c r="F2265" s="23">
        <f t="shared" si="105"/>
        <v>8.3333333328482695E-2</v>
      </c>
      <c r="G2265" s="24">
        <f t="shared" si="107"/>
        <v>150.00000000873115</v>
      </c>
      <c r="H2265" s="1" t="s">
        <v>1</v>
      </c>
      <c r="I2265" s="4" t="s">
        <v>2</v>
      </c>
      <c r="J2265" s="14">
        <v>0.3888888888888889</v>
      </c>
      <c r="K2265" s="20" t="str">
        <f t="shared" si="106"/>
        <v>1st Shift</v>
      </c>
    </row>
    <row r="2266" spans="1:11" x14ac:dyDescent="0.25">
      <c r="A2266" s="1">
        <v>2265</v>
      </c>
      <c r="B2266" s="1">
        <v>7</v>
      </c>
      <c r="C2266" s="3">
        <v>7115271760700</v>
      </c>
      <c r="D2266" s="2">
        <v>44499.388888888891</v>
      </c>
      <c r="E2266" s="2">
        <v>44499.472222222219</v>
      </c>
      <c r="F2266" s="23">
        <f t="shared" si="105"/>
        <v>8.3333333328482695E-2</v>
      </c>
      <c r="G2266" s="24">
        <f t="shared" si="107"/>
        <v>150.00000000873115</v>
      </c>
      <c r="H2266" s="1" t="s">
        <v>1</v>
      </c>
      <c r="I2266" s="4" t="s">
        <v>3</v>
      </c>
      <c r="J2266" s="14">
        <v>0.3888888888888889</v>
      </c>
      <c r="K2266" s="20" t="str">
        <f t="shared" si="106"/>
        <v>1st Shift</v>
      </c>
    </row>
    <row r="2267" spans="1:11" x14ac:dyDescent="0.25">
      <c r="A2267" s="1">
        <v>2266</v>
      </c>
      <c r="B2267" s="1">
        <v>3</v>
      </c>
      <c r="C2267" s="3">
        <v>3115270391000</v>
      </c>
      <c r="D2267" s="2">
        <v>44499.388888888891</v>
      </c>
      <c r="E2267" s="2">
        <v>44499.472222222219</v>
      </c>
      <c r="F2267" s="23">
        <f t="shared" si="105"/>
        <v>8.3333333328482695E-2</v>
      </c>
      <c r="G2267" s="24">
        <f t="shared" si="107"/>
        <v>150.00000000873115</v>
      </c>
      <c r="H2267" s="1" t="s">
        <v>1</v>
      </c>
      <c r="I2267" s="4" t="s">
        <v>3</v>
      </c>
      <c r="J2267" s="14">
        <v>0.3888888888888889</v>
      </c>
      <c r="K2267" s="20" t="str">
        <f t="shared" si="106"/>
        <v>1st Shift</v>
      </c>
    </row>
    <row r="2268" spans="1:11" x14ac:dyDescent="0.25">
      <c r="A2268" s="1">
        <v>2267</v>
      </c>
      <c r="B2268" s="1">
        <v>2</v>
      </c>
      <c r="C2268" s="3">
        <v>2115270274902</v>
      </c>
      <c r="D2268" s="2">
        <v>44499.388888888891</v>
      </c>
      <c r="E2268" s="2">
        <v>44499.472222222219</v>
      </c>
      <c r="F2268" s="23">
        <f t="shared" si="105"/>
        <v>8.3333333328482695E-2</v>
      </c>
      <c r="G2268" s="24">
        <f t="shared" si="107"/>
        <v>150.00000000873115</v>
      </c>
      <c r="H2268" s="1" t="s">
        <v>1</v>
      </c>
      <c r="I2268" s="4" t="s">
        <v>3</v>
      </c>
      <c r="J2268" s="14">
        <v>0.3888888888888889</v>
      </c>
      <c r="K2268" s="20" t="str">
        <f t="shared" si="106"/>
        <v>1st Shift</v>
      </c>
    </row>
    <row r="2269" spans="1:11" x14ac:dyDescent="0.25">
      <c r="A2269" s="1">
        <v>2268</v>
      </c>
      <c r="B2269" s="1">
        <v>15</v>
      </c>
      <c r="C2269" s="3">
        <v>15115271797851</v>
      </c>
      <c r="D2269" s="2">
        <v>44499.527777777781</v>
      </c>
      <c r="E2269" s="2">
        <v>44499.583333333336</v>
      </c>
      <c r="F2269" s="23">
        <f t="shared" si="105"/>
        <v>5.5555555554747116E-2</v>
      </c>
      <c r="G2269" s="24">
        <f t="shared" si="107"/>
        <v>225.00000000327418</v>
      </c>
      <c r="H2269" s="1" t="s">
        <v>1</v>
      </c>
      <c r="I2269" s="4" t="s">
        <v>2</v>
      </c>
      <c r="J2269" s="14">
        <v>0.52777777777777779</v>
      </c>
      <c r="K2269" s="20" t="str">
        <f t="shared" si="106"/>
        <v>1st Shift</v>
      </c>
    </row>
    <row r="2270" spans="1:11" x14ac:dyDescent="0.25">
      <c r="A2270" s="1">
        <v>2269</v>
      </c>
      <c r="B2270" s="1">
        <v>3</v>
      </c>
      <c r="C2270" s="3">
        <v>3115270350601</v>
      </c>
      <c r="D2270" s="2">
        <v>44499.739583333336</v>
      </c>
      <c r="E2270" s="2">
        <v>44499.770833333336</v>
      </c>
      <c r="F2270" s="23">
        <f t="shared" si="105"/>
        <v>3.125E-2</v>
      </c>
      <c r="G2270" s="24">
        <f t="shared" si="107"/>
        <v>400</v>
      </c>
      <c r="H2270" s="1" t="s">
        <v>1</v>
      </c>
      <c r="I2270" s="4" t="s">
        <v>2</v>
      </c>
      <c r="J2270" s="14">
        <v>0.73958333333333337</v>
      </c>
      <c r="K2270" s="20" t="str">
        <f t="shared" si="106"/>
        <v>2nd Shift</v>
      </c>
    </row>
    <row r="2271" spans="1:11" x14ac:dyDescent="0.25">
      <c r="A2271" s="1">
        <v>2270</v>
      </c>
      <c r="B2271" s="1">
        <v>14</v>
      </c>
      <c r="C2271" s="3">
        <v>14115271693311</v>
      </c>
      <c r="D2271" s="2">
        <v>44500.395833333336</v>
      </c>
      <c r="E2271" s="2">
        <v>44500.458333333336</v>
      </c>
      <c r="F2271" s="23">
        <f t="shared" si="105"/>
        <v>6.25E-2</v>
      </c>
      <c r="G2271" s="24">
        <f t="shared" si="107"/>
        <v>200</v>
      </c>
      <c r="H2271" s="1" t="s">
        <v>1</v>
      </c>
      <c r="I2271" s="4" t="s">
        <v>2</v>
      </c>
      <c r="J2271" s="14">
        <v>0.39583333333333331</v>
      </c>
      <c r="K2271" s="20" t="str">
        <f t="shared" si="106"/>
        <v>1st Shift</v>
      </c>
    </row>
    <row r="2272" spans="1:11" x14ac:dyDescent="0.25">
      <c r="A2272" s="1">
        <v>2271</v>
      </c>
      <c r="B2272" s="1">
        <v>7</v>
      </c>
      <c r="C2272" s="3">
        <v>7115271768101</v>
      </c>
      <c r="D2272" s="2">
        <v>44500.395833333336</v>
      </c>
      <c r="E2272" s="2">
        <v>44500.458333333336</v>
      </c>
      <c r="F2272" s="23">
        <f t="shared" si="105"/>
        <v>6.25E-2</v>
      </c>
      <c r="G2272" s="24">
        <f t="shared" si="107"/>
        <v>200</v>
      </c>
      <c r="H2272" s="1" t="s">
        <v>1</v>
      </c>
      <c r="I2272" s="4" t="s">
        <v>3</v>
      </c>
      <c r="J2272" s="14">
        <v>0.39583333333333331</v>
      </c>
      <c r="K2272" s="20" t="str">
        <f t="shared" si="106"/>
        <v>1st Shift</v>
      </c>
    </row>
    <row r="2273" spans="1:11" x14ac:dyDescent="0.25">
      <c r="A2273" s="1">
        <v>2272</v>
      </c>
      <c r="B2273" s="1">
        <v>6</v>
      </c>
      <c r="C2273" s="3">
        <v>6115271715000</v>
      </c>
      <c r="D2273" s="2">
        <v>44500.395833333336</v>
      </c>
      <c r="E2273" s="2">
        <v>44500.458333333336</v>
      </c>
      <c r="F2273" s="23">
        <f t="shared" si="105"/>
        <v>6.25E-2</v>
      </c>
      <c r="G2273" s="24">
        <f t="shared" si="107"/>
        <v>200</v>
      </c>
      <c r="H2273" s="1" t="s">
        <v>1</v>
      </c>
      <c r="I2273" s="4" t="s">
        <v>2</v>
      </c>
      <c r="J2273" s="14">
        <v>0.39583333333333331</v>
      </c>
      <c r="K2273" s="20" t="str">
        <f t="shared" si="106"/>
        <v>1st Shift</v>
      </c>
    </row>
    <row r="2274" spans="1:11" x14ac:dyDescent="0.25">
      <c r="A2274" s="1">
        <v>2273</v>
      </c>
      <c r="B2274" s="1">
        <v>7</v>
      </c>
      <c r="C2274" s="3">
        <v>7115271783402</v>
      </c>
      <c r="D2274" s="2">
        <v>44500.65625</v>
      </c>
      <c r="E2274" s="2">
        <v>44500.715277777781</v>
      </c>
      <c r="F2274" s="23">
        <f t="shared" si="105"/>
        <v>5.9027777781011537E-2</v>
      </c>
      <c r="G2274" s="24">
        <f t="shared" si="107"/>
        <v>211.7647058707517</v>
      </c>
      <c r="H2274" s="1" t="s">
        <v>1</v>
      </c>
      <c r="I2274" s="4" t="s">
        <v>2</v>
      </c>
      <c r="J2274" s="14">
        <v>0.65625</v>
      </c>
      <c r="K2274" s="20" t="str">
        <f t="shared" si="106"/>
        <v>2nd Shift</v>
      </c>
    </row>
    <row r="2275" spans="1:11" x14ac:dyDescent="0.25">
      <c r="A2275" s="1">
        <v>2274</v>
      </c>
      <c r="B2275" s="1">
        <v>11</v>
      </c>
      <c r="C2275" s="3">
        <v>11115271542511</v>
      </c>
      <c r="D2275" s="2">
        <v>44500.885416666664</v>
      </c>
      <c r="E2275" s="2">
        <v>44500.940972222219</v>
      </c>
      <c r="F2275" s="23">
        <f t="shared" si="105"/>
        <v>5.5555555554747116E-2</v>
      </c>
      <c r="G2275" s="24">
        <f t="shared" si="107"/>
        <v>225.00000000327418</v>
      </c>
      <c r="H2275" s="1" t="s">
        <v>1</v>
      </c>
      <c r="I2275" s="4" t="s">
        <v>2</v>
      </c>
      <c r="J2275" s="14">
        <v>0.88541666666666663</v>
      </c>
      <c r="K2275" s="20" t="str">
        <f t="shared" si="106"/>
        <v>2nd Shift</v>
      </c>
    </row>
    <row r="2276" spans="1:11" x14ac:dyDescent="0.25">
      <c r="A2276" s="1">
        <v>2275</v>
      </c>
      <c r="B2276" s="1">
        <v>12</v>
      </c>
      <c r="C2276" s="3">
        <v>12115271573005</v>
      </c>
      <c r="D2276" s="2">
        <v>44500.979166666664</v>
      </c>
      <c r="E2276" s="2">
        <v>44501.076388888891</v>
      </c>
      <c r="F2276" s="23">
        <f t="shared" si="105"/>
        <v>9.7222222226264421E-2</v>
      </c>
      <c r="G2276" s="24">
        <f t="shared" si="107"/>
        <v>128.57142856608297</v>
      </c>
      <c r="H2276" s="1" t="s">
        <v>1</v>
      </c>
      <c r="I2276" s="4" t="s">
        <v>3</v>
      </c>
      <c r="J2276" s="14">
        <v>0.97916666666666663</v>
      </c>
      <c r="K2276" s="20" t="str">
        <f t="shared" si="106"/>
        <v>3rd Shift</v>
      </c>
    </row>
    <row r="2277" spans="1:11" x14ac:dyDescent="0.25">
      <c r="A2277" s="1">
        <v>2276</v>
      </c>
      <c r="B2277" s="1">
        <v>3</v>
      </c>
      <c r="C2277" s="3">
        <v>3115270391900</v>
      </c>
      <c r="D2277" s="2">
        <v>44500.979166666664</v>
      </c>
      <c r="E2277" s="2">
        <v>44501.076388888891</v>
      </c>
      <c r="F2277" s="23">
        <f t="shared" si="105"/>
        <v>9.7222222226264421E-2</v>
      </c>
      <c r="G2277" s="24">
        <f t="shared" si="107"/>
        <v>128.57142856608297</v>
      </c>
      <c r="H2277" s="1" t="s">
        <v>1</v>
      </c>
      <c r="I2277" s="4" t="s">
        <v>2</v>
      </c>
      <c r="J2277" s="14">
        <v>0.97916666666666663</v>
      </c>
      <c r="K2277" s="20" t="str">
        <f t="shared" si="106"/>
        <v>3rd Shift</v>
      </c>
    </row>
    <row r="2278" spans="1:11" x14ac:dyDescent="0.25">
      <c r="A2278" s="1">
        <v>2277</v>
      </c>
      <c r="B2278" s="1">
        <v>1</v>
      </c>
      <c r="C2278" s="3">
        <v>1115270074001</v>
      </c>
      <c r="D2278" s="2">
        <v>44500.979166666664</v>
      </c>
      <c r="E2278" s="2">
        <v>44501.076388888891</v>
      </c>
      <c r="F2278" s="23">
        <f t="shared" si="105"/>
        <v>9.7222222226264421E-2</v>
      </c>
      <c r="G2278" s="24">
        <f t="shared" si="107"/>
        <v>128.57142856608297</v>
      </c>
      <c r="H2278" s="1" t="s">
        <v>1</v>
      </c>
      <c r="I2278" s="4" t="s">
        <v>2</v>
      </c>
      <c r="J2278" s="14">
        <v>0.97916666666666663</v>
      </c>
      <c r="K2278" s="20" t="str">
        <f t="shared" si="106"/>
        <v>3rd Shift</v>
      </c>
    </row>
    <row r="2279" spans="1:11" x14ac:dyDescent="0.25">
      <c r="A2279" s="1">
        <v>2278</v>
      </c>
      <c r="B2279" s="1">
        <v>10</v>
      </c>
      <c r="C2279" s="3">
        <v>10115271455804</v>
      </c>
      <c r="D2279" s="2">
        <v>44501.4375</v>
      </c>
      <c r="E2279" s="2">
        <v>44501.503472222219</v>
      </c>
      <c r="F2279" s="23">
        <f t="shared" si="105"/>
        <v>6.5972222218988463E-2</v>
      </c>
      <c r="G2279" s="24">
        <f t="shared" si="107"/>
        <v>189.47368421981375</v>
      </c>
      <c r="H2279" s="1" t="s">
        <v>1</v>
      </c>
      <c r="I2279" s="4" t="s">
        <v>3</v>
      </c>
      <c r="J2279" s="14">
        <v>0.4375</v>
      </c>
      <c r="K2279" s="20" t="str">
        <f t="shared" si="106"/>
        <v>1st Shift</v>
      </c>
    </row>
    <row r="2280" spans="1:11" x14ac:dyDescent="0.25">
      <c r="A2280" s="1">
        <v>2279</v>
      </c>
      <c r="B2280" s="1">
        <v>1</v>
      </c>
      <c r="C2280" s="3">
        <v>1115270142100</v>
      </c>
      <c r="D2280" s="2">
        <v>44501.4375</v>
      </c>
      <c r="E2280" s="2">
        <v>44501.503472222219</v>
      </c>
      <c r="F2280" s="23">
        <f t="shared" si="105"/>
        <v>6.5972222218988463E-2</v>
      </c>
      <c r="G2280" s="24">
        <f t="shared" si="107"/>
        <v>189.47368421981375</v>
      </c>
      <c r="H2280" s="1" t="s">
        <v>1</v>
      </c>
      <c r="I2280" s="4" t="s">
        <v>3</v>
      </c>
      <c r="J2280" s="14">
        <v>0.4375</v>
      </c>
      <c r="K2280" s="20" t="str">
        <f t="shared" si="106"/>
        <v>1st Shift</v>
      </c>
    </row>
    <row r="2281" spans="1:11" x14ac:dyDescent="0.25">
      <c r="A2281" s="1">
        <v>2280</v>
      </c>
      <c r="B2281" s="1">
        <v>13</v>
      </c>
      <c r="C2281" s="3">
        <v>13115271590600</v>
      </c>
      <c r="D2281" s="2">
        <v>44501.545138888891</v>
      </c>
      <c r="E2281" s="2">
        <v>44501.569444444445</v>
      </c>
      <c r="F2281" s="23">
        <f t="shared" si="105"/>
        <v>2.4305555554747116E-2</v>
      </c>
      <c r="G2281" s="24">
        <f t="shared" si="107"/>
        <v>514.28571430282022</v>
      </c>
      <c r="H2281" s="1" t="s">
        <v>1</v>
      </c>
      <c r="I2281" s="4" t="s">
        <v>2</v>
      </c>
      <c r="J2281" s="14">
        <v>0.54513888888888884</v>
      </c>
      <c r="K2281" s="20" t="str">
        <f t="shared" si="106"/>
        <v>1st Shift</v>
      </c>
    </row>
    <row r="2282" spans="1:11" x14ac:dyDescent="0.25">
      <c r="A2282" s="1">
        <v>2281</v>
      </c>
      <c r="B2282" s="1">
        <v>3</v>
      </c>
      <c r="C2282" s="3">
        <v>3115270349900</v>
      </c>
      <c r="D2282" s="2">
        <v>44501.625</v>
      </c>
      <c r="E2282" s="2">
        <v>44501.645833333336</v>
      </c>
      <c r="F2282" s="23">
        <f t="shared" si="105"/>
        <v>2.0833333335758653E-2</v>
      </c>
      <c r="G2282" s="24">
        <f t="shared" si="107"/>
        <v>599.99999993015081</v>
      </c>
      <c r="H2282" s="1" t="s">
        <v>1</v>
      </c>
      <c r="I2282" s="4" t="s">
        <v>3</v>
      </c>
      <c r="J2282" s="14">
        <v>0.625</v>
      </c>
      <c r="K2282" s="20" t="str">
        <f t="shared" si="106"/>
        <v>2nd Shift</v>
      </c>
    </row>
    <row r="2283" spans="1:11" x14ac:dyDescent="0.25">
      <c r="A2283" s="1">
        <v>2282</v>
      </c>
      <c r="B2283" s="1">
        <v>13</v>
      </c>
      <c r="C2283" s="3">
        <v>13115271606015</v>
      </c>
      <c r="D2283" s="2">
        <v>44501.684027777781</v>
      </c>
      <c r="E2283" s="2">
        <v>44501.75</v>
      </c>
      <c r="F2283" s="23">
        <f t="shared" si="105"/>
        <v>6.5972222218988463E-2</v>
      </c>
      <c r="G2283" s="24">
        <f t="shared" si="107"/>
        <v>189.47368421981375</v>
      </c>
      <c r="H2283" s="1" t="s">
        <v>1</v>
      </c>
      <c r="I2283" s="4" t="s">
        <v>3</v>
      </c>
      <c r="J2283" s="14">
        <v>0.68402777777777779</v>
      </c>
      <c r="K2283" s="20" t="str">
        <f t="shared" si="106"/>
        <v>2nd Shift</v>
      </c>
    </row>
    <row r="2284" spans="1:11" x14ac:dyDescent="0.25">
      <c r="A2284" s="1">
        <v>2283</v>
      </c>
      <c r="B2284" s="1">
        <v>8</v>
      </c>
      <c r="C2284" s="3">
        <v>8115271820500</v>
      </c>
      <c r="D2284" s="2">
        <v>44501.684027777781</v>
      </c>
      <c r="E2284" s="2">
        <v>44501.75</v>
      </c>
      <c r="F2284" s="23">
        <f t="shared" si="105"/>
        <v>6.5972222218988463E-2</v>
      </c>
      <c r="G2284" s="24">
        <f t="shared" si="107"/>
        <v>189.47368421981375</v>
      </c>
      <c r="H2284" s="1" t="s">
        <v>1</v>
      </c>
      <c r="I2284" s="4" t="s">
        <v>3</v>
      </c>
      <c r="J2284" s="14">
        <v>0.68402777777777779</v>
      </c>
      <c r="K2284" s="20" t="str">
        <f t="shared" si="106"/>
        <v>2nd Shift</v>
      </c>
    </row>
    <row r="2285" spans="1:11" x14ac:dyDescent="0.25">
      <c r="A2285" s="1">
        <v>2284</v>
      </c>
      <c r="B2285" s="1">
        <v>3</v>
      </c>
      <c r="C2285" s="3">
        <v>3115270308900</v>
      </c>
      <c r="D2285" s="2">
        <v>44501.684027777781</v>
      </c>
      <c r="E2285" s="2">
        <v>44501.75</v>
      </c>
      <c r="F2285" s="23">
        <f t="shared" si="105"/>
        <v>6.5972222218988463E-2</v>
      </c>
      <c r="G2285" s="24">
        <f t="shared" si="107"/>
        <v>189.47368421981375</v>
      </c>
      <c r="H2285" s="1" t="s">
        <v>1</v>
      </c>
      <c r="I2285" s="4" t="s">
        <v>3</v>
      </c>
      <c r="J2285" s="14">
        <v>0.68402777777777779</v>
      </c>
      <c r="K2285" s="20" t="str">
        <f t="shared" si="106"/>
        <v>2nd Shift</v>
      </c>
    </row>
    <row r="2286" spans="1:11" x14ac:dyDescent="0.25">
      <c r="A2286" s="1">
        <v>2285</v>
      </c>
      <c r="B2286" s="1">
        <v>7</v>
      </c>
      <c r="C2286" s="3">
        <v>7115271790500</v>
      </c>
      <c r="D2286" s="2">
        <v>44501.885416666664</v>
      </c>
      <c r="E2286" s="2">
        <v>44501.920138888891</v>
      </c>
      <c r="F2286" s="23">
        <f t="shared" si="105"/>
        <v>3.4722222226264421E-2</v>
      </c>
      <c r="G2286" s="24">
        <f t="shared" si="107"/>
        <v>359.99999995809048</v>
      </c>
      <c r="H2286" s="1" t="s">
        <v>1</v>
      </c>
      <c r="I2286" s="4" t="s">
        <v>2</v>
      </c>
      <c r="J2286" s="14">
        <v>0.88541666666666663</v>
      </c>
      <c r="K2286" s="20" t="str">
        <f t="shared" si="106"/>
        <v>2nd Shift</v>
      </c>
    </row>
    <row r="2287" spans="1:11" x14ac:dyDescent="0.25">
      <c r="A2287" s="1">
        <v>2286</v>
      </c>
      <c r="B2287" s="1">
        <v>6</v>
      </c>
      <c r="C2287" s="3">
        <v>6115271720824</v>
      </c>
      <c r="D2287" s="2">
        <v>44501.986111111109</v>
      </c>
      <c r="E2287" s="2">
        <v>44502.048611111109</v>
      </c>
      <c r="F2287" s="23">
        <f t="shared" si="105"/>
        <v>6.25E-2</v>
      </c>
      <c r="G2287" s="24">
        <f t="shared" si="107"/>
        <v>200</v>
      </c>
      <c r="H2287" s="1" t="s">
        <v>1</v>
      </c>
      <c r="I2287" s="4" t="s">
        <v>2</v>
      </c>
      <c r="J2287" s="14">
        <v>0.98611111111111116</v>
      </c>
      <c r="K2287" s="20" t="str">
        <f t="shared" si="106"/>
        <v>3rd Shift</v>
      </c>
    </row>
    <row r="2288" spans="1:11" x14ac:dyDescent="0.25">
      <c r="A2288" s="1">
        <v>2287</v>
      </c>
      <c r="B2288" s="1">
        <v>1</v>
      </c>
      <c r="C2288" s="3">
        <v>1115270029200</v>
      </c>
      <c r="D2288" s="2">
        <v>44501.986111111109</v>
      </c>
      <c r="E2288" s="2">
        <v>44502.048611111109</v>
      </c>
      <c r="F2288" s="23">
        <f t="shared" si="105"/>
        <v>6.25E-2</v>
      </c>
      <c r="G2288" s="24">
        <f t="shared" si="107"/>
        <v>200</v>
      </c>
      <c r="H2288" s="1" t="s">
        <v>1</v>
      </c>
      <c r="I2288" s="4" t="s">
        <v>3</v>
      </c>
      <c r="J2288" s="14">
        <v>0.98611111111111116</v>
      </c>
      <c r="K2288" s="20" t="str">
        <f t="shared" si="106"/>
        <v>3rd Shift</v>
      </c>
    </row>
    <row r="2289" spans="1:11" x14ac:dyDescent="0.25">
      <c r="A2289" s="1">
        <v>2288</v>
      </c>
      <c r="B2289" s="1">
        <v>1</v>
      </c>
      <c r="C2289" s="3">
        <v>1115270086800</v>
      </c>
      <c r="D2289" s="2">
        <v>44502.736111111109</v>
      </c>
      <c r="E2289" s="2">
        <v>44502.791666666664</v>
      </c>
      <c r="F2289" s="23">
        <f t="shared" si="105"/>
        <v>5.5555555554747116E-2</v>
      </c>
      <c r="G2289" s="24">
        <f t="shared" si="107"/>
        <v>225.00000000327418</v>
      </c>
      <c r="H2289" s="1" t="s">
        <v>1</v>
      </c>
      <c r="I2289" s="4" t="s">
        <v>2</v>
      </c>
      <c r="J2289" s="14">
        <v>0.73611111111111116</v>
      </c>
      <c r="K2289" s="20" t="str">
        <f t="shared" si="106"/>
        <v>2nd Shift</v>
      </c>
    </row>
    <row r="2290" spans="1:11" x14ac:dyDescent="0.25">
      <c r="A2290" s="1">
        <v>2289</v>
      </c>
      <c r="B2290" s="1">
        <v>14</v>
      </c>
      <c r="C2290" s="3">
        <v>14115271693502</v>
      </c>
      <c r="D2290" s="2">
        <v>44502.9375</v>
      </c>
      <c r="E2290" s="2">
        <v>44503.041666666664</v>
      </c>
      <c r="F2290" s="23">
        <f t="shared" si="105"/>
        <v>0.10416666666424135</v>
      </c>
      <c r="G2290" s="24">
        <f t="shared" si="107"/>
        <v>120.00000000279397</v>
      </c>
      <c r="H2290" s="1" t="s">
        <v>1</v>
      </c>
      <c r="I2290" s="4" t="s">
        <v>3</v>
      </c>
      <c r="J2290" s="14">
        <v>0.9375</v>
      </c>
      <c r="K2290" s="20" t="str">
        <f t="shared" si="106"/>
        <v>3rd Shift</v>
      </c>
    </row>
    <row r="2291" spans="1:11" x14ac:dyDescent="0.25">
      <c r="A2291" s="1">
        <v>2290</v>
      </c>
      <c r="B2291" s="1">
        <v>11</v>
      </c>
      <c r="C2291" s="3">
        <v>11115271542501</v>
      </c>
      <c r="D2291" s="2">
        <v>44502.9375</v>
      </c>
      <c r="E2291" s="2">
        <v>44503.041666666664</v>
      </c>
      <c r="F2291" s="23">
        <f t="shared" si="105"/>
        <v>0.10416666666424135</v>
      </c>
      <c r="G2291" s="24">
        <f t="shared" si="107"/>
        <v>120.00000000279397</v>
      </c>
      <c r="H2291" s="1" t="s">
        <v>1</v>
      </c>
      <c r="I2291" s="4" t="s">
        <v>3</v>
      </c>
      <c r="J2291" s="14">
        <v>0.9375</v>
      </c>
      <c r="K2291" s="20" t="str">
        <f t="shared" si="106"/>
        <v>3rd Shift</v>
      </c>
    </row>
    <row r="2292" spans="1:11" x14ac:dyDescent="0.25">
      <c r="A2292" s="1">
        <v>2291</v>
      </c>
      <c r="B2292" s="1">
        <v>15</v>
      </c>
      <c r="C2292" s="3">
        <v>15115271743402</v>
      </c>
      <c r="D2292" s="2">
        <v>44503.364583333336</v>
      </c>
      <c r="E2292" s="2">
        <v>44503.402777777781</v>
      </c>
      <c r="F2292" s="23">
        <f t="shared" si="105"/>
        <v>3.8194444445252884E-2</v>
      </c>
      <c r="G2292" s="24">
        <f t="shared" si="107"/>
        <v>327.27272726580009</v>
      </c>
      <c r="H2292" s="1" t="s">
        <v>1</v>
      </c>
      <c r="I2292" s="4" t="s">
        <v>3</v>
      </c>
      <c r="J2292" s="14">
        <v>0.36458333333333331</v>
      </c>
      <c r="K2292" s="20" t="str">
        <f t="shared" si="106"/>
        <v>1st Shift</v>
      </c>
    </row>
    <row r="2293" spans="1:11" x14ac:dyDescent="0.25">
      <c r="A2293" s="1">
        <v>2292</v>
      </c>
      <c r="B2293" s="1">
        <v>7</v>
      </c>
      <c r="C2293" s="3">
        <v>7115271767805</v>
      </c>
      <c r="D2293" s="2">
        <v>44503.545138888891</v>
      </c>
      <c r="E2293" s="2">
        <v>44503.582638888889</v>
      </c>
      <c r="F2293" s="23">
        <f t="shared" si="105"/>
        <v>3.7499999998544808E-2</v>
      </c>
      <c r="G2293" s="24">
        <f t="shared" si="107"/>
        <v>333.33333334626838</v>
      </c>
      <c r="H2293" s="1" t="s">
        <v>1</v>
      </c>
      <c r="I2293" s="4" t="s">
        <v>3</v>
      </c>
      <c r="J2293" s="14">
        <v>0.54513888888888884</v>
      </c>
      <c r="K2293" s="20" t="str">
        <f t="shared" si="106"/>
        <v>1st Shift</v>
      </c>
    </row>
    <row r="2294" spans="1:11" x14ac:dyDescent="0.25">
      <c r="A2294" s="1">
        <v>2293</v>
      </c>
      <c r="B2294" s="1">
        <v>13</v>
      </c>
      <c r="C2294" s="3">
        <v>13115271657300</v>
      </c>
      <c r="D2294" s="2">
        <v>44503.649305555555</v>
      </c>
      <c r="E2294" s="2">
        <v>44503.680555555555</v>
      </c>
      <c r="F2294" s="23">
        <f t="shared" si="105"/>
        <v>3.125E-2</v>
      </c>
      <c r="G2294" s="24">
        <f t="shared" si="107"/>
        <v>400</v>
      </c>
      <c r="H2294" s="1" t="s">
        <v>1</v>
      </c>
      <c r="I2294" s="4" t="s">
        <v>2</v>
      </c>
      <c r="J2294" s="14">
        <v>0.64930555555555558</v>
      </c>
      <c r="K2294" s="20" t="str">
        <f t="shared" si="106"/>
        <v>2nd Shift</v>
      </c>
    </row>
    <row r="2295" spans="1:11" x14ac:dyDescent="0.25">
      <c r="A2295" s="1">
        <v>2294</v>
      </c>
      <c r="B2295" s="1">
        <v>3</v>
      </c>
      <c r="C2295" s="3">
        <v>3115270350001</v>
      </c>
      <c r="D2295" s="2">
        <v>44503.649305555555</v>
      </c>
      <c r="E2295" s="2">
        <v>44503.680555555555</v>
      </c>
      <c r="F2295" s="23">
        <f t="shared" si="105"/>
        <v>3.125E-2</v>
      </c>
      <c r="G2295" s="24">
        <f t="shared" si="107"/>
        <v>400</v>
      </c>
      <c r="H2295" s="1" t="s">
        <v>1</v>
      </c>
      <c r="I2295" s="4" t="s">
        <v>3</v>
      </c>
      <c r="J2295" s="14">
        <v>0.64930555555555558</v>
      </c>
      <c r="K2295" s="20" t="str">
        <f t="shared" si="106"/>
        <v>2nd Shift</v>
      </c>
    </row>
    <row r="2296" spans="1:11" x14ac:dyDescent="0.25">
      <c r="A2296" s="1">
        <v>2295</v>
      </c>
      <c r="B2296" s="1">
        <v>14</v>
      </c>
      <c r="C2296" s="3">
        <v>14115271672501</v>
      </c>
      <c r="D2296" s="2">
        <v>44503.65625</v>
      </c>
      <c r="E2296" s="2">
        <v>44503.798611111109</v>
      </c>
      <c r="F2296" s="23">
        <f t="shared" si="105"/>
        <v>0.14236111110949423</v>
      </c>
      <c r="G2296" s="24">
        <f t="shared" si="107"/>
        <v>87.804878049777741</v>
      </c>
      <c r="H2296" s="1" t="s">
        <v>1</v>
      </c>
      <c r="I2296" s="4" t="s">
        <v>2</v>
      </c>
      <c r="J2296" s="14">
        <v>0.65625</v>
      </c>
      <c r="K2296" s="20" t="str">
        <f t="shared" si="106"/>
        <v>2nd Shift</v>
      </c>
    </row>
    <row r="2297" spans="1:11" x14ac:dyDescent="0.25">
      <c r="A2297" s="1">
        <v>2296</v>
      </c>
      <c r="B2297" s="1">
        <v>6</v>
      </c>
      <c r="C2297" s="3">
        <v>6115271692800</v>
      </c>
      <c r="D2297" s="2">
        <v>44503.739583333336</v>
      </c>
      <c r="E2297" s="2">
        <v>44503.798611111109</v>
      </c>
      <c r="F2297" s="23">
        <f t="shared" si="105"/>
        <v>5.9027777773735579E-2</v>
      </c>
      <c r="G2297" s="24">
        <f t="shared" si="107"/>
        <v>211.76470589685451</v>
      </c>
      <c r="H2297" s="1" t="s">
        <v>1</v>
      </c>
      <c r="I2297" s="4" t="s">
        <v>2</v>
      </c>
      <c r="J2297" s="14">
        <v>0.73958333333333337</v>
      </c>
      <c r="K2297" s="20" t="str">
        <f t="shared" si="106"/>
        <v>2nd Shift</v>
      </c>
    </row>
    <row r="2298" spans="1:11" x14ac:dyDescent="0.25">
      <c r="A2298" s="1">
        <v>2297</v>
      </c>
      <c r="B2298" s="1">
        <v>13</v>
      </c>
      <c r="C2298" s="3">
        <v>13115271634902</v>
      </c>
      <c r="D2298" s="2">
        <v>44504.354166666664</v>
      </c>
      <c r="E2298" s="2">
        <v>44504.378472222219</v>
      </c>
      <c r="F2298" s="23">
        <f t="shared" si="105"/>
        <v>2.4305555554747116E-2</v>
      </c>
      <c r="G2298" s="24">
        <f t="shared" si="107"/>
        <v>514.28571430282022</v>
      </c>
      <c r="H2298" s="1" t="s">
        <v>1</v>
      </c>
      <c r="I2298" s="4" t="s">
        <v>3</v>
      </c>
      <c r="J2298" s="14">
        <v>0.35416666666666669</v>
      </c>
      <c r="K2298" s="20" t="str">
        <f t="shared" si="106"/>
        <v>1st Shift</v>
      </c>
    </row>
    <row r="2299" spans="1:11" x14ac:dyDescent="0.25">
      <c r="A2299" s="1">
        <v>2298</v>
      </c>
      <c r="B2299" s="1">
        <v>8</v>
      </c>
      <c r="C2299" s="3">
        <v>8115271808103</v>
      </c>
      <c r="D2299" s="2">
        <v>44504.503472222219</v>
      </c>
      <c r="E2299" s="2">
        <v>44504.559027777781</v>
      </c>
      <c r="F2299" s="23">
        <f t="shared" si="105"/>
        <v>5.5555555562023073E-2</v>
      </c>
      <c r="G2299" s="24">
        <f t="shared" si="107"/>
        <v>224.99999997380655</v>
      </c>
      <c r="H2299" s="1" t="s">
        <v>1</v>
      </c>
      <c r="I2299" s="4" t="s">
        <v>2</v>
      </c>
      <c r="J2299" s="14">
        <v>0.50347222222222221</v>
      </c>
      <c r="K2299" s="20" t="str">
        <f t="shared" si="106"/>
        <v>1st Shift</v>
      </c>
    </row>
    <row r="2300" spans="1:11" x14ac:dyDescent="0.25">
      <c r="A2300" s="1">
        <v>2299</v>
      </c>
      <c r="B2300" s="1">
        <v>3</v>
      </c>
      <c r="C2300" s="3">
        <v>3115270325400</v>
      </c>
      <c r="D2300" s="2">
        <v>44504.503472222219</v>
      </c>
      <c r="E2300" s="2">
        <v>44504.559027777781</v>
      </c>
      <c r="F2300" s="23">
        <f t="shared" si="105"/>
        <v>5.5555555562023073E-2</v>
      </c>
      <c r="G2300" s="24">
        <f t="shared" si="107"/>
        <v>224.99999997380655</v>
      </c>
      <c r="H2300" s="1" t="s">
        <v>1</v>
      </c>
      <c r="I2300" s="4" t="s">
        <v>2</v>
      </c>
      <c r="J2300" s="14">
        <v>0.50347222222222221</v>
      </c>
      <c r="K2300" s="20" t="str">
        <f t="shared" si="106"/>
        <v>1st Shift</v>
      </c>
    </row>
    <row r="2301" spans="1:11" x14ac:dyDescent="0.25">
      <c r="A2301" s="1">
        <v>2300</v>
      </c>
      <c r="B2301" s="1">
        <v>15</v>
      </c>
      <c r="C2301" s="3">
        <v>15115271790400</v>
      </c>
      <c r="D2301" s="2">
        <v>44504.569444444445</v>
      </c>
      <c r="E2301" s="2">
        <v>44504.65625</v>
      </c>
      <c r="F2301" s="23">
        <f t="shared" si="105"/>
        <v>8.6805555554747116E-2</v>
      </c>
      <c r="G2301" s="24">
        <f t="shared" si="107"/>
        <v>144.00000000134111</v>
      </c>
      <c r="H2301" s="1" t="s">
        <v>1</v>
      </c>
      <c r="I2301" s="4" t="s">
        <v>2</v>
      </c>
      <c r="J2301" s="14">
        <v>0.56944444444444442</v>
      </c>
      <c r="K2301" s="20" t="str">
        <f t="shared" si="106"/>
        <v>1st Shift</v>
      </c>
    </row>
    <row r="2302" spans="1:11" x14ac:dyDescent="0.25">
      <c r="A2302" s="1">
        <v>2301</v>
      </c>
      <c r="B2302" s="1">
        <v>15</v>
      </c>
      <c r="C2302" s="3">
        <v>15115271786504</v>
      </c>
      <c r="D2302" s="2">
        <v>44505.354166666664</v>
      </c>
      <c r="E2302" s="2">
        <v>44505.4375</v>
      </c>
      <c r="F2302" s="23">
        <f t="shared" si="105"/>
        <v>8.3333333335758653E-2</v>
      </c>
      <c r="G2302" s="24">
        <f t="shared" si="107"/>
        <v>149.99999999563443</v>
      </c>
      <c r="H2302" s="1" t="s">
        <v>1</v>
      </c>
      <c r="I2302" s="4" t="s">
        <v>2</v>
      </c>
      <c r="J2302" s="14">
        <v>0.35416666666666669</v>
      </c>
      <c r="K2302" s="20" t="str">
        <f t="shared" si="106"/>
        <v>1st Shift</v>
      </c>
    </row>
    <row r="2303" spans="1:11" x14ac:dyDescent="0.25">
      <c r="A2303" s="1">
        <v>2302</v>
      </c>
      <c r="B2303" s="1">
        <v>11</v>
      </c>
      <c r="C2303" s="3">
        <v>11115271547400</v>
      </c>
      <c r="D2303" s="2">
        <v>44505.354166666664</v>
      </c>
      <c r="E2303" s="2">
        <v>44505.4375</v>
      </c>
      <c r="F2303" s="23">
        <f t="shared" si="105"/>
        <v>8.3333333335758653E-2</v>
      </c>
      <c r="G2303" s="24">
        <f t="shared" si="107"/>
        <v>149.99999999563443</v>
      </c>
      <c r="H2303" s="1" t="s">
        <v>1</v>
      </c>
      <c r="I2303" s="4" t="s">
        <v>2</v>
      </c>
      <c r="J2303" s="14">
        <v>0.35416666666666669</v>
      </c>
      <c r="K2303" s="20" t="str">
        <f t="shared" si="106"/>
        <v>1st Shift</v>
      </c>
    </row>
    <row r="2304" spans="1:11" x14ac:dyDescent="0.25">
      <c r="A2304" s="1">
        <v>2303</v>
      </c>
      <c r="B2304" s="1">
        <v>7</v>
      </c>
      <c r="C2304" s="3">
        <v>7115271790302</v>
      </c>
      <c r="D2304" s="2">
        <v>44505.524305555555</v>
      </c>
      <c r="E2304" s="2">
        <v>44505.607638888891</v>
      </c>
      <c r="F2304" s="23">
        <f t="shared" si="105"/>
        <v>8.3333333335758653E-2</v>
      </c>
      <c r="G2304" s="24">
        <f t="shared" si="107"/>
        <v>149.99999999563443</v>
      </c>
      <c r="H2304" s="1" t="s">
        <v>1</v>
      </c>
      <c r="I2304" s="4" t="s">
        <v>2</v>
      </c>
      <c r="J2304" s="14">
        <v>0.52430555555555558</v>
      </c>
      <c r="K2304" s="20" t="str">
        <f t="shared" si="106"/>
        <v>1st Shift</v>
      </c>
    </row>
    <row r="2305" spans="1:11" x14ac:dyDescent="0.25">
      <c r="A2305" s="1">
        <v>2304</v>
      </c>
      <c r="B2305" s="1">
        <v>10</v>
      </c>
      <c r="C2305" s="3">
        <v>10115271959300</v>
      </c>
      <c r="D2305" s="2">
        <v>44505.635416666664</v>
      </c>
      <c r="E2305" s="2">
        <v>44505.677083333336</v>
      </c>
      <c r="F2305" s="23">
        <f t="shared" si="105"/>
        <v>4.1666666671517305E-2</v>
      </c>
      <c r="G2305" s="24">
        <f t="shared" si="107"/>
        <v>299.9999999650754</v>
      </c>
      <c r="H2305" s="1" t="s">
        <v>1</v>
      </c>
      <c r="I2305" s="4" t="s">
        <v>2</v>
      </c>
      <c r="J2305" s="14">
        <v>0.63541666666666663</v>
      </c>
      <c r="K2305" s="20" t="str">
        <f t="shared" si="106"/>
        <v>2nd Shift</v>
      </c>
    </row>
    <row r="2306" spans="1:11" x14ac:dyDescent="0.25">
      <c r="A2306" s="1">
        <v>2305</v>
      </c>
      <c r="B2306" s="1">
        <v>14</v>
      </c>
      <c r="C2306" s="3">
        <v>14115271672502</v>
      </c>
      <c r="D2306" s="2">
        <v>44505.770833333336</v>
      </c>
      <c r="E2306" s="2">
        <v>44505.9375</v>
      </c>
      <c r="F2306" s="23">
        <f t="shared" ref="F2306:F2369" si="108">E2306-D2306</f>
        <v>0.16666666666424135</v>
      </c>
      <c r="G2306" s="24">
        <f t="shared" si="107"/>
        <v>75.000000001091394</v>
      </c>
      <c r="H2306" s="1" t="s">
        <v>1</v>
      </c>
      <c r="I2306" s="4" t="s">
        <v>2</v>
      </c>
      <c r="J2306" s="14">
        <v>0.77083333333333337</v>
      </c>
      <c r="K2306" s="20" t="str">
        <f t="shared" ref="K2306:K2369" si="109">IF(AND(J2306&gt;=$M$3,J2306&lt;$M$4),"1st Shift",IF(AND(J2306&gt;=$M$4,J2306&lt;$M$5),"2nd Shift","3rd Shift"))</f>
        <v>2nd Shift</v>
      </c>
    </row>
    <row r="2307" spans="1:11" x14ac:dyDescent="0.25">
      <c r="A2307" s="1">
        <v>2306</v>
      </c>
      <c r="B2307" s="1">
        <v>11</v>
      </c>
      <c r="C2307" s="3">
        <v>11115271542800</v>
      </c>
      <c r="D2307" s="2">
        <v>44505.993055555555</v>
      </c>
      <c r="E2307" s="2">
        <v>44506.072916666664</v>
      </c>
      <c r="F2307" s="23">
        <f t="shared" si="108"/>
        <v>7.9861111109494232E-2</v>
      </c>
      <c r="G2307" s="24">
        <f t="shared" ref="G2307:G2370" si="110">$M$9/F2307*100</f>
        <v>156.52173913360375</v>
      </c>
      <c r="H2307" s="1" t="s">
        <v>1</v>
      </c>
      <c r="I2307" s="4" t="s">
        <v>2</v>
      </c>
      <c r="J2307" s="14">
        <v>0.99305555555555558</v>
      </c>
      <c r="K2307" s="20" t="str">
        <f t="shared" si="109"/>
        <v>3rd Shift</v>
      </c>
    </row>
    <row r="2308" spans="1:11" x14ac:dyDescent="0.25">
      <c r="A2308" s="1">
        <v>2307</v>
      </c>
      <c r="B2308" s="1">
        <v>1</v>
      </c>
      <c r="C2308" s="3">
        <v>1115270126400</v>
      </c>
      <c r="D2308" s="2">
        <v>44505.993055555555</v>
      </c>
      <c r="E2308" s="2">
        <v>44506.072916666664</v>
      </c>
      <c r="F2308" s="23">
        <f t="shared" si="108"/>
        <v>7.9861111109494232E-2</v>
      </c>
      <c r="G2308" s="24">
        <f t="shared" si="110"/>
        <v>156.52173913360375</v>
      </c>
      <c r="H2308" s="1" t="s">
        <v>1</v>
      </c>
      <c r="I2308" s="4" t="s">
        <v>2</v>
      </c>
      <c r="J2308" s="14">
        <v>0.99305555555555558</v>
      </c>
      <c r="K2308" s="20" t="str">
        <f t="shared" si="109"/>
        <v>3rd Shift</v>
      </c>
    </row>
    <row r="2309" spans="1:11" x14ac:dyDescent="0.25">
      <c r="A2309" s="1">
        <v>2308</v>
      </c>
      <c r="B2309" s="1">
        <v>6</v>
      </c>
      <c r="C2309" s="3">
        <v>6115271643602</v>
      </c>
      <c r="D2309" s="2">
        <v>44506.503472222219</v>
      </c>
      <c r="E2309" s="2">
        <v>44506.545138888891</v>
      </c>
      <c r="F2309" s="23">
        <f t="shared" si="108"/>
        <v>4.1666666671517305E-2</v>
      </c>
      <c r="G2309" s="24">
        <f t="shared" si="110"/>
        <v>299.9999999650754</v>
      </c>
      <c r="H2309" s="1" t="s">
        <v>1</v>
      </c>
      <c r="I2309" s="4" t="s">
        <v>3</v>
      </c>
      <c r="J2309" s="14">
        <v>0.50347222222222221</v>
      </c>
      <c r="K2309" s="20" t="str">
        <f t="shared" si="109"/>
        <v>1st Shift</v>
      </c>
    </row>
    <row r="2310" spans="1:11" x14ac:dyDescent="0.25">
      <c r="A2310" s="1">
        <v>2309</v>
      </c>
      <c r="B2310" s="1">
        <v>1</v>
      </c>
      <c r="C2310" s="3">
        <v>1115270126500</v>
      </c>
      <c r="D2310" s="2">
        <v>44507.048611111109</v>
      </c>
      <c r="E2310" s="2">
        <v>44507.072916666664</v>
      </c>
      <c r="F2310" s="23">
        <f t="shared" si="108"/>
        <v>2.4305555554747116E-2</v>
      </c>
      <c r="G2310" s="24">
        <f t="shared" si="110"/>
        <v>514.28571430282022</v>
      </c>
      <c r="H2310" s="1" t="s">
        <v>1</v>
      </c>
      <c r="I2310" s="4" t="s">
        <v>3</v>
      </c>
      <c r="J2310" s="14">
        <v>4.8611111111111112E-2</v>
      </c>
      <c r="K2310" s="20" t="str">
        <f t="shared" si="109"/>
        <v>3rd Shift</v>
      </c>
    </row>
    <row r="2311" spans="1:11" x14ac:dyDescent="0.25">
      <c r="A2311" s="1">
        <v>2310</v>
      </c>
      <c r="B2311" s="1">
        <v>14</v>
      </c>
      <c r="C2311" s="3">
        <v>14115271672406</v>
      </c>
      <c r="D2311" s="2">
        <v>44507.34652777778</v>
      </c>
      <c r="E2311" s="2">
        <v>44507.385416666664</v>
      </c>
      <c r="F2311" s="23">
        <f t="shared" si="108"/>
        <v>3.8888888884685002E-2</v>
      </c>
      <c r="G2311" s="24">
        <f t="shared" si="110"/>
        <v>321.42857146331784</v>
      </c>
      <c r="H2311" s="1" t="s">
        <v>1</v>
      </c>
      <c r="I2311" s="4" t="s">
        <v>3</v>
      </c>
      <c r="J2311" s="14">
        <v>0.34652777777777777</v>
      </c>
      <c r="K2311" s="20" t="str">
        <f t="shared" si="109"/>
        <v>1st Shift</v>
      </c>
    </row>
    <row r="2312" spans="1:11" x14ac:dyDescent="0.25">
      <c r="A2312" s="1">
        <v>2311</v>
      </c>
      <c r="B2312" s="1">
        <v>46</v>
      </c>
      <c r="C2312" s="3">
        <v>46115273093400</v>
      </c>
      <c r="D2312" s="2">
        <v>44507.409722222219</v>
      </c>
      <c r="E2312" s="2">
        <v>44507.451388888891</v>
      </c>
      <c r="F2312" s="23">
        <f t="shared" si="108"/>
        <v>4.1666666671517305E-2</v>
      </c>
      <c r="G2312" s="24">
        <f t="shared" si="110"/>
        <v>299.9999999650754</v>
      </c>
      <c r="H2312" s="1" t="s">
        <v>1</v>
      </c>
      <c r="I2312" s="4" t="s">
        <v>4</v>
      </c>
      <c r="J2312" s="14">
        <v>0.40972222222222221</v>
      </c>
      <c r="K2312" s="20" t="str">
        <f t="shared" si="109"/>
        <v>1st Shift</v>
      </c>
    </row>
    <row r="2313" spans="1:11" x14ac:dyDescent="0.25">
      <c r="A2313" s="1">
        <v>2312</v>
      </c>
      <c r="B2313" s="1">
        <v>1</v>
      </c>
      <c r="C2313" s="3">
        <v>1115270126500</v>
      </c>
      <c r="D2313" s="2">
        <v>44507.409722222219</v>
      </c>
      <c r="E2313" s="2">
        <v>44507.451388888891</v>
      </c>
      <c r="F2313" s="23">
        <f t="shared" si="108"/>
        <v>4.1666666671517305E-2</v>
      </c>
      <c r="G2313" s="24">
        <f t="shared" si="110"/>
        <v>299.9999999650754</v>
      </c>
      <c r="H2313" s="1" t="s">
        <v>1</v>
      </c>
      <c r="I2313" s="4" t="s">
        <v>2</v>
      </c>
      <c r="J2313" s="14">
        <v>0.40972222222222221</v>
      </c>
      <c r="K2313" s="20" t="str">
        <f t="shared" si="109"/>
        <v>1st Shift</v>
      </c>
    </row>
    <row r="2314" spans="1:11" x14ac:dyDescent="0.25">
      <c r="A2314" s="1">
        <v>2313</v>
      </c>
      <c r="B2314" s="1">
        <v>3</v>
      </c>
      <c r="C2314" s="3">
        <v>3115270352801</v>
      </c>
      <c r="D2314" s="2">
        <v>44507.527777777781</v>
      </c>
      <c r="E2314" s="2">
        <v>44507.569444444445</v>
      </c>
      <c r="F2314" s="23">
        <f t="shared" si="108"/>
        <v>4.1666666664241347E-2</v>
      </c>
      <c r="G2314" s="24">
        <f t="shared" si="110"/>
        <v>300.0000000174623</v>
      </c>
      <c r="H2314" s="1" t="s">
        <v>1</v>
      </c>
      <c r="I2314" s="4" t="s">
        <v>2</v>
      </c>
      <c r="J2314" s="14">
        <v>0.52777777777777779</v>
      </c>
      <c r="K2314" s="20" t="str">
        <f t="shared" si="109"/>
        <v>1st Shift</v>
      </c>
    </row>
    <row r="2315" spans="1:11" x14ac:dyDescent="0.25">
      <c r="A2315" s="1">
        <v>2314</v>
      </c>
      <c r="B2315" s="1">
        <v>14</v>
      </c>
      <c r="C2315" s="3">
        <v>14115271696029</v>
      </c>
      <c r="D2315" s="2">
        <v>44507.697916666664</v>
      </c>
      <c r="E2315" s="2">
        <v>44507.8125</v>
      </c>
      <c r="F2315" s="23">
        <f t="shared" si="108"/>
        <v>0.11458333333575865</v>
      </c>
      <c r="G2315" s="24">
        <f t="shared" si="110"/>
        <v>109.09090908860001</v>
      </c>
      <c r="H2315" s="1" t="s">
        <v>1</v>
      </c>
      <c r="I2315" s="4" t="s">
        <v>8</v>
      </c>
      <c r="J2315" s="14">
        <v>0.69791666666666663</v>
      </c>
      <c r="K2315" s="20" t="str">
        <f t="shared" si="109"/>
        <v>2nd Shift</v>
      </c>
    </row>
    <row r="2316" spans="1:11" x14ac:dyDescent="0.25">
      <c r="A2316" s="1">
        <v>2315</v>
      </c>
      <c r="B2316" s="1">
        <v>12</v>
      </c>
      <c r="C2316" s="3">
        <v>12115271589005</v>
      </c>
      <c r="D2316" s="2">
        <v>44507.697916666664</v>
      </c>
      <c r="E2316" s="2">
        <v>44507.8125</v>
      </c>
      <c r="F2316" s="23">
        <f t="shared" si="108"/>
        <v>0.11458333333575865</v>
      </c>
      <c r="G2316" s="24">
        <f t="shared" si="110"/>
        <v>109.09090908860001</v>
      </c>
      <c r="H2316" s="1" t="s">
        <v>1</v>
      </c>
      <c r="I2316" s="4" t="s">
        <v>4</v>
      </c>
      <c r="J2316" s="14">
        <v>0.69791666666666663</v>
      </c>
      <c r="K2316" s="20" t="str">
        <f t="shared" si="109"/>
        <v>2nd Shift</v>
      </c>
    </row>
    <row r="2317" spans="1:11" x14ac:dyDescent="0.25">
      <c r="A2317" s="1">
        <v>2316</v>
      </c>
      <c r="B2317" s="1">
        <v>11</v>
      </c>
      <c r="C2317" s="3">
        <v>11115271543100</v>
      </c>
      <c r="D2317" s="2">
        <v>44507.697916666664</v>
      </c>
      <c r="E2317" s="2">
        <v>44507.8125</v>
      </c>
      <c r="F2317" s="23">
        <f t="shared" si="108"/>
        <v>0.11458333333575865</v>
      </c>
      <c r="G2317" s="24">
        <f t="shared" si="110"/>
        <v>109.09090908860001</v>
      </c>
      <c r="H2317" s="1" t="s">
        <v>1</v>
      </c>
      <c r="I2317" s="4" t="s">
        <v>3</v>
      </c>
      <c r="J2317" s="14">
        <v>0.69791666666666663</v>
      </c>
      <c r="K2317" s="20" t="str">
        <f t="shared" si="109"/>
        <v>2nd Shift</v>
      </c>
    </row>
    <row r="2318" spans="1:11" x14ac:dyDescent="0.25">
      <c r="A2318" s="1">
        <v>2317</v>
      </c>
      <c r="B2318" s="1">
        <v>7</v>
      </c>
      <c r="C2318" s="3">
        <v>7115271776600</v>
      </c>
      <c r="D2318" s="2">
        <v>44507.697916666664</v>
      </c>
      <c r="E2318" s="2">
        <v>44507.8125</v>
      </c>
      <c r="F2318" s="23">
        <f t="shared" si="108"/>
        <v>0.11458333333575865</v>
      </c>
      <c r="G2318" s="24">
        <f t="shared" si="110"/>
        <v>109.09090908860001</v>
      </c>
      <c r="H2318" s="1" t="s">
        <v>1</v>
      </c>
      <c r="I2318" s="4" t="s">
        <v>2</v>
      </c>
      <c r="J2318" s="14">
        <v>0.69791666666666663</v>
      </c>
      <c r="K2318" s="20" t="str">
        <f t="shared" si="109"/>
        <v>2nd Shift</v>
      </c>
    </row>
    <row r="2319" spans="1:11" x14ac:dyDescent="0.25">
      <c r="A2319" s="1">
        <v>2318</v>
      </c>
      <c r="B2319" s="1">
        <v>6</v>
      </c>
      <c r="C2319" s="3">
        <v>6115271741300</v>
      </c>
      <c r="D2319" s="2">
        <v>44507.697916666664</v>
      </c>
      <c r="E2319" s="2">
        <v>44507.8125</v>
      </c>
      <c r="F2319" s="23">
        <f t="shared" si="108"/>
        <v>0.11458333333575865</v>
      </c>
      <c r="G2319" s="24">
        <f t="shared" si="110"/>
        <v>109.09090908860001</v>
      </c>
      <c r="H2319" s="1" t="s">
        <v>1</v>
      </c>
      <c r="I2319" s="4" t="s">
        <v>2</v>
      </c>
      <c r="J2319" s="14">
        <v>0.69791666666666663</v>
      </c>
      <c r="K2319" s="20" t="str">
        <f t="shared" si="109"/>
        <v>2nd Shift</v>
      </c>
    </row>
    <row r="2320" spans="1:11" x14ac:dyDescent="0.25">
      <c r="A2320" s="1">
        <v>2319</v>
      </c>
      <c r="B2320" s="1">
        <v>13</v>
      </c>
      <c r="C2320" s="3">
        <v>13115271591204</v>
      </c>
      <c r="D2320" s="2">
        <v>44507.833333333336</v>
      </c>
      <c r="E2320" s="2">
        <v>44507.861111111109</v>
      </c>
      <c r="F2320" s="23">
        <f t="shared" si="108"/>
        <v>2.7777777773735579E-2</v>
      </c>
      <c r="G2320" s="24">
        <f t="shared" si="110"/>
        <v>450.00000006548362</v>
      </c>
      <c r="H2320" s="1" t="s">
        <v>1</v>
      </c>
      <c r="I2320" s="4" t="s">
        <v>3</v>
      </c>
      <c r="J2320" s="14">
        <v>0.83333333333333337</v>
      </c>
      <c r="K2320" s="20" t="str">
        <f t="shared" si="109"/>
        <v>2nd Shift</v>
      </c>
    </row>
    <row r="2321" spans="1:11" x14ac:dyDescent="0.25">
      <c r="A2321" s="1">
        <v>2320</v>
      </c>
      <c r="B2321" s="1">
        <v>7</v>
      </c>
      <c r="C2321" s="3">
        <v>7115271777700</v>
      </c>
      <c r="D2321" s="2">
        <v>44508.388888888891</v>
      </c>
      <c r="E2321" s="2">
        <v>44508.444444444445</v>
      </c>
      <c r="F2321" s="23">
        <f t="shared" si="108"/>
        <v>5.5555555554747116E-2</v>
      </c>
      <c r="G2321" s="24">
        <f t="shared" si="110"/>
        <v>225.00000000327418</v>
      </c>
      <c r="H2321" s="1" t="s">
        <v>1</v>
      </c>
      <c r="I2321" s="4" t="s">
        <v>3</v>
      </c>
      <c r="J2321" s="14">
        <v>0.3888888888888889</v>
      </c>
      <c r="K2321" s="20" t="str">
        <f t="shared" si="109"/>
        <v>1st Shift</v>
      </c>
    </row>
    <row r="2322" spans="1:11" x14ac:dyDescent="0.25">
      <c r="A2322" s="1">
        <v>2321</v>
      </c>
      <c r="B2322" s="1">
        <v>9</v>
      </c>
      <c r="C2322" s="3">
        <v>9115271907201</v>
      </c>
      <c r="D2322" s="2">
        <v>44508.493055555555</v>
      </c>
      <c r="E2322" s="2">
        <v>44508.583333333336</v>
      </c>
      <c r="F2322" s="23">
        <f t="shared" si="108"/>
        <v>9.0277777781011537E-2</v>
      </c>
      <c r="G2322" s="24">
        <f t="shared" si="110"/>
        <v>138.46153845657875</v>
      </c>
      <c r="H2322" s="1" t="s">
        <v>1</v>
      </c>
      <c r="I2322" s="4" t="s">
        <v>2</v>
      </c>
      <c r="J2322" s="14">
        <v>0.49305555555555558</v>
      </c>
      <c r="K2322" s="20" t="str">
        <f t="shared" si="109"/>
        <v>1st Shift</v>
      </c>
    </row>
    <row r="2323" spans="1:11" x14ac:dyDescent="0.25">
      <c r="A2323" s="1">
        <v>2322</v>
      </c>
      <c r="B2323" s="1">
        <v>3</v>
      </c>
      <c r="C2323" s="3">
        <v>3115270349700</v>
      </c>
      <c r="D2323" s="2">
        <v>44508.493055555555</v>
      </c>
      <c r="E2323" s="2">
        <v>44508.583333333336</v>
      </c>
      <c r="F2323" s="23">
        <f t="shared" si="108"/>
        <v>9.0277777781011537E-2</v>
      </c>
      <c r="G2323" s="24">
        <f t="shared" si="110"/>
        <v>138.46153845657875</v>
      </c>
      <c r="H2323" s="1" t="s">
        <v>1</v>
      </c>
      <c r="I2323" s="4" t="s">
        <v>3</v>
      </c>
      <c r="J2323" s="14">
        <v>0.49305555555555558</v>
      </c>
      <c r="K2323" s="20" t="str">
        <f t="shared" si="109"/>
        <v>1st Shift</v>
      </c>
    </row>
    <row r="2324" spans="1:11" x14ac:dyDescent="0.25">
      <c r="A2324" s="1">
        <v>2323</v>
      </c>
      <c r="B2324" s="1">
        <v>1</v>
      </c>
      <c r="C2324" s="3">
        <v>1115270110800</v>
      </c>
      <c r="D2324" s="2">
        <v>44508.493055555555</v>
      </c>
      <c r="E2324" s="2">
        <v>44508.583333333336</v>
      </c>
      <c r="F2324" s="23">
        <f t="shared" si="108"/>
        <v>9.0277777781011537E-2</v>
      </c>
      <c r="G2324" s="24">
        <f t="shared" si="110"/>
        <v>138.46153845657875</v>
      </c>
      <c r="H2324" s="1" t="s">
        <v>1</v>
      </c>
      <c r="I2324" s="4" t="s">
        <v>3</v>
      </c>
      <c r="J2324" s="14">
        <v>0.49305555555555558</v>
      </c>
      <c r="K2324" s="20" t="str">
        <f t="shared" si="109"/>
        <v>1st Shift</v>
      </c>
    </row>
    <row r="2325" spans="1:11" x14ac:dyDescent="0.25">
      <c r="A2325" s="1">
        <v>2324</v>
      </c>
      <c r="B2325" s="1">
        <v>12</v>
      </c>
      <c r="C2325" s="3">
        <v>12115271565600</v>
      </c>
      <c r="D2325" s="2">
        <v>44508.690972222219</v>
      </c>
      <c r="E2325" s="2">
        <v>44508.729166666664</v>
      </c>
      <c r="F2325" s="23">
        <f t="shared" si="108"/>
        <v>3.8194444445252884E-2</v>
      </c>
      <c r="G2325" s="24">
        <f t="shared" si="110"/>
        <v>327.27272726580009</v>
      </c>
      <c r="H2325" s="1" t="s">
        <v>1</v>
      </c>
      <c r="I2325" s="4" t="s">
        <v>3</v>
      </c>
      <c r="J2325" s="14">
        <v>0.69097222222222221</v>
      </c>
      <c r="K2325" s="20" t="str">
        <f t="shared" si="109"/>
        <v>2nd Shift</v>
      </c>
    </row>
    <row r="2326" spans="1:11" x14ac:dyDescent="0.25">
      <c r="A2326" s="1">
        <v>2325</v>
      </c>
      <c r="B2326" s="1">
        <v>13</v>
      </c>
      <c r="C2326" s="3">
        <v>13115271608200</v>
      </c>
      <c r="D2326" s="2">
        <v>44508.802083333336</v>
      </c>
      <c r="E2326" s="2">
        <v>44508.875</v>
      </c>
      <c r="F2326" s="23">
        <f t="shared" si="108"/>
        <v>7.2916666664241347E-2</v>
      </c>
      <c r="G2326" s="24">
        <f t="shared" si="110"/>
        <v>171.42857143427341</v>
      </c>
      <c r="H2326" s="1" t="s">
        <v>1</v>
      </c>
      <c r="I2326" s="4" t="s">
        <v>2</v>
      </c>
      <c r="J2326" s="14">
        <v>0.80208333333333337</v>
      </c>
      <c r="K2326" s="20" t="str">
        <f t="shared" si="109"/>
        <v>2nd Shift</v>
      </c>
    </row>
    <row r="2327" spans="1:11" x14ac:dyDescent="0.25">
      <c r="A2327" s="1">
        <v>2326</v>
      </c>
      <c r="B2327" s="1">
        <v>1</v>
      </c>
      <c r="C2327" s="3">
        <v>1115270127200</v>
      </c>
      <c r="D2327" s="2">
        <v>44508.802083333336</v>
      </c>
      <c r="E2327" s="2">
        <v>44508.875</v>
      </c>
      <c r="F2327" s="23">
        <f t="shared" si="108"/>
        <v>7.2916666664241347E-2</v>
      </c>
      <c r="G2327" s="24">
        <f t="shared" si="110"/>
        <v>171.42857143427341</v>
      </c>
      <c r="H2327" s="1" t="s">
        <v>1</v>
      </c>
      <c r="I2327" s="4" t="s">
        <v>2</v>
      </c>
      <c r="J2327" s="14">
        <v>0.80208333333333337</v>
      </c>
      <c r="K2327" s="20" t="str">
        <f t="shared" si="109"/>
        <v>2nd Shift</v>
      </c>
    </row>
    <row r="2328" spans="1:11" x14ac:dyDescent="0.25">
      <c r="A2328" s="1">
        <v>2327</v>
      </c>
      <c r="B2328" s="1">
        <v>7</v>
      </c>
      <c r="C2328" s="3">
        <v>7115271760308</v>
      </c>
      <c r="D2328" s="2">
        <v>44508.96875</v>
      </c>
      <c r="E2328" s="2">
        <v>44509.020833333336</v>
      </c>
      <c r="F2328" s="23">
        <f t="shared" si="108"/>
        <v>5.2083333335758653E-2</v>
      </c>
      <c r="G2328" s="24">
        <f t="shared" si="110"/>
        <v>239.99999998882413</v>
      </c>
      <c r="H2328" s="1" t="s">
        <v>1</v>
      </c>
      <c r="I2328" s="4" t="s">
        <v>3</v>
      </c>
      <c r="J2328" s="14">
        <v>0.96875</v>
      </c>
      <c r="K2328" s="20" t="str">
        <f t="shared" si="109"/>
        <v>3rd Shift</v>
      </c>
    </row>
    <row r="2329" spans="1:11" x14ac:dyDescent="0.25">
      <c r="A2329" s="1">
        <v>2328</v>
      </c>
      <c r="B2329" s="1">
        <v>14</v>
      </c>
      <c r="C2329" s="3">
        <v>14115271672404</v>
      </c>
      <c r="D2329" s="2">
        <v>44509.322916666664</v>
      </c>
      <c r="E2329" s="2">
        <v>44509.40625</v>
      </c>
      <c r="F2329" s="23">
        <f t="shared" si="108"/>
        <v>8.3333333335758653E-2</v>
      </c>
      <c r="G2329" s="24">
        <f t="shared" si="110"/>
        <v>149.99999999563443</v>
      </c>
      <c r="H2329" s="1" t="s">
        <v>1</v>
      </c>
      <c r="I2329" s="4" t="s">
        <v>3</v>
      </c>
      <c r="J2329" s="14">
        <v>0.32291666666666669</v>
      </c>
      <c r="K2329" s="20" t="str">
        <f t="shared" si="109"/>
        <v>1st Shift</v>
      </c>
    </row>
    <row r="2330" spans="1:11" x14ac:dyDescent="0.25">
      <c r="A2330" s="1">
        <v>2329</v>
      </c>
      <c r="B2330" s="1">
        <v>7</v>
      </c>
      <c r="C2330" s="3">
        <v>7115271760400</v>
      </c>
      <c r="D2330" s="2">
        <v>44509.322916666664</v>
      </c>
      <c r="E2330" s="2">
        <v>44509.40625</v>
      </c>
      <c r="F2330" s="23">
        <f t="shared" si="108"/>
        <v>8.3333333335758653E-2</v>
      </c>
      <c r="G2330" s="24">
        <f t="shared" si="110"/>
        <v>149.99999999563443</v>
      </c>
      <c r="H2330" s="1" t="s">
        <v>1</v>
      </c>
      <c r="I2330" s="4" t="s">
        <v>2</v>
      </c>
      <c r="J2330" s="14">
        <v>0.32291666666666669</v>
      </c>
      <c r="K2330" s="20" t="str">
        <f t="shared" si="109"/>
        <v>1st Shift</v>
      </c>
    </row>
    <row r="2331" spans="1:11" x14ac:dyDescent="0.25">
      <c r="A2331" s="1">
        <v>2330</v>
      </c>
      <c r="B2331" s="1">
        <v>6</v>
      </c>
      <c r="C2331" s="3">
        <v>6115271736401</v>
      </c>
      <c r="D2331" s="2">
        <v>44509.322916666664</v>
      </c>
      <c r="E2331" s="2">
        <v>44509.40625</v>
      </c>
      <c r="F2331" s="23">
        <f t="shared" si="108"/>
        <v>8.3333333335758653E-2</v>
      </c>
      <c r="G2331" s="24">
        <f t="shared" si="110"/>
        <v>149.99999999563443</v>
      </c>
      <c r="H2331" s="1" t="s">
        <v>1</v>
      </c>
      <c r="I2331" s="4" t="s">
        <v>3</v>
      </c>
      <c r="J2331" s="14">
        <v>0.32291666666666669</v>
      </c>
      <c r="K2331" s="20" t="str">
        <f t="shared" si="109"/>
        <v>1st Shift</v>
      </c>
    </row>
    <row r="2332" spans="1:11" x14ac:dyDescent="0.25">
      <c r="A2332" s="1">
        <v>2331</v>
      </c>
      <c r="B2332" s="1">
        <v>4</v>
      </c>
      <c r="C2332" s="3">
        <v>4115270858601</v>
      </c>
      <c r="D2332" s="2">
        <v>44509.46875</v>
      </c>
      <c r="E2332" s="2">
        <v>44509.520833333336</v>
      </c>
      <c r="F2332" s="23">
        <f t="shared" si="108"/>
        <v>5.2083333335758653E-2</v>
      </c>
      <c r="G2332" s="24">
        <f t="shared" si="110"/>
        <v>239.99999998882413</v>
      </c>
      <c r="H2332" s="1" t="s">
        <v>1</v>
      </c>
      <c r="I2332" s="4" t="s">
        <v>4</v>
      </c>
      <c r="J2332" s="14">
        <v>0.46875</v>
      </c>
      <c r="K2332" s="20" t="str">
        <f t="shared" si="109"/>
        <v>1st Shift</v>
      </c>
    </row>
    <row r="2333" spans="1:11" x14ac:dyDescent="0.25">
      <c r="A2333" s="1">
        <v>2332</v>
      </c>
      <c r="B2333" s="1">
        <v>15</v>
      </c>
      <c r="C2333" s="3">
        <v>15115271744002</v>
      </c>
      <c r="D2333" s="2">
        <v>44509.541666666664</v>
      </c>
      <c r="E2333" s="2">
        <v>44509.565972222219</v>
      </c>
      <c r="F2333" s="23">
        <f t="shared" si="108"/>
        <v>2.4305555554747116E-2</v>
      </c>
      <c r="G2333" s="24">
        <f t="shared" si="110"/>
        <v>514.28571430282022</v>
      </c>
      <c r="H2333" s="1" t="s">
        <v>1</v>
      </c>
      <c r="I2333" s="4" t="s">
        <v>3</v>
      </c>
      <c r="J2333" s="14">
        <v>0.54166666666666663</v>
      </c>
      <c r="K2333" s="20" t="str">
        <f t="shared" si="109"/>
        <v>1st Shift</v>
      </c>
    </row>
    <row r="2334" spans="1:11" x14ac:dyDescent="0.25">
      <c r="A2334" s="1">
        <v>2333</v>
      </c>
      <c r="B2334" s="1">
        <v>13</v>
      </c>
      <c r="C2334" s="3">
        <v>13115271634400</v>
      </c>
      <c r="D2334" s="2">
        <v>44509.666666666664</v>
      </c>
      <c r="E2334" s="2">
        <v>44509.791666666664</v>
      </c>
      <c r="F2334" s="23">
        <f t="shared" si="108"/>
        <v>0.125</v>
      </c>
      <c r="G2334" s="24">
        <f t="shared" si="110"/>
        <v>100</v>
      </c>
      <c r="H2334" s="1" t="s">
        <v>1</v>
      </c>
      <c r="I2334" s="4" t="s">
        <v>3</v>
      </c>
      <c r="J2334" s="14">
        <v>0.66666666666666663</v>
      </c>
      <c r="K2334" s="20" t="str">
        <f t="shared" si="109"/>
        <v>2nd Shift</v>
      </c>
    </row>
    <row r="2335" spans="1:11" x14ac:dyDescent="0.25">
      <c r="A2335" s="1">
        <v>2334</v>
      </c>
      <c r="B2335" s="1">
        <v>7</v>
      </c>
      <c r="C2335" s="3">
        <v>7115271768101</v>
      </c>
      <c r="D2335" s="2">
        <v>44509.666666666664</v>
      </c>
      <c r="E2335" s="2">
        <v>44509.791666666664</v>
      </c>
      <c r="F2335" s="23">
        <f t="shared" si="108"/>
        <v>0.125</v>
      </c>
      <c r="G2335" s="24">
        <f t="shared" si="110"/>
        <v>100</v>
      </c>
      <c r="H2335" s="1" t="s">
        <v>1</v>
      </c>
      <c r="I2335" s="4" t="s">
        <v>3</v>
      </c>
      <c r="J2335" s="14">
        <v>0.66666666666666663</v>
      </c>
      <c r="K2335" s="20" t="str">
        <f t="shared" si="109"/>
        <v>2nd Shift</v>
      </c>
    </row>
    <row r="2336" spans="1:11" x14ac:dyDescent="0.25">
      <c r="A2336" s="1">
        <v>2335</v>
      </c>
      <c r="B2336" s="1">
        <v>3</v>
      </c>
      <c r="C2336" s="3">
        <v>3115270339600</v>
      </c>
      <c r="D2336" s="2">
        <v>44509.666666666664</v>
      </c>
      <c r="E2336" s="2">
        <v>44509.791666666664</v>
      </c>
      <c r="F2336" s="23">
        <f t="shared" si="108"/>
        <v>0.125</v>
      </c>
      <c r="G2336" s="24">
        <f t="shared" si="110"/>
        <v>100</v>
      </c>
      <c r="H2336" s="1" t="s">
        <v>1</v>
      </c>
      <c r="I2336" s="4" t="s">
        <v>3</v>
      </c>
      <c r="J2336" s="14">
        <v>0.66666666666666663</v>
      </c>
      <c r="K2336" s="20" t="str">
        <f t="shared" si="109"/>
        <v>2nd Shift</v>
      </c>
    </row>
    <row r="2337" spans="1:11" x14ac:dyDescent="0.25">
      <c r="A2337" s="1">
        <v>2336</v>
      </c>
      <c r="B2337" s="1">
        <v>12</v>
      </c>
      <c r="C2337" s="3">
        <v>12115271572100</v>
      </c>
      <c r="D2337" s="2">
        <v>44510.395833333336</v>
      </c>
      <c r="E2337" s="2">
        <v>44510.583333333336</v>
      </c>
      <c r="F2337" s="23">
        <f t="shared" si="108"/>
        <v>0.1875</v>
      </c>
      <c r="G2337" s="24">
        <f t="shared" si="110"/>
        <v>66.666666666666657</v>
      </c>
      <c r="H2337" s="1" t="s">
        <v>1</v>
      </c>
      <c r="I2337" s="4" t="s">
        <v>2</v>
      </c>
      <c r="J2337" s="14">
        <v>0.39583333333333331</v>
      </c>
      <c r="K2337" s="20" t="str">
        <f t="shared" si="109"/>
        <v>1st Shift</v>
      </c>
    </row>
    <row r="2338" spans="1:11" x14ac:dyDescent="0.25">
      <c r="A2338" s="1">
        <v>2337</v>
      </c>
      <c r="B2338" s="1">
        <v>8</v>
      </c>
      <c r="C2338" s="3">
        <v>8115271809912</v>
      </c>
      <c r="D2338" s="2">
        <v>44510.395833333336</v>
      </c>
      <c r="E2338" s="2">
        <v>44510.583333333336</v>
      </c>
      <c r="F2338" s="23">
        <f t="shared" si="108"/>
        <v>0.1875</v>
      </c>
      <c r="G2338" s="24">
        <f t="shared" si="110"/>
        <v>66.666666666666657</v>
      </c>
      <c r="H2338" s="1" t="s">
        <v>1</v>
      </c>
      <c r="I2338" s="4" t="s">
        <v>2</v>
      </c>
      <c r="J2338" s="14">
        <v>0.39583333333333331</v>
      </c>
      <c r="K2338" s="20" t="str">
        <f t="shared" si="109"/>
        <v>1st Shift</v>
      </c>
    </row>
    <row r="2339" spans="1:11" x14ac:dyDescent="0.25">
      <c r="A2339" s="1">
        <v>2338</v>
      </c>
      <c r="B2339" s="1">
        <v>7</v>
      </c>
      <c r="C2339" s="3">
        <v>7115271795900</v>
      </c>
      <c r="D2339" s="2">
        <v>44510.395833333336</v>
      </c>
      <c r="E2339" s="2">
        <v>44510.583333333336</v>
      </c>
      <c r="F2339" s="23">
        <f t="shared" si="108"/>
        <v>0.1875</v>
      </c>
      <c r="G2339" s="24">
        <f t="shared" si="110"/>
        <v>66.666666666666657</v>
      </c>
      <c r="H2339" s="1" t="s">
        <v>1</v>
      </c>
      <c r="I2339" s="4" t="s">
        <v>2</v>
      </c>
      <c r="J2339" s="14">
        <v>0.39583333333333331</v>
      </c>
      <c r="K2339" s="20" t="str">
        <f t="shared" si="109"/>
        <v>1st Shift</v>
      </c>
    </row>
    <row r="2340" spans="1:11" x14ac:dyDescent="0.25">
      <c r="A2340" s="1">
        <v>2339</v>
      </c>
      <c r="B2340" s="1">
        <v>6</v>
      </c>
      <c r="C2340" s="3">
        <v>6115271721101</v>
      </c>
      <c r="D2340" s="2">
        <v>44510.395833333336</v>
      </c>
      <c r="E2340" s="2">
        <v>44510.583333333336</v>
      </c>
      <c r="F2340" s="23">
        <f t="shared" si="108"/>
        <v>0.1875</v>
      </c>
      <c r="G2340" s="24">
        <f t="shared" si="110"/>
        <v>66.666666666666657</v>
      </c>
      <c r="H2340" s="1" t="s">
        <v>1</v>
      </c>
      <c r="I2340" s="4" t="s">
        <v>3</v>
      </c>
      <c r="J2340" s="14">
        <v>0.39583333333333331</v>
      </c>
      <c r="K2340" s="20" t="str">
        <f t="shared" si="109"/>
        <v>1st Shift</v>
      </c>
    </row>
    <row r="2341" spans="1:11" x14ac:dyDescent="0.25">
      <c r="A2341" s="1">
        <v>2340</v>
      </c>
      <c r="B2341" s="1">
        <v>10</v>
      </c>
      <c r="C2341" s="3">
        <v>10115271958210</v>
      </c>
      <c r="D2341" s="2">
        <v>44510.635416666664</v>
      </c>
      <c r="E2341" s="2">
        <v>44510.729166666664</v>
      </c>
      <c r="F2341" s="23">
        <f t="shared" si="108"/>
        <v>9.375E-2</v>
      </c>
      <c r="G2341" s="24">
        <f t="shared" si="110"/>
        <v>133.33333333333331</v>
      </c>
      <c r="H2341" s="1" t="s">
        <v>1</v>
      </c>
      <c r="I2341" s="4" t="s">
        <v>3</v>
      </c>
      <c r="J2341" s="14">
        <v>0.63541666666666663</v>
      </c>
      <c r="K2341" s="20" t="str">
        <f t="shared" si="109"/>
        <v>2nd Shift</v>
      </c>
    </row>
    <row r="2342" spans="1:11" x14ac:dyDescent="0.25">
      <c r="A2342" s="1">
        <v>2341</v>
      </c>
      <c r="B2342" s="1">
        <v>10</v>
      </c>
      <c r="C2342" s="3">
        <v>10115271478802</v>
      </c>
      <c r="D2342" s="2">
        <v>44510.635416666664</v>
      </c>
      <c r="E2342" s="2">
        <v>44510.729166666664</v>
      </c>
      <c r="F2342" s="23">
        <f t="shared" si="108"/>
        <v>9.375E-2</v>
      </c>
      <c r="G2342" s="24">
        <f t="shared" si="110"/>
        <v>133.33333333333331</v>
      </c>
      <c r="H2342" s="1" t="s">
        <v>1</v>
      </c>
      <c r="I2342" s="4" t="s">
        <v>2</v>
      </c>
      <c r="J2342" s="14">
        <v>0.63541666666666663</v>
      </c>
      <c r="K2342" s="20" t="str">
        <f t="shared" si="109"/>
        <v>2nd Shift</v>
      </c>
    </row>
    <row r="2343" spans="1:11" x14ac:dyDescent="0.25">
      <c r="A2343" s="1">
        <v>2342</v>
      </c>
      <c r="B2343" s="1">
        <v>13</v>
      </c>
      <c r="C2343" s="3">
        <v>13115271601400</v>
      </c>
      <c r="D2343" s="2">
        <v>44510.767361111109</v>
      </c>
      <c r="E2343" s="2">
        <v>44510.798611111109</v>
      </c>
      <c r="F2343" s="23">
        <f t="shared" si="108"/>
        <v>3.125E-2</v>
      </c>
      <c r="G2343" s="24">
        <f t="shared" si="110"/>
        <v>400</v>
      </c>
      <c r="H2343" s="1" t="s">
        <v>1</v>
      </c>
      <c r="I2343" s="4" t="s">
        <v>2</v>
      </c>
      <c r="J2343" s="14">
        <v>0.76736111111111116</v>
      </c>
      <c r="K2343" s="20" t="str">
        <f t="shared" si="109"/>
        <v>2nd Shift</v>
      </c>
    </row>
    <row r="2344" spans="1:11" x14ac:dyDescent="0.25">
      <c r="A2344" s="1">
        <v>2343</v>
      </c>
      <c r="B2344" s="1">
        <v>6</v>
      </c>
      <c r="C2344" s="3">
        <v>6115271723702</v>
      </c>
      <c r="D2344" s="2">
        <v>44510.909722222219</v>
      </c>
      <c r="E2344" s="2">
        <v>44510.961805555555</v>
      </c>
      <c r="F2344" s="23">
        <f t="shared" si="108"/>
        <v>5.2083333335758653E-2</v>
      </c>
      <c r="G2344" s="24">
        <f t="shared" si="110"/>
        <v>239.99999998882413</v>
      </c>
      <c r="H2344" s="1" t="s">
        <v>1</v>
      </c>
      <c r="I2344" s="4" t="s">
        <v>4</v>
      </c>
      <c r="J2344" s="14">
        <v>0.90972222222222221</v>
      </c>
      <c r="K2344" s="20" t="str">
        <f t="shared" si="109"/>
        <v>2nd Shift</v>
      </c>
    </row>
    <row r="2345" spans="1:11" x14ac:dyDescent="0.25">
      <c r="A2345" s="1">
        <v>2344</v>
      </c>
      <c r="B2345" s="1">
        <v>7</v>
      </c>
      <c r="C2345" s="3">
        <v>7115271753901</v>
      </c>
      <c r="D2345" s="2">
        <v>44511.739583333336</v>
      </c>
      <c r="E2345" s="2">
        <v>44511.899305555555</v>
      </c>
      <c r="F2345" s="23">
        <f t="shared" si="108"/>
        <v>0.15972222221898846</v>
      </c>
      <c r="G2345" s="24">
        <f t="shared" si="110"/>
        <v>78.260869566801873</v>
      </c>
      <c r="H2345" s="1" t="s">
        <v>1</v>
      </c>
      <c r="I2345" s="4" t="s">
        <v>2</v>
      </c>
      <c r="J2345" s="14">
        <v>0.73958333333333337</v>
      </c>
      <c r="K2345" s="20" t="str">
        <f t="shared" si="109"/>
        <v>2nd Shift</v>
      </c>
    </row>
    <row r="2346" spans="1:11" x14ac:dyDescent="0.25">
      <c r="A2346" s="1">
        <v>2345</v>
      </c>
      <c r="B2346" s="1">
        <v>7</v>
      </c>
      <c r="C2346" s="3">
        <v>7115271753808</v>
      </c>
      <c r="D2346" s="2">
        <v>44511.739583333336</v>
      </c>
      <c r="E2346" s="2">
        <v>44511.899305555555</v>
      </c>
      <c r="F2346" s="23">
        <f t="shared" si="108"/>
        <v>0.15972222221898846</v>
      </c>
      <c r="G2346" s="24">
        <f t="shared" si="110"/>
        <v>78.260869566801873</v>
      </c>
      <c r="H2346" s="1" t="s">
        <v>1</v>
      </c>
      <c r="I2346" s="4" t="s">
        <v>2</v>
      </c>
      <c r="J2346" s="14">
        <v>0.73958333333333337</v>
      </c>
      <c r="K2346" s="20" t="str">
        <f t="shared" si="109"/>
        <v>2nd Shift</v>
      </c>
    </row>
    <row r="2347" spans="1:11" x14ac:dyDescent="0.25">
      <c r="A2347" s="1">
        <v>2346</v>
      </c>
      <c r="B2347" s="1">
        <v>3</v>
      </c>
      <c r="C2347" s="3">
        <v>3115270320600</v>
      </c>
      <c r="D2347" s="2">
        <v>44511.739583333336</v>
      </c>
      <c r="E2347" s="2">
        <v>44511.899305555555</v>
      </c>
      <c r="F2347" s="23">
        <f t="shared" si="108"/>
        <v>0.15972222221898846</v>
      </c>
      <c r="G2347" s="24">
        <f t="shared" si="110"/>
        <v>78.260869566801873</v>
      </c>
      <c r="H2347" s="1" t="s">
        <v>1</v>
      </c>
      <c r="I2347" s="4" t="s">
        <v>4</v>
      </c>
      <c r="J2347" s="14">
        <v>0.73958333333333337</v>
      </c>
      <c r="K2347" s="20" t="str">
        <f t="shared" si="109"/>
        <v>2nd Shift</v>
      </c>
    </row>
    <row r="2348" spans="1:11" x14ac:dyDescent="0.25">
      <c r="A2348" s="1">
        <v>2347</v>
      </c>
      <c r="B2348" s="1">
        <v>1</v>
      </c>
      <c r="C2348" s="3">
        <v>1115270096700</v>
      </c>
      <c r="D2348" s="2">
        <v>44511.739583333336</v>
      </c>
      <c r="E2348" s="2">
        <v>44511.899305555555</v>
      </c>
      <c r="F2348" s="23">
        <f t="shared" si="108"/>
        <v>0.15972222221898846</v>
      </c>
      <c r="G2348" s="24">
        <f t="shared" si="110"/>
        <v>78.260869566801873</v>
      </c>
      <c r="H2348" s="1" t="s">
        <v>1</v>
      </c>
      <c r="I2348" s="4" t="s">
        <v>2</v>
      </c>
      <c r="J2348" s="14">
        <v>0.73958333333333337</v>
      </c>
      <c r="K2348" s="20" t="str">
        <f t="shared" si="109"/>
        <v>2nd Shift</v>
      </c>
    </row>
    <row r="2349" spans="1:11" x14ac:dyDescent="0.25">
      <c r="A2349" s="1">
        <v>2348</v>
      </c>
      <c r="B2349" s="1">
        <v>10</v>
      </c>
      <c r="C2349" s="3">
        <v>10115271964001</v>
      </c>
      <c r="D2349" s="2">
        <v>44512.472222222219</v>
      </c>
      <c r="E2349" s="2">
        <v>44512.613888888889</v>
      </c>
      <c r="F2349" s="23">
        <f t="shared" si="108"/>
        <v>0.14166666667006211</v>
      </c>
      <c r="G2349" s="24">
        <f t="shared" si="110"/>
        <v>88.235294115532241</v>
      </c>
      <c r="H2349" s="1" t="s">
        <v>1</v>
      </c>
      <c r="I2349" s="4" t="s">
        <v>3</v>
      </c>
      <c r="J2349" s="14">
        <v>0.47222222222222221</v>
      </c>
      <c r="K2349" s="20" t="str">
        <f t="shared" si="109"/>
        <v>1st Shift</v>
      </c>
    </row>
    <row r="2350" spans="1:11" x14ac:dyDescent="0.25">
      <c r="A2350" s="1">
        <v>2349</v>
      </c>
      <c r="B2350" s="1">
        <v>10</v>
      </c>
      <c r="C2350" s="3">
        <v>10115271959100</v>
      </c>
      <c r="D2350" s="2">
        <v>44512.472222222219</v>
      </c>
      <c r="E2350" s="2">
        <v>44512.613888888889</v>
      </c>
      <c r="F2350" s="23">
        <f t="shared" si="108"/>
        <v>0.14166666667006211</v>
      </c>
      <c r="G2350" s="24">
        <f t="shared" si="110"/>
        <v>88.235294115532241</v>
      </c>
      <c r="H2350" s="1" t="s">
        <v>1</v>
      </c>
      <c r="I2350" s="4" t="s">
        <v>3</v>
      </c>
      <c r="J2350" s="14">
        <v>0.47222222222222221</v>
      </c>
      <c r="K2350" s="20" t="str">
        <f t="shared" si="109"/>
        <v>1st Shift</v>
      </c>
    </row>
    <row r="2351" spans="1:11" x14ac:dyDescent="0.25">
      <c r="A2351" s="1">
        <v>2350</v>
      </c>
      <c r="B2351" s="1">
        <v>10</v>
      </c>
      <c r="C2351" s="3">
        <v>10115271479003</v>
      </c>
      <c r="D2351" s="2">
        <v>44512.472222222219</v>
      </c>
      <c r="E2351" s="2">
        <v>44512.613888888889</v>
      </c>
      <c r="F2351" s="23">
        <f t="shared" si="108"/>
        <v>0.14166666667006211</v>
      </c>
      <c r="G2351" s="24">
        <f t="shared" si="110"/>
        <v>88.235294115532241</v>
      </c>
      <c r="H2351" s="1" t="s">
        <v>1</v>
      </c>
      <c r="I2351" s="4" t="s">
        <v>3</v>
      </c>
      <c r="J2351" s="14">
        <v>0.47222222222222221</v>
      </c>
      <c r="K2351" s="20" t="str">
        <f t="shared" si="109"/>
        <v>1st Shift</v>
      </c>
    </row>
    <row r="2352" spans="1:11" x14ac:dyDescent="0.25">
      <c r="A2352" s="1">
        <v>2351</v>
      </c>
      <c r="B2352" s="1">
        <v>7</v>
      </c>
      <c r="C2352" s="3">
        <v>7115271768104</v>
      </c>
      <c r="D2352" s="2">
        <v>44512.472222222219</v>
      </c>
      <c r="E2352" s="2">
        <v>44512.613888888889</v>
      </c>
      <c r="F2352" s="23">
        <f t="shared" si="108"/>
        <v>0.14166666667006211</v>
      </c>
      <c r="G2352" s="24">
        <f t="shared" si="110"/>
        <v>88.235294115532241</v>
      </c>
      <c r="H2352" s="1" t="s">
        <v>1</v>
      </c>
      <c r="I2352" s="4" t="s">
        <v>2</v>
      </c>
      <c r="J2352" s="14">
        <v>0.47222222222222221</v>
      </c>
      <c r="K2352" s="20" t="str">
        <f t="shared" si="109"/>
        <v>1st Shift</v>
      </c>
    </row>
    <row r="2353" spans="1:11" x14ac:dyDescent="0.25">
      <c r="A2353" s="1">
        <v>2352</v>
      </c>
      <c r="B2353" s="1">
        <v>3</v>
      </c>
      <c r="C2353" s="3">
        <v>3115270308300</v>
      </c>
      <c r="D2353" s="2">
        <v>44512.472222222219</v>
      </c>
      <c r="E2353" s="2">
        <v>44512.613888888889</v>
      </c>
      <c r="F2353" s="23">
        <f t="shared" si="108"/>
        <v>0.14166666667006211</v>
      </c>
      <c r="G2353" s="24">
        <f t="shared" si="110"/>
        <v>88.235294115532241</v>
      </c>
      <c r="H2353" s="1" t="s">
        <v>1</v>
      </c>
      <c r="I2353" s="4" t="s">
        <v>4</v>
      </c>
      <c r="J2353" s="14">
        <v>0.47222222222222221</v>
      </c>
      <c r="K2353" s="20" t="str">
        <f t="shared" si="109"/>
        <v>1st Shift</v>
      </c>
    </row>
    <row r="2354" spans="1:11" x14ac:dyDescent="0.25">
      <c r="A2354" s="1">
        <v>2353</v>
      </c>
      <c r="B2354" s="1">
        <v>10</v>
      </c>
      <c r="C2354" s="3">
        <v>10115271464809</v>
      </c>
      <c r="D2354" s="2">
        <v>44512.819444444445</v>
      </c>
      <c r="E2354" s="2">
        <v>44512.840277777781</v>
      </c>
      <c r="F2354" s="23">
        <f t="shared" si="108"/>
        <v>2.0833333335758653E-2</v>
      </c>
      <c r="G2354" s="24">
        <f t="shared" si="110"/>
        <v>599.99999993015081</v>
      </c>
      <c r="H2354" s="1" t="s">
        <v>1</v>
      </c>
      <c r="I2354" s="4" t="s">
        <v>3</v>
      </c>
      <c r="J2354" s="14">
        <v>0.81944444444444442</v>
      </c>
      <c r="K2354" s="20" t="str">
        <f t="shared" si="109"/>
        <v>2nd Shift</v>
      </c>
    </row>
    <row r="2355" spans="1:11" x14ac:dyDescent="0.25">
      <c r="A2355" s="1">
        <v>2354</v>
      </c>
      <c r="B2355" s="1">
        <v>13</v>
      </c>
      <c r="C2355" s="3">
        <v>13115271590905</v>
      </c>
      <c r="D2355" s="2">
        <v>44513.4375</v>
      </c>
      <c r="E2355" s="2">
        <v>44513.510416666664</v>
      </c>
      <c r="F2355" s="23">
        <f t="shared" si="108"/>
        <v>7.2916666664241347E-2</v>
      </c>
      <c r="G2355" s="24">
        <f t="shared" si="110"/>
        <v>171.42857143427341</v>
      </c>
      <c r="H2355" s="1" t="s">
        <v>1</v>
      </c>
      <c r="I2355" s="4" t="s">
        <v>2</v>
      </c>
      <c r="J2355" s="14">
        <v>0.4375</v>
      </c>
      <c r="K2355" s="20" t="str">
        <f t="shared" si="109"/>
        <v>1st Shift</v>
      </c>
    </row>
    <row r="2356" spans="1:11" x14ac:dyDescent="0.25">
      <c r="A2356" s="1">
        <v>2355</v>
      </c>
      <c r="B2356" s="1">
        <v>11</v>
      </c>
      <c r="C2356" s="3">
        <v>11115271542607</v>
      </c>
      <c r="D2356" s="2">
        <v>44513.4375</v>
      </c>
      <c r="E2356" s="2">
        <v>44513.510416666664</v>
      </c>
      <c r="F2356" s="23">
        <f t="shared" si="108"/>
        <v>7.2916666664241347E-2</v>
      </c>
      <c r="G2356" s="24">
        <f t="shared" si="110"/>
        <v>171.42857143427341</v>
      </c>
      <c r="H2356" s="1" t="s">
        <v>1</v>
      </c>
      <c r="I2356" s="4" t="s">
        <v>2</v>
      </c>
      <c r="J2356" s="14">
        <v>0.4375</v>
      </c>
      <c r="K2356" s="20" t="str">
        <f t="shared" si="109"/>
        <v>1st Shift</v>
      </c>
    </row>
    <row r="2357" spans="1:11" x14ac:dyDescent="0.25">
      <c r="A2357" s="1">
        <v>2356</v>
      </c>
      <c r="B2357" s="1">
        <v>14</v>
      </c>
      <c r="C2357" s="3">
        <v>14115271672502</v>
      </c>
      <c r="D2357" s="2">
        <v>44513.53125</v>
      </c>
      <c r="E2357" s="2">
        <v>44513.576388888891</v>
      </c>
      <c r="F2357" s="23">
        <f t="shared" si="108"/>
        <v>4.5138888890505768E-2</v>
      </c>
      <c r="G2357" s="24">
        <f t="shared" si="110"/>
        <v>276.9230769131575</v>
      </c>
      <c r="H2357" s="1" t="s">
        <v>1</v>
      </c>
      <c r="I2357" s="4" t="s">
        <v>3</v>
      </c>
      <c r="J2357" s="14">
        <v>0.53125</v>
      </c>
      <c r="K2357" s="20" t="str">
        <f t="shared" si="109"/>
        <v>1st Shift</v>
      </c>
    </row>
    <row r="2358" spans="1:11" x14ac:dyDescent="0.25">
      <c r="A2358" s="1">
        <v>2357</v>
      </c>
      <c r="B2358" s="1">
        <v>12</v>
      </c>
      <c r="C2358" s="3">
        <v>12115271572403</v>
      </c>
      <c r="D2358" s="2">
        <v>44513.53125</v>
      </c>
      <c r="E2358" s="2">
        <v>44513.576388888891</v>
      </c>
      <c r="F2358" s="23">
        <f t="shared" si="108"/>
        <v>4.5138888890505768E-2</v>
      </c>
      <c r="G2358" s="24">
        <f t="shared" si="110"/>
        <v>276.9230769131575</v>
      </c>
      <c r="H2358" s="1" t="s">
        <v>1</v>
      </c>
      <c r="I2358" s="4" t="s">
        <v>3</v>
      </c>
      <c r="J2358" s="14">
        <v>0.53125</v>
      </c>
      <c r="K2358" s="20" t="str">
        <f t="shared" si="109"/>
        <v>1st Shift</v>
      </c>
    </row>
    <row r="2359" spans="1:11" x14ac:dyDescent="0.25">
      <c r="A2359" s="1">
        <v>2358</v>
      </c>
      <c r="B2359" s="1">
        <v>9</v>
      </c>
      <c r="C2359" s="3">
        <v>9115271952101</v>
      </c>
      <c r="D2359" s="2">
        <v>44513.78125</v>
      </c>
      <c r="E2359" s="2">
        <v>44513.826388888891</v>
      </c>
      <c r="F2359" s="23">
        <f t="shared" si="108"/>
        <v>4.5138888890505768E-2</v>
      </c>
      <c r="G2359" s="24">
        <f t="shared" si="110"/>
        <v>276.9230769131575</v>
      </c>
      <c r="H2359" s="1" t="s">
        <v>1</v>
      </c>
      <c r="I2359" s="4" t="s">
        <v>2</v>
      </c>
      <c r="J2359" s="14">
        <v>0.78125</v>
      </c>
      <c r="K2359" s="20" t="str">
        <f t="shared" si="109"/>
        <v>2nd Shift</v>
      </c>
    </row>
    <row r="2360" spans="1:11" x14ac:dyDescent="0.25">
      <c r="A2360" s="1">
        <v>2359</v>
      </c>
      <c r="B2360" s="1">
        <v>10</v>
      </c>
      <c r="C2360" s="3">
        <v>10115271964701</v>
      </c>
      <c r="D2360" s="2">
        <v>44513.84375</v>
      </c>
      <c r="E2360" s="2">
        <v>44513.871527777781</v>
      </c>
      <c r="F2360" s="23">
        <f t="shared" si="108"/>
        <v>2.7777777781011537E-2</v>
      </c>
      <c r="G2360" s="24">
        <f t="shared" si="110"/>
        <v>449.99999994761311</v>
      </c>
      <c r="H2360" s="1" t="s">
        <v>1</v>
      </c>
      <c r="I2360" s="4" t="s">
        <v>4</v>
      </c>
      <c r="J2360" s="14">
        <v>0.84375</v>
      </c>
      <c r="K2360" s="20" t="str">
        <f t="shared" si="109"/>
        <v>2nd Shift</v>
      </c>
    </row>
    <row r="2361" spans="1:11" x14ac:dyDescent="0.25">
      <c r="A2361" s="1">
        <v>2360</v>
      </c>
      <c r="B2361" s="1">
        <v>2</v>
      </c>
      <c r="C2361" s="3">
        <v>2115270274400</v>
      </c>
      <c r="D2361" s="2">
        <v>44514.5625</v>
      </c>
      <c r="E2361" s="2">
        <v>44514.590277777781</v>
      </c>
      <c r="F2361" s="23">
        <f t="shared" si="108"/>
        <v>2.7777777781011537E-2</v>
      </c>
      <c r="G2361" s="24">
        <f t="shared" si="110"/>
        <v>449.99999994761311</v>
      </c>
      <c r="H2361" s="1" t="s">
        <v>1</v>
      </c>
      <c r="I2361" s="4" t="s">
        <v>4</v>
      </c>
      <c r="J2361" s="14">
        <v>0.5625</v>
      </c>
      <c r="K2361" s="20" t="str">
        <f t="shared" si="109"/>
        <v>1st Shift</v>
      </c>
    </row>
    <row r="2362" spans="1:11" x14ac:dyDescent="0.25">
      <c r="A2362" s="1">
        <v>2361</v>
      </c>
      <c r="B2362" s="1">
        <v>13</v>
      </c>
      <c r="C2362" s="3">
        <v>13115271590508</v>
      </c>
      <c r="D2362" s="2">
        <v>44514.763888888891</v>
      </c>
      <c r="E2362" s="2">
        <v>44514.819444444445</v>
      </c>
      <c r="F2362" s="23">
        <f t="shared" si="108"/>
        <v>5.5555555554747116E-2</v>
      </c>
      <c r="G2362" s="24">
        <f t="shared" si="110"/>
        <v>225.00000000327418</v>
      </c>
      <c r="H2362" s="1" t="s">
        <v>1</v>
      </c>
      <c r="I2362" s="4" t="s">
        <v>2</v>
      </c>
      <c r="J2362" s="14">
        <v>0.76388888888888884</v>
      </c>
      <c r="K2362" s="20" t="str">
        <f t="shared" si="109"/>
        <v>2nd Shift</v>
      </c>
    </row>
    <row r="2363" spans="1:11" x14ac:dyDescent="0.25">
      <c r="A2363" s="1">
        <v>2362</v>
      </c>
      <c r="B2363" s="1">
        <v>11</v>
      </c>
      <c r="C2363" s="3">
        <v>11115271542604</v>
      </c>
      <c r="D2363" s="2">
        <v>44514.784722222219</v>
      </c>
      <c r="E2363" s="2">
        <v>44514.819444444445</v>
      </c>
      <c r="F2363" s="23">
        <f t="shared" si="108"/>
        <v>3.4722222226264421E-2</v>
      </c>
      <c r="G2363" s="24">
        <f t="shared" si="110"/>
        <v>359.99999995809048</v>
      </c>
      <c r="H2363" s="1" t="s">
        <v>1</v>
      </c>
      <c r="I2363" s="4" t="s">
        <v>4</v>
      </c>
      <c r="J2363" s="14">
        <v>0.78472222222222221</v>
      </c>
      <c r="K2363" s="20" t="str">
        <f t="shared" si="109"/>
        <v>2nd Shift</v>
      </c>
    </row>
    <row r="2364" spans="1:11" x14ac:dyDescent="0.25">
      <c r="A2364" s="1">
        <v>2363</v>
      </c>
      <c r="B2364" s="1">
        <v>3</v>
      </c>
      <c r="C2364" s="3">
        <v>3115270316400</v>
      </c>
      <c r="D2364" s="2">
        <v>44514.690972222219</v>
      </c>
      <c r="E2364" s="2">
        <v>44514.819444444445</v>
      </c>
      <c r="F2364" s="23">
        <f t="shared" si="108"/>
        <v>0.12847222222626442</v>
      </c>
      <c r="G2364" s="24">
        <f t="shared" si="110"/>
        <v>97.297297294235975</v>
      </c>
      <c r="H2364" s="1" t="s">
        <v>1</v>
      </c>
      <c r="I2364" s="4" t="s">
        <v>4</v>
      </c>
      <c r="J2364" s="14">
        <v>0.69097222222222221</v>
      </c>
      <c r="K2364" s="20" t="str">
        <f t="shared" si="109"/>
        <v>2nd Shift</v>
      </c>
    </row>
    <row r="2365" spans="1:11" x14ac:dyDescent="0.25">
      <c r="A2365" s="1">
        <v>2364</v>
      </c>
      <c r="B2365" s="1">
        <v>7</v>
      </c>
      <c r="C2365" s="3">
        <v>7115271754003</v>
      </c>
      <c r="D2365" s="2">
        <v>44514.96875</v>
      </c>
      <c r="E2365" s="2">
        <v>44515.069444444445</v>
      </c>
      <c r="F2365" s="23">
        <f t="shared" si="108"/>
        <v>0.10069444444525288</v>
      </c>
      <c r="G2365" s="24">
        <f t="shared" si="110"/>
        <v>124.1379310334861</v>
      </c>
      <c r="H2365" s="1" t="s">
        <v>1</v>
      </c>
      <c r="I2365" s="4" t="s">
        <v>2</v>
      </c>
      <c r="J2365" s="14">
        <v>0.96875</v>
      </c>
      <c r="K2365" s="20" t="str">
        <f t="shared" si="109"/>
        <v>3rd Shift</v>
      </c>
    </row>
    <row r="2366" spans="1:11" x14ac:dyDescent="0.25">
      <c r="A2366" s="1">
        <v>2365</v>
      </c>
      <c r="B2366" s="1">
        <v>1</v>
      </c>
      <c r="C2366" s="3">
        <v>1115270142800</v>
      </c>
      <c r="D2366" s="2">
        <v>44514.96875</v>
      </c>
      <c r="E2366" s="2">
        <v>44515.069444444445</v>
      </c>
      <c r="F2366" s="23">
        <f t="shared" si="108"/>
        <v>0.10069444444525288</v>
      </c>
      <c r="G2366" s="24">
        <f t="shared" si="110"/>
        <v>124.1379310334861</v>
      </c>
      <c r="H2366" s="1" t="s">
        <v>1</v>
      </c>
      <c r="I2366" s="4" t="s">
        <v>3</v>
      </c>
      <c r="J2366" s="14">
        <v>0.96875</v>
      </c>
      <c r="K2366" s="20" t="str">
        <f t="shared" si="109"/>
        <v>3rd Shift</v>
      </c>
    </row>
    <row r="2367" spans="1:11" x14ac:dyDescent="0.25">
      <c r="A2367" s="1">
        <v>2366</v>
      </c>
      <c r="B2367" s="1">
        <v>12</v>
      </c>
      <c r="C2367" s="3">
        <v>12115271571039</v>
      </c>
      <c r="D2367" s="2">
        <v>44515.357638888891</v>
      </c>
      <c r="E2367" s="2">
        <v>44515.473611111112</v>
      </c>
      <c r="F2367" s="23">
        <f t="shared" si="108"/>
        <v>0.11597222222189885</v>
      </c>
      <c r="G2367" s="24">
        <f t="shared" si="110"/>
        <v>107.7844311380251</v>
      </c>
      <c r="H2367" s="1" t="s">
        <v>1</v>
      </c>
      <c r="I2367" s="4" t="s">
        <v>2</v>
      </c>
      <c r="J2367" s="14">
        <v>0.3576388888888889</v>
      </c>
      <c r="K2367" s="20" t="str">
        <f t="shared" si="109"/>
        <v>1st Shift</v>
      </c>
    </row>
    <row r="2368" spans="1:11" x14ac:dyDescent="0.25">
      <c r="A2368" s="1">
        <v>2367</v>
      </c>
      <c r="B2368" s="1">
        <v>11</v>
      </c>
      <c r="C2368" s="3">
        <v>11115271543503</v>
      </c>
      <c r="D2368" s="2">
        <v>44515.357638888891</v>
      </c>
      <c r="E2368" s="2">
        <v>44515.473611111112</v>
      </c>
      <c r="F2368" s="23">
        <f t="shared" si="108"/>
        <v>0.11597222222189885</v>
      </c>
      <c r="G2368" s="24">
        <f t="shared" si="110"/>
        <v>107.7844311380251</v>
      </c>
      <c r="H2368" s="1" t="s">
        <v>1</v>
      </c>
      <c r="I2368" s="4" t="s">
        <v>2</v>
      </c>
      <c r="J2368" s="14">
        <v>0.3576388888888889</v>
      </c>
      <c r="K2368" s="20" t="str">
        <f t="shared" si="109"/>
        <v>1st Shift</v>
      </c>
    </row>
    <row r="2369" spans="1:11" x14ac:dyDescent="0.25">
      <c r="A2369" s="1">
        <v>2368</v>
      </c>
      <c r="B2369" s="1">
        <v>10</v>
      </c>
      <c r="C2369" s="3">
        <v>10115271964000</v>
      </c>
      <c r="D2369" s="2">
        <v>44515.357638888891</v>
      </c>
      <c r="E2369" s="2">
        <v>44515.473611111112</v>
      </c>
      <c r="F2369" s="23">
        <f t="shared" si="108"/>
        <v>0.11597222222189885</v>
      </c>
      <c r="G2369" s="24">
        <f t="shared" si="110"/>
        <v>107.7844311380251</v>
      </c>
      <c r="H2369" s="1" t="s">
        <v>1</v>
      </c>
      <c r="I2369" s="4" t="s">
        <v>2</v>
      </c>
      <c r="J2369" s="14">
        <v>0.3576388888888889</v>
      </c>
      <c r="K2369" s="20" t="str">
        <f t="shared" si="109"/>
        <v>1st Shift</v>
      </c>
    </row>
    <row r="2370" spans="1:11" x14ac:dyDescent="0.25">
      <c r="A2370" s="1">
        <v>2369</v>
      </c>
      <c r="B2370" s="1">
        <v>15</v>
      </c>
      <c r="C2370" s="3">
        <v>15115271771800</v>
      </c>
      <c r="D2370" s="2">
        <v>44515.510416666664</v>
      </c>
      <c r="E2370" s="2">
        <v>44515.541666666664</v>
      </c>
      <c r="F2370" s="23">
        <f t="shared" ref="F2370:F2433" si="111">E2370-D2370</f>
        <v>3.125E-2</v>
      </c>
      <c r="G2370" s="24">
        <f t="shared" si="110"/>
        <v>400</v>
      </c>
      <c r="H2370" s="1" t="s">
        <v>1</v>
      </c>
      <c r="I2370" s="4" t="s">
        <v>2</v>
      </c>
      <c r="J2370" s="14">
        <v>0.51041666666666663</v>
      </c>
      <c r="K2370" s="20" t="str">
        <f t="shared" ref="K2370:K2433" si="112">IF(AND(J2370&gt;=$M$3,J2370&lt;$M$4),"1st Shift",IF(AND(J2370&gt;=$M$4,J2370&lt;$M$5),"2nd Shift","3rd Shift"))</f>
        <v>1st Shift</v>
      </c>
    </row>
    <row r="2371" spans="1:11" x14ac:dyDescent="0.25">
      <c r="A2371" s="1">
        <v>2370</v>
      </c>
      <c r="B2371" s="1">
        <v>14</v>
      </c>
      <c r="C2371" s="3">
        <v>14115271672411</v>
      </c>
      <c r="D2371" s="2">
        <v>44515.663194444445</v>
      </c>
      <c r="E2371" s="2">
        <v>44515.736111111109</v>
      </c>
      <c r="F2371" s="23">
        <f t="shared" si="111"/>
        <v>7.2916666664241347E-2</v>
      </c>
      <c r="G2371" s="24">
        <f t="shared" ref="G2371:G2434" si="113">$M$9/F2371*100</f>
        <v>171.42857143427341</v>
      </c>
      <c r="H2371" s="1" t="s">
        <v>1</v>
      </c>
      <c r="I2371" s="4" t="s">
        <v>8</v>
      </c>
      <c r="J2371" s="14">
        <v>0.66319444444444442</v>
      </c>
      <c r="K2371" s="20" t="str">
        <f t="shared" si="112"/>
        <v>2nd Shift</v>
      </c>
    </row>
    <row r="2372" spans="1:11" x14ac:dyDescent="0.25">
      <c r="A2372" s="1">
        <v>2371</v>
      </c>
      <c r="B2372" s="1">
        <v>13</v>
      </c>
      <c r="C2372" s="3">
        <v>13115271612225</v>
      </c>
      <c r="D2372" s="2">
        <v>44515.663194444445</v>
      </c>
      <c r="E2372" s="2">
        <v>44515.736111111109</v>
      </c>
      <c r="F2372" s="23">
        <f t="shared" si="111"/>
        <v>7.2916666664241347E-2</v>
      </c>
      <c r="G2372" s="24">
        <f t="shared" si="113"/>
        <v>171.42857143427341</v>
      </c>
      <c r="H2372" s="1" t="s">
        <v>1</v>
      </c>
      <c r="I2372" s="4" t="s">
        <v>2</v>
      </c>
      <c r="J2372" s="14">
        <v>0.66319444444444442</v>
      </c>
      <c r="K2372" s="20" t="str">
        <f t="shared" si="112"/>
        <v>2nd Shift</v>
      </c>
    </row>
    <row r="2373" spans="1:11" x14ac:dyDescent="0.25">
      <c r="A2373" s="1">
        <v>2372</v>
      </c>
      <c r="B2373" s="1">
        <v>10</v>
      </c>
      <c r="C2373" s="3">
        <v>10115271959300</v>
      </c>
      <c r="D2373" s="2">
        <v>44515.809027777781</v>
      </c>
      <c r="E2373" s="2">
        <v>44515.909722222219</v>
      </c>
      <c r="F2373" s="23">
        <f t="shared" si="111"/>
        <v>0.10069444443797693</v>
      </c>
      <c r="G2373" s="24">
        <f t="shared" si="113"/>
        <v>124.13793104245603</v>
      </c>
      <c r="H2373" s="1" t="s">
        <v>1</v>
      </c>
      <c r="I2373" s="4" t="s">
        <v>3</v>
      </c>
      <c r="J2373" s="14">
        <v>0.80902777777777779</v>
      </c>
      <c r="K2373" s="20" t="str">
        <f t="shared" si="112"/>
        <v>2nd Shift</v>
      </c>
    </row>
    <row r="2374" spans="1:11" x14ac:dyDescent="0.25">
      <c r="A2374" s="1">
        <v>2373</v>
      </c>
      <c r="B2374" s="1">
        <v>6</v>
      </c>
      <c r="C2374" s="3">
        <v>6115271741307</v>
      </c>
      <c r="D2374" s="2">
        <v>44515.809027777781</v>
      </c>
      <c r="E2374" s="2">
        <v>44515.909722222219</v>
      </c>
      <c r="F2374" s="23">
        <f t="shared" si="111"/>
        <v>0.10069444443797693</v>
      </c>
      <c r="G2374" s="24">
        <f t="shared" si="113"/>
        <v>124.13793104245603</v>
      </c>
      <c r="H2374" s="1" t="s">
        <v>1</v>
      </c>
      <c r="I2374" s="4" t="s">
        <v>3</v>
      </c>
      <c r="J2374" s="14">
        <v>0.80902777777777779</v>
      </c>
      <c r="K2374" s="20" t="str">
        <f t="shared" si="112"/>
        <v>2nd Shift</v>
      </c>
    </row>
    <row r="2375" spans="1:11" x14ac:dyDescent="0.25">
      <c r="A2375" s="1">
        <v>2374</v>
      </c>
      <c r="B2375" s="1">
        <v>1</v>
      </c>
      <c r="C2375" s="3">
        <v>1115270127400</v>
      </c>
      <c r="D2375" s="2">
        <v>44515.951388888891</v>
      </c>
      <c r="E2375" s="2">
        <v>44515.993055555555</v>
      </c>
      <c r="F2375" s="23">
        <f t="shared" si="111"/>
        <v>4.1666666664241347E-2</v>
      </c>
      <c r="G2375" s="24">
        <f t="shared" si="113"/>
        <v>300.0000000174623</v>
      </c>
      <c r="H2375" s="1" t="s">
        <v>1</v>
      </c>
      <c r="I2375" s="4" t="s">
        <v>3</v>
      </c>
      <c r="J2375" s="14">
        <v>0.95138888888888884</v>
      </c>
      <c r="K2375" s="20" t="str">
        <f t="shared" si="112"/>
        <v>3rd Shift</v>
      </c>
    </row>
    <row r="2376" spans="1:11" x14ac:dyDescent="0.25">
      <c r="A2376" s="1">
        <v>2375</v>
      </c>
      <c r="B2376" s="1">
        <v>13</v>
      </c>
      <c r="C2376" s="3">
        <v>13115271590901</v>
      </c>
      <c r="D2376" s="2">
        <v>44517.418055555558</v>
      </c>
      <c r="E2376" s="2">
        <v>44517.5</v>
      </c>
      <c r="F2376" s="23">
        <f t="shared" si="111"/>
        <v>8.1944444442342501E-2</v>
      </c>
      <c r="G2376" s="24">
        <f t="shared" si="113"/>
        <v>152.54237288526878</v>
      </c>
      <c r="H2376" s="1" t="s">
        <v>1</v>
      </c>
      <c r="I2376" s="4" t="s">
        <v>3</v>
      </c>
      <c r="J2376" s="14">
        <v>0.41805555555555557</v>
      </c>
      <c r="K2376" s="20" t="str">
        <f t="shared" si="112"/>
        <v>1st Shift</v>
      </c>
    </row>
    <row r="2377" spans="1:11" x14ac:dyDescent="0.25">
      <c r="A2377" s="1">
        <v>2376</v>
      </c>
      <c r="B2377" s="1">
        <v>7</v>
      </c>
      <c r="C2377" s="3">
        <v>7115271757100</v>
      </c>
      <c r="D2377" s="2">
        <v>44517.418055555558</v>
      </c>
      <c r="E2377" s="2">
        <v>44517.5</v>
      </c>
      <c r="F2377" s="23">
        <f t="shared" si="111"/>
        <v>8.1944444442342501E-2</v>
      </c>
      <c r="G2377" s="24">
        <f t="shared" si="113"/>
        <v>152.54237288526878</v>
      </c>
      <c r="H2377" s="1" t="s">
        <v>1</v>
      </c>
      <c r="I2377" s="4" t="s">
        <v>2</v>
      </c>
      <c r="J2377" s="14">
        <v>0.41805555555555557</v>
      </c>
      <c r="K2377" s="20" t="str">
        <f t="shared" si="112"/>
        <v>1st Shift</v>
      </c>
    </row>
    <row r="2378" spans="1:11" x14ac:dyDescent="0.25">
      <c r="A2378" s="1">
        <v>2377</v>
      </c>
      <c r="B2378" s="1">
        <v>6</v>
      </c>
      <c r="C2378" s="3">
        <v>6115271723026</v>
      </c>
      <c r="D2378" s="2">
        <v>44517.418055555558</v>
      </c>
      <c r="E2378" s="2">
        <v>44517.5</v>
      </c>
      <c r="F2378" s="23">
        <f t="shared" si="111"/>
        <v>8.1944444442342501E-2</v>
      </c>
      <c r="G2378" s="24">
        <f t="shared" si="113"/>
        <v>152.54237288526878</v>
      </c>
      <c r="H2378" s="1" t="s">
        <v>1</v>
      </c>
      <c r="I2378" s="4" t="s">
        <v>2</v>
      </c>
      <c r="J2378" s="14">
        <v>0.41805555555555557</v>
      </c>
      <c r="K2378" s="20" t="str">
        <f t="shared" si="112"/>
        <v>1st Shift</v>
      </c>
    </row>
    <row r="2379" spans="1:11" x14ac:dyDescent="0.25">
      <c r="A2379" s="1">
        <v>2378</v>
      </c>
      <c r="B2379" s="1">
        <v>8</v>
      </c>
      <c r="C2379" s="3">
        <v>8115270613500</v>
      </c>
      <c r="D2379" s="2">
        <v>44517.638888888891</v>
      </c>
      <c r="E2379" s="2">
        <v>44517.791666666664</v>
      </c>
      <c r="F2379" s="23">
        <f t="shared" si="111"/>
        <v>0.15277777777373558</v>
      </c>
      <c r="G2379" s="24">
        <f t="shared" si="113"/>
        <v>81.818181820346567</v>
      </c>
      <c r="H2379" s="1" t="s">
        <v>1</v>
      </c>
      <c r="I2379" s="4" t="s">
        <v>3</v>
      </c>
      <c r="J2379" s="14">
        <v>0.63888888888888884</v>
      </c>
      <c r="K2379" s="20" t="str">
        <f t="shared" si="112"/>
        <v>2nd Shift</v>
      </c>
    </row>
    <row r="2380" spans="1:11" x14ac:dyDescent="0.25">
      <c r="A2380" s="1">
        <v>2379</v>
      </c>
      <c r="B2380" s="1">
        <v>7</v>
      </c>
      <c r="C2380" s="3">
        <v>7115271779312</v>
      </c>
      <c r="D2380" s="2">
        <v>44517.638888888891</v>
      </c>
      <c r="E2380" s="2">
        <v>44517.791666666664</v>
      </c>
      <c r="F2380" s="23">
        <f t="shared" si="111"/>
        <v>0.15277777777373558</v>
      </c>
      <c r="G2380" s="24">
        <f t="shared" si="113"/>
        <v>81.818181820346567</v>
      </c>
      <c r="H2380" s="1" t="s">
        <v>1</v>
      </c>
      <c r="I2380" s="4" t="s">
        <v>3</v>
      </c>
      <c r="J2380" s="14">
        <v>0.63888888888888884</v>
      </c>
      <c r="K2380" s="20" t="str">
        <f t="shared" si="112"/>
        <v>2nd Shift</v>
      </c>
    </row>
    <row r="2381" spans="1:11" x14ac:dyDescent="0.25">
      <c r="A2381" s="1">
        <v>2380</v>
      </c>
      <c r="B2381" s="1">
        <v>1</v>
      </c>
      <c r="C2381" s="3">
        <v>1115270074200</v>
      </c>
      <c r="D2381" s="2">
        <v>44517.979166666664</v>
      </c>
      <c r="E2381" s="2">
        <v>44518.027777777781</v>
      </c>
      <c r="F2381" s="23">
        <f t="shared" si="111"/>
        <v>4.8611111116770189E-2</v>
      </c>
      <c r="G2381" s="24">
        <f t="shared" si="113"/>
        <v>257.14285711292177</v>
      </c>
      <c r="H2381" s="1" t="s">
        <v>1</v>
      </c>
      <c r="I2381" s="4" t="s">
        <v>8</v>
      </c>
      <c r="J2381" s="14">
        <v>0.97916666666666663</v>
      </c>
      <c r="K2381" s="20" t="str">
        <f t="shared" si="112"/>
        <v>3rd Shift</v>
      </c>
    </row>
    <row r="2382" spans="1:11" x14ac:dyDescent="0.25">
      <c r="A2382" s="1">
        <v>2381</v>
      </c>
      <c r="B2382" s="1">
        <v>2</v>
      </c>
      <c r="C2382" s="3">
        <v>2115270212200</v>
      </c>
      <c r="D2382" s="2">
        <v>44518.663194444445</v>
      </c>
      <c r="E2382" s="2">
        <v>44518.708333333336</v>
      </c>
      <c r="F2382" s="23">
        <f t="shared" si="111"/>
        <v>4.5138888890505768E-2</v>
      </c>
      <c r="G2382" s="24">
        <f t="shared" si="113"/>
        <v>276.9230769131575</v>
      </c>
      <c r="H2382" s="1" t="s">
        <v>1</v>
      </c>
      <c r="I2382" s="4" t="s">
        <v>8</v>
      </c>
      <c r="J2382" s="14">
        <v>0.66319444444444442</v>
      </c>
      <c r="K2382" s="20" t="str">
        <f t="shared" si="112"/>
        <v>2nd Shift</v>
      </c>
    </row>
    <row r="2383" spans="1:11" x14ac:dyDescent="0.25">
      <c r="A2383" s="1">
        <v>2382</v>
      </c>
      <c r="B2383" s="1">
        <v>12</v>
      </c>
      <c r="C2383" s="3">
        <v>12115271573208</v>
      </c>
      <c r="D2383" s="2">
        <v>44518.822916666664</v>
      </c>
      <c r="E2383" s="2">
        <v>44518.875</v>
      </c>
      <c r="F2383" s="23">
        <f t="shared" si="111"/>
        <v>5.2083333335758653E-2</v>
      </c>
      <c r="G2383" s="24">
        <f t="shared" si="113"/>
        <v>239.99999998882413</v>
      </c>
      <c r="H2383" s="1" t="s">
        <v>1</v>
      </c>
      <c r="I2383" s="4" t="s">
        <v>3</v>
      </c>
      <c r="J2383" s="14">
        <v>0.82291666666666663</v>
      </c>
      <c r="K2383" s="20" t="str">
        <f t="shared" si="112"/>
        <v>2nd Shift</v>
      </c>
    </row>
    <row r="2384" spans="1:11" x14ac:dyDescent="0.25">
      <c r="A2384" s="1">
        <v>2383</v>
      </c>
      <c r="B2384" s="1">
        <v>7</v>
      </c>
      <c r="C2384" s="3">
        <v>7115271808200</v>
      </c>
      <c r="D2384" s="2">
        <v>44518.822916666664</v>
      </c>
      <c r="E2384" s="2">
        <v>44518.875</v>
      </c>
      <c r="F2384" s="23">
        <f t="shared" si="111"/>
        <v>5.2083333335758653E-2</v>
      </c>
      <c r="G2384" s="24">
        <f t="shared" si="113"/>
        <v>239.99999998882413</v>
      </c>
      <c r="H2384" s="1" t="s">
        <v>1</v>
      </c>
      <c r="I2384" s="4" t="s">
        <v>3</v>
      </c>
      <c r="J2384" s="14">
        <v>0.82291666666666663</v>
      </c>
      <c r="K2384" s="20" t="str">
        <f t="shared" si="112"/>
        <v>2nd Shift</v>
      </c>
    </row>
    <row r="2385" spans="1:11" x14ac:dyDescent="0.25">
      <c r="A2385" s="1">
        <v>2384</v>
      </c>
      <c r="B2385" s="1">
        <v>3</v>
      </c>
      <c r="C2385" s="3">
        <v>3115270392800</v>
      </c>
      <c r="D2385" s="2">
        <v>44519.375</v>
      </c>
      <c r="E2385" s="2">
        <v>44519.427083333336</v>
      </c>
      <c r="F2385" s="23">
        <f t="shared" si="111"/>
        <v>5.2083333335758653E-2</v>
      </c>
      <c r="G2385" s="24">
        <f t="shared" si="113"/>
        <v>239.99999998882413</v>
      </c>
      <c r="H2385" s="1" t="s">
        <v>1</v>
      </c>
      <c r="I2385" s="4" t="s">
        <v>3</v>
      </c>
      <c r="J2385" s="14">
        <v>0.375</v>
      </c>
      <c r="K2385" s="20" t="str">
        <f t="shared" si="112"/>
        <v>1st Shift</v>
      </c>
    </row>
    <row r="2386" spans="1:11" x14ac:dyDescent="0.25">
      <c r="A2386" s="1">
        <v>2385</v>
      </c>
      <c r="B2386" s="1">
        <v>46</v>
      </c>
      <c r="C2386" s="3">
        <v>46115272424303</v>
      </c>
      <c r="D2386" s="2">
        <v>44519.479166666664</v>
      </c>
      <c r="E2386" s="2">
        <v>44519.548611111109</v>
      </c>
      <c r="F2386" s="23">
        <f t="shared" si="111"/>
        <v>6.9444444445252884E-2</v>
      </c>
      <c r="G2386" s="24">
        <f t="shared" si="113"/>
        <v>179.99999999790452</v>
      </c>
      <c r="H2386" s="1" t="s">
        <v>1</v>
      </c>
      <c r="I2386" s="4" t="s">
        <v>4</v>
      </c>
      <c r="J2386" s="14">
        <v>0.47916666666666669</v>
      </c>
      <c r="K2386" s="20" t="str">
        <f t="shared" si="112"/>
        <v>1st Shift</v>
      </c>
    </row>
    <row r="2387" spans="1:11" x14ac:dyDescent="0.25">
      <c r="A2387" s="1">
        <v>2386</v>
      </c>
      <c r="B2387" s="1">
        <v>10</v>
      </c>
      <c r="C2387" s="3">
        <v>10115271967700</v>
      </c>
      <c r="D2387" s="2">
        <v>44519.481249999997</v>
      </c>
      <c r="E2387" s="2">
        <v>44519.548611111109</v>
      </c>
      <c r="F2387" s="23">
        <f t="shared" si="111"/>
        <v>6.7361111112404615E-2</v>
      </c>
      <c r="G2387" s="24">
        <f t="shared" si="113"/>
        <v>185.56701030571497</v>
      </c>
      <c r="H2387" s="1" t="s">
        <v>1</v>
      </c>
      <c r="I2387" s="4" t="s">
        <v>3</v>
      </c>
      <c r="J2387" s="14">
        <v>0.48125000000000001</v>
      </c>
      <c r="K2387" s="20" t="str">
        <f t="shared" si="112"/>
        <v>1st Shift</v>
      </c>
    </row>
    <row r="2388" spans="1:11" x14ac:dyDescent="0.25">
      <c r="A2388" s="1">
        <v>2387</v>
      </c>
      <c r="B2388" s="1">
        <v>7</v>
      </c>
      <c r="C2388" s="3">
        <v>7115271777210</v>
      </c>
      <c r="D2388" s="2">
        <v>44519.65625</v>
      </c>
      <c r="E2388" s="2">
        <v>44519.6875</v>
      </c>
      <c r="F2388" s="23">
        <f t="shared" si="111"/>
        <v>3.125E-2</v>
      </c>
      <c r="G2388" s="24">
        <f t="shared" si="113"/>
        <v>400</v>
      </c>
      <c r="H2388" s="1" t="s">
        <v>1</v>
      </c>
      <c r="I2388" s="4" t="s">
        <v>3</v>
      </c>
      <c r="J2388" s="14">
        <v>0.65625</v>
      </c>
      <c r="K2388" s="20" t="str">
        <f t="shared" si="112"/>
        <v>2nd Shift</v>
      </c>
    </row>
    <row r="2389" spans="1:11" x14ac:dyDescent="0.25">
      <c r="A2389" s="1">
        <v>2388</v>
      </c>
      <c r="B2389" s="1">
        <v>8</v>
      </c>
      <c r="C2389" s="3">
        <v>8115271820302</v>
      </c>
      <c r="D2389" s="2">
        <v>44519.760416666664</v>
      </c>
      <c r="E2389" s="2">
        <v>44519.8125</v>
      </c>
      <c r="F2389" s="23">
        <f t="shared" si="111"/>
        <v>5.2083333335758653E-2</v>
      </c>
      <c r="G2389" s="24">
        <f t="shared" si="113"/>
        <v>239.99999998882413</v>
      </c>
      <c r="H2389" s="1" t="s">
        <v>1</v>
      </c>
      <c r="I2389" s="4" t="s">
        <v>3</v>
      </c>
      <c r="J2389" s="14">
        <v>0.76041666666666663</v>
      </c>
      <c r="K2389" s="20" t="str">
        <f t="shared" si="112"/>
        <v>2nd Shift</v>
      </c>
    </row>
    <row r="2390" spans="1:11" x14ac:dyDescent="0.25">
      <c r="A2390" s="1">
        <v>2389</v>
      </c>
      <c r="B2390" s="1">
        <v>13</v>
      </c>
      <c r="C2390" s="3">
        <v>13115271590901</v>
      </c>
      <c r="D2390" s="2">
        <v>44519.861111111109</v>
      </c>
      <c r="E2390" s="2">
        <v>44519.892361111109</v>
      </c>
      <c r="F2390" s="23">
        <f t="shared" si="111"/>
        <v>3.125E-2</v>
      </c>
      <c r="G2390" s="24">
        <f t="shared" si="113"/>
        <v>400</v>
      </c>
      <c r="H2390" s="1" t="s">
        <v>1</v>
      </c>
      <c r="I2390" s="4" t="s">
        <v>2</v>
      </c>
      <c r="J2390" s="14">
        <v>0.86111111111111116</v>
      </c>
      <c r="K2390" s="20" t="str">
        <f t="shared" si="112"/>
        <v>2nd Shift</v>
      </c>
    </row>
    <row r="2391" spans="1:11" x14ac:dyDescent="0.25">
      <c r="A2391" s="1">
        <v>2390</v>
      </c>
      <c r="B2391" s="1">
        <v>11</v>
      </c>
      <c r="C2391" s="3">
        <v>11115271549911</v>
      </c>
      <c r="D2391" s="2">
        <v>44519.989583333336</v>
      </c>
      <c r="E2391" s="2">
        <v>44520.069444444445</v>
      </c>
      <c r="F2391" s="23">
        <f t="shared" si="111"/>
        <v>7.9861111109494232E-2</v>
      </c>
      <c r="G2391" s="24">
        <f t="shared" si="113"/>
        <v>156.52173913360375</v>
      </c>
      <c r="H2391" s="1" t="s">
        <v>1</v>
      </c>
      <c r="I2391" s="4" t="s">
        <v>2</v>
      </c>
      <c r="J2391" s="14">
        <v>0.98958333333333337</v>
      </c>
      <c r="K2391" s="20" t="str">
        <f t="shared" si="112"/>
        <v>3rd Shift</v>
      </c>
    </row>
    <row r="2392" spans="1:11" x14ac:dyDescent="0.25">
      <c r="A2392" s="1">
        <v>2391</v>
      </c>
      <c r="B2392" s="1">
        <v>1</v>
      </c>
      <c r="C2392" s="3">
        <v>1115270096900</v>
      </c>
      <c r="D2392" s="2">
        <v>44519.989583333336</v>
      </c>
      <c r="E2392" s="2">
        <v>44520.069444444445</v>
      </c>
      <c r="F2392" s="23">
        <f t="shared" si="111"/>
        <v>7.9861111109494232E-2</v>
      </c>
      <c r="G2392" s="24">
        <f t="shared" si="113"/>
        <v>156.52173913360375</v>
      </c>
      <c r="H2392" s="1" t="s">
        <v>1</v>
      </c>
      <c r="I2392" s="4" t="s">
        <v>3</v>
      </c>
      <c r="J2392" s="14">
        <v>0.98958333333333337</v>
      </c>
      <c r="K2392" s="20" t="str">
        <f t="shared" si="112"/>
        <v>3rd Shift</v>
      </c>
    </row>
    <row r="2393" spans="1:11" x14ac:dyDescent="0.25">
      <c r="A2393" s="1">
        <v>2392</v>
      </c>
      <c r="B2393" s="1">
        <v>12</v>
      </c>
      <c r="C2393" s="3">
        <v>12115271560121</v>
      </c>
      <c r="D2393" s="2">
        <v>44520.388888888891</v>
      </c>
      <c r="E2393" s="2">
        <v>44520.520833333336</v>
      </c>
      <c r="F2393" s="23">
        <f t="shared" si="111"/>
        <v>0.13194444444525288</v>
      </c>
      <c r="G2393" s="24">
        <f t="shared" si="113"/>
        <v>94.736842104682694</v>
      </c>
      <c r="H2393" s="1" t="s">
        <v>1</v>
      </c>
      <c r="I2393" s="4" t="s">
        <v>3</v>
      </c>
      <c r="J2393" s="14">
        <v>0.3888888888888889</v>
      </c>
      <c r="K2393" s="20" t="str">
        <f t="shared" si="112"/>
        <v>1st Shift</v>
      </c>
    </row>
    <row r="2394" spans="1:11" x14ac:dyDescent="0.25">
      <c r="A2394" s="1">
        <v>2393</v>
      </c>
      <c r="B2394" s="1">
        <v>7</v>
      </c>
      <c r="C2394" s="3">
        <v>7115271783402</v>
      </c>
      <c r="D2394" s="2">
        <v>44520.388888888891</v>
      </c>
      <c r="E2394" s="2">
        <v>44520.520833333336</v>
      </c>
      <c r="F2394" s="23">
        <f t="shared" si="111"/>
        <v>0.13194444444525288</v>
      </c>
      <c r="G2394" s="24">
        <f t="shared" si="113"/>
        <v>94.736842104682694</v>
      </c>
      <c r="H2394" s="1" t="s">
        <v>1</v>
      </c>
      <c r="I2394" s="4" t="s">
        <v>2</v>
      </c>
      <c r="J2394" s="14">
        <v>0.3888888888888889</v>
      </c>
      <c r="K2394" s="20" t="str">
        <f t="shared" si="112"/>
        <v>1st Shift</v>
      </c>
    </row>
    <row r="2395" spans="1:11" x14ac:dyDescent="0.25">
      <c r="A2395" s="1">
        <v>2394</v>
      </c>
      <c r="B2395" s="1">
        <v>6</v>
      </c>
      <c r="C2395" s="3">
        <v>6115271717214</v>
      </c>
      <c r="D2395" s="2">
        <v>44520.388888888891</v>
      </c>
      <c r="E2395" s="2">
        <v>44520.520833333336</v>
      </c>
      <c r="F2395" s="23">
        <f t="shared" si="111"/>
        <v>0.13194444444525288</v>
      </c>
      <c r="G2395" s="24">
        <f t="shared" si="113"/>
        <v>94.736842104682694</v>
      </c>
      <c r="H2395" s="1" t="s">
        <v>1</v>
      </c>
      <c r="I2395" s="4" t="s">
        <v>2</v>
      </c>
      <c r="J2395" s="14">
        <v>0.3888888888888889</v>
      </c>
      <c r="K2395" s="20" t="str">
        <f t="shared" si="112"/>
        <v>1st Shift</v>
      </c>
    </row>
    <row r="2396" spans="1:11" x14ac:dyDescent="0.25">
      <c r="A2396" s="1">
        <v>2395</v>
      </c>
      <c r="B2396" s="1">
        <v>2</v>
      </c>
      <c r="C2396" s="3">
        <v>2115270222200</v>
      </c>
      <c r="D2396" s="2">
        <v>44520.388888888891</v>
      </c>
      <c r="E2396" s="2">
        <v>44520.520833333336</v>
      </c>
      <c r="F2396" s="23">
        <f t="shared" si="111"/>
        <v>0.13194444444525288</v>
      </c>
      <c r="G2396" s="24">
        <f t="shared" si="113"/>
        <v>94.736842104682694</v>
      </c>
      <c r="H2396" s="1" t="s">
        <v>1</v>
      </c>
      <c r="I2396" s="4" t="s">
        <v>2</v>
      </c>
      <c r="J2396" s="14">
        <v>0.3888888888888889</v>
      </c>
      <c r="K2396" s="20" t="str">
        <f t="shared" si="112"/>
        <v>1st Shift</v>
      </c>
    </row>
    <row r="2397" spans="1:11" x14ac:dyDescent="0.25">
      <c r="A2397" s="1">
        <v>2396</v>
      </c>
      <c r="B2397" s="1">
        <v>15</v>
      </c>
      <c r="C2397" s="3">
        <v>15115271743600</v>
      </c>
      <c r="D2397" s="2">
        <v>44520.538194444445</v>
      </c>
      <c r="E2397" s="2">
        <v>44520.606944444444</v>
      </c>
      <c r="F2397" s="23">
        <f t="shared" si="111"/>
        <v>6.8749999998544808E-2</v>
      </c>
      <c r="G2397" s="24">
        <f t="shared" si="113"/>
        <v>181.81818182203025</v>
      </c>
      <c r="H2397" s="1" t="s">
        <v>1</v>
      </c>
      <c r="I2397" s="4" t="s">
        <v>3</v>
      </c>
      <c r="J2397" s="14">
        <v>0.53819444444444442</v>
      </c>
      <c r="K2397" s="20" t="str">
        <f t="shared" si="112"/>
        <v>1st Shift</v>
      </c>
    </row>
    <row r="2398" spans="1:11" x14ac:dyDescent="0.25">
      <c r="A2398" s="1">
        <v>2397</v>
      </c>
      <c r="B2398" s="1">
        <v>15</v>
      </c>
      <c r="C2398" s="3">
        <v>15115271794200</v>
      </c>
      <c r="D2398" s="2">
        <v>44520.715277777781</v>
      </c>
      <c r="E2398" s="2">
        <v>44520.850694444445</v>
      </c>
      <c r="F2398" s="23">
        <f t="shared" si="111"/>
        <v>0.13541666666424135</v>
      </c>
      <c r="G2398" s="24">
        <f t="shared" si="113"/>
        <v>92.307692309345541</v>
      </c>
      <c r="H2398" s="1" t="s">
        <v>1</v>
      </c>
      <c r="I2398" s="4" t="s">
        <v>2</v>
      </c>
      <c r="J2398" s="14">
        <v>0.71527777777777779</v>
      </c>
      <c r="K2398" s="20" t="str">
        <f t="shared" si="112"/>
        <v>2nd Shift</v>
      </c>
    </row>
    <row r="2399" spans="1:11" x14ac:dyDescent="0.25">
      <c r="A2399" s="1">
        <v>2398</v>
      </c>
      <c r="B2399" s="1">
        <v>11</v>
      </c>
      <c r="C2399" s="3">
        <v>11115271542302</v>
      </c>
      <c r="D2399" s="2">
        <v>44520.715277777781</v>
      </c>
      <c r="E2399" s="2">
        <v>44520.850694444445</v>
      </c>
      <c r="F2399" s="23">
        <f t="shared" si="111"/>
        <v>0.13541666666424135</v>
      </c>
      <c r="G2399" s="24">
        <f t="shared" si="113"/>
        <v>92.307692309345541</v>
      </c>
      <c r="H2399" s="1" t="s">
        <v>1</v>
      </c>
      <c r="I2399" s="4" t="s">
        <v>2</v>
      </c>
      <c r="J2399" s="14">
        <v>0.71527777777777779</v>
      </c>
      <c r="K2399" s="20" t="str">
        <f t="shared" si="112"/>
        <v>2nd Shift</v>
      </c>
    </row>
    <row r="2400" spans="1:11" x14ac:dyDescent="0.25">
      <c r="A2400" s="1">
        <v>2399</v>
      </c>
      <c r="B2400" s="1">
        <v>7</v>
      </c>
      <c r="C2400" s="3">
        <v>7115271760307</v>
      </c>
      <c r="D2400" s="2">
        <v>44520.715277777781</v>
      </c>
      <c r="E2400" s="2">
        <v>44520.850694444445</v>
      </c>
      <c r="F2400" s="23">
        <f t="shared" si="111"/>
        <v>0.13541666666424135</v>
      </c>
      <c r="G2400" s="24">
        <f t="shared" si="113"/>
        <v>92.307692309345541</v>
      </c>
      <c r="H2400" s="1" t="s">
        <v>1</v>
      </c>
      <c r="I2400" s="4" t="s">
        <v>2</v>
      </c>
      <c r="J2400" s="14">
        <v>0.71527777777777779</v>
      </c>
      <c r="K2400" s="20" t="str">
        <f t="shared" si="112"/>
        <v>2nd Shift</v>
      </c>
    </row>
    <row r="2401" spans="1:11" x14ac:dyDescent="0.25">
      <c r="A2401" s="1">
        <v>2400</v>
      </c>
      <c r="B2401" s="1">
        <v>1</v>
      </c>
      <c r="C2401" s="3">
        <v>1115270156300</v>
      </c>
      <c r="D2401" s="2">
        <v>44520.715277777781</v>
      </c>
      <c r="E2401" s="2">
        <v>44520.850694444445</v>
      </c>
      <c r="F2401" s="23">
        <f t="shared" si="111"/>
        <v>0.13541666666424135</v>
      </c>
      <c r="G2401" s="24">
        <f t="shared" si="113"/>
        <v>92.307692309345541</v>
      </c>
      <c r="H2401" s="1" t="s">
        <v>1</v>
      </c>
      <c r="I2401" s="4" t="s">
        <v>2</v>
      </c>
      <c r="J2401" s="14">
        <v>0.71527777777777779</v>
      </c>
      <c r="K2401" s="20" t="str">
        <f t="shared" si="112"/>
        <v>2nd Shift</v>
      </c>
    </row>
    <row r="2402" spans="1:11" x14ac:dyDescent="0.25">
      <c r="A2402" s="1">
        <v>2401</v>
      </c>
      <c r="B2402" s="1">
        <v>15</v>
      </c>
      <c r="C2402" s="3">
        <v>15115271794200</v>
      </c>
      <c r="D2402" s="2">
        <v>44521.4375</v>
      </c>
      <c r="E2402" s="2">
        <v>44521.534722222219</v>
      </c>
      <c r="F2402" s="23">
        <f t="shared" si="111"/>
        <v>9.7222222218988463E-2</v>
      </c>
      <c r="G2402" s="24">
        <f t="shared" si="113"/>
        <v>128.57142857570506</v>
      </c>
      <c r="H2402" s="1" t="s">
        <v>1</v>
      </c>
      <c r="I2402" s="4" t="s">
        <v>2</v>
      </c>
      <c r="J2402" s="14">
        <v>0.4375</v>
      </c>
      <c r="K2402" s="20" t="str">
        <f t="shared" si="112"/>
        <v>1st Shift</v>
      </c>
    </row>
    <row r="2403" spans="1:11" x14ac:dyDescent="0.25">
      <c r="A2403" s="1">
        <v>2402</v>
      </c>
      <c r="B2403" s="1">
        <v>5</v>
      </c>
      <c r="C2403" s="3">
        <v>5115271279800</v>
      </c>
      <c r="D2403" s="2">
        <v>44521.451388888891</v>
      </c>
      <c r="E2403" s="2">
        <v>44521.534722222219</v>
      </c>
      <c r="F2403" s="23">
        <f t="shared" si="111"/>
        <v>8.3333333328482695E-2</v>
      </c>
      <c r="G2403" s="24">
        <f t="shared" si="113"/>
        <v>150.00000000873115</v>
      </c>
      <c r="H2403" s="1" t="s">
        <v>1</v>
      </c>
      <c r="I2403" s="4" t="s">
        <v>2</v>
      </c>
      <c r="J2403" s="14">
        <v>0.4513888888888889</v>
      </c>
      <c r="K2403" s="20" t="str">
        <f t="shared" si="112"/>
        <v>1st Shift</v>
      </c>
    </row>
    <row r="2404" spans="1:11" x14ac:dyDescent="0.25">
      <c r="A2404" s="1">
        <v>2403</v>
      </c>
      <c r="B2404" s="1">
        <v>1</v>
      </c>
      <c r="C2404" s="3">
        <v>1115270009300</v>
      </c>
      <c r="D2404" s="2">
        <v>44521.722222222219</v>
      </c>
      <c r="E2404" s="2">
        <v>44521.774305555555</v>
      </c>
      <c r="F2404" s="23">
        <f t="shared" si="111"/>
        <v>5.2083333335758653E-2</v>
      </c>
      <c r="G2404" s="24">
        <f t="shared" si="113"/>
        <v>239.99999998882413</v>
      </c>
      <c r="H2404" s="1" t="s">
        <v>1</v>
      </c>
      <c r="I2404" s="4" t="s">
        <v>8</v>
      </c>
      <c r="J2404" s="14">
        <v>0.72222222222222221</v>
      </c>
      <c r="K2404" s="20" t="str">
        <f t="shared" si="112"/>
        <v>2nd Shift</v>
      </c>
    </row>
    <row r="2405" spans="1:11" x14ac:dyDescent="0.25">
      <c r="A2405" s="1">
        <v>2404</v>
      </c>
      <c r="B2405" s="1">
        <v>3</v>
      </c>
      <c r="C2405" s="3">
        <v>3115270392800</v>
      </c>
      <c r="D2405" s="2">
        <v>44521.979166666664</v>
      </c>
      <c r="E2405" s="2">
        <v>44522.010416666664</v>
      </c>
      <c r="F2405" s="23">
        <f t="shared" si="111"/>
        <v>3.125E-2</v>
      </c>
      <c r="G2405" s="24">
        <f t="shared" si="113"/>
        <v>400</v>
      </c>
      <c r="H2405" s="1" t="s">
        <v>1</v>
      </c>
      <c r="I2405" s="4" t="s">
        <v>2</v>
      </c>
      <c r="J2405" s="14">
        <v>0.97916666666666663</v>
      </c>
      <c r="K2405" s="20" t="str">
        <f t="shared" si="112"/>
        <v>3rd Shift</v>
      </c>
    </row>
    <row r="2406" spans="1:11" x14ac:dyDescent="0.25">
      <c r="A2406" s="1">
        <v>2405</v>
      </c>
      <c r="B2406" s="1">
        <v>3</v>
      </c>
      <c r="C2406" s="3">
        <v>3115270393500</v>
      </c>
      <c r="D2406" s="2">
        <v>44522.381944444445</v>
      </c>
      <c r="E2406" s="2">
        <v>44522.416666666664</v>
      </c>
      <c r="F2406" s="23">
        <f t="shared" si="111"/>
        <v>3.4722222218988463E-2</v>
      </c>
      <c r="G2406" s="24">
        <f t="shared" si="113"/>
        <v>360.00000003352761</v>
      </c>
      <c r="H2406" s="1" t="s">
        <v>1</v>
      </c>
      <c r="I2406" s="4" t="s">
        <v>2</v>
      </c>
      <c r="J2406" s="14">
        <v>0.38194444444444442</v>
      </c>
      <c r="K2406" s="20" t="str">
        <f t="shared" si="112"/>
        <v>1st Shift</v>
      </c>
    </row>
    <row r="2407" spans="1:11" x14ac:dyDescent="0.25">
      <c r="A2407" s="1">
        <v>2406</v>
      </c>
      <c r="B2407" s="1">
        <v>10</v>
      </c>
      <c r="C2407" s="3">
        <v>10115271453600</v>
      </c>
      <c r="D2407" s="2">
        <v>44522.725694444445</v>
      </c>
      <c r="E2407" s="2">
        <v>44522.78125</v>
      </c>
      <c r="F2407" s="23">
        <f t="shared" si="111"/>
        <v>5.5555555554747116E-2</v>
      </c>
      <c r="G2407" s="24">
        <f t="shared" si="113"/>
        <v>225.00000000327418</v>
      </c>
      <c r="H2407" s="1" t="s">
        <v>1</v>
      </c>
      <c r="I2407" s="4" t="s">
        <v>3</v>
      </c>
      <c r="J2407" s="14">
        <v>0.72569444444444442</v>
      </c>
      <c r="K2407" s="20" t="str">
        <f t="shared" si="112"/>
        <v>2nd Shift</v>
      </c>
    </row>
    <row r="2408" spans="1:11" x14ac:dyDescent="0.25">
      <c r="A2408" s="1">
        <v>2407</v>
      </c>
      <c r="B2408" s="1">
        <v>4</v>
      </c>
      <c r="C2408" s="3">
        <v>4115270826900</v>
      </c>
      <c r="D2408" s="2">
        <v>44522.725694444445</v>
      </c>
      <c r="E2408" s="2">
        <v>44522.78125</v>
      </c>
      <c r="F2408" s="23">
        <f t="shared" si="111"/>
        <v>5.5555555554747116E-2</v>
      </c>
      <c r="G2408" s="24">
        <f t="shared" si="113"/>
        <v>225.00000000327418</v>
      </c>
      <c r="H2408" s="1" t="s">
        <v>1</v>
      </c>
      <c r="I2408" s="4" t="s">
        <v>3</v>
      </c>
      <c r="J2408" s="14">
        <v>0.72569444444444442</v>
      </c>
      <c r="K2408" s="20" t="str">
        <f t="shared" si="112"/>
        <v>2nd Shift</v>
      </c>
    </row>
    <row r="2409" spans="1:11" x14ac:dyDescent="0.25">
      <c r="A2409" s="1">
        <v>2408</v>
      </c>
      <c r="B2409" s="1">
        <v>13</v>
      </c>
      <c r="C2409" s="3">
        <v>13115271590700</v>
      </c>
      <c r="D2409" s="2">
        <v>44522.840277777781</v>
      </c>
      <c r="E2409" s="2">
        <v>44522.902777777781</v>
      </c>
      <c r="F2409" s="23">
        <f t="shared" si="111"/>
        <v>6.25E-2</v>
      </c>
      <c r="G2409" s="24">
        <f t="shared" si="113"/>
        <v>200</v>
      </c>
      <c r="H2409" s="1" t="s">
        <v>1</v>
      </c>
      <c r="I2409" s="4" t="s">
        <v>3</v>
      </c>
      <c r="J2409" s="14">
        <v>0.84027777777777779</v>
      </c>
      <c r="K2409" s="20" t="str">
        <f t="shared" si="112"/>
        <v>2nd Shift</v>
      </c>
    </row>
    <row r="2410" spans="1:11" x14ac:dyDescent="0.25">
      <c r="A2410" s="1">
        <v>2409</v>
      </c>
      <c r="B2410" s="1">
        <v>6</v>
      </c>
      <c r="C2410" s="3">
        <v>6115271722213</v>
      </c>
      <c r="D2410" s="2">
        <v>44522.840277777781</v>
      </c>
      <c r="E2410" s="2">
        <v>44522.902777777781</v>
      </c>
      <c r="F2410" s="23">
        <f t="shared" si="111"/>
        <v>6.25E-2</v>
      </c>
      <c r="G2410" s="24">
        <f t="shared" si="113"/>
        <v>200</v>
      </c>
      <c r="H2410" s="1" t="s">
        <v>1</v>
      </c>
      <c r="I2410" s="4" t="s">
        <v>2</v>
      </c>
      <c r="J2410" s="14">
        <v>0.84027777777777779</v>
      </c>
      <c r="K2410" s="20" t="str">
        <f t="shared" si="112"/>
        <v>2nd Shift</v>
      </c>
    </row>
    <row r="2411" spans="1:11" x14ac:dyDescent="0.25">
      <c r="A2411" s="1">
        <v>2410</v>
      </c>
      <c r="B2411" s="1">
        <v>3</v>
      </c>
      <c r="C2411" s="3">
        <v>3115270340501</v>
      </c>
      <c r="D2411" s="2">
        <v>44522.840277777781</v>
      </c>
      <c r="E2411" s="2">
        <v>44522.902777777781</v>
      </c>
      <c r="F2411" s="23">
        <f t="shared" si="111"/>
        <v>6.25E-2</v>
      </c>
      <c r="G2411" s="24">
        <f t="shared" si="113"/>
        <v>200</v>
      </c>
      <c r="H2411" s="1" t="s">
        <v>1</v>
      </c>
      <c r="I2411" s="4" t="s">
        <v>3</v>
      </c>
      <c r="J2411" s="14">
        <v>0.84027777777777779</v>
      </c>
      <c r="K2411" s="20" t="str">
        <f t="shared" si="112"/>
        <v>2nd Shift</v>
      </c>
    </row>
    <row r="2412" spans="1:11" x14ac:dyDescent="0.25">
      <c r="A2412" s="1">
        <v>2411</v>
      </c>
      <c r="B2412" s="1">
        <v>11</v>
      </c>
      <c r="C2412" s="3">
        <v>11115271071800</v>
      </c>
      <c r="D2412" s="2">
        <v>44523.385416666664</v>
      </c>
      <c r="E2412" s="2">
        <v>44523.466666666667</v>
      </c>
      <c r="F2412" s="23">
        <f t="shared" si="111"/>
        <v>8.1250000002910383E-2</v>
      </c>
      <c r="G2412" s="24">
        <f t="shared" si="113"/>
        <v>153.84615384064307</v>
      </c>
      <c r="H2412" s="1" t="s">
        <v>1</v>
      </c>
      <c r="I2412" s="4" t="s">
        <v>2</v>
      </c>
      <c r="J2412" s="14">
        <v>0.38541666666666669</v>
      </c>
      <c r="K2412" s="20" t="str">
        <f t="shared" si="112"/>
        <v>1st Shift</v>
      </c>
    </row>
    <row r="2413" spans="1:11" x14ac:dyDescent="0.25">
      <c r="A2413" s="1">
        <v>2412</v>
      </c>
      <c r="B2413" s="1">
        <v>10</v>
      </c>
      <c r="C2413" s="3">
        <v>10115271453401</v>
      </c>
      <c r="D2413" s="2">
        <v>44523.385416666664</v>
      </c>
      <c r="E2413" s="2">
        <v>44523.466666666667</v>
      </c>
      <c r="F2413" s="23">
        <f t="shared" si="111"/>
        <v>8.1250000002910383E-2</v>
      </c>
      <c r="G2413" s="24">
        <f t="shared" si="113"/>
        <v>153.84615384064307</v>
      </c>
      <c r="H2413" s="1" t="s">
        <v>1</v>
      </c>
      <c r="I2413" s="4" t="s">
        <v>2</v>
      </c>
      <c r="J2413" s="14">
        <v>0.38541666666666669</v>
      </c>
      <c r="K2413" s="20" t="str">
        <f t="shared" si="112"/>
        <v>1st Shift</v>
      </c>
    </row>
    <row r="2414" spans="1:11" x14ac:dyDescent="0.25">
      <c r="A2414" s="1">
        <v>2413</v>
      </c>
      <c r="B2414" s="1">
        <v>7</v>
      </c>
      <c r="C2414" s="3">
        <v>7115271757100</v>
      </c>
      <c r="D2414" s="2">
        <v>44523.385416666664</v>
      </c>
      <c r="E2414" s="2">
        <v>44523.466666666667</v>
      </c>
      <c r="F2414" s="23">
        <f t="shared" si="111"/>
        <v>8.1250000002910383E-2</v>
      </c>
      <c r="G2414" s="24">
        <f t="shared" si="113"/>
        <v>153.84615384064307</v>
      </c>
      <c r="H2414" s="1" t="s">
        <v>1</v>
      </c>
      <c r="I2414" s="4" t="s">
        <v>2</v>
      </c>
      <c r="J2414" s="14">
        <v>0.38541666666666669</v>
      </c>
      <c r="K2414" s="20" t="str">
        <f t="shared" si="112"/>
        <v>1st Shift</v>
      </c>
    </row>
    <row r="2415" spans="1:11" x14ac:dyDescent="0.25">
      <c r="A2415" s="1">
        <v>2414</v>
      </c>
      <c r="B2415" s="1">
        <v>10</v>
      </c>
      <c r="C2415" s="3">
        <v>10115271453500</v>
      </c>
      <c r="D2415" s="2">
        <v>44523.489583333336</v>
      </c>
      <c r="E2415" s="2">
        <v>44523.541666666664</v>
      </c>
      <c r="F2415" s="23">
        <f t="shared" si="111"/>
        <v>5.2083333328482695E-2</v>
      </c>
      <c r="G2415" s="24">
        <f t="shared" si="113"/>
        <v>240.00000002235174</v>
      </c>
      <c r="H2415" s="1" t="s">
        <v>1</v>
      </c>
      <c r="I2415" s="4" t="s">
        <v>2</v>
      </c>
      <c r="J2415" s="14">
        <v>0.48958333333333331</v>
      </c>
      <c r="K2415" s="20" t="str">
        <f t="shared" si="112"/>
        <v>1st Shift</v>
      </c>
    </row>
    <row r="2416" spans="1:11" x14ac:dyDescent="0.25">
      <c r="A2416" s="1">
        <v>2415</v>
      </c>
      <c r="B2416" s="1">
        <v>14</v>
      </c>
      <c r="C2416" s="3">
        <v>14115271672502</v>
      </c>
      <c r="D2416" s="2">
        <v>44523.638888888891</v>
      </c>
      <c r="E2416" s="2">
        <v>44523.916666666664</v>
      </c>
      <c r="F2416" s="23">
        <f t="shared" si="111"/>
        <v>0.27777777777373558</v>
      </c>
      <c r="G2416" s="24">
        <f t="shared" si="113"/>
        <v>45.000000000654836</v>
      </c>
      <c r="H2416" s="1" t="s">
        <v>1</v>
      </c>
      <c r="I2416" s="4" t="s">
        <v>2</v>
      </c>
      <c r="J2416" s="14">
        <v>0.63888888888888884</v>
      </c>
      <c r="K2416" s="20" t="str">
        <f t="shared" si="112"/>
        <v>2nd Shift</v>
      </c>
    </row>
    <row r="2417" spans="1:11" x14ac:dyDescent="0.25">
      <c r="A2417" s="1">
        <v>2416</v>
      </c>
      <c r="B2417" s="1">
        <v>13</v>
      </c>
      <c r="C2417" s="3">
        <v>13115271590800</v>
      </c>
      <c r="D2417" s="2">
        <v>44523.638888888891</v>
      </c>
      <c r="E2417" s="2">
        <v>44523.916666666664</v>
      </c>
      <c r="F2417" s="23">
        <f t="shared" si="111"/>
        <v>0.27777777777373558</v>
      </c>
      <c r="G2417" s="24">
        <f t="shared" si="113"/>
        <v>45.000000000654836</v>
      </c>
      <c r="H2417" s="1" t="s">
        <v>1</v>
      </c>
      <c r="I2417" s="4" t="s">
        <v>2</v>
      </c>
      <c r="J2417" s="14">
        <v>0.63888888888888884</v>
      </c>
      <c r="K2417" s="20" t="str">
        <f t="shared" si="112"/>
        <v>2nd Shift</v>
      </c>
    </row>
    <row r="2418" spans="1:11" x14ac:dyDescent="0.25">
      <c r="A2418" s="1">
        <v>2417</v>
      </c>
      <c r="B2418" s="1">
        <v>3</v>
      </c>
      <c r="C2418" s="3">
        <v>3115270347101</v>
      </c>
      <c r="D2418" s="2">
        <v>44523.638888888891</v>
      </c>
      <c r="E2418" s="2">
        <v>44523.916666666664</v>
      </c>
      <c r="F2418" s="23">
        <f t="shared" si="111"/>
        <v>0.27777777777373558</v>
      </c>
      <c r="G2418" s="24">
        <f t="shared" si="113"/>
        <v>45.000000000654836</v>
      </c>
      <c r="H2418" s="1" t="s">
        <v>1</v>
      </c>
      <c r="I2418" s="4" t="s">
        <v>2</v>
      </c>
      <c r="J2418" s="14">
        <v>0.63888888888888884</v>
      </c>
      <c r="K2418" s="20" t="str">
        <f t="shared" si="112"/>
        <v>2nd Shift</v>
      </c>
    </row>
    <row r="2419" spans="1:11" x14ac:dyDescent="0.25">
      <c r="A2419" s="1">
        <v>2418</v>
      </c>
      <c r="B2419" s="1">
        <v>2</v>
      </c>
      <c r="C2419" s="3">
        <v>2115270250201</v>
      </c>
      <c r="D2419" s="2">
        <v>44523.638888888891</v>
      </c>
      <c r="E2419" s="2">
        <v>44523.916666666664</v>
      </c>
      <c r="F2419" s="23">
        <f t="shared" si="111"/>
        <v>0.27777777777373558</v>
      </c>
      <c r="G2419" s="24">
        <f t="shared" si="113"/>
        <v>45.000000000654836</v>
      </c>
      <c r="H2419" s="1" t="s">
        <v>1</v>
      </c>
      <c r="I2419" s="4" t="s">
        <v>2</v>
      </c>
      <c r="J2419" s="14">
        <v>0.63888888888888884</v>
      </c>
      <c r="K2419" s="20" t="str">
        <f t="shared" si="112"/>
        <v>2nd Shift</v>
      </c>
    </row>
    <row r="2420" spans="1:11" x14ac:dyDescent="0.25">
      <c r="A2420" s="1">
        <v>2419</v>
      </c>
      <c r="B2420" s="1">
        <v>12</v>
      </c>
      <c r="C2420" s="3">
        <v>12115271574004</v>
      </c>
      <c r="D2420" s="2">
        <v>44524.395833333336</v>
      </c>
      <c r="E2420" s="2">
        <v>44524.5625</v>
      </c>
      <c r="F2420" s="23">
        <f t="shared" si="111"/>
        <v>0.16666666666424135</v>
      </c>
      <c r="G2420" s="24">
        <f t="shared" si="113"/>
        <v>75.000000001091394</v>
      </c>
      <c r="H2420" s="1" t="s">
        <v>1</v>
      </c>
      <c r="I2420" s="4" t="s">
        <v>3</v>
      </c>
      <c r="J2420" s="14">
        <v>0.39583333333333331</v>
      </c>
      <c r="K2420" s="20" t="str">
        <f t="shared" si="112"/>
        <v>1st Shift</v>
      </c>
    </row>
    <row r="2421" spans="1:11" x14ac:dyDescent="0.25">
      <c r="A2421" s="1">
        <v>2420</v>
      </c>
      <c r="B2421" s="1">
        <v>10</v>
      </c>
      <c r="C2421" s="3">
        <v>10115271967802</v>
      </c>
      <c r="D2421" s="2">
        <v>44524.395833333336</v>
      </c>
      <c r="E2421" s="2">
        <v>44524.5625</v>
      </c>
      <c r="F2421" s="23">
        <f t="shared" si="111"/>
        <v>0.16666666666424135</v>
      </c>
      <c r="G2421" s="24">
        <f t="shared" si="113"/>
        <v>75.000000001091394</v>
      </c>
      <c r="H2421" s="1" t="s">
        <v>1</v>
      </c>
      <c r="I2421" s="4" t="s">
        <v>2</v>
      </c>
      <c r="J2421" s="14">
        <v>0.39583333333333331</v>
      </c>
      <c r="K2421" s="20" t="str">
        <f t="shared" si="112"/>
        <v>1st Shift</v>
      </c>
    </row>
    <row r="2422" spans="1:11" x14ac:dyDescent="0.25">
      <c r="A2422" s="1">
        <v>2421</v>
      </c>
      <c r="B2422" s="1">
        <v>3</v>
      </c>
      <c r="C2422" s="3">
        <v>3115270447500</v>
      </c>
      <c r="D2422" s="2">
        <v>44524.395833333336</v>
      </c>
      <c r="E2422" s="2">
        <v>44524.5625</v>
      </c>
      <c r="F2422" s="23">
        <f t="shared" si="111"/>
        <v>0.16666666666424135</v>
      </c>
      <c r="G2422" s="24">
        <f t="shared" si="113"/>
        <v>75.000000001091394</v>
      </c>
      <c r="H2422" s="1" t="s">
        <v>1</v>
      </c>
      <c r="I2422" s="4" t="s">
        <v>3</v>
      </c>
      <c r="J2422" s="14">
        <v>0.39583333333333331</v>
      </c>
      <c r="K2422" s="20" t="str">
        <f t="shared" si="112"/>
        <v>1st Shift</v>
      </c>
    </row>
    <row r="2423" spans="1:11" x14ac:dyDescent="0.25">
      <c r="A2423" s="1">
        <v>2422</v>
      </c>
      <c r="B2423" s="1">
        <v>3</v>
      </c>
      <c r="C2423" s="3">
        <v>3115270343701</v>
      </c>
      <c r="D2423" s="2">
        <v>44524.395833333336</v>
      </c>
      <c r="E2423" s="2">
        <v>44524.5625</v>
      </c>
      <c r="F2423" s="23">
        <f t="shared" si="111"/>
        <v>0.16666666666424135</v>
      </c>
      <c r="G2423" s="24">
        <f t="shared" si="113"/>
        <v>75.000000001091394</v>
      </c>
      <c r="H2423" s="1" t="s">
        <v>1</v>
      </c>
      <c r="I2423" s="4" t="s">
        <v>2</v>
      </c>
      <c r="J2423" s="14">
        <v>0.39583333333333331</v>
      </c>
      <c r="K2423" s="20" t="str">
        <f t="shared" si="112"/>
        <v>1st Shift</v>
      </c>
    </row>
    <row r="2424" spans="1:11" x14ac:dyDescent="0.25">
      <c r="A2424" s="1">
        <v>2423</v>
      </c>
      <c r="B2424" s="1">
        <v>10</v>
      </c>
      <c r="C2424" s="3">
        <v>10115271959400</v>
      </c>
      <c r="D2424" s="2">
        <v>44524.677083333336</v>
      </c>
      <c r="E2424" s="2">
        <v>44524.899305555555</v>
      </c>
      <c r="F2424" s="23">
        <f t="shared" si="111"/>
        <v>0.22222222221898846</v>
      </c>
      <c r="G2424" s="24">
        <f t="shared" si="113"/>
        <v>56.250000000818545</v>
      </c>
      <c r="H2424" s="1" t="s">
        <v>1</v>
      </c>
      <c r="I2424" s="4" t="s">
        <v>2</v>
      </c>
      <c r="J2424" s="14">
        <v>0.67708333333333337</v>
      </c>
      <c r="K2424" s="20" t="str">
        <f t="shared" si="112"/>
        <v>2nd Shift</v>
      </c>
    </row>
    <row r="2425" spans="1:11" x14ac:dyDescent="0.25">
      <c r="A2425" s="1">
        <v>2424</v>
      </c>
      <c r="B2425" s="1">
        <v>10</v>
      </c>
      <c r="C2425" s="3">
        <v>10115271454209</v>
      </c>
      <c r="D2425" s="2">
        <v>44524.677083333336</v>
      </c>
      <c r="E2425" s="2">
        <v>44524.899305555555</v>
      </c>
      <c r="F2425" s="23">
        <f t="shared" si="111"/>
        <v>0.22222222221898846</v>
      </c>
      <c r="G2425" s="24">
        <f t="shared" si="113"/>
        <v>56.250000000818545</v>
      </c>
      <c r="H2425" s="1" t="s">
        <v>1</v>
      </c>
      <c r="I2425" s="4" t="s">
        <v>4</v>
      </c>
      <c r="J2425" s="14">
        <v>0.67708333333333337</v>
      </c>
      <c r="K2425" s="20" t="str">
        <f t="shared" si="112"/>
        <v>2nd Shift</v>
      </c>
    </row>
    <row r="2426" spans="1:11" x14ac:dyDescent="0.25">
      <c r="A2426" s="1">
        <v>2425</v>
      </c>
      <c r="B2426" s="1">
        <v>6</v>
      </c>
      <c r="C2426" s="3">
        <v>6115271703602</v>
      </c>
      <c r="D2426" s="2">
        <v>44524.677083333336</v>
      </c>
      <c r="E2426" s="2">
        <v>44524.899305555555</v>
      </c>
      <c r="F2426" s="23">
        <f t="shared" si="111"/>
        <v>0.22222222221898846</v>
      </c>
      <c r="G2426" s="24">
        <f t="shared" si="113"/>
        <v>56.250000000818545</v>
      </c>
      <c r="H2426" s="1" t="s">
        <v>1</v>
      </c>
      <c r="I2426" s="4" t="s">
        <v>2</v>
      </c>
      <c r="J2426" s="14">
        <v>0.67708333333333337</v>
      </c>
      <c r="K2426" s="20" t="str">
        <f t="shared" si="112"/>
        <v>2nd Shift</v>
      </c>
    </row>
    <row r="2427" spans="1:11" x14ac:dyDescent="0.25">
      <c r="A2427" s="1">
        <v>2426</v>
      </c>
      <c r="B2427" s="1">
        <v>3</v>
      </c>
      <c r="C2427" s="3">
        <v>3115277040860</v>
      </c>
      <c r="D2427" s="2">
        <v>44524.677083333336</v>
      </c>
      <c r="E2427" s="2">
        <v>44524.899305555555</v>
      </c>
      <c r="F2427" s="23">
        <f t="shared" si="111"/>
        <v>0.22222222221898846</v>
      </c>
      <c r="G2427" s="24">
        <f t="shared" si="113"/>
        <v>56.250000000818545</v>
      </c>
      <c r="H2427" s="1" t="s">
        <v>1</v>
      </c>
      <c r="I2427" s="4" t="s">
        <v>2</v>
      </c>
      <c r="J2427" s="14">
        <v>0.67708333333333337</v>
      </c>
      <c r="K2427" s="20" t="str">
        <f t="shared" si="112"/>
        <v>2nd Shift</v>
      </c>
    </row>
    <row r="2428" spans="1:11" x14ac:dyDescent="0.25">
      <c r="A2428" s="1">
        <v>2427</v>
      </c>
      <c r="B2428" s="1">
        <v>1</v>
      </c>
      <c r="C2428" s="3">
        <v>1115270127400</v>
      </c>
      <c r="D2428" s="2">
        <v>44524.677083333336</v>
      </c>
      <c r="E2428" s="2">
        <v>44524.899305555555</v>
      </c>
      <c r="F2428" s="23">
        <f t="shared" si="111"/>
        <v>0.22222222221898846</v>
      </c>
      <c r="G2428" s="24">
        <f t="shared" si="113"/>
        <v>56.250000000818545</v>
      </c>
      <c r="H2428" s="1" t="s">
        <v>1</v>
      </c>
      <c r="I2428" s="4" t="s">
        <v>2</v>
      </c>
      <c r="J2428" s="14">
        <v>0.67708333333333337</v>
      </c>
      <c r="K2428" s="20" t="str">
        <f t="shared" si="112"/>
        <v>2nd Shift</v>
      </c>
    </row>
    <row r="2429" spans="1:11" x14ac:dyDescent="0.25">
      <c r="A2429" s="1">
        <v>2428</v>
      </c>
      <c r="B2429" s="1">
        <v>2</v>
      </c>
      <c r="C2429" s="3">
        <v>2115270274300</v>
      </c>
      <c r="D2429" s="2">
        <v>44525.392361111109</v>
      </c>
      <c r="E2429" s="2">
        <v>44525.427083333336</v>
      </c>
      <c r="F2429" s="23">
        <f t="shared" si="111"/>
        <v>3.4722222226264421E-2</v>
      </c>
      <c r="G2429" s="24">
        <f t="shared" si="113"/>
        <v>359.99999995809048</v>
      </c>
      <c r="H2429" s="1" t="s">
        <v>1</v>
      </c>
      <c r="I2429" s="4" t="s">
        <v>3</v>
      </c>
      <c r="J2429" s="14">
        <v>0.3923611111111111</v>
      </c>
      <c r="K2429" s="20" t="str">
        <f t="shared" si="112"/>
        <v>1st Shift</v>
      </c>
    </row>
    <row r="2430" spans="1:11" x14ac:dyDescent="0.25">
      <c r="A2430" s="1">
        <v>2429</v>
      </c>
      <c r="B2430" s="1">
        <v>12</v>
      </c>
      <c r="C2430" s="3">
        <v>12115271573213</v>
      </c>
      <c r="D2430" s="2">
        <v>44525.486111111109</v>
      </c>
      <c r="E2430" s="2">
        <v>44525.525694444441</v>
      </c>
      <c r="F2430" s="23">
        <f t="shared" si="111"/>
        <v>3.9583333331393078E-2</v>
      </c>
      <c r="G2430" s="24">
        <f t="shared" si="113"/>
        <v>315.78947369968955</v>
      </c>
      <c r="H2430" s="1" t="s">
        <v>1</v>
      </c>
      <c r="I2430" s="4" t="s">
        <v>2</v>
      </c>
      <c r="J2430" s="14">
        <v>0.4861111111111111</v>
      </c>
      <c r="K2430" s="20" t="str">
        <f t="shared" si="112"/>
        <v>1st Shift</v>
      </c>
    </row>
    <row r="2431" spans="1:11" x14ac:dyDescent="0.25">
      <c r="A2431" s="1">
        <v>2430</v>
      </c>
      <c r="B2431" s="1">
        <v>13</v>
      </c>
      <c r="C2431" s="3">
        <v>13115271591204</v>
      </c>
      <c r="D2431" s="2">
        <v>44525.736111111109</v>
      </c>
      <c r="E2431" s="2">
        <v>44525.791666666664</v>
      </c>
      <c r="F2431" s="23">
        <f t="shared" si="111"/>
        <v>5.5555555554747116E-2</v>
      </c>
      <c r="G2431" s="24">
        <f t="shared" si="113"/>
        <v>225.00000000327418</v>
      </c>
      <c r="H2431" s="1" t="s">
        <v>1</v>
      </c>
      <c r="I2431" s="4" t="s">
        <v>2</v>
      </c>
      <c r="J2431" s="14">
        <v>0.73611111111111116</v>
      </c>
      <c r="K2431" s="20" t="str">
        <f t="shared" si="112"/>
        <v>2nd Shift</v>
      </c>
    </row>
    <row r="2432" spans="1:11" x14ac:dyDescent="0.25">
      <c r="A2432" s="1">
        <v>2431</v>
      </c>
      <c r="B2432" s="1">
        <v>11</v>
      </c>
      <c r="C2432" s="3">
        <v>11115271542801</v>
      </c>
      <c r="D2432" s="2">
        <v>44525.736111111109</v>
      </c>
      <c r="E2432" s="2">
        <v>44525.791666666664</v>
      </c>
      <c r="F2432" s="23">
        <f t="shared" si="111"/>
        <v>5.5555555554747116E-2</v>
      </c>
      <c r="G2432" s="24">
        <f t="shared" si="113"/>
        <v>225.00000000327418</v>
      </c>
      <c r="H2432" s="1" t="s">
        <v>1</v>
      </c>
      <c r="I2432" s="4" t="s">
        <v>2</v>
      </c>
      <c r="J2432" s="14">
        <v>0.73611111111111116</v>
      </c>
      <c r="K2432" s="20" t="str">
        <f t="shared" si="112"/>
        <v>2nd Shift</v>
      </c>
    </row>
    <row r="2433" spans="1:11" x14ac:dyDescent="0.25">
      <c r="A2433" s="1">
        <v>2432</v>
      </c>
      <c r="B2433" s="1">
        <v>7</v>
      </c>
      <c r="C2433" s="3">
        <v>7115271767803</v>
      </c>
      <c r="D2433" s="2">
        <v>44525.864583333336</v>
      </c>
      <c r="E2433" s="2">
        <v>44525.888888888891</v>
      </c>
      <c r="F2433" s="23">
        <f t="shared" si="111"/>
        <v>2.4305555554747116E-2</v>
      </c>
      <c r="G2433" s="24">
        <f t="shared" si="113"/>
        <v>514.28571430282022</v>
      </c>
      <c r="H2433" s="1" t="s">
        <v>1</v>
      </c>
      <c r="I2433" s="4" t="s">
        <v>3</v>
      </c>
      <c r="J2433" s="14">
        <v>0.86458333333333337</v>
      </c>
      <c r="K2433" s="20" t="str">
        <f t="shared" si="112"/>
        <v>2nd Shift</v>
      </c>
    </row>
    <row r="2434" spans="1:11" x14ac:dyDescent="0.25">
      <c r="A2434" s="1">
        <v>2433</v>
      </c>
      <c r="B2434" s="1">
        <v>10</v>
      </c>
      <c r="C2434" s="3">
        <v>10115271454016</v>
      </c>
      <c r="D2434" s="2">
        <v>44525.836805555555</v>
      </c>
      <c r="E2434" s="2">
        <v>44525.993055555555</v>
      </c>
      <c r="F2434" s="23">
        <f t="shared" ref="F2434:F2497" si="114">E2434-D2434</f>
        <v>0.15625</v>
      </c>
      <c r="G2434" s="24">
        <f t="shared" si="113"/>
        <v>80</v>
      </c>
      <c r="H2434" s="1" t="s">
        <v>1</v>
      </c>
      <c r="I2434" s="4" t="s">
        <v>2</v>
      </c>
      <c r="J2434" s="14">
        <v>0.83680555555555558</v>
      </c>
      <c r="K2434" s="20" t="str">
        <f t="shared" ref="K2434:K2497" si="115">IF(AND(J2434&gt;=$M$3,J2434&lt;$M$4),"1st Shift",IF(AND(J2434&gt;=$M$4,J2434&lt;$M$5),"2nd Shift","3rd Shift"))</f>
        <v>2nd Shift</v>
      </c>
    </row>
    <row r="2435" spans="1:11" x14ac:dyDescent="0.25">
      <c r="A2435" s="1">
        <v>2434</v>
      </c>
      <c r="B2435" s="1">
        <v>8</v>
      </c>
      <c r="C2435" s="3">
        <v>8115271820402</v>
      </c>
      <c r="D2435" s="2">
        <v>44525.836805555555</v>
      </c>
      <c r="E2435" s="2">
        <v>44525.993055555555</v>
      </c>
      <c r="F2435" s="23">
        <f t="shared" si="114"/>
        <v>0.15625</v>
      </c>
      <c r="G2435" s="24">
        <f t="shared" ref="G2435:G2498" si="116">$M$9/F2435*100</f>
        <v>80</v>
      </c>
      <c r="H2435" s="1" t="s">
        <v>1</v>
      </c>
      <c r="I2435" s="4" t="s">
        <v>2</v>
      </c>
      <c r="J2435" s="14">
        <v>0.83680555555555558</v>
      </c>
      <c r="K2435" s="20" t="str">
        <f t="shared" si="115"/>
        <v>2nd Shift</v>
      </c>
    </row>
    <row r="2436" spans="1:11" x14ac:dyDescent="0.25">
      <c r="A2436" s="1">
        <v>2435</v>
      </c>
      <c r="B2436" s="1">
        <v>11</v>
      </c>
      <c r="C2436" s="3">
        <v>11115271543200</v>
      </c>
      <c r="D2436" s="2">
        <v>44526.444444444445</v>
      </c>
      <c r="E2436" s="2">
        <v>44526.541666666664</v>
      </c>
      <c r="F2436" s="23">
        <f t="shared" si="114"/>
        <v>9.7222222218988463E-2</v>
      </c>
      <c r="G2436" s="24">
        <f t="shared" si="116"/>
        <v>128.57142857570506</v>
      </c>
      <c r="H2436" s="1" t="s">
        <v>1</v>
      </c>
      <c r="I2436" s="4" t="s">
        <v>2</v>
      </c>
      <c r="J2436" s="14">
        <v>0.44444444444444442</v>
      </c>
      <c r="K2436" s="20" t="str">
        <f t="shared" si="115"/>
        <v>1st Shift</v>
      </c>
    </row>
    <row r="2437" spans="1:11" x14ac:dyDescent="0.25">
      <c r="A2437" s="1">
        <v>2436</v>
      </c>
      <c r="B2437" s="1">
        <v>9</v>
      </c>
      <c r="C2437" s="3">
        <v>9115271907102</v>
      </c>
      <c r="D2437" s="2">
        <v>44526.444444444445</v>
      </c>
      <c r="E2437" s="2">
        <v>44526.541666666664</v>
      </c>
      <c r="F2437" s="23">
        <f t="shared" si="114"/>
        <v>9.7222222218988463E-2</v>
      </c>
      <c r="G2437" s="24">
        <f t="shared" si="116"/>
        <v>128.57142857570506</v>
      </c>
      <c r="H2437" s="1" t="s">
        <v>1</v>
      </c>
      <c r="I2437" s="4" t="s">
        <v>2</v>
      </c>
      <c r="J2437" s="14">
        <v>0.44444444444444442</v>
      </c>
      <c r="K2437" s="20" t="str">
        <f t="shared" si="115"/>
        <v>1st Shift</v>
      </c>
    </row>
    <row r="2438" spans="1:11" x14ac:dyDescent="0.25">
      <c r="A2438" s="1">
        <v>2437</v>
      </c>
      <c r="B2438" s="1">
        <v>5</v>
      </c>
      <c r="C2438" s="3">
        <v>5115270974400</v>
      </c>
      <c r="D2438" s="2">
        <v>44526.444444444445</v>
      </c>
      <c r="E2438" s="2">
        <v>44526.541666666664</v>
      </c>
      <c r="F2438" s="23">
        <f t="shared" si="114"/>
        <v>9.7222222218988463E-2</v>
      </c>
      <c r="G2438" s="24">
        <f t="shared" si="116"/>
        <v>128.57142857570506</v>
      </c>
      <c r="H2438" s="1" t="s">
        <v>1</v>
      </c>
      <c r="I2438" s="4" t="s">
        <v>2</v>
      </c>
      <c r="J2438" s="14">
        <v>0.44444444444444442</v>
      </c>
      <c r="K2438" s="20" t="str">
        <f t="shared" si="115"/>
        <v>1st Shift</v>
      </c>
    </row>
    <row r="2439" spans="1:11" x14ac:dyDescent="0.25">
      <c r="A2439" s="1">
        <v>2438</v>
      </c>
      <c r="B2439" s="1">
        <v>1</v>
      </c>
      <c r="C2439" s="3">
        <v>1115270141800</v>
      </c>
      <c r="D2439" s="2">
        <v>44526.444444444445</v>
      </c>
      <c r="E2439" s="2">
        <v>44526.541666666664</v>
      </c>
      <c r="F2439" s="23">
        <f t="shared" si="114"/>
        <v>9.7222222218988463E-2</v>
      </c>
      <c r="G2439" s="24">
        <f t="shared" si="116"/>
        <v>128.57142857570506</v>
      </c>
      <c r="H2439" s="1" t="s">
        <v>1</v>
      </c>
      <c r="I2439" s="4" t="s">
        <v>3</v>
      </c>
      <c r="J2439" s="14">
        <v>0.44444444444444442</v>
      </c>
      <c r="K2439" s="20" t="str">
        <f t="shared" si="115"/>
        <v>1st Shift</v>
      </c>
    </row>
    <row r="2440" spans="1:11" x14ac:dyDescent="0.25">
      <c r="A2440" s="1">
        <v>2439</v>
      </c>
      <c r="B2440" s="1">
        <v>1</v>
      </c>
      <c r="C2440" s="3">
        <v>1115270093000</v>
      </c>
      <c r="D2440" s="2">
        <v>44526.444444444445</v>
      </c>
      <c r="E2440" s="2">
        <v>44526.541666666664</v>
      </c>
      <c r="F2440" s="23">
        <f t="shared" si="114"/>
        <v>9.7222222218988463E-2</v>
      </c>
      <c r="G2440" s="24">
        <f t="shared" si="116"/>
        <v>128.57142857570506</v>
      </c>
      <c r="H2440" s="1" t="s">
        <v>1</v>
      </c>
      <c r="I2440" s="4" t="s">
        <v>4</v>
      </c>
      <c r="J2440" s="14">
        <v>0.44444444444444442</v>
      </c>
      <c r="K2440" s="20" t="str">
        <f t="shared" si="115"/>
        <v>1st Shift</v>
      </c>
    </row>
    <row r="2441" spans="1:11" x14ac:dyDescent="0.25">
      <c r="A2441" s="1">
        <v>2440</v>
      </c>
      <c r="B2441" s="1">
        <v>7</v>
      </c>
      <c r="C2441" s="3">
        <v>7115271768107</v>
      </c>
      <c r="D2441" s="2">
        <v>44526.659722222219</v>
      </c>
      <c r="E2441" s="2">
        <v>44526.833333333336</v>
      </c>
      <c r="F2441" s="23">
        <f t="shared" si="114"/>
        <v>0.17361111111677019</v>
      </c>
      <c r="G2441" s="24">
        <f t="shared" si="116"/>
        <v>71.999999997653063</v>
      </c>
      <c r="H2441" s="1" t="s">
        <v>1</v>
      </c>
      <c r="I2441" s="4" t="s">
        <v>2</v>
      </c>
      <c r="J2441" s="14">
        <v>0.65972222222222221</v>
      </c>
      <c r="K2441" s="20" t="str">
        <f t="shared" si="115"/>
        <v>2nd Shift</v>
      </c>
    </row>
    <row r="2442" spans="1:11" x14ac:dyDescent="0.25">
      <c r="A2442" s="1">
        <v>2441</v>
      </c>
      <c r="B2442" s="1">
        <v>13</v>
      </c>
      <c r="C2442" s="3">
        <v>13115271608301</v>
      </c>
      <c r="D2442" s="2">
        <v>44526.659722222219</v>
      </c>
      <c r="E2442" s="2">
        <v>44526.916666666664</v>
      </c>
      <c r="F2442" s="23">
        <f t="shared" si="114"/>
        <v>0.25694444444525288</v>
      </c>
      <c r="G2442" s="24">
        <f t="shared" si="116"/>
        <v>48.648648648495588</v>
      </c>
      <c r="H2442" s="1" t="s">
        <v>1</v>
      </c>
      <c r="I2442" s="4" t="s">
        <v>2</v>
      </c>
      <c r="J2442" s="14">
        <v>0.65972222222222221</v>
      </c>
      <c r="K2442" s="20" t="str">
        <f t="shared" si="115"/>
        <v>2nd Shift</v>
      </c>
    </row>
    <row r="2443" spans="1:11" x14ac:dyDescent="0.25">
      <c r="A2443" s="1">
        <v>2442</v>
      </c>
      <c r="B2443" s="1">
        <v>9</v>
      </c>
      <c r="C2443" s="3">
        <v>9115271907700</v>
      </c>
      <c r="D2443" s="2">
        <v>44526.659722222219</v>
      </c>
      <c r="E2443" s="2">
        <v>44526.916666666664</v>
      </c>
      <c r="F2443" s="23">
        <f t="shared" si="114"/>
        <v>0.25694444444525288</v>
      </c>
      <c r="G2443" s="24">
        <f t="shared" si="116"/>
        <v>48.648648648495588</v>
      </c>
      <c r="H2443" s="1" t="s">
        <v>1</v>
      </c>
      <c r="I2443" s="4" t="s">
        <v>2</v>
      </c>
      <c r="J2443" s="14">
        <v>0.65972222222222221</v>
      </c>
      <c r="K2443" s="20" t="str">
        <f t="shared" si="115"/>
        <v>2nd Shift</v>
      </c>
    </row>
    <row r="2444" spans="1:11" x14ac:dyDescent="0.25">
      <c r="A2444" s="1">
        <v>2443</v>
      </c>
      <c r="B2444" s="1">
        <v>8</v>
      </c>
      <c r="C2444" s="3">
        <v>8115271820402</v>
      </c>
      <c r="D2444" s="2">
        <v>44526.659722222219</v>
      </c>
      <c r="E2444" s="2">
        <v>44526.916666666664</v>
      </c>
      <c r="F2444" s="23">
        <f t="shared" si="114"/>
        <v>0.25694444444525288</v>
      </c>
      <c r="G2444" s="24">
        <f t="shared" si="116"/>
        <v>48.648648648495588</v>
      </c>
      <c r="H2444" s="1" t="s">
        <v>1</v>
      </c>
      <c r="I2444" s="4" t="s">
        <v>2</v>
      </c>
      <c r="J2444" s="14">
        <v>0.65972222222222221</v>
      </c>
      <c r="K2444" s="20" t="str">
        <f t="shared" si="115"/>
        <v>2nd Shift</v>
      </c>
    </row>
    <row r="2445" spans="1:11" x14ac:dyDescent="0.25">
      <c r="A2445" s="1">
        <v>2444</v>
      </c>
      <c r="B2445" s="1">
        <v>6</v>
      </c>
      <c r="C2445" s="3">
        <v>6115271710103</v>
      </c>
      <c r="D2445" s="2">
        <v>44526.659722222219</v>
      </c>
      <c r="E2445" s="2">
        <v>44526.916666666664</v>
      </c>
      <c r="F2445" s="23">
        <f t="shared" si="114"/>
        <v>0.25694444444525288</v>
      </c>
      <c r="G2445" s="24">
        <f t="shared" si="116"/>
        <v>48.648648648495588</v>
      </c>
      <c r="H2445" s="1" t="s">
        <v>1</v>
      </c>
      <c r="I2445" s="4" t="s">
        <v>4</v>
      </c>
      <c r="J2445" s="14">
        <v>0.65972222222222221</v>
      </c>
      <c r="K2445" s="20" t="str">
        <f t="shared" si="115"/>
        <v>2nd Shift</v>
      </c>
    </row>
    <row r="2446" spans="1:11" x14ac:dyDescent="0.25">
      <c r="A2446" s="1">
        <v>2445</v>
      </c>
      <c r="B2446" s="1">
        <v>10</v>
      </c>
      <c r="C2446" s="3">
        <v>10115271434104</v>
      </c>
      <c r="D2446" s="2">
        <v>44527.402777777781</v>
      </c>
      <c r="E2446" s="2">
        <v>44527.493055555555</v>
      </c>
      <c r="F2446" s="23">
        <f t="shared" si="114"/>
        <v>9.0277777773735579E-2</v>
      </c>
      <c r="G2446" s="24">
        <f t="shared" si="116"/>
        <v>138.46153846773811</v>
      </c>
      <c r="H2446" s="1" t="s">
        <v>1</v>
      </c>
      <c r="I2446" s="4" t="s">
        <v>2</v>
      </c>
      <c r="J2446" s="14">
        <v>0.40277777777777779</v>
      </c>
      <c r="K2446" s="20" t="str">
        <f t="shared" si="115"/>
        <v>1st Shift</v>
      </c>
    </row>
    <row r="2447" spans="1:11" x14ac:dyDescent="0.25">
      <c r="A2447" s="1">
        <v>2446</v>
      </c>
      <c r="B2447" s="1">
        <v>7</v>
      </c>
      <c r="C2447" s="3">
        <v>7115271767801</v>
      </c>
      <c r="D2447" s="2">
        <v>44527.402777777781</v>
      </c>
      <c r="E2447" s="2">
        <v>44527.493055555555</v>
      </c>
      <c r="F2447" s="23">
        <f t="shared" si="114"/>
        <v>9.0277777773735579E-2</v>
      </c>
      <c r="G2447" s="24">
        <f t="shared" si="116"/>
        <v>138.46153846773811</v>
      </c>
      <c r="H2447" s="1" t="s">
        <v>1</v>
      </c>
      <c r="I2447" s="4" t="s">
        <v>3</v>
      </c>
      <c r="J2447" s="14">
        <v>0.40277777777777779</v>
      </c>
      <c r="K2447" s="20" t="str">
        <f t="shared" si="115"/>
        <v>1st Shift</v>
      </c>
    </row>
    <row r="2448" spans="1:11" x14ac:dyDescent="0.25">
      <c r="A2448" s="1">
        <v>2447</v>
      </c>
      <c r="B2448" s="1">
        <v>5</v>
      </c>
      <c r="C2448" s="3">
        <v>5115271668900</v>
      </c>
      <c r="D2448" s="2">
        <v>44527.402777777781</v>
      </c>
      <c r="E2448" s="2">
        <v>44527.493055555555</v>
      </c>
      <c r="F2448" s="23">
        <f t="shared" si="114"/>
        <v>9.0277777773735579E-2</v>
      </c>
      <c r="G2448" s="24">
        <f t="shared" si="116"/>
        <v>138.46153846773811</v>
      </c>
      <c r="H2448" s="1" t="s">
        <v>1</v>
      </c>
      <c r="I2448" s="4" t="s">
        <v>2</v>
      </c>
      <c r="J2448" s="14">
        <v>0.40277777777777779</v>
      </c>
      <c r="K2448" s="20" t="str">
        <f t="shared" si="115"/>
        <v>1st Shift</v>
      </c>
    </row>
    <row r="2449" spans="1:11" x14ac:dyDescent="0.25">
      <c r="A2449" s="1">
        <v>2448</v>
      </c>
      <c r="B2449" s="1">
        <v>8</v>
      </c>
      <c r="C2449" s="3">
        <v>8115271820200</v>
      </c>
      <c r="D2449" s="2">
        <v>44527.538194444445</v>
      </c>
      <c r="E2449" s="2">
        <v>44527.576388888891</v>
      </c>
      <c r="F2449" s="23">
        <f t="shared" si="114"/>
        <v>3.8194444445252884E-2</v>
      </c>
      <c r="G2449" s="24">
        <f t="shared" si="116"/>
        <v>327.27272726580009</v>
      </c>
      <c r="H2449" s="1" t="s">
        <v>1</v>
      </c>
      <c r="I2449" s="4" t="s">
        <v>2</v>
      </c>
      <c r="J2449" s="14">
        <v>0.53819444444444442</v>
      </c>
      <c r="K2449" s="20" t="str">
        <f t="shared" si="115"/>
        <v>1st Shift</v>
      </c>
    </row>
    <row r="2450" spans="1:11" x14ac:dyDescent="0.25">
      <c r="A2450" s="1">
        <v>2449</v>
      </c>
      <c r="B2450" s="1">
        <v>6</v>
      </c>
      <c r="C2450" s="3">
        <v>6115271733505</v>
      </c>
      <c r="D2450" s="2">
        <v>44527.538194444445</v>
      </c>
      <c r="E2450" s="2">
        <v>44527.576388888891</v>
      </c>
      <c r="F2450" s="23">
        <f t="shared" si="114"/>
        <v>3.8194444445252884E-2</v>
      </c>
      <c r="G2450" s="24">
        <f t="shared" si="116"/>
        <v>327.27272726580009</v>
      </c>
      <c r="H2450" s="1" t="s">
        <v>1</v>
      </c>
      <c r="I2450" s="4" t="s">
        <v>2</v>
      </c>
      <c r="J2450" s="14">
        <v>0.53819444444444442</v>
      </c>
      <c r="K2450" s="20" t="str">
        <f t="shared" si="115"/>
        <v>1st Shift</v>
      </c>
    </row>
    <row r="2451" spans="1:11" x14ac:dyDescent="0.25">
      <c r="A2451" s="1">
        <v>2450</v>
      </c>
      <c r="B2451" s="1">
        <v>10</v>
      </c>
      <c r="C2451" s="3">
        <v>10115271445405</v>
      </c>
      <c r="D2451" s="2">
        <v>44527.62222222222</v>
      </c>
      <c r="E2451" s="2">
        <v>44527.902777777781</v>
      </c>
      <c r="F2451" s="23">
        <f t="shared" si="114"/>
        <v>0.28055555556056788</v>
      </c>
      <c r="G2451" s="24">
        <f t="shared" si="116"/>
        <v>44.554455444748555</v>
      </c>
      <c r="H2451" s="1" t="s">
        <v>1</v>
      </c>
      <c r="I2451" s="4" t="s">
        <v>3</v>
      </c>
      <c r="J2451" s="14">
        <v>0.62222222222222223</v>
      </c>
      <c r="K2451" s="20" t="str">
        <f t="shared" si="115"/>
        <v>2nd Shift</v>
      </c>
    </row>
    <row r="2452" spans="1:11" x14ac:dyDescent="0.25">
      <c r="A2452" s="1">
        <v>2451</v>
      </c>
      <c r="B2452" s="1">
        <v>7</v>
      </c>
      <c r="C2452" s="3">
        <v>7115271790303</v>
      </c>
      <c r="D2452" s="2">
        <v>44527.62222222222</v>
      </c>
      <c r="E2452" s="2">
        <v>44527.902777777781</v>
      </c>
      <c r="F2452" s="23">
        <f t="shared" si="114"/>
        <v>0.28055555556056788</v>
      </c>
      <c r="G2452" s="24">
        <f t="shared" si="116"/>
        <v>44.554455444748555</v>
      </c>
      <c r="H2452" s="1" t="s">
        <v>1</v>
      </c>
      <c r="I2452" s="4" t="s">
        <v>2</v>
      </c>
      <c r="J2452" s="14">
        <v>0.62222222222222223</v>
      </c>
      <c r="K2452" s="20" t="str">
        <f t="shared" si="115"/>
        <v>2nd Shift</v>
      </c>
    </row>
    <row r="2453" spans="1:11" x14ac:dyDescent="0.25">
      <c r="A2453" s="1">
        <v>2452</v>
      </c>
      <c r="B2453" s="1">
        <v>7</v>
      </c>
      <c r="C2453" s="3">
        <v>7115271786412</v>
      </c>
      <c r="D2453" s="2">
        <v>44527.62222222222</v>
      </c>
      <c r="E2453" s="2">
        <v>44527.902777777781</v>
      </c>
      <c r="F2453" s="23">
        <f t="shared" si="114"/>
        <v>0.28055555556056788</v>
      </c>
      <c r="G2453" s="24">
        <f t="shared" si="116"/>
        <v>44.554455444748555</v>
      </c>
      <c r="H2453" s="1" t="s">
        <v>1</v>
      </c>
      <c r="I2453" s="4" t="s">
        <v>5</v>
      </c>
      <c r="J2453" s="14">
        <v>0.62222222222222223</v>
      </c>
      <c r="K2453" s="20" t="str">
        <f t="shared" si="115"/>
        <v>2nd Shift</v>
      </c>
    </row>
    <row r="2454" spans="1:11" x14ac:dyDescent="0.25">
      <c r="A2454" s="1">
        <v>2453</v>
      </c>
      <c r="B2454" s="1">
        <v>4</v>
      </c>
      <c r="C2454" s="3">
        <v>4115270867901</v>
      </c>
      <c r="D2454" s="2">
        <v>44527.62222222222</v>
      </c>
      <c r="E2454" s="2">
        <v>44527.902777777781</v>
      </c>
      <c r="F2454" s="23">
        <f t="shared" si="114"/>
        <v>0.28055555556056788</v>
      </c>
      <c r="G2454" s="24">
        <f t="shared" si="116"/>
        <v>44.554455444748555</v>
      </c>
      <c r="H2454" s="1" t="s">
        <v>1</v>
      </c>
      <c r="I2454" s="4" t="s">
        <v>2</v>
      </c>
      <c r="J2454" s="14">
        <v>0.62222222222222223</v>
      </c>
      <c r="K2454" s="20" t="str">
        <f t="shared" si="115"/>
        <v>2nd Shift</v>
      </c>
    </row>
    <row r="2455" spans="1:11" x14ac:dyDescent="0.25">
      <c r="A2455" s="1">
        <v>2454</v>
      </c>
      <c r="B2455" s="1">
        <v>3</v>
      </c>
      <c r="C2455" s="3">
        <v>3115270340600</v>
      </c>
      <c r="D2455" s="2">
        <v>44527.62222222222</v>
      </c>
      <c r="E2455" s="2">
        <v>44527.902777777781</v>
      </c>
      <c r="F2455" s="23">
        <f t="shared" si="114"/>
        <v>0.28055555556056788</v>
      </c>
      <c r="G2455" s="24">
        <f t="shared" si="116"/>
        <v>44.554455444748555</v>
      </c>
      <c r="H2455" s="1" t="s">
        <v>1</v>
      </c>
      <c r="I2455" s="4" t="s">
        <v>2</v>
      </c>
      <c r="J2455" s="14">
        <v>0.62222222222222223</v>
      </c>
      <c r="K2455" s="20" t="str">
        <f t="shared" si="115"/>
        <v>2nd Shift</v>
      </c>
    </row>
    <row r="2456" spans="1:11" x14ac:dyDescent="0.25">
      <c r="A2456" s="1">
        <v>2455</v>
      </c>
      <c r="B2456" s="1">
        <v>2</v>
      </c>
      <c r="C2456" s="3">
        <v>2115270274400</v>
      </c>
      <c r="D2456" s="2">
        <v>44527.62222222222</v>
      </c>
      <c r="E2456" s="2">
        <v>44527.902777777781</v>
      </c>
      <c r="F2456" s="23">
        <f t="shared" si="114"/>
        <v>0.28055555556056788</v>
      </c>
      <c r="G2456" s="24">
        <f t="shared" si="116"/>
        <v>44.554455444748555</v>
      </c>
      <c r="H2456" s="1" t="s">
        <v>1</v>
      </c>
      <c r="I2456" s="4" t="s">
        <v>4</v>
      </c>
      <c r="J2456" s="14">
        <v>0.62222222222222223</v>
      </c>
      <c r="K2456" s="20" t="str">
        <f t="shared" si="115"/>
        <v>2nd Shift</v>
      </c>
    </row>
    <row r="2457" spans="1:11" x14ac:dyDescent="0.25">
      <c r="A2457" s="1">
        <v>2456</v>
      </c>
      <c r="B2457" s="1">
        <v>1</v>
      </c>
      <c r="C2457" s="3">
        <v>1115270151600</v>
      </c>
      <c r="D2457" s="2">
        <v>44527.62222222222</v>
      </c>
      <c r="E2457" s="2">
        <v>44527.902777777781</v>
      </c>
      <c r="F2457" s="23">
        <f t="shared" si="114"/>
        <v>0.28055555556056788</v>
      </c>
      <c r="G2457" s="24">
        <f t="shared" si="116"/>
        <v>44.554455444748555</v>
      </c>
      <c r="H2457" s="1" t="s">
        <v>1</v>
      </c>
      <c r="I2457" s="4" t="s">
        <v>3</v>
      </c>
      <c r="J2457" s="14">
        <v>0.62222222222222223</v>
      </c>
      <c r="K2457" s="20" t="str">
        <f t="shared" si="115"/>
        <v>2nd Shift</v>
      </c>
    </row>
    <row r="2458" spans="1:11" x14ac:dyDescent="0.25">
      <c r="A2458" s="1">
        <v>2457</v>
      </c>
      <c r="B2458" s="1">
        <v>14</v>
      </c>
      <c r="C2458" s="3">
        <v>14115271675200</v>
      </c>
      <c r="D2458" s="2">
        <v>44527.944444444445</v>
      </c>
      <c r="E2458" s="2">
        <v>44528.034722222219</v>
      </c>
      <c r="F2458" s="23">
        <f t="shared" si="114"/>
        <v>9.0277777773735579E-2</v>
      </c>
      <c r="G2458" s="24">
        <f t="shared" si="116"/>
        <v>138.46153846773811</v>
      </c>
      <c r="H2458" s="1" t="s">
        <v>1</v>
      </c>
      <c r="I2458" s="4" t="s">
        <v>2</v>
      </c>
      <c r="J2458" s="14">
        <v>0.94444444444444442</v>
      </c>
      <c r="K2458" s="20" t="str">
        <f t="shared" si="115"/>
        <v>3rd Shift</v>
      </c>
    </row>
    <row r="2459" spans="1:11" x14ac:dyDescent="0.25">
      <c r="A2459" s="1">
        <v>2458</v>
      </c>
      <c r="B2459" s="1">
        <v>1</v>
      </c>
      <c r="C2459" s="3">
        <v>1115270098300</v>
      </c>
      <c r="D2459" s="2">
        <v>44527.944444444445</v>
      </c>
      <c r="E2459" s="2">
        <v>44528.034722222219</v>
      </c>
      <c r="F2459" s="23">
        <f t="shared" si="114"/>
        <v>9.0277777773735579E-2</v>
      </c>
      <c r="G2459" s="24">
        <f t="shared" si="116"/>
        <v>138.46153846773811</v>
      </c>
      <c r="H2459" s="1" t="s">
        <v>1</v>
      </c>
      <c r="I2459" s="4" t="s">
        <v>5</v>
      </c>
      <c r="J2459" s="14">
        <v>0.94444444444444442</v>
      </c>
      <c r="K2459" s="20" t="str">
        <f t="shared" si="115"/>
        <v>3rd Shift</v>
      </c>
    </row>
    <row r="2460" spans="1:11" x14ac:dyDescent="0.25">
      <c r="A2460" s="1">
        <v>2459</v>
      </c>
      <c r="B2460" s="1">
        <v>12</v>
      </c>
      <c r="C2460" s="3">
        <v>12115271574515</v>
      </c>
      <c r="D2460" s="2">
        <v>44528.388888888891</v>
      </c>
      <c r="E2460" s="2">
        <v>44528.413194444445</v>
      </c>
      <c r="F2460" s="23">
        <f t="shared" si="114"/>
        <v>2.4305555554747116E-2</v>
      </c>
      <c r="G2460" s="24">
        <f t="shared" si="116"/>
        <v>514.28571430282022</v>
      </c>
      <c r="H2460" s="1" t="s">
        <v>1</v>
      </c>
      <c r="I2460" s="4" t="s">
        <v>2</v>
      </c>
      <c r="J2460" s="14">
        <v>0.3888888888888889</v>
      </c>
      <c r="K2460" s="20" t="str">
        <f t="shared" si="115"/>
        <v>1st Shift</v>
      </c>
    </row>
    <row r="2461" spans="1:11" x14ac:dyDescent="0.25">
      <c r="A2461" s="1">
        <v>2460</v>
      </c>
      <c r="B2461" s="1">
        <v>10</v>
      </c>
      <c r="C2461" s="3">
        <v>10115271454205</v>
      </c>
      <c r="D2461" s="2">
        <v>44528.430555555555</v>
      </c>
      <c r="E2461" s="2">
        <v>44528.597222222219</v>
      </c>
      <c r="F2461" s="23">
        <f t="shared" si="114"/>
        <v>0.16666666666424135</v>
      </c>
      <c r="G2461" s="24">
        <f t="shared" si="116"/>
        <v>75.000000001091394</v>
      </c>
      <c r="H2461" s="1" t="s">
        <v>1</v>
      </c>
      <c r="I2461" s="4" t="s">
        <v>2</v>
      </c>
      <c r="J2461" s="14">
        <v>0.43055555555555558</v>
      </c>
      <c r="K2461" s="20" t="str">
        <f t="shared" si="115"/>
        <v>1st Shift</v>
      </c>
    </row>
    <row r="2462" spans="1:11" x14ac:dyDescent="0.25">
      <c r="A2462" s="1">
        <v>2461</v>
      </c>
      <c r="B2462" s="1">
        <v>3</v>
      </c>
      <c r="C2462" s="3">
        <v>3115270350300</v>
      </c>
      <c r="D2462" s="2">
        <v>44528.430555555555</v>
      </c>
      <c r="E2462" s="2">
        <v>44528.597222222219</v>
      </c>
      <c r="F2462" s="23">
        <f t="shared" si="114"/>
        <v>0.16666666666424135</v>
      </c>
      <c r="G2462" s="24">
        <f t="shared" si="116"/>
        <v>75.000000001091394</v>
      </c>
      <c r="H2462" s="1" t="s">
        <v>1</v>
      </c>
      <c r="I2462" s="4" t="s">
        <v>2</v>
      </c>
      <c r="J2462" s="14">
        <v>0.43055555555555558</v>
      </c>
      <c r="K2462" s="20" t="str">
        <f t="shared" si="115"/>
        <v>1st Shift</v>
      </c>
    </row>
    <row r="2463" spans="1:11" x14ac:dyDescent="0.25">
      <c r="A2463" s="1">
        <v>2462</v>
      </c>
      <c r="B2463" s="1">
        <v>2</v>
      </c>
      <c r="C2463" s="3">
        <v>2115270274200</v>
      </c>
      <c r="D2463" s="2">
        <v>44528.708333333336</v>
      </c>
      <c r="E2463" s="2">
        <v>44528.763888888891</v>
      </c>
      <c r="F2463" s="23">
        <f t="shared" si="114"/>
        <v>5.5555555554747116E-2</v>
      </c>
      <c r="G2463" s="24">
        <f t="shared" si="116"/>
        <v>225.00000000327418</v>
      </c>
      <c r="H2463" s="1" t="s">
        <v>1</v>
      </c>
      <c r="I2463" s="4" t="s">
        <v>2</v>
      </c>
      <c r="J2463" s="14">
        <v>0.70833333333333337</v>
      </c>
      <c r="K2463" s="20" t="str">
        <f t="shared" si="115"/>
        <v>2nd Shift</v>
      </c>
    </row>
    <row r="2464" spans="1:11" x14ac:dyDescent="0.25">
      <c r="A2464" s="1">
        <v>2463</v>
      </c>
      <c r="B2464" s="1">
        <v>2</v>
      </c>
      <c r="C2464" s="3">
        <v>2115270267600</v>
      </c>
      <c r="D2464" s="2">
        <v>44528.708333333336</v>
      </c>
      <c r="E2464" s="2">
        <v>44528.763888888891</v>
      </c>
      <c r="F2464" s="23">
        <f t="shared" si="114"/>
        <v>5.5555555554747116E-2</v>
      </c>
      <c r="G2464" s="24">
        <f t="shared" si="116"/>
        <v>225.00000000327418</v>
      </c>
      <c r="H2464" s="1" t="s">
        <v>1</v>
      </c>
      <c r="I2464" s="4" t="s">
        <v>2</v>
      </c>
      <c r="J2464" s="14">
        <v>0.70833333333333337</v>
      </c>
      <c r="K2464" s="20" t="str">
        <f t="shared" si="115"/>
        <v>2nd Shift</v>
      </c>
    </row>
    <row r="2465" spans="1:11" x14ac:dyDescent="0.25">
      <c r="A2465" s="1">
        <v>2464</v>
      </c>
      <c r="B2465" s="1">
        <v>11</v>
      </c>
      <c r="C2465" s="3">
        <v>11115271553201</v>
      </c>
      <c r="D2465" s="2">
        <v>44528.826388888891</v>
      </c>
      <c r="E2465" s="2">
        <v>44528.916666666664</v>
      </c>
      <c r="F2465" s="23">
        <f t="shared" si="114"/>
        <v>9.0277777773735579E-2</v>
      </c>
      <c r="G2465" s="24">
        <f t="shared" si="116"/>
        <v>138.46153846773811</v>
      </c>
      <c r="H2465" s="1" t="s">
        <v>1</v>
      </c>
      <c r="I2465" s="4" t="s">
        <v>3</v>
      </c>
      <c r="J2465" s="14">
        <v>0.82638888888888884</v>
      </c>
      <c r="K2465" s="20" t="str">
        <f t="shared" si="115"/>
        <v>2nd Shift</v>
      </c>
    </row>
    <row r="2466" spans="1:11" x14ac:dyDescent="0.25">
      <c r="A2466" s="1">
        <v>2465</v>
      </c>
      <c r="B2466" s="1">
        <v>10</v>
      </c>
      <c r="C2466" s="3">
        <v>10115271965000</v>
      </c>
      <c r="D2466" s="2">
        <v>44528.826388888891</v>
      </c>
      <c r="E2466" s="2">
        <v>44528.916666666664</v>
      </c>
      <c r="F2466" s="23">
        <f t="shared" si="114"/>
        <v>9.0277777773735579E-2</v>
      </c>
      <c r="G2466" s="24">
        <f t="shared" si="116"/>
        <v>138.46153846773811</v>
      </c>
      <c r="H2466" s="1" t="s">
        <v>1</v>
      </c>
      <c r="I2466" s="4" t="s">
        <v>2</v>
      </c>
      <c r="J2466" s="14">
        <v>0.82638888888888884</v>
      </c>
      <c r="K2466" s="20" t="str">
        <f t="shared" si="115"/>
        <v>2nd Shift</v>
      </c>
    </row>
    <row r="2467" spans="1:11" x14ac:dyDescent="0.25">
      <c r="A2467" s="1">
        <v>2466</v>
      </c>
      <c r="B2467" s="1">
        <v>1</v>
      </c>
      <c r="C2467" s="3">
        <v>1115270097100</v>
      </c>
      <c r="D2467" s="2">
        <v>44528.826388888891</v>
      </c>
      <c r="E2467" s="2">
        <v>44528.916666666664</v>
      </c>
      <c r="F2467" s="23">
        <f t="shared" si="114"/>
        <v>9.0277777773735579E-2</v>
      </c>
      <c r="G2467" s="24">
        <f t="shared" si="116"/>
        <v>138.46153846773811</v>
      </c>
      <c r="H2467" s="1" t="s">
        <v>1</v>
      </c>
      <c r="I2467" s="4" t="s">
        <v>2</v>
      </c>
      <c r="J2467" s="14">
        <v>0.82638888888888884</v>
      </c>
      <c r="K2467" s="20" t="str">
        <f t="shared" si="115"/>
        <v>2nd Shift</v>
      </c>
    </row>
    <row r="2468" spans="1:11" x14ac:dyDescent="0.25">
      <c r="A2468" s="1">
        <v>2467</v>
      </c>
      <c r="B2468" s="1">
        <v>11</v>
      </c>
      <c r="C2468" s="3">
        <v>11115271052200</v>
      </c>
      <c r="D2468" s="2">
        <v>44528.954861111109</v>
      </c>
      <c r="E2468" s="2">
        <v>44529.052083333336</v>
      </c>
      <c r="F2468" s="23">
        <f t="shared" si="114"/>
        <v>9.7222222226264421E-2</v>
      </c>
      <c r="G2468" s="24">
        <f t="shared" si="116"/>
        <v>128.57142856608297</v>
      </c>
      <c r="H2468" s="1" t="s">
        <v>1</v>
      </c>
      <c r="I2468" s="4" t="s">
        <v>3</v>
      </c>
      <c r="J2468" s="14">
        <v>0.95486111111111116</v>
      </c>
      <c r="K2468" s="20" t="str">
        <f t="shared" si="115"/>
        <v>3rd Shift</v>
      </c>
    </row>
    <row r="2469" spans="1:11" x14ac:dyDescent="0.25">
      <c r="A2469" s="1">
        <v>2468</v>
      </c>
      <c r="B2469" s="1">
        <v>8</v>
      </c>
      <c r="C2469" s="3">
        <v>8115271820900</v>
      </c>
      <c r="D2469" s="2">
        <v>44528.954861111109</v>
      </c>
      <c r="E2469" s="2">
        <v>44529.052083333336</v>
      </c>
      <c r="F2469" s="23">
        <f t="shared" si="114"/>
        <v>9.7222222226264421E-2</v>
      </c>
      <c r="G2469" s="24">
        <f t="shared" si="116"/>
        <v>128.57142856608297</v>
      </c>
      <c r="H2469" s="1" t="s">
        <v>1</v>
      </c>
      <c r="I2469" s="4" t="s">
        <v>4</v>
      </c>
      <c r="J2469" s="14">
        <v>0.95486111111111116</v>
      </c>
      <c r="K2469" s="20" t="str">
        <f t="shared" si="115"/>
        <v>3rd Shift</v>
      </c>
    </row>
    <row r="2470" spans="1:11" x14ac:dyDescent="0.25">
      <c r="A2470" s="1">
        <v>2469</v>
      </c>
      <c r="B2470" s="1">
        <v>1</v>
      </c>
      <c r="C2470" s="3">
        <v>1115270095800</v>
      </c>
      <c r="D2470" s="2">
        <v>44528.954861111109</v>
      </c>
      <c r="E2470" s="2">
        <v>44529.052083333336</v>
      </c>
      <c r="F2470" s="23">
        <f t="shared" si="114"/>
        <v>9.7222222226264421E-2</v>
      </c>
      <c r="G2470" s="24">
        <f t="shared" si="116"/>
        <v>128.57142856608297</v>
      </c>
      <c r="H2470" s="1" t="s">
        <v>1</v>
      </c>
      <c r="I2470" s="4" t="s">
        <v>2</v>
      </c>
      <c r="J2470" s="14">
        <v>0.95486111111111116</v>
      </c>
      <c r="K2470" s="20" t="str">
        <f t="shared" si="115"/>
        <v>3rd Shift</v>
      </c>
    </row>
    <row r="2471" spans="1:11" x14ac:dyDescent="0.25">
      <c r="A2471" s="1">
        <v>2470</v>
      </c>
      <c r="B2471" s="1">
        <v>1</v>
      </c>
      <c r="C2471" s="3">
        <v>1115270127300</v>
      </c>
      <c r="D2471" s="2">
        <v>44529.416666666664</v>
      </c>
      <c r="E2471" s="2">
        <v>44529.569444444445</v>
      </c>
      <c r="F2471" s="23">
        <f t="shared" si="114"/>
        <v>0.15277777778101154</v>
      </c>
      <c r="G2471" s="24">
        <f t="shared" si="116"/>
        <v>81.818181816450021</v>
      </c>
      <c r="H2471" s="1" t="s">
        <v>1</v>
      </c>
      <c r="I2471" s="4" t="s">
        <v>4</v>
      </c>
      <c r="J2471" s="14">
        <v>0.41666666666666669</v>
      </c>
      <c r="K2471" s="20" t="str">
        <f t="shared" si="115"/>
        <v>1st Shift</v>
      </c>
    </row>
    <row r="2472" spans="1:11" x14ac:dyDescent="0.25">
      <c r="A2472" s="1">
        <v>2471</v>
      </c>
      <c r="B2472" s="1">
        <v>1</v>
      </c>
      <c r="C2472" s="3">
        <v>1115270016900</v>
      </c>
      <c r="D2472" s="2">
        <v>44529.416666666664</v>
      </c>
      <c r="E2472" s="2">
        <v>44529.569444444445</v>
      </c>
      <c r="F2472" s="23">
        <f t="shared" si="114"/>
        <v>0.15277777778101154</v>
      </c>
      <c r="G2472" s="24">
        <f t="shared" si="116"/>
        <v>81.818181816450021</v>
      </c>
      <c r="H2472" s="1" t="s">
        <v>1</v>
      </c>
      <c r="I2472" s="4" t="s">
        <v>3</v>
      </c>
      <c r="J2472" s="14">
        <v>0.41666666666666669</v>
      </c>
      <c r="K2472" s="20" t="str">
        <f t="shared" si="115"/>
        <v>1st Shift</v>
      </c>
    </row>
    <row r="2473" spans="1:11" x14ac:dyDescent="0.25">
      <c r="A2473" s="1">
        <v>2472</v>
      </c>
      <c r="B2473" s="1">
        <v>11</v>
      </c>
      <c r="C2473" s="3">
        <v>11115271543801</v>
      </c>
      <c r="D2473" s="2">
        <v>44529.75</v>
      </c>
      <c r="E2473" s="2">
        <v>44529.847222222219</v>
      </c>
      <c r="F2473" s="23">
        <f t="shared" si="114"/>
        <v>9.7222222218988463E-2</v>
      </c>
      <c r="G2473" s="24">
        <f t="shared" si="116"/>
        <v>128.57142857570506</v>
      </c>
      <c r="H2473" s="1" t="s">
        <v>1</v>
      </c>
      <c r="I2473" s="4" t="s">
        <v>3</v>
      </c>
      <c r="J2473" s="14">
        <v>0.75</v>
      </c>
      <c r="K2473" s="20" t="str">
        <f t="shared" si="115"/>
        <v>2nd Shift</v>
      </c>
    </row>
    <row r="2474" spans="1:11" x14ac:dyDescent="0.25">
      <c r="A2474" s="1">
        <v>2473</v>
      </c>
      <c r="B2474" s="1">
        <v>10</v>
      </c>
      <c r="C2474" s="3">
        <v>10115271441900</v>
      </c>
      <c r="D2474" s="2">
        <v>44529.75</v>
      </c>
      <c r="E2474" s="2">
        <v>44529.847222222219</v>
      </c>
      <c r="F2474" s="23">
        <f t="shared" si="114"/>
        <v>9.7222222218988463E-2</v>
      </c>
      <c r="G2474" s="24">
        <f t="shared" si="116"/>
        <v>128.57142857570506</v>
      </c>
      <c r="H2474" s="1" t="s">
        <v>1</v>
      </c>
      <c r="I2474" s="4" t="s">
        <v>3</v>
      </c>
      <c r="J2474" s="14">
        <v>0.75</v>
      </c>
      <c r="K2474" s="20" t="str">
        <f t="shared" si="115"/>
        <v>2nd Shift</v>
      </c>
    </row>
    <row r="2475" spans="1:11" x14ac:dyDescent="0.25">
      <c r="A2475" s="1">
        <v>2474</v>
      </c>
      <c r="B2475" s="1">
        <v>5</v>
      </c>
      <c r="C2475" s="3">
        <v>5115271296108</v>
      </c>
      <c r="D2475" s="2">
        <v>44529.75</v>
      </c>
      <c r="E2475" s="2">
        <v>44529.847222222219</v>
      </c>
      <c r="F2475" s="23">
        <f t="shared" si="114"/>
        <v>9.7222222218988463E-2</v>
      </c>
      <c r="G2475" s="24">
        <f t="shared" si="116"/>
        <v>128.57142857570506</v>
      </c>
      <c r="H2475" s="1" t="s">
        <v>1</v>
      </c>
      <c r="I2475" s="4" t="s">
        <v>8</v>
      </c>
      <c r="J2475" s="14">
        <v>0.75</v>
      </c>
      <c r="K2475" s="20" t="str">
        <f t="shared" si="115"/>
        <v>2nd Shift</v>
      </c>
    </row>
    <row r="2476" spans="1:11" x14ac:dyDescent="0.25">
      <c r="A2476" s="1">
        <v>2475</v>
      </c>
      <c r="B2476" s="1">
        <v>13</v>
      </c>
      <c r="C2476" s="3">
        <v>13115271591107</v>
      </c>
      <c r="D2476" s="2">
        <v>44529.881944444445</v>
      </c>
      <c r="E2476" s="2">
        <v>44529.90625</v>
      </c>
      <c r="F2476" s="23">
        <f t="shared" si="114"/>
        <v>2.4305555554747116E-2</v>
      </c>
      <c r="G2476" s="24">
        <f t="shared" si="116"/>
        <v>514.28571430282022</v>
      </c>
      <c r="H2476" s="1" t="s">
        <v>1</v>
      </c>
      <c r="I2476" s="4" t="s">
        <v>4</v>
      </c>
      <c r="J2476" s="14">
        <v>0.88194444444444442</v>
      </c>
      <c r="K2476" s="20" t="str">
        <f t="shared" si="115"/>
        <v>2nd Shift</v>
      </c>
    </row>
    <row r="2477" spans="1:11" x14ac:dyDescent="0.25">
      <c r="A2477" s="1">
        <v>2476</v>
      </c>
      <c r="B2477" s="1">
        <v>1</v>
      </c>
      <c r="C2477" s="3">
        <v>1115270052302</v>
      </c>
      <c r="D2477" s="2">
        <v>44529.965277777781</v>
      </c>
      <c r="E2477" s="2">
        <v>44530.003472222219</v>
      </c>
      <c r="F2477" s="23">
        <f t="shared" si="114"/>
        <v>3.8194444437976927E-2</v>
      </c>
      <c r="G2477" s="24">
        <f t="shared" si="116"/>
        <v>327.27272732814481</v>
      </c>
      <c r="H2477" s="1" t="s">
        <v>1</v>
      </c>
      <c r="I2477" s="4" t="s">
        <v>4</v>
      </c>
      <c r="J2477" s="14">
        <v>0.96527777777777779</v>
      </c>
      <c r="K2477" s="20" t="str">
        <f t="shared" si="115"/>
        <v>3rd Shift</v>
      </c>
    </row>
    <row r="2478" spans="1:11" x14ac:dyDescent="0.25">
      <c r="A2478" s="1">
        <v>2477</v>
      </c>
      <c r="B2478" s="1">
        <v>7</v>
      </c>
      <c r="C2478" s="3">
        <v>7115271768100</v>
      </c>
      <c r="D2478" s="2">
        <v>44530.458333333336</v>
      </c>
      <c r="E2478" s="2">
        <v>44530.489583333336</v>
      </c>
      <c r="F2478" s="23">
        <f t="shared" si="114"/>
        <v>3.125E-2</v>
      </c>
      <c r="G2478" s="24">
        <f t="shared" si="116"/>
        <v>400</v>
      </c>
      <c r="H2478" s="1" t="s">
        <v>1</v>
      </c>
      <c r="I2478" s="4" t="s">
        <v>3</v>
      </c>
      <c r="J2478" s="14">
        <v>0.45833333333333331</v>
      </c>
      <c r="K2478" s="20" t="str">
        <f t="shared" si="115"/>
        <v>1st Shift</v>
      </c>
    </row>
    <row r="2479" spans="1:11" x14ac:dyDescent="0.25">
      <c r="A2479" s="1">
        <v>2478</v>
      </c>
      <c r="B2479" s="1">
        <v>7</v>
      </c>
      <c r="C2479" s="3">
        <v>7115271769600</v>
      </c>
      <c r="D2479" s="2">
        <v>44530.5</v>
      </c>
      <c r="E2479" s="2">
        <v>44530.5625</v>
      </c>
      <c r="F2479" s="23">
        <f t="shared" si="114"/>
        <v>6.25E-2</v>
      </c>
      <c r="G2479" s="24">
        <f t="shared" si="116"/>
        <v>200</v>
      </c>
      <c r="H2479" s="1" t="s">
        <v>1</v>
      </c>
      <c r="I2479" s="4" t="s">
        <v>2</v>
      </c>
      <c r="J2479" s="14">
        <v>0.5</v>
      </c>
      <c r="K2479" s="20" t="str">
        <f t="shared" si="115"/>
        <v>1st Shift</v>
      </c>
    </row>
    <row r="2480" spans="1:11" x14ac:dyDescent="0.25">
      <c r="A2480" s="1">
        <v>2479</v>
      </c>
      <c r="B2480" s="1">
        <v>3</v>
      </c>
      <c r="C2480" s="3">
        <v>3115270352801</v>
      </c>
      <c r="D2480" s="2">
        <v>44530.5</v>
      </c>
      <c r="E2480" s="2">
        <v>44530.5625</v>
      </c>
      <c r="F2480" s="23">
        <f t="shared" si="114"/>
        <v>6.25E-2</v>
      </c>
      <c r="G2480" s="24">
        <f t="shared" si="116"/>
        <v>200</v>
      </c>
      <c r="H2480" s="1" t="s">
        <v>1</v>
      </c>
      <c r="I2480" s="4" t="s">
        <v>5</v>
      </c>
      <c r="J2480" s="14">
        <v>0.5</v>
      </c>
      <c r="K2480" s="20" t="str">
        <f t="shared" si="115"/>
        <v>1st Shift</v>
      </c>
    </row>
    <row r="2481" spans="1:11" x14ac:dyDescent="0.25">
      <c r="A2481" s="1">
        <v>2480</v>
      </c>
      <c r="B2481" s="1">
        <v>10</v>
      </c>
      <c r="C2481" s="3">
        <v>10115271455801</v>
      </c>
      <c r="D2481" s="2">
        <v>44530.625</v>
      </c>
      <c r="E2481" s="2">
        <v>44530.708333333336</v>
      </c>
      <c r="F2481" s="23">
        <f t="shared" si="114"/>
        <v>8.3333333335758653E-2</v>
      </c>
      <c r="G2481" s="24">
        <f t="shared" si="116"/>
        <v>149.99999999563443</v>
      </c>
      <c r="H2481" s="1" t="s">
        <v>1</v>
      </c>
      <c r="I2481" s="4" t="s">
        <v>2</v>
      </c>
      <c r="J2481" s="14">
        <v>0.625</v>
      </c>
      <c r="K2481" s="20" t="str">
        <f t="shared" si="115"/>
        <v>2nd Shift</v>
      </c>
    </row>
    <row r="2482" spans="1:11" x14ac:dyDescent="0.25">
      <c r="A2482" s="1">
        <v>2481</v>
      </c>
      <c r="B2482" s="1">
        <v>10</v>
      </c>
      <c r="C2482" s="3">
        <v>10115271959300</v>
      </c>
      <c r="D2482" s="2">
        <v>44531.385416666664</v>
      </c>
      <c r="E2482" s="2">
        <v>44531.454861111109</v>
      </c>
      <c r="F2482" s="23">
        <f t="shared" si="114"/>
        <v>6.9444444445252884E-2</v>
      </c>
      <c r="G2482" s="24">
        <f t="shared" si="116"/>
        <v>179.99999999790452</v>
      </c>
      <c r="H2482" s="1" t="s">
        <v>1</v>
      </c>
      <c r="I2482" s="4" t="s">
        <v>2</v>
      </c>
      <c r="J2482" s="14">
        <v>0.38541666666666669</v>
      </c>
      <c r="K2482" s="20" t="str">
        <f t="shared" si="115"/>
        <v>1st Shift</v>
      </c>
    </row>
    <row r="2483" spans="1:11" x14ac:dyDescent="0.25">
      <c r="A2483" s="1">
        <v>2482</v>
      </c>
      <c r="B2483" s="1">
        <v>1</v>
      </c>
      <c r="C2483" s="3">
        <v>1115270070200</v>
      </c>
      <c r="D2483" s="2">
        <v>44531.385416666664</v>
      </c>
      <c r="E2483" s="2">
        <v>44531.454861111109</v>
      </c>
      <c r="F2483" s="23">
        <f t="shared" si="114"/>
        <v>6.9444444445252884E-2</v>
      </c>
      <c r="G2483" s="24">
        <f t="shared" si="116"/>
        <v>179.99999999790452</v>
      </c>
      <c r="H2483" s="1" t="s">
        <v>1</v>
      </c>
      <c r="I2483" s="4" t="s">
        <v>4</v>
      </c>
      <c r="J2483" s="14">
        <v>0.38541666666666669</v>
      </c>
      <c r="K2483" s="20" t="str">
        <f t="shared" si="115"/>
        <v>1st Shift</v>
      </c>
    </row>
    <row r="2484" spans="1:11" x14ac:dyDescent="0.25">
      <c r="A2484" s="1">
        <v>2483</v>
      </c>
      <c r="B2484" s="1">
        <v>10</v>
      </c>
      <c r="C2484" s="3">
        <v>10115271469100</v>
      </c>
      <c r="D2484" s="2">
        <v>44531.479166666664</v>
      </c>
      <c r="E2484" s="2">
        <v>44531.569444444445</v>
      </c>
      <c r="F2484" s="23">
        <f t="shared" si="114"/>
        <v>9.0277777781011537E-2</v>
      </c>
      <c r="G2484" s="24">
        <f t="shared" si="116"/>
        <v>138.46153845657875</v>
      </c>
      <c r="H2484" s="1" t="s">
        <v>1</v>
      </c>
      <c r="I2484" s="4" t="s">
        <v>2</v>
      </c>
      <c r="J2484" s="14">
        <v>0.47916666666666669</v>
      </c>
      <c r="K2484" s="20" t="str">
        <f t="shared" si="115"/>
        <v>1st Shift</v>
      </c>
    </row>
    <row r="2485" spans="1:11" x14ac:dyDescent="0.25">
      <c r="A2485" s="1">
        <v>2484</v>
      </c>
      <c r="B2485" s="1">
        <v>8</v>
      </c>
      <c r="C2485" s="3">
        <v>8115271819304</v>
      </c>
      <c r="D2485" s="2">
        <v>44531.479166666664</v>
      </c>
      <c r="E2485" s="2">
        <v>44531.569444444445</v>
      </c>
      <c r="F2485" s="23">
        <f t="shared" si="114"/>
        <v>9.0277777781011537E-2</v>
      </c>
      <c r="G2485" s="24">
        <f t="shared" si="116"/>
        <v>138.46153845657875</v>
      </c>
      <c r="H2485" s="1" t="s">
        <v>1</v>
      </c>
      <c r="I2485" s="4" t="s">
        <v>4</v>
      </c>
      <c r="J2485" s="14">
        <v>0.47916666666666669</v>
      </c>
      <c r="K2485" s="20" t="str">
        <f t="shared" si="115"/>
        <v>1st Shift</v>
      </c>
    </row>
    <row r="2486" spans="1:11" x14ac:dyDescent="0.25">
      <c r="A2486" s="1">
        <v>2485</v>
      </c>
      <c r="B2486" s="1">
        <v>5</v>
      </c>
      <c r="C2486" s="3">
        <v>5115271685515</v>
      </c>
      <c r="D2486" s="2">
        <v>44531.479166666664</v>
      </c>
      <c r="E2486" s="2">
        <v>44531.569444444445</v>
      </c>
      <c r="F2486" s="23">
        <f t="shared" si="114"/>
        <v>9.0277777781011537E-2</v>
      </c>
      <c r="G2486" s="24">
        <f t="shared" si="116"/>
        <v>138.46153845657875</v>
      </c>
      <c r="H2486" s="1" t="s">
        <v>1</v>
      </c>
      <c r="I2486" s="4" t="s">
        <v>3</v>
      </c>
      <c r="J2486" s="14">
        <v>0.47916666666666669</v>
      </c>
      <c r="K2486" s="20" t="str">
        <f t="shared" si="115"/>
        <v>1st Shift</v>
      </c>
    </row>
    <row r="2487" spans="1:11" x14ac:dyDescent="0.25">
      <c r="A2487" s="1">
        <v>2486</v>
      </c>
      <c r="B2487" s="1">
        <v>14</v>
      </c>
      <c r="C2487" s="3">
        <v>14115271672501</v>
      </c>
      <c r="D2487" s="2">
        <v>44531.736111111109</v>
      </c>
      <c r="E2487" s="2">
        <v>44531.760416666664</v>
      </c>
      <c r="F2487" s="23">
        <f t="shared" si="114"/>
        <v>2.4305555554747116E-2</v>
      </c>
      <c r="G2487" s="24">
        <f t="shared" si="116"/>
        <v>514.28571430282022</v>
      </c>
      <c r="H2487" s="1" t="s">
        <v>1</v>
      </c>
      <c r="I2487" s="4" t="s">
        <v>2</v>
      </c>
      <c r="J2487" s="14">
        <v>0.73611111111111116</v>
      </c>
      <c r="K2487" s="20" t="str">
        <f t="shared" si="115"/>
        <v>2nd Shift</v>
      </c>
    </row>
    <row r="2488" spans="1:11" x14ac:dyDescent="0.25">
      <c r="A2488" s="1">
        <v>2487</v>
      </c>
      <c r="B2488" s="1">
        <v>13</v>
      </c>
      <c r="C2488" s="3">
        <v>13115271607600</v>
      </c>
      <c r="D2488" s="2">
        <v>44531.684027777781</v>
      </c>
      <c r="E2488" s="2">
        <v>44531.760416666664</v>
      </c>
      <c r="F2488" s="23">
        <f t="shared" si="114"/>
        <v>7.6388888883229811E-2</v>
      </c>
      <c r="G2488" s="24">
        <f t="shared" si="116"/>
        <v>163.63636364848622</v>
      </c>
      <c r="H2488" s="1" t="s">
        <v>1</v>
      </c>
      <c r="I2488" s="4" t="s">
        <v>2</v>
      </c>
      <c r="J2488" s="14">
        <v>0.68402777777777779</v>
      </c>
      <c r="K2488" s="20" t="str">
        <f t="shared" si="115"/>
        <v>2nd Shift</v>
      </c>
    </row>
    <row r="2489" spans="1:11" x14ac:dyDescent="0.25">
      <c r="A2489" s="1">
        <v>2488</v>
      </c>
      <c r="B2489" s="1">
        <v>11</v>
      </c>
      <c r="C2489" s="3">
        <v>11115271508501</v>
      </c>
      <c r="D2489" s="2">
        <v>44531.684027777781</v>
      </c>
      <c r="E2489" s="2">
        <v>44531.760416666664</v>
      </c>
      <c r="F2489" s="23">
        <f t="shared" si="114"/>
        <v>7.6388888883229811E-2</v>
      </c>
      <c r="G2489" s="24">
        <f t="shared" si="116"/>
        <v>163.63636364848622</v>
      </c>
      <c r="H2489" s="1" t="s">
        <v>1</v>
      </c>
      <c r="I2489" s="4" t="s">
        <v>2</v>
      </c>
      <c r="J2489" s="14">
        <v>0.68402777777777779</v>
      </c>
      <c r="K2489" s="20" t="str">
        <f t="shared" si="115"/>
        <v>2nd Shift</v>
      </c>
    </row>
    <row r="2490" spans="1:11" x14ac:dyDescent="0.25">
      <c r="A2490" s="1">
        <v>2489</v>
      </c>
      <c r="B2490" s="1">
        <v>3</v>
      </c>
      <c r="C2490" s="3">
        <v>3115270349900</v>
      </c>
      <c r="D2490" s="2">
        <v>44532.826388888891</v>
      </c>
      <c r="E2490" s="2">
        <v>44532.881944444445</v>
      </c>
      <c r="F2490" s="23">
        <f t="shared" si="114"/>
        <v>5.5555555554747116E-2</v>
      </c>
      <c r="G2490" s="24">
        <f t="shared" si="116"/>
        <v>225.00000000327418</v>
      </c>
      <c r="H2490" s="1" t="s">
        <v>1</v>
      </c>
      <c r="I2490" s="4" t="s">
        <v>2</v>
      </c>
      <c r="J2490" s="14">
        <v>0.82638888888888884</v>
      </c>
      <c r="K2490" s="20" t="str">
        <f t="shared" si="115"/>
        <v>2nd Shift</v>
      </c>
    </row>
    <row r="2491" spans="1:11" x14ac:dyDescent="0.25">
      <c r="A2491" s="1">
        <v>2490</v>
      </c>
      <c r="B2491" s="1">
        <v>1</v>
      </c>
      <c r="C2491" s="3">
        <v>1115270012200</v>
      </c>
      <c r="D2491" s="2">
        <v>44532.826388888891</v>
      </c>
      <c r="E2491" s="2">
        <v>44532.881944444445</v>
      </c>
      <c r="F2491" s="23">
        <f t="shared" si="114"/>
        <v>5.5555555554747116E-2</v>
      </c>
      <c r="G2491" s="24">
        <f t="shared" si="116"/>
        <v>225.00000000327418</v>
      </c>
      <c r="H2491" s="1" t="s">
        <v>1</v>
      </c>
      <c r="I2491" s="4" t="s">
        <v>2</v>
      </c>
      <c r="J2491" s="14">
        <v>0.82638888888888884</v>
      </c>
      <c r="K2491" s="20" t="str">
        <f t="shared" si="115"/>
        <v>2nd Shift</v>
      </c>
    </row>
    <row r="2492" spans="1:11" x14ac:dyDescent="0.25">
      <c r="A2492" s="1">
        <v>2491</v>
      </c>
      <c r="B2492" s="1">
        <v>3</v>
      </c>
      <c r="C2492" s="3">
        <v>3115270392700</v>
      </c>
      <c r="D2492" s="2">
        <v>44533.385416666664</v>
      </c>
      <c r="E2492" s="2">
        <v>44533.40625</v>
      </c>
      <c r="F2492" s="23">
        <f t="shared" si="114"/>
        <v>2.0833333335758653E-2</v>
      </c>
      <c r="G2492" s="24">
        <f t="shared" si="116"/>
        <v>599.99999993015081</v>
      </c>
      <c r="H2492" s="1" t="s">
        <v>1</v>
      </c>
      <c r="I2492" s="4" t="s">
        <v>2</v>
      </c>
      <c r="J2492" s="14">
        <v>0.38541666666666669</v>
      </c>
      <c r="K2492" s="20" t="str">
        <f t="shared" si="115"/>
        <v>1st Shift</v>
      </c>
    </row>
    <row r="2493" spans="1:11" x14ac:dyDescent="0.25">
      <c r="A2493" s="1">
        <v>2492</v>
      </c>
      <c r="B2493" s="1">
        <v>13</v>
      </c>
      <c r="C2493" s="3">
        <v>13115271639400</v>
      </c>
      <c r="D2493" s="2">
        <v>44533.435416666667</v>
      </c>
      <c r="E2493" s="2">
        <v>44533.541666666664</v>
      </c>
      <c r="F2493" s="23">
        <f t="shared" si="114"/>
        <v>0.10624999999708962</v>
      </c>
      <c r="G2493" s="24">
        <f t="shared" si="116"/>
        <v>117.64705882675197</v>
      </c>
      <c r="H2493" s="1" t="s">
        <v>1</v>
      </c>
      <c r="I2493" s="4" t="s">
        <v>2</v>
      </c>
      <c r="J2493" s="14">
        <v>0.43541666666666667</v>
      </c>
      <c r="K2493" s="20" t="str">
        <f t="shared" si="115"/>
        <v>1st Shift</v>
      </c>
    </row>
    <row r="2494" spans="1:11" x14ac:dyDescent="0.25">
      <c r="A2494" s="1">
        <v>2493</v>
      </c>
      <c r="B2494" s="1">
        <v>12</v>
      </c>
      <c r="C2494" s="3">
        <v>12115271589005</v>
      </c>
      <c r="D2494" s="2">
        <v>44533.435416666667</v>
      </c>
      <c r="E2494" s="2">
        <v>44533.541666666664</v>
      </c>
      <c r="F2494" s="23">
        <f t="shared" si="114"/>
        <v>0.10624999999708962</v>
      </c>
      <c r="G2494" s="24">
        <f t="shared" si="116"/>
        <v>117.64705882675197</v>
      </c>
      <c r="H2494" s="1" t="s">
        <v>1</v>
      </c>
      <c r="I2494" s="4" t="s">
        <v>2</v>
      </c>
      <c r="J2494" s="14">
        <v>0.43541666666666667</v>
      </c>
      <c r="K2494" s="20" t="str">
        <f t="shared" si="115"/>
        <v>1st Shift</v>
      </c>
    </row>
    <row r="2495" spans="1:11" x14ac:dyDescent="0.25">
      <c r="A2495" s="1">
        <v>2494</v>
      </c>
      <c r="B2495" s="1">
        <v>7</v>
      </c>
      <c r="C2495" s="3">
        <v>7115271767803</v>
      </c>
      <c r="D2495" s="2">
        <v>44533.435416666667</v>
      </c>
      <c r="E2495" s="2">
        <v>44533.541666666664</v>
      </c>
      <c r="F2495" s="23">
        <f t="shared" si="114"/>
        <v>0.10624999999708962</v>
      </c>
      <c r="G2495" s="24">
        <f t="shared" si="116"/>
        <v>117.64705882675197</v>
      </c>
      <c r="H2495" s="1" t="s">
        <v>1</v>
      </c>
      <c r="I2495" s="4" t="s">
        <v>3</v>
      </c>
      <c r="J2495" s="14">
        <v>0.43541666666666667</v>
      </c>
      <c r="K2495" s="20" t="str">
        <f t="shared" si="115"/>
        <v>1st Shift</v>
      </c>
    </row>
    <row r="2496" spans="1:11" x14ac:dyDescent="0.25">
      <c r="A2496" s="1">
        <v>2495</v>
      </c>
      <c r="B2496" s="1">
        <v>1</v>
      </c>
      <c r="C2496" s="3">
        <v>1115270058700</v>
      </c>
      <c r="D2496" s="2">
        <v>44533.435416666667</v>
      </c>
      <c r="E2496" s="2">
        <v>44533.541666666664</v>
      </c>
      <c r="F2496" s="23">
        <f t="shared" si="114"/>
        <v>0.10624999999708962</v>
      </c>
      <c r="G2496" s="24">
        <f t="shared" si="116"/>
        <v>117.64705882675197</v>
      </c>
      <c r="H2496" s="1" t="s">
        <v>1</v>
      </c>
      <c r="I2496" s="4" t="s">
        <v>3</v>
      </c>
      <c r="J2496" s="14">
        <v>0.43541666666666667</v>
      </c>
      <c r="K2496" s="20" t="str">
        <f t="shared" si="115"/>
        <v>1st Shift</v>
      </c>
    </row>
    <row r="2497" spans="1:11" x14ac:dyDescent="0.25">
      <c r="A2497" s="1">
        <v>2496</v>
      </c>
      <c r="B2497" s="1">
        <v>12</v>
      </c>
      <c r="C2497" s="3">
        <v>12115271574403</v>
      </c>
      <c r="D2497" s="2">
        <v>44533.645833333336</v>
      </c>
      <c r="E2497" s="2">
        <v>44533.729166666664</v>
      </c>
      <c r="F2497" s="23">
        <f t="shared" si="114"/>
        <v>8.3333333328482695E-2</v>
      </c>
      <c r="G2497" s="24">
        <f t="shared" si="116"/>
        <v>150.00000000873115</v>
      </c>
      <c r="H2497" s="1" t="s">
        <v>1</v>
      </c>
      <c r="I2497" s="4" t="s">
        <v>3</v>
      </c>
      <c r="J2497" s="14">
        <v>0.64583333333333337</v>
      </c>
      <c r="K2497" s="20" t="str">
        <f t="shared" si="115"/>
        <v>2nd Shift</v>
      </c>
    </row>
    <row r="2498" spans="1:11" x14ac:dyDescent="0.25">
      <c r="A2498" s="1">
        <v>2497</v>
      </c>
      <c r="B2498" s="1">
        <v>7</v>
      </c>
      <c r="C2498" s="3">
        <v>7115271774503</v>
      </c>
      <c r="D2498" s="2">
        <v>44533.645833333336</v>
      </c>
      <c r="E2498" s="2">
        <v>44533.729166666664</v>
      </c>
      <c r="F2498" s="23">
        <f t="shared" ref="F2498:F2561" si="117">E2498-D2498</f>
        <v>8.3333333328482695E-2</v>
      </c>
      <c r="G2498" s="24">
        <f t="shared" si="116"/>
        <v>150.00000000873115</v>
      </c>
      <c r="H2498" s="1" t="s">
        <v>1</v>
      </c>
      <c r="I2498" s="4" t="s">
        <v>3</v>
      </c>
      <c r="J2498" s="14">
        <v>0.64583333333333337</v>
      </c>
      <c r="K2498" s="20" t="str">
        <f t="shared" ref="K2498:K2561" si="118">IF(AND(J2498&gt;=$M$3,J2498&lt;$M$4),"1st Shift",IF(AND(J2498&gt;=$M$4,J2498&lt;$M$5),"2nd Shift","3rd Shift"))</f>
        <v>2nd Shift</v>
      </c>
    </row>
    <row r="2499" spans="1:11" x14ac:dyDescent="0.25">
      <c r="A2499" s="1">
        <v>2498</v>
      </c>
      <c r="B2499" s="1">
        <v>1</v>
      </c>
      <c r="C2499" s="3">
        <v>1115270123100</v>
      </c>
      <c r="D2499" s="2">
        <v>44533.645833333336</v>
      </c>
      <c r="E2499" s="2">
        <v>44533.729166666664</v>
      </c>
      <c r="F2499" s="23">
        <f t="shared" si="117"/>
        <v>8.3333333328482695E-2</v>
      </c>
      <c r="G2499" s="24">
        <f t="shared" ref="G2499:G2562" si="119">$M$9/F2499*100</f>
        <v>150.00000000873115</v>
      </c>
      <c r="H2499" s="1" t="s">
        <v>1</v>
      </c>
      <c r="I2499" s="4" t="s">
        <v>2</v>
      </c>
      <c r="J2499" s="14">
        <v>0.64583333333333337</v>
      </c>
      <c r="K2499" s="20" t="str">
        <f t="shared" si="118"/>
        <v>2nd Shift</v>
      </c>
    </row>
    <row r="2500" spans="1:11" x14ac:dyDescent="0.25">
      <c r="A2500" s="1">
        <v>2499</v>
      </c>
      <c r="B2500" s="1">
        <v>10</v>
      </c>
      <c r="C2500" s="3">
        <v>10115271964701</v>
      </c>
      <c r="D2500" s="2">
        <v>44533.993055555555</v>
      </c>
      <c r="E2500" s="2">
        <v>44534.104166666664</v>
      </c>
      <c r="F2500" s="23">
        <f t="shared" si="117"/>
        <v>0.11111111110949423</v>
      </c>
      <c r="G2500" s="24">
        <f t="shared" si="119"/>
        <v>112.50000000163709</v>
      </c>
      <c r="H2500" s="1" t="s">
        <v>1</v>
      </c>
      <c r="I2500" s="4" t="s">
        <v>3</v>
      </c>
      <c r="J2500" s="14">
        <v>0.99305555555555558</v>
      </c>
      <c r="K2500" s="20" t="str">
        <f t="shared" si="118"/>
        <v>3rd Shift</v>
      </c>
    </row>
    <row r="2501" spans="1:11" x14ac:dyDescent="0.25">
      <c r="A2501" s="1">
        <v>2500</v>
      </c>
      <c r="B2501" s="1">
        <v>6</v>
      </c>
      <c r="C2501" s="3">
        <v>6115271741307</v>
      </c>
      <c r="D2501" s="2">
        <v>44533.993055555555</v>
      </c>
      <c r="E2501" s="2">
        <v>44534.104166666664</v>
      </c>
      <c r="F2501" s="23">
        <f t="shared" si="117"/>
        <v>0.11111111110949423</v>
      </c>
      <c r="G2501" s="24">
        <f t="shared" si="119"/>
        <v>112.50000000163709</v>
      </c>
      <c r="H2501" s="1" t="s">
        <v>1</v>
      </c>
      <c r="I2501" s="4" t="s">
        <v>4</v>
      </c>
      <c r="J2501" s="14">
        <v>0.99305555555555558</v>
      </c>
      <c r="K2501" s="20" t="str">
        <f t="shared" si="118"/>
        <v>3rd Shift</v>
      </c>
    </row>
    <row r="2502" spans="1:11" x14ac:dyDescent="0.25">
      <c r="A2502" s="1">
        <v>2501</v>
      </c>
      <c r="B2502" s="1">
        <v>1</v>
      </c>
      <c r="C2502" s="3">
        <v>1115270019200</v>
      </c>
      <c r="D2502" s="2">
        <v>44533.993055555555</v>
      </c>
      <c r="E2502" s="2">
        <v>44534.104166666664</v>
      </c>
      <c r="F2502" s="23">
        <f t="shared" si="117"/>
        <v>0.11111111110949423</v>
      </c>
      <c r="G2502" s="24">
        <f t="shared" si="119"/>
        <v>112.50000000163709</v>
      </c>
      <c r="H2502" s="1" t="s">
        <v>1</v>
      </c>
      <c r="I2502" s="4" t="s">
        <v>4</v>
      </c>
      <c r="J2502" s="14">
        <v>0.99305555555555558</v>
      </c>
      <c r="K2502" s="20" t="str">
        <f t="shared" si="118"/>
        <v>3rd Shift</v>
      </c>
    </row>
    <row r="2503" spans="1:11" x14ac:dyDescent="0.25">
      <c r="A2503" s="1">
        <v>2502</v>
      </c>
      <c r="B2503" s="1">
        <v>11</v>
      </c>
      <c r="C2503" s="3">
        <v>11115271508807</v>
      </c>
      <c r="D2503" s="2">
        <v>44534.309027777781</v>
      </c>
      <c r="E2503" s="2">
        <v>44534.458333333336</v>
      </c>
      <c r="F2503" s="23">
        <f t="shared" si="117"/>
        <v>0.14930555555474712</v>
      </c>
      <c r="G2503" s="24">
        <f t="shared" si="119"/>
        <v>83.720930233011458</v>
      </c>
      <c r="H2503" s="1" t="s">
        <v>1</v>
      </c>
      <c r="I2503" s="4" t="s">
        <v>5</v>
      </c>
      <c r="J2503" s="14">
        <v>0.30902777777777779</v>
      </c>
      <c r="K2503" s="20" t="str">
        <f t="shared" si="118"/>
        <v>1st Shift</v>
      </c>
    </row>
    <row r="2504" spans="1:11" x14ac:dyDescent="0.25">
      <c r="A2504" s="1">
        <v>2503</v>
      </c>
      <c r="B2504" s="1">
        <v>8</v>
      </c>
      <c r="C2504" s="3">
        <v>8115271809908</v>
      </c>
      <c r="D2504" s="2">
        <v>44534.309027777781</v>
      </c>
      <c r="E2504" s="2">
        <v>44534.458333333336</v>
      </c>
      <c r="F2504" s="23">
        <f t="shared" si="117"/>
        <v>0.14930555555474712</v>
      </c>
      <c r="G2504" s="24">
        <f t="shared" si="119"/>
        <v>83.720930233011458</v>
      </c>
      <c r="H2504" s="1" t="s">
        <v>1</v>
      </c>
      <c r="I2504" s="4" t="s">
        <v>3</v>
      </c>
      <c r="J2504" s="14">
        <v>0.30902777777777779</v>
      </c>
      <c r="K2504" s="20" t="str">
        <f t="shared" si="118"/>
        <v>1st Shift</v>
      </c>
    </row>
    <row r="2505" spans="1:11" x14ac:dyDescent="0.25">
      <c r="A2505" s="1">
        <v>2504</v>
      </c>
      <c r="B2505" s="1">
        <v>3</v>
      </c>
      <c r="C2505" s="3">
        <v>3115270306702</v>
      </c>
      <c r="D2505" s="2">
        <v>44534.309027777781</v>
      </c>
      <c r="E2505" s="2">
        <v>44534.458333333336</v>
      </c>
      <c r="F2505" s="23">
        <f t="shared" si="117"/>
        <v>0.14930555555474712</v>
      </c>
      <c r="G2505" s="24">
        <f t="shared" si="119"/>
        <v>83.720930233011458</v>
      </c>
      <c r="H2505" s="1" t="s">
        <v>1</v>
      </c>
      <c r="I2505" s="4" t="s">
        <v>2</v>
      </c>
      <c r="J2505" s="14">
        <v>0.30902777777777779</v>
      </c>
      <c r="K2505" s="20" t="str">
        <f t="shared" si="118"/>
        <v>1st Shift</v>
      </c>
    </row>
    <row r="2506" spans="1:11" x14ac:dyDescent="0.25">
      <c r="A2506" s="1">
        <v>2505</v>
      </c>
      <c r="B2506" s="1">
        <v>14</v>
      </c>
      <c r="C2506" s="3">
        <v>14115271672600</v>
      </c>
      <c r="D2506" s="2">
        <v>44534.729166666664</v>
      </c>
      <c r="E2506" s="2">
        <v>44534.833333333336</v>
      </c>
      <c r="F2506" s="23">
        <f t="shared" si="117"/>
        <v>0.10416666667151731</v>
      </c>
      <c r="G2506" s="24">
        <f t="shared" si="119"/>
        <v>119.99999999441206</v>
      </c>
      <c r="H2506" s="1" t="s">
        <v>1</v>
      </c>
      <c r="I2506" s="4" t="s">
        <v>3</v>
      </c>
      <c r="J2506" s="14">
        <v>0.72916666666666663</v>
      </c>
      <c r="K2506" s="20" t="str">
        <f t="shared" si="118"/>
        <v>2nd Shift</v>
      </c>
    </row>
    <row r="2507" spans="1:11" x14ac:dyDescent="0.25">
      <c r="A2507" s="1">
        <v>2506</v>
      </c>
      <c r="B2507" s="1">
        <v>11</v>
      </c>
      <c r="C2507" s="3">
        <v>11115271550902</v>
      </c>
      <c r="D2507" s="2">
        <v>44534.729166666664</v>
      </c>
      <c r="E2507" s="2">
        <v>44534.833333333336</v>
      </c>
      <c r="F2507" s="23">
        <f t="shared" si="117"/>
        <v>0.10416666667151731</v>
      </c>
      <c r="G2507" s="24">
        <f t="shared" si="119"/>
        <v>119.99999999441206</v>
      </c>
      <c r="H2507" s="1" t="s">
        <v>1</v>
      </c>
      <c r="I2507" s="4" t="s">
        <v>3</v>
      </c>
      <c r="J2507" s="14">
        <v>0.72916666666666663</v>
      </c>
      <c r="K2507" s="20" t="str">
        <f t="shared" si="118"/>
        <v>2nd Shift</v>
      </c>
    </row>
    <row r="2508" spans="1:11" x14ac:dyDescent="0.25">
      <c r="A2508" s="1">
        <v>2507</v>
      </c>
      <c r="B2508" s="1">
        <v>10</v>
      </c>
      <c r="C2508" s="3">
        <v>10115271453600</v>
      </c>
      <c r="D2508" s="2">
        <v>44534.729166666664</v>
      </c>
      <c r="E2508" s="2">
        <v>44534.833333333336</v>
      </c>
      <c r="F2508" s="23">
        <f t="shared" si="117"/>
        <v>0.10416666667151731</v>
      </c>
      <c r="G2508" s="24">
        <f t="shared" si="119"/>
        <v>119.99999999441206</v>
      </c>
      <c r="H2508" s="1" t="s">
        <v>1</v>
      </c>
      <c r="I2508" s="4" t="s">
        <v>2</v>
      </c>
      <c r="J2508" s="14">
        <v>0.72916666666666663</v>
      </c>
      <c r="K2508" s="20" t="str">
        <f t="shared" si="118"/>
        <v>2nd Shift</v>
      </c>
    </row>
    <row r="2509" spans="1:11" x14ac:dyDescent="0.25">
      <c r="A2509" s="1">
        <v>2508</v>
      </c>
      <c r="B2509" s="1">
        <v>7</v>
      </c>
      <c r="C2509" s="3">
        <v>7115271774600</v>
      </c>
      <c r="D2509" s="2">
        <v>44534.729166666664</v>
      </c>
      <c r="E2509" s="2">
        <v>44534.833333333336</v>
      </c>
      <c r="F2509" s="23">
        <f t="shared" si="117"/>
        <v>0.10416666667151731</v>
      </c>
      <c r="G2509" s="24">
        <f t="shared" si="119"/>
        <v>119.99999999441206</v>
      </c>
      <c r="H2509" s="1" t="s">
        <v>1</v>
      </c>
      <c r="I2509" s="4" t="s">
        <v>3</v>
      </c>
      <c r="J2509" s="14">
        <v>0.72916666666666663</v>
      </c>
      <c r="K2509" s="20" t="str">
        <f t="shared" si="118"/>
        <v>2nd Shift</v>
      </c>
    </row>
    <row r="2510" spans="1:11" x14ac:dyDescent="0.25">
      <c r="A2510" s="1">
        <v>2509</v>
      </c>
      <c r="B2510" s="1">
        <v>1</v>
      </c>
      <c r="C2510" s="3">
        <v>1115270028300</v>
      </c>
      <c r="D2510" s="2">
        <v>44534.729166666664</v>
      </c>
      <c r="E2510" s="2">
        <v>44534.833333333336</v>
      </c>
      <c r="F2510" s="23">
        <f t="shared" si="117"/>
        <v>0.10416666667151731</v>
      </c>
      <c r="G2510" s="24">
        <f t="shared" si="119"/>
        <v>119.99999999441206</v>
      </c>
      <c r="H2510" s="1" t="s">
        <v>1</v>
      </c>
      <c r="I2510" s="4" t="s">
        <v>2</v>
      </c>
      <c r="J2510" s="14">
        <v>0.72916666666666663</v>
      </c>
      <c r="K2510" s="20" t="str">
        <f t="shared" si="118"/>
        <v>2nd Shift</v>
      </c>
    </row>
    <row r="2511" spans="1:11" x14ac:dyDescent="0.25">
      <c r="A2511" s="1">
        <v>2510</v>
      </c>
      <c r="B2511" s="1">
        <v>7</v>
      </c>
      <c r="C2511" s="3">
        <v>7115271756900</v>
      </c>
      <c r="D2511" s="2">
        <v>44534.854166666664</v>
      </c>
      <c r="E2511" s="2">
        <v>44534.885416666664</v>
      </c>
      <c r="F2511" s="23">
        <f t="shared" si="117"/>
        <v>3.125E-2</v>
      </c>
      <c r="G2511" s="24">
        <f t="shared" si="119"/>
        <v>400</v>
      </c>
      <c r="H2511" s="1" t="s">
        <v>1</v>
      </c>
      <c r="I2511" s="4" t="s">
        <v>4</v>
      </c>
      <c r="J2511" s="14">
        <v>0.85416666666666663</v>
      </c>
      <c r="K2511" s="20" t="str">
        <f t="shared" si="118"/>
        <v>2nd Shift</v>
      </c>
    </row>
    <row r="2512" spans="1:11" x14ac:dyDescent="0.25">
      <c r="A2512" s="1">
        <v>2511</v>
      </c>
      <c r="B2512" s="1">
        <v>12</v>
      </c>
      <c r="C2512" s="3">
        <v>12115271574524</v>
      </c>
      <c r="D2512" s="2">
        <v>44534.9375</v>
      </c>
      <c r="E2512" s="2">
        <v>44534.958333333336</v>
      </c>
      <c r="F2512" s="23">
        <f t="shared" si="117"/>
        <v>2.0833333335758653E-2</v>
      </c>
      <c r="G2512" s="24">
        <f t="shared" si="119"/>
        <v>599.99999993015081</v>
      </c>
      <c r="H2512" s="1" t="s">
        <v>1</v>
      </c>
      <c r="I2512" s="4" t="s">
        <v>3</v>
      </c>
      <c r="J2512" s="14">
        <v>0.9375</v>
      </c>
      <c r="K2512" s="20" t="str">
        <f t="shared" si="118"/>
        <v>3rd Shift</v>
      </c>
    </row>
    <row r="2513" spans="1:11" x14ac:dyDescent="0.25">
      <c r="A2513" s="1">
        <v>2512</v>
      </c>
      <c r="B2513" s="1">
        <v>12</v>
      </c>
      <c r="C2513" s="3">
        <v>12115271588604</v>
      </c>
      <c r="D2513" s="2">
        <v>44535.548611111109</v>
      </c>
      <c r="E2513" s="2">
        <v>44535.583333333336</v>
      </c>
      <c r="F2513" s="23">
        <f t="shared" si="117"/>
        <v>3.4722222226264421E-2</v>
      </c>
      <c r="G2513" s="24">
        <f t="shared" si="119"/>
        <v>359.99999995809048</v>
      </c>
      <c r="H2513" s="1" t="s">
        <v>1</v>
      </c>
      <c r="I2513" s="4" t="s">
        <v>4</v>
      </c>
      <c r="J2513" s="14">
        <v>0.54861111111111116</v>
      </c>
      <c r="K2513" s="20" t="str">
        <f t="shared" si="118"/>
        <v>1st Shift</v>
      </c>
    </row>
    <row r="2514" spans="1:11" x14ac:dyDescent="0.25">
      <c r="A2514" s="1">
        <v>2513</v>
      </c>
      <c r="B2514" s="1">
        <v>10</v>
      </c>
      <c r="C2514" s="3">
        <v>10115271959803</v>
      </c>
      <c r="D2514" s="2">
        <v>44535.680555555555</v>
      </c>
      <c r="E2514" s="2">
        <v>44535.784722222219</v>
      </c>
      <c r="F2514" s="23">
        <f t="shared" si="117"/>
        <v>0.10416666666424135</v>
      </c>
      <c r="G2514" s="24">
        <f t="shared" si="119"/>
        <v>120.00000000279397</v>
      </c>
      <c r="H2514" s="1" t="s">
        <v>1</v>
      </c>
      <c r="I2514" s="4" t="s">
        <v>2</v>
      </c>
      <c r="J2514" s="14">
        <v>0.68055555555555558</v>
      </c>
      <c r="K2514" s="20" t="str">
        <f t="shared" si="118"/>
        <v>2nd Shift</v>
      </c>
    </row>
    <row r="2515" spans="1:11" x14ac:dyDescent="0.25">
      <c r="A2515" s="1">
        <v>2514</v>
      </c>
      <c r="B2515" s="1">
        <v>9</v>
      </c>
      <c r="C2515" s="3">
        <v>9115271944300</v>
      </c>
      <c r="D2515" s="2">
        <v>44535.680555555555</v>
      </c>
      <c r="E2515" s="2">
        <v>44535.784722222219</v>
      </c>
      <c r="F2515" s="23">
        <f t="shared" si="117"/>
        <v>0.10416666666424135</v>
      </c>
      <c r="G2515" s="24">
        <f t="shared" si="119"/>
        <v>120.00000000279397</v>
      </c>
      <c r="H2515" s="1" t="s">
        <v>1</v>
      </c>
      <c r="I2515" s="4" t="s">
        <v>3</v>
      </c>
      <c r="J2515" s="14">
        <v>0.68055555555555558</v>
      </c>
      <c r="K2515" s="20" t="str">
        <f t="shared" si="118"/>
        <v>2nd Shift</v>
      </c>
    </row>
    <row r="2516" spans="1:11" x14ac:dyDescent="0.25">
      <c r="A2516" s="1">
        <v>2515</v>
      </c>
      <c r="B2516" s="1">
        <v>3</v>
      </c>
      <c r="C2516" s="3">
        <v>3115270340501</v>
      </c>
      <c r="D2516" s="2">
        <v>44535.680555555555</v>
      </c>
      <c r="E2516" s="2">
        <v>44535.784722222219</v>
      </c>
      <c r="F2516" s="23">
        <f t="shared" si="117"/>
        <v>0.10416666666424135</v>
      </c>
      <c r="G2516" s="24">
        <f t="shared" si="119"/>
        <v>120.00000000279397</v>
      </c>
      <c r="H2516" s="1" t="s">
        <v>1</v>
      </c>
      <c r="I2516" s="4" t="s">
        <v>2</v>
      </c>
      <c r="J2516" s="14">
        <v>0.68055555555555558</v>
      </c>
      <c r="K2516" s="20" t="str">
        <f t="shared" si="118"/>
        <v>2nd Shift</v>
      </c>
    </row>
    <row r="2517" spans="1:11" x14ac:dyDescent="0.25">
      <c r="A2517" s="1">
        <v>2516</v>
      </c>
      <c r="B2517" s="1">
        <v>1</v>
      </c>
      <c r="C2517" s="3">
        <v>1115270097400</v>
      </c>
      <c r="D2517" s="2">
        <v>44536.069444444445</v>
      </c>
      <c r="E2517" s="2">
        <v>44536.118055555555</v>
      </c>
      <c r="F2517" s="23">
        <f t="shared" si="117"/>
        <v>4.8611111109494232E-2</v>
      </c>
      <c r="G2517" s="24">
        <f t="shared" si="119"/>
        <v>257.14285715141011</v>
      </c>
      <c r="H2517" s="1" t="s">
        <v>1</v>
      </c>
      <c r="I2517" s="4" t="s">
        <v>3</v>
      </c>
      <c r="J2517" s="14">
        <v>6.9444444444444448E-2</v>
      </c>
      <c r="K2517" s="20" t="str">
        <f t="shared" si="118"/>
        <v>3rd Shift</v>
      </c>
    </row>
    <row r="2518" spans="1:11" x14ac:dyDescent="0.25">
      <c r="A2518" s="1">
        <v>2517</v>
      </c>
      <c r="B2518" s="1">
        <v>2</v>
      </c>
      <c r="C2518" s="3">
        <v>2115270229601</v>
      </c>
      <c r="D2518" s="2">
        <v>44536.381944444445</v>
      </c>
      <c r="E2518" s="2">
        <v>44536.416666666664</v>
      </c>
      <c r="F2518" s="23">
        <f t="shared" si="117"/>
        <v>3.4722222218988463E-2</v>
      </c>
      <c r="G2518" s="24">
        <f t="shared" si="119"/>
        <v>360.00000003352761</v>
      </c>
      <c r="H2518" s="1" t="s">
        <v>1</v>
      </c>
      <c r="I2518" s="4" t="s">
        <v>4</v>
      </c>
      <c r="J2518" s="14">
        <v>0.38194444444444442</v>
      </c>
      <c r="K2518" s="20" t="str">
        <f t="shared" si="118"/>
        <v>1st Shift</v>
      </c>
    </row>
    <row r="2519" spans="1:11" x14ac:dyDescent="0.25">
      <c r="A2519" s="1">
        <v>2518</v>
      </c>
      <c r="B2519" s="1">
        <v>10</v>
      </c>
      <c r="C2519" s="3">
        <v>10115271959200</v>
      </c>
      <c r="D2519" s="2">
        <v>44536.427083333336</v>
      </c>
      <c r="E2519" s="2">
        <v>44536.555555555555</v>
      </c>
      <c r="F2519" s="23">
        <f t="shared" si="117"/>
        <v>0.12847222221898846</v>
      </c>
      <c r="G2519" s="24">
        <f t="shared" si="119"/>
        <v>97.297297299746361</v>
      </c>
      <c r="H2519" s="1" t="s">
        <v>1</v>
      </c>
      <c r="I2519" s="4" t="s">
        <v>3</v>
      </c>
      <c r="J2519" s="14">
        <v>0.42708333333333331</v>
      </c>
      <c r="K2519" s="20" t="str">
        <f t="shared" si="118"/>
        <v>1st Shift</v>
      </c>
    </row>
    <row r="2520" spans="1:11" x14ac:dyDescent="0.25">
      <c r="A2520" s="1">
        <v>2519</v>
      </c>
      <c r="B2520" s="1">
        <v>3</v>
      </c>
      <c r="C2520" s="3">
        <v>3115270409101</v>
      </c>
      <c r="D2520" s="2">
        <v>44536.427083333336</v>
      </c>
      <c r="E2520" s="2">
        <v>44536.555555555555</v>
      </c>
      <c r="F2520" s="23">
        <f t="shared" si="117"/>
        <v>0.12847222221898846</v>
      </c>
      <c r="G2520" s="24">
        <f t="shared" si="119"/>
        <v>97.297297299746361</v>
      </c>
      <c r="H2520" s="1" t="s">
        <v>1</v>
      </c>
      <c r="I2520" s="4" t="s">
        <v>3</v>
      </c>
      <c r="J2520" s="14">
        <v>0.42708333333333331</v>
      </c>
      <c r="K2520" s="20" t="str">
        <f t="shared" si="118"/>
        <v>1st Shift</v>
      </c>
    </row>
    <row r="2521" spans="1:11" x14ac:dyDescent="0.25">
      <c r="A2521" s="1">
        <v>2520</v>
      </c>
      <c r="B2521" s="1">
        <v>2</v>
      </c>
      <c r="C2521" s="3">
        <v>2115270292100</v>
      </c>
      <c r="D2521" s="2">
        <v>44536.427083333336</v>
      </c>
      <c r="E2521" s="2">
        <v>44536.555555555555</v>
      </c>
      <c r="F2521" s="23">
        <f t="shared" si="117"/>
        <v>0.12847222221898846</v>
      </c>
      <c r="G2521" s="24">
        <f t="shared" si="119"/>
        <v>97.297297299746361</v>
      </c>
      <c r="H2521" s="1" t="s">
        <v>1</v>
      </c>
      <c r="I2521" s="4" t="s">
        <v>3</v>
      </c>
      <c r="J2521" s="14">
        <v>0.42708333333333331</v>
      </c>
      <c r="K2521" s="20" t="str">
        <f t="shared" si="118"/>
        <v>1st Shift</v>
      </c>
    </row>
    <row r="2522" spans="1:11" x14ac:dyDescent="0.25">
      <c r="A2522" s="1">
        <v>2521</v>
      </c>
      <c r="B2522" s="1">
        <v>1</v>
      </c>
      <c r="C2522" s="3">
        <v>1115270060100</v>
      </c>
      <c r="D2522" s="2">
        <v>44536.427083333336</v>
      </c>
      <c r="E2522" s="2">
        <v>44536.555555555555</v>
      </c>
      <c r="F2522" s="23">
        <f t="shared" si="117"/>
        <v>0.12847222221898846</v>
      </c>
      <c r="G2522" s="24">
        <f t="shared" si="119"/>
        <v>97.297297299746361</v>
      </c>
      <c r="H2522" s="1" t="s">
        <v>1</v>
      </c>
      <c r="I2522" s="4" t="s">
        <v>2</v>
      </c>
      <c r="J2522" s="14">
        <v>0.42708333333333331</v>
      </c>
      <c r="K2522" s="20" t="str">
        <f t="shared" si="118"/>
        <v>1st Shift</v>
      </c>
    </row>
    <row r="2523" spans="1:11" x14ac:dyDescent="0.25">
      <c r="A2523" s="1">
        <v>2522</v>
      </c>
      <c r="B2523" s="1">
        <v>8</v>
      </c>
      <c r="C2523" s="3">
        <v>8115271878004</v>
      </c>
      <c r="D2523" s="2">
        <v>44536.666666666664</v>
      </c>
      <c r="E2523" s="2">
        <v>44536.701388888891</v>
      </c>
      <c r="F2523" s="23">
        <f t="shared" si="117"/>
        <v>3.4722222226264421E-2</v>
      </c>
      <c r="G2523" s="24">
        <f t="shared" si="119"/>
        <v>359.99999995809048</v>
      </c>
      <c r="H2523" s="1" t="s">
        <v>1</v>
      </c>
      <c r="I2523" s="4" t="s">
        <v>8</v>
      </c>
      <c r="J2523" s="14">
        <v>0.66666666666666663</v>
      </c>
      <c r="K2523" s="20" t="str">
        <f t="shared" si="118"/>
        <v>2nd Shift</v>
      </c>
    </row>
    <row r="2524" spans="1:11" x14ac:dyDescent="0.25">
      <c r="A2524" s="1">
        <v>2523</v>
      </c>
      <c r="B2524" s="1">
        <v>7</v>
      </c>
      <c r="C2524" s="3">
        <v>7115271786607</v>
      </c>
      <c r="D2524" s="2">
        <v>44536.78125</v>
      </c>
      <c r="E2524" s="2">
        <v>44536.857638888891</v>
      </c>
      <c r="F2524" s="23">
        <f t="shared" si="117"/>
        <v>7.6388888890505768E-2</v>
      </c>
      <c r="G2524" s="24">
        <f t="shared" si="119"/>
        <v>163.63636363290004</v>
      </c>
      <c r="H2524" s="1" t="s">
        <v>1</v>
      </c>
      <c r="I2524" s="4" t="s">
        <v>3</v>
      </c>
      <c r="J2524" s="14">
        <v>0.78125</v>
      </c>
      <c r="K2524" s="20" t="str">
        <f t="shared" si="118"/>
        <v>2nd Shift</v>
      </c>
    </row>
    <row r="2525" spans="1:11" x14ac:dyDescent="0.25">
      <c r="A2525" s="1">
        <v>2524</v>
      </c>
      <c r="B2525" s="1">
        <v>2</v>
      </c>
      <c r="C2525" s="3">
        <v>2115270229300</v>
      </c>
      <c r="D2525" s="2">
        <v>44536.78125</v>
      </c>
      <c r="E2525" s="2">
        <v>44536.857638888891</v>
      </c>
      <c r="F2525" s="23">
        <f t="shared" si="117"/>
        <v>7.6388888890505768E-2</v>
      </c>
      <c r="G2525" s="24">
        <f t="shared" si="119"/>
        <v>163.63636363290004</v>
      </c>
      <c r="H2525" s="1" t="s">
        <v>1</v>
      </c>
      <c r="I2525" s="4" t="s">
        <v>3</v>
      </c>
      <c r="J2525" s="14">
        <v>0.78125</v>
      </c>
      <c r="K2525" s="20" t="str">
        <f t="shared" si="118"/>
        <v>2nd Shift</v>
      </c>
    </row>
    <row r="2526" spans="1:11" x14ac:dyDescent="0.25">
      <c r="A2526" s="1">
        <v>2525</v>
      </c>
      <c r="B2526" s="1">
        <v>8</v>
      </c>
      <c r="C2526" s="3">
        <v>8115271825600</v>
      </c>
      <c r="D2526" s="2">
        <v>44537.416666666664</v>
      </c>
      <c r="E2526" s="2">
        <v>44537.447916666664</v>
      </c>
      <c r="F2526" s="23">
        <f t="shared" si="117"/>
        <v>3.125E-2</v>
      </c>
      <c r="G2526" s="24">
        <f t="shared" si="119"/>
        <v>400</v>
      </c>
      <c r="H2526" s="1" t="s">
        <v>1</v>
      </c>
      <c r="I2526" s="4" t="s">
        <v>2</v>
      </c>
      <c r="J2526" s="14">
        <v>0.41666666666666669</v>
      </c>
      <c r="K2526" s="20" t="str">
        <f t="shared" si="118"/>
        <v>1st Shift</v>
      </c>
    </row>
    <row r="2527" spans="1:11" x14ac:dyDescent="0.25">
      <c r="A2527" s="1">
        <v>2526</v>
      </c>
      <c r="B2527" s="1">
        <v>7</v>
      </c>
      <c r="C2527" s="3">
        <v>7115271767802</v>
      </c>
      <c r="D2527" s="2">
        <v>44537.708333333336</v>
      </c>
      <c r="E2527" s="2">
        <v>44537.833333333336</v>
      </c>
      <c r="F2527" s="23">
        <f t="shared" si="117"/>
        <v>0.125</v>
      </c>
      <c r="G2527" s="24">
        <f t="shared" si="119"/>
        <v>100</v>
      </c>
      <c r="H2527" s="1" t="s">
        <v>1</v>
      </c>
      <c r="I2527" s="4" t="s">
        <v>3</v>
      </c>
      <c r="J2527" s="14">
        <v>0.70833333333333337</v>
      </c>
      <c r="K2527" s="20" t="str">
        <f t="shared" si="118"/>
        <v>2nd Shift</v>
      </c>
    </row>
    <row r="2528" spans="1:11" x14ac:dyDescent="0.25">
      <c r="A2528" s="1">
        <v>2527</v>
      </c>
      <c r="B2528" s="1">
        <v>5</v>
      </c>
      <c r="C2528" s="3">
        <v>5115271258101</v>
      </c>
      <c r="D2528" s="2">
        <v>44537.708333333336</v>
      </c>
      <c r="E2528" s="2">
        <v>44537.833333333336</v>
      </c>
      <c r="F2528" s="23">
        <f t="shared" si="117"/>
        <v>0.125</v>
      </c>
      <c r="G2528" s="24">
        <f t="shared" si="119"/>
        <v>100</v>
      </c>
      <c r="H2528" s="1" t="s">
        <v>1</v>
      </c>
      <c r="I2528" s="4" t="s">
        <v>3</v>
      </c>
      <c r="J2528" s="14">
        <v>0.70833333333333337</v>
      </c>
      <c r="K2528" s="20" t="str">
        <f t="shared" si="118"/>
        <v>2nd Shift</v>
      </c>
    </row>
    <row r="2529" spans="1:11" x14ac:dyDescent="0.25">
      <c r="A2529" s="1">
        <v>2528</v>
      </c>
      <c r="B2529" s="1">
        <v>6</v>
      </c>
      <c r="C2529" s="3">
        <v>6115271723027</v>
      </c>
      <c r="D2529" s="2">
        <v>44538.520833333336</v>
      </c>
      <c r="E2529" s="2">
        <v>44538.572916666664</v>
      </c>
      <c r="F2529" s="23">
        <f t="shared" si="117"/>
        <v>5.2083333328482695E-2</v>
      </c>
      <c r="G2529" s="24">
        <f t="shared" si="119"/>
        <v>240.00000002235174</v>
      </c>
      <c r="H2529" s="1" t="s">
        <v>1</v>
      </c>
      <c r="I2529" s="4" t="s">
        <v>3</v>
      </c>
      <c r="J2529" s="14">
        <v>0.52083333333333337</v>
      </c>
      <c r="K2529" s="20" t="str">
        <f t="shared" si="118"/>
        <v>1st Shift</v>
      </c>
    </row>
    <row r="2530" spans="1:11" x14ac:dyDescent="0.25">
      <c r="A2530" s="1">
        <v>2529</v>
      </c>
      <c r="B2530" s="1">
        <v>4</v>
      </c>
      <c r="C2530" s="3">
        <v>4115270827300</v>
      </c>
      <c r="D2530" s="2">
        <v>44538.489583333336</v>
      </c>
      <c r="E2530" s="2">
        <v>44538.572916666664</v>
      </c>
      <c r="F2530" s="23">
        <f t="shared" si="117"/>
        <v>8.3333333328482695E-2</v>
      </c>
      <c r="G2530" s="24">
        <f t="shared" si="119"/>
        <v>150.00000000873115</v>
      </c>
      <c r="H2530" s="1" t="s">
        <v>1</v>
      </c>
      <c r="I2530" s="4" t="s">
        <v>2</v>
      </c>
      <c r="J2530" s="14">
        <v>0.48958333333333331</v>
      </c>
      <c r="K2530" s="20" t="str">
        <f t="shared" si="118"/>
        <v>1st Shift</v>
      </c>
    </row>
    <row r="2531" spans="1:11" x14ac:dyDescent="0.25">
      <c r="A2531" s="1">
        <v>2530</v>
      </c>
      <c r="B2531" s="1">
        <v>7</v>
      </c>
      <c r="C2531" s="3">
        <v>7115271767803</v>
      </c>
      <c r="D2531" s="2">
        <v>44538.625</v>
      </c>
      <c r="E2531" s="2">
        <v>44538.659722222219</v>
      </c>
      <c r="F2531" s="23">
        <f t="shared" si="117"/>
        <v>3.4722222218988463E-2</v>
      </c>
      <c r="G2531" s="24">
        <f t="shared" si="119"/>
        <v>360.00000003352761</v>
      </c>
      <c r="H2531" s="1" t="s">
        <v>1</v>
      </c>
      <c r="I2531" s="4" t="s">
        <v>2</v>
      </c>
      <c r="J2531" s="14">
        <v>0.625</v>
      </c>
      <c r="K2531" s="20" t="str">
        <f t="shared" si="118"/>
        <v>2nd Shift</v>
      </c>
    </row>
    <row r="2532" spans="1:11" x14ac:dyDescent="0.25">
      <c r="A2532" s="1">
        <v>2531</v>
      </c>
      <c r="B2532" s="1">
        <v>3</v>
      </c>
      <c r="C2532" s="3">
        <v>3115270432400</v>
      </c>
      <c r="D2532" s="2">
        <v>44538.729166666664</v>
      </c>
      <c r="E2532" s="2">
        <v>44538.798611111109</v>
      </c>
      <c r="F2532" s="23">
        <f t="shared" si="117"/>
        <v>6.9444444445252884E-2</v>
      </c>
      <c r="G2532" s="24">
        <f t="shared" si="119"/>
        <v>179.99999999790452</v>
      </c>
      <c r="H2532" s="1" t="s">
        <v>1</v>
      </c>
      <c r="I2532" s="4" t="s">
        <v>2</v>
      </c>
      <c r="J2532" s="14">
        <v>0.72916666666666663</v>
      </c>
      <c r="K2532" s="20" t="str">
        <f t="shared" si="118"/>
        <v>2nd Shift</v>
      </c>
    </row>
    <row r="2533" spans="1:11" x14ac:dyDescent="0.25">
      <c r="A2533" s="1">
        <v>2532</v>
      </c>
      <c r="B2533" s="1">
        <v>3</v>
      </c>
      <c r="C2533" s="3">
        <v>3115270340600</v>
      </c>
      <c r="D2533" s="2">
        <v>44538.822916666664</v>
      </c>
      <c r="E2533" s="2">
        <v>44538.934027777781</v>
      </c>
      <c r="F2533" s="23">
        <f t="shared" si="117"/>
        <v>0.11111111111677019</v>
      </c>
      <c r="G2533" s="24">
        <f t="shared" si="119"/>
        <v>112.49999999427018</v>
      </c>
      <c r="H2533" s="1" t="s">
        <v>1</v>
      </c>
      <c r="I2533" s="4" t="s">
        <v>3</v>
      </c>
      <c r="J2533" s="14">
        <v>0.82291666666666663</v>
      </c>
      <c r="K2533" s="20" t="str">
        <f t="shared" si="118"/>
        <v>2nd Shift</v>
      </c>
    </row>
    <row r="2534" spans="1:11" x14ac:dyDescent="0.25">
      <c r="A2534" s="1">
        <v>2533</v>
      </c>
      <c r="B2534" s="1">
        <v>15</v>
      </c>
      <c r="C2534" s="3">
        <v>15115271765400</v>
      </c>
      <c r="D2534" s="2">
        <v>44538.822916666664</v>
      </c>
      <c r="E2534" s="2">
        <v>44538.947916666664</v>
      </c>
      <c r="F2534" s="23">
        <f t="shared" si="117"/>
        <v>0.125</v>
      </c>
      <c r="G2534" s="24">
        <f t="shared" si="119"/>
        <v>100</v>
      </c>
      <c r="H2534" s="1" t="s">
        <v>1</v>
      </c>
      <c r="I2534" s="4" t="s">
        <v>3</v>
      </c>
      <c r="J2534" s="14">
        <v>0.82291666666666663</v>
      </c>
      <c r="K2534" s="20" t="str">
        <f t="shared" si="118"/>
        <v>2nd Shift</v>
      </c>
    </row>
    <row r="2535" spans="1:11" x14ac:dyDescent="0.25">
      <c r="A2535" s="1">
        <v>2534</v>
      </c>
      <c r="B2535" s="1">
        <v>2</v>
      </c>
      <c r="C2535" s="3">
        <v>2115270217400</v>
      </c>
      <c r="D2535" s="2">
        <v>44538.993055555555</v>
      </c>
      <c r="E2535" s="2">
        <v>44539.027777777781</v>
      </c>
      <c r="F2535" s="23">
        <f t="shared" si="117"/>
        <v>3.4722222226264421E-2</v>
      </c>
      <c r="G2535" s="24">
        <f t="shared" si="119"/>
        <v>359.99999995809048</v>
      </c>
      <c r="H2535" s="1" t="s">
        <v>1</v>
      </c>
      <c r="I2535" s="4" t="s">
        <v>3</v>
      </c>
      <c r="J2535" s="14">
        <v>0.99305555555555558</v>
      </c>
      <c r="K2535" s="20" t="str">
        <f t="shared" si="118"/>
        <v>3rd Shift</v>
      </c>
    </row>
    <row r="2536" spans="1:11" x14ac:dyDescent="0.25">
      <c r="A2536" s="1">
        <v>2535</v>
      </c>
      <c r="B2536" s="1">
        <v>8</v>
      </c>
      <c r="C2536" s="3">
        <v>8115271816505</v>
      </c>
      <c r="D2536" s="2">
        <v>44539.291666666664</v>
      </c>
      <c r="E2536" s="2">
        <v>44539.326388888891</v>
      </c>
      <c r="F2536" s="23">
        <f t="shared" si="117"/>
        <v>3.4722222226264421E-2</v>
      </c>
      <c r="G2536" s="24">
        <f t="shared" si="119"/>
        <v>359.99999995809048</v>
      </c>
      <c r="H2536" s="1" t="s">
        <v>1</v>
      </c>
      <c r="I2536" s="4" t="s">
        <v>3</v>
      </c>
      <c r="J2536" s="14">
        <v>0.29166666666666669</v>
      </c>
      <c r="K2536" s="20" t="str">
        <f t="shared" si="118"/>
        <v>1st Shift</v>
      </c>
    </row>
    <row r="2537" spans="1:11" x14ac:dyDescent="0.25">
      <c r="A2537" s="1">
        <v>2536</v>
      </c>
      <c r="B2537" s="1">
        <v>3</v>
      </c>
      <c r="C2537" s="3">
        <v>3115270385600</v>
      </c>
      <c r="D2537" s="2">
        <v>44539.333333333336</v>
      </c>
      <c r="E2537" s="2">
        <v>44539.604166666664</v>
      </c>
      <c r="F2537" s="23">
        <f t="shared" si="117"/>
        <v>0.27083333332848269</v>
      </c>
      <c r="G2537" s="24">
        <f t="shared" si="119"/>
        <v>46.15384615467277</v>
      </c>
      <c r="H2537" s="1" t="s">
        <v>1</v>
      </c>
      <c r="I2537" s="4" t="s">
        <v>3</v>
      </c>
      <c r="J2537" s="14">
        <v>0.33333333333333331</v>
      </c>
      <c r="K2537" s="20" t="str">
        <f t="shared" si="118"/>
        <v>1st Shift</v>
      </c>
    </row>
    <row r="2538" spans="1:11" x14ac:dyDescent="0.25">
      <c r="A2538" s="1">
        <v>2537</v>
      </c>
      <c r="B2538" s="1">
        <v>4</v>
      </c>
      <c r="C2538" s="3">
        <v>4115270826901</v>
      </c>
      <c r="D2538" s="2">
        <v>44539.649305555555</v>
      </c>
      <c r="E2538" s="2">
        <v>44539.677083333336</v>
      </c>
      <c r="F2538" s="23">
        <f t="shared" si="117"/>
        <v>2.7777777781011537E-2</v>
      </c>
      <c r="G2538" s="24">
        <f t="shared" si="119"/>
        <v>449.99999994761311</v>
      </c>
      <c r="H2538" s="1" t="s">
        <v>1</v>
      </c>
      <c r="I2538" s="4" t="s">
        <v>4</v>
      </c>
      <c r="J2538" s="14">
        <v>0.64930555555555558</v>
      </c>
      <c r="K2538" s="20" t="str">
        <f t="shared" si="118"/>
        <v>2nd Shift</v>
      </c>
    </row>
    <row r="2539" spans="1:11" x14ac:dyDescent="0.25">
      <c r="A2539" s="1">
        <v>2538</v>
      </c>
      <c r="B2539" s="1">
        <v>13</v>
      </c>
      <c r="C2539" s="3">
        <v>13115271668507</v>
      </c>
      <c r="D2539" s="2">
        <v>44539.715277777781</v>
      </c>
      <c r="E2539" s="2">
        <v>44539.833333333336</v>
      </c>
      <c r="F2539" s="23">
        <f t="shared" si="117"/>
        <v>0.11805555555474712</v>
      </c>
      <c r="G2539" s="24">
        <f t="shared" si="119"/>
        <v>105.88235294190156</v>
      </c>
      <c r="H2539" s="1" t="s">
        <v>1</v>
      </c>
      <c r="I2539" s="4" t="s">
        <v>3</v>
      </c>
      <c r="J2539" s="14">
        <v>0.71527777777777779</v>
      </c>
      <c r="K2539" s="20" t="str">
        <f t="shared" si="118"/>
        <v>2nd Shift</v>
      </c>
    </row>
    <row r="2540" spans="1:11" x14ac:dyDescent="0.25">
      <c r="A2540" s="1">
        <v>2539</v>
      </c>
      <c r="B2540" s="1">
        <v>7</v>
      </c>
      <c r="C2540" s="3">
        <v>7115271768100</v>
      </c>
      <c r="D2540" s="2">
        <v>44539.715277777781</v>
      </c>
      <c r="E2540" s="2">
        <v>44539.833333333336</v>
      </c>
      <c r="F2540" s="23">
        <f t="shared" si="117"/>
        <v>0.11805555555474712</v>
      </c>
      <c r="G2540" s="24">
        <f t="shared" si="119"/>
        <v>105.88235294190156</v>
      </c>
      <c r="H2540" s="1" t="s">
        <v>1</v>
      </c>
      <c r="I2540" s="4" t="s">
        <v>3</v>
      </c>
      <c r="J2540" s="14">
        <v>0.71527777777777779</v>
      </c>
      <c r="K2540" s="20" t="str">
        <f t="shared" si="118"/>
        <v>2nd Shift</v>
      </c>
    </row>
    <row r="2541" spans="1:11" x14ac:dyDescent="0.25">
      <c r="A2541" s="1">
        <v>2540</v>
      </c>
      <c r="B2541" s="1">
        <v>3</v>
      </c>
      <c r="C2541" s="3">
        <v>3115270321601</v>
      </c>
      <c r="D2541" s="2">
        <v>44539.715277777781</v>
      </c>
      <c r="E2541" s="2">
        <v>44539.833333333336</v>
      </c>
      <c r="F2541" s="23">
        <f t="shared" si="117"/>
        <v>0.11805555555474712</v>
      </c>
      <c r="G2541" s="24">
        <f t="shared" si="119"/>
        <v>105.88235294190156</v>
      </c>
      <c r="H2541" s="1" t="s">
        <v>1</v>
      </c>
      <c r="I2541" s="4" t="s">
        <v>3</v>
      </c>
      <c r="J2541" s="14">
        <v>0.71527777777777779</v>
      </c>
      <c r="K2541" s="20" t="str">
        <f t="shared" si="118"/>
        <v>2nd Shift</v>
      </c>
    </row>
    <row r="2542" spans="1:11" x14ac:dyDescent="0.25">
      <c r="A2542" s="1">
        <v>2541</v>
      </c>
      <c r="B2542" s="1">
        <v>10</v>
      </c>
      <c r="C2542" s="3">
        <v>10115271453500</v>
      </c>
      <c r="D2542" s="2">
        <v>44540.435416666667</v>
      </c>
      <c r="E2542" s="2">
        <v>44540.46875</v>
      </c>
      <c r="F2542" s="23">
        <f t="shared" si="117"/>
        <v>3.3333333332848269E-2</v>
      </c>
      <c r="G2542" s="24">
        <f t="shared" si="119"/>
        <v>375.00000000545697</v>
      </c>
      <c r="H2542" s="1" t="s">
        <v>1</v>
      </c>
      <c r="I2542" s="4" t="s">
        <v>3</v>
      </c>
      <c r="J2542" s="14">
        <v>0.43541666666666667</v>
      </c>
      <c r="K2542" s="20" t="str">
        <f t="shared" si="118"/>
        <v>1st Shift</v>
      </c>
    </row>
    <row r="2543" spans="1:11" x14ac:dyDescent="0.25">
      <c r="A2543" s="1">
        <v>2542</v>
      </c>
      <c r="B2543" s="1">
        <v>1</v>
      </c>
      <c r="C2543" s="3">
        <v>1115270143600</v>
      </c>
      <c r="D2543" s="2">
        <v>44540.602777777778</v>
      </c>
      <c r="E2543" s="2">
        <v>44540.725694444445</v>
      </c>
      <c r="F2543" s="23">
        <f t="shared" si="117"/>
        <v>0.12291666666715173</v>
      </c>
      <c r="G2543" s="24">
        <f t="shared" si="119"/>
        <v>101.69491525383599</v>
      </c>
      <c r="H2543" s="1" t="s">
        <v>1</v>
      </c>
      <c r="I2543" s="4" t="s">
        <v>2</v>
      </c>
      <c r="J2543" s="14">
        <v>0.60277777777777775</v>
      </c>
      <c r="K2543" s="20" t="str">
        <f t="shared" si="118"/>
        <v>2nd Shift</v>
      </c>
    </row>
    <row r="2544" spans="1:11" x14ac:dyDescent="0.25">
      <c r="A2544" s="1">
        <v>2543</v>
      </c>
      <c r="B2544" s="1">
        <v>1</v>
      </c>
      <c r="C2544" s="3">
        <v>1115270097101</v>
      </c>
      <c r="D2544" s="2">
        <v>44540.602777777778</v>
      </c>
      <c r="E2544" s="2">
        <v>44540.725694444445</v>
      </c>
      <c r="F2544" s="23">
        <f t="shared" si="117"/>
        <v>0.12291666666715173</v>
      </c>
      <c r="G2544" s="24">
        <f t="shared" si="119"/>
        <v>101.69491525383599</v>
      </c>
      <c r="H2544" s="1" t="s">
        <v>1</v>
      </c>
      <c r="I2544" s="4" t="s">
        <v>2</v>
      </c>
      <c r="J2544" s="14">
        <v>0.60277777777777775</v>
      </c>
      <c r="K2544" s="20" t="str">
        <f t="shared" si="118"/>
        <v>2nd Shift</v>
      </c>
    </row>
    <row r="2545" spans="1:11" x14ac:dyDescent="0.25">
      <c r="A2545" s="1">
        <v>2544</v>
      </c>
      <c r="B2545" s="1">
        <v>12</v>
      </c>
      <c r="C2545" s="3">
        <v>12115271560127</v>
      </c>
      <c r="D2545" s="2">
        <v>44540.78125</v>
      </c>
      <c r="E2545" s="2">
        <v>44540.805555555555</v>
      </c>
      <c r="F2545" s="23">
        <f t="shared" si="117"/>
        <v>2.4305555554747116E-2</v>
      </c>
      <c r="G2545" s="24">
        <f t="shared" si="119"/>
        <v>514.28571430282022</v>
      </c>
      <c r="H2545" s="1" t="s">
        <v>1</v>
      </c>
      <c r="I2545" s="4" t="s">
        <v>2</v>
      </c>
      <c r="J2545" s="14">
        <v>0.78125</v>
      </c>
      <c r="K2545" s="20" t="str">
        <f t="shared" si="118"/>
        <v>2nd Shift</v>
      </c>
    </row>
    <row r="2546" spans="1:11" x14ac:dyDescent="0.25">
      <c r="A2546" s="1">
        <v>2545</v>
      </c>
      <c r="B2546" s="1">
        <v>7</v>
      </c>
      <c r="C2546" s="3">
        <v>7115271783902</v>
      </c>
      <c r="D2546" s="2">
        <v>44541.350694444445</v>
      </c>
      <c r="E2546" s="2">
        <v>44541.604166666664</v>
      </c>
      <c r="F2546" s="23">
        <f t="shared" si="117"/>
        <v>0.25347222221898846</v>
      </c>
      <c r="G2546" s="24">
        <f t="shared" si="119"/>
        <v>49.31506849377984</v>
      </c>
      <c r="H2546" s="1" t="s">
        <v>1</v>
      </c>
      <c r="I2546" s="4" t="s">
        <v>2</v>
      </c>
      <c r="J2546" s="14">
        <v>0.35069444444444442</v>
      </c>
      <c r="K2546" s="20" t="str">
        <f t="shared" si="118"/>
        <v>1st Shift</v>
      </c>
    </row>
    <row r="2547" spans="1:11" x14ac:dyDescent="0.25">
      <c r="A2547" s="1">
        <v>2546</v>
      </c>
      <c r="B2547" s="1">
        <v>7</v>
      </c>
      <c r="C2547" s="3">
        <v>7115271760800</v>
      </c>
      <c r="D2547" s="2">
        <v>44541.350694444445</v>
      </c>
      <c r="E2547" s="2">
        <v>44541.604166666664</v>
      </c>
      <c r="F2547" s="23">
        <f t="shared" si="117"/>
        <v>0.25347222221898846</v>
      </c>
      <c r="G2547" s="24">
        <f t="shared" si="119"/>
        <v>49.31506849377984</v>
      </c>
      <c r="H2547" s="1" t="s">
        <v>1</v>
      </c>
      <c r="I2547" s="4" t="s">
        <v>3</v>
      </c>
      <c r="J2547" s="14">
        <v>0.35069444444444442</v>
      </c>
      <c r="K2547" s="20" t="str">
        <f t="shared" si="118"/>
        <v>1st Shift</v>
      </c>
    </row>
    <row r="2548" spans="1:11" x14ac:dyDescent="0.25">
      <c r="A2548" s="1">
        <v>2547</v>
      </c>
      <c r="B2548" s="1">
        <v>6</v>
      </c>
      <c r="C2548" s="3">
        <v>6115271727900</v>
      </c>
      <c r="D2548" s="2">
        <v>44541.350694444445</v>
      </c>
      <c r="E2548" s="2">
        <v>44541.604166666664</v>
      </c>
      <c r="F2548" s="23">
        <f t="shared" si="117"/>
        <v>0.25347222221898846</v>
      </c>
      <c r="G2548" s="24">
        <f t="shared" si="119"/>
        <v>49.31506849377984</v>
      </c>
      <c r="H2548" s="1" t="s">
        <v>1</v>
      </c>
      <c r="I2548" s="4" t="s">
        <v>3</v>
      </c>
      <c r="J2548" s="14">
        <v>0.35069444444444442</v>
      </c>
      <c r="K2548" s="20" t="str">
        <f t="shared" si="118"/>
        <v>1st Shift</v>
      </c>
    </row>
    <row r="2549" spans="1:11" x14ac:dyDescent="0.25">
      <c r="A2549" s="1">
        <v>2548</v>
      </c>
      <c r="B2549" s="1">
        <v>5</v>
      </c>
      <c r="C2549" s="3">
        <v>5115271676200</v>
      </c>
      <c r="D2549" s="2">
        <v>44541.350694444445</v>
      </c>
      <c r="E2549" s="2">
        <v>44541.604166666664</v>
      </c>
      <c r="F2549" s="23">
        <f t="shared" si="117"/>
        <v>0.25347222221898846</v>
      </c>
      <c r="G2549" s="24">
        <f t="shared" si="119"/>
        <v>49.31506849377984</v>
      </c>
      <c r="H2549" s="1" t="s">
        <v>1</v>
      </c>
      <c r="I2549" s="4" t="s">
        <v>2</v>
      </c>
      <c r="J2549" s="14">
        <v>0.35069444444444442</v>
      </c>
      <c r="K2549" s="20" t="str">
        <f t="shared" si="118"/>
        <v>1st Shift</v>
      </c>
    </row>
    <row r="2550" spans="1:11" x14ac:dyDescent="0.25">
      <c r="A2550" s="1">
        <v>2549</v>
      </c>
      <c r="B2550" s="1">
        <v>2</v>
      </c>
      <c r="C2550" s="3">
        <v>2115270274700</v>
      </c>
      <c r="D2550" s="2">
        <v>44541.350694444445</v>
      </c>
      <c r="E2550" s="2">
        <v>44541.604166666664</v>
      </c>
      <c r="F2550" s="23">
        <f t="shared" si="117"/>
        <v>0.25347222221898846</v>
      </c>
      <c r="G2550" s="24">
        <f t="shared" si="119"/>
        <v>49.31506849377984</v>
      </c>
      <c r="H2550" s="1" t="s">
        <v>1</v>
      </c>
      <c r="I2550" s="4" t="s">
        <v>2</v>
      </c>
      <c r="J2550" s="14">
        <v>0.35069444444444442</v>
      </c>
      <c r="K2550" s="20" t="str">
        <f t="shared" si="118"/>
        <v>1st Shift</v>
      </c>
    </row>
    <row r="2551" spans="1:11" x14ac:dyDescent="0.25">
      <c r="A2551" s="1">
        <v>2550</v>
      </c>
      <c r="B2551" s="1">
        <v>11</v>
      </c>
      <c r="C2551" s="3">
        <v>11115271508506</v>
      </c>
      <c r="D2551" s="2">
        <v>44541.642361111109</v>
      </c>
      <c r="E2551" s="2">
        <v>44541.951388888891</v>
      </c>
      <c r="F2551" s="23">
        <f t="shared" si="117"/>
        <v>0.30902777778101154</v>
      </c>
      <c r="G2551" s="24">
        <f t="shared" si="119"/>
        <v>40.449438201823916</v>
      </c>
      <c r="H2551" s="1" t="s">
        <v>1</v>
      </c>
      <c r="I2551" s="4" t="s">
        <v>2</v>
      </c>
      <c r="J2551" s="14">
        <v>0.64236111111111116</v>
      </c>
      <c r="K2551" s="20" t="str">
        <f t="shared" si="118"/>
        <v>2nd Shift</v>
      </c>
    </row>
    <row r="2552" spans="1:11" x14ac:dyDescent="0.25">
      <c r="A2552" s="1">
        <v>2551</v>
      </c>
      <c r="B2552" s="1">
        <v>10</v>
      </c>
      <c r="C2552" s="3">
        <v>10115271958203</v>
      </c>
      <c r="D2552" s="2">
        <v>44541.642361111109</v>
      </c>
      <c r="E2552" s="2">
        <v>44541.951388888891</v>
      </c>
      <c r="F2552" s="23">
        <f t="shared" si="117"/>
        <v>0.30902777778101154</v>
      </c>
      <c r="G2552" s="24">
        <f t="shared" si="119"/>
        <v>40.449438201823916</v>
      </c>
      <c r="H2552" s="1" t="s">
        <v>1</v>
      </c>
      <c r="I2552" s="4" t="s">
        <v>4</v>
      </c>
      <c r="J2552" s="14">
        <v>0.64236111111111116</v>
      </c>
      <c r="K2552" s="20" t="str">
        <f t="shared" si="118"/>
        <v>2nd Shift</v>
      </c>
    </row>
    <row r="2553" spans="1:11" x14ac:dyDescent="0.25">
      <c r="A2553" s="1">
        <v>2552</v>
      </c>
      <c r="B2553" s="1">
        <v>7</v>
      </c>
      <c r="C2553" s="3">
        <v>7115271767600</v>
      </c>
      <c r="D2553" s="2">
        <v>44541.642361111109</v>
      </c>
      <c r="E2553" s="2">
        <v>44541.951388888891</v>
      </c>
      <c r="F2553" s="23">
        <f t="shared" si="117"/>
        <v>0.30902777778101154</v>
      </c>
      <c r="G2553" s="24">
        <f t="shared" si="119"/>
        <v>40.449438201823916</v>
      </c>
      <c r="H2553" s="1" t="s">
        <v>1</v>
      </c>
      <c r="I2553" s="4" t="s">
        <v>2</v>
      </c>
      <c r="J2553" s="14">
        <v>0.64236111111111116</v>
      </c>
      <c r="K2553" s="20" t="str">
        <f t="shared" si="118"/>
        <v>2nd Shift</v>
      </c>
    </row>
    <row r="2554" spans="1:11" x14ac:dyDescent="0.25">
      <c r="A2554" s="1">
        <v>2553</v>
      </c>
      <c r="B2554" s="1">
        <v>5</v>
      </c>
      <c r="C2554" s="3">
        <v>5115271676200</v>
      </c>
      <c r="D2554" s="2">
        <v>44541.642361111109</v>
      </c>
      <c r="E2554" s="2">
        <v>44541.951388888891</v>
      </c>
      <c r="F2554" s="23">
        <f t="shared" si="117"/>
        <v>0.30902777778101154</v>
      </c>
      <c r="G2554" s="24">
        <f t="shared" si="119"/>
        <v>40.449438201823916</v>
      </c>
      <c r="H2554" s="1" t="s">
        <v>1</v>
      </c>
      <c r="I2554" s="4" t="s">
        <v>2</v>
      </c>
      <c r="J2554" s="14">
        <v>0.64236111111111116</v>
      </c>
      <c r="K2554" s="20" t="str">
        <f t="shared" si="118"/>
        <v>2nd Shift</v>
      </c>
    </row>
    <row r="2555" spans="1:11" x14ac:dyDescent="0.25">
      <c r="A2555" s="1">
        <v>2554</v>
      </c>
      <c r="B2555" s="1">
        <v>3</v>
      </c>
      <c r="C2555" s="3">
        <v>3115270306400</v>
      </c>
      <c r="D2555" s="2">
        <v>44541.642361111109</v>
      </c>
      <c r="E2555" s="2">
        <v>44541.951388888891</v>
      </c>
      <c r="F2555" s="23">
        <f t="shared" si="117"/>
        <v>0.30902777778101154</v>
      </c>
      <c r="G2555" s="24">
        <f t="shared" si="119"/>
        <v>40.449438201823916</v>
      </c>
      <c r="H2555" s="1" t="s">
        <v>1</v>
      </c>
      <c r="I2555" s="4" t="s">
        <v>2</v>
      </c>
      <c r="J2555" s="14">
        <v>0.64236111111111116</v>
      </c>
      <c r="K2555" s="20" t="str">
        <f t="shared" si="118"/>
        <v>2nd Shift</v>
      </c>
    </row>
    <row r="2556" spans="1:11" x14ac:dyDescent="0.25">
      <c r="A2556" s="1">
        <v>2555</v>
      </c>
      <c r="B2556" s="1">
        <v>1</v>
      </c>
      <c r="C2556" s="3">
        <v>1115270067600</v>
      </c>
      <c r="D2556" s="2">
        <v>44541.642361111109</v>
      </c>
      <c r="E2556" s="2">
        <v>44541.951388888891</v>
      </c>
      <c r="F2556" s="23">
        <f t="shared" si="117"/>
        <v>0.30902777778101154</v>
      </c>
      <c r="G2556" s="24">
        <f t="shared" si="119"/>
        <v>40.449438201823916</v>
      </c>
      <c r="H2556" s="1" t="s">
        <v>1</v>
      </c>
      <c r="I2556" s="4" t="s">
        <v>2</v>
      </c>
      <c r="J2556" s="14">
        <v>0.64236111111111116</v>
      </c>
      <c r="K2556" s="20" t="str">
        <f t="shared" si="118"/>
        <v>2nd Shift</v>
      </c>
    </row>
    <row r="2557" spans="1:11" x14ac:dyDescent="0.25">
      <c r="A2557" s="1">
        <v>2556</v>
      </c>
      <c r="B2557" s="1">
        <v>1</v>
      </c>
      <c r="C2557" s="3">
        <v>1115270029800</v>
      </c>
      <c r="D2557" s="2">
        <v>44541.642361111109</v>
      </c>
      <c r="E2557" s="2">
        <v>44541.951388888891</v>
      </c>
      <c r="F2557" s="23">
        <f t="shared" si="117"/>
        <v>0.30902777778101154</v>
      </c>
      <c r="G2557" s="24">
        <f t="shared" si="119"/>
        <v>40.449438201823916</v>
      </c>
      <c r="H2557" s="1" t="s">
        <v>1</v>
      </c>
      <c r="I2557" s="4" t="s">
        <v>2</v>
      </c>
      <c r="J2557" s="14">
        <v>0.64236111111111116</v>
      </c>
      <c r="K2557" s="20" t="str">
        <f t="shared" si="118"/>
        <v>2nd Shift</v>
      </c>
    </row>
    <row r="2558" spans="1:11" x14ac:dyDescent="0.25">
      <c r="A2558" s="1">
        <v>2557</v>
      </c>
      <c r="B2558" s="1">
        <v>12</v>
      </c>
      <c r="C2558" s="3">
        <v>12115271560212</v>
      </c>
      <c r="D2558" s="2">
        <v>44541.944444444445</v>
      </c>
      <c r="E2558" s="2">
        <v>44542.020833333336</v>
      </c>
      <c r="F2558" s="23">
        <f t="shared" si="117"/>
        <v>7.6388888890505768E-2</v>
      </c>
      <c r="G2558" s="24">
        <f t="shared" si="119"/>
        <v>163.63636363290004</v>
      </c>
      <c r="H2558" s="1" t="s">
        <v>1</v>
      </c>
      <c r="I2558" s="4" t="s">
        <v>3</v>
      </c>
      <c r="J2558" s="14">
        <v>0.94444444444444442</v>
      </c>
      <c r="K2558" s="20" t="str">
        <f t="shared" si="118"/>
        <v>3rd Shift</v>
      </c>
    </row>
    <row r="2559" spans="1:11" x14ac:dyDescent="0.25">
      <c r="A2559" s="1">
        <v>2558</v>
      </c>
      <c r="B2559" s="1">
        <v>7</v>
      </c>
      <c r="C2559" s="3">
        <v>7115271783716</v>
      </c>
      <c r="D2559" s="2">
        <v>44541.944444444445</v>
      </c>
      <c r="E2559" s="2">
        <v>44542.020833333336</v>
      </c>
      <c r="F2559" s="23">
        <f t="shared" si="117"/>
        <v>7.6388888890505768E-2</v>
      </c>
      <c r="G2559" s="24">
        <f t="shared" si="119"/>
        <v>163.63636363290004</v>
      </c>
      <c r="H2559" s="1" t="s">
        <v>1</v>
      </c>
      <c r="I2559" s="4" t="s">
        <v>3</v>
      </c>
      <c r="J2559" s="14">
        <v>0.94444444444444442</v>
      </c>
      <c r="K2559" s="20" t="str">
        <f t="shared" si="118"/>
        <v>3rd Shift</v>
      </c>
    </row>
    <row r="2560" spans="1:11" x14ac:dyDescent="0.25">
      <c r="A2560" s="1">
        <v>2559</v>
      </c>
      <c r="B2560" s="1">
        <v>3</v>
      </c>
      <c r="C2560" s="3">
        <v>3115270447600</v>
      </c>
      <c r="D2560" s="2">
        <v>44541.944444444445</v>
      </c>
      <c r="E2560" s="2">
        <v>44542.020833333336</v>
      </c>
      <c r="F2560" s="23">
        <f t="shared" si="117"/>
        <v>7.6388888890505768E-2</v>
      </c>
      <c r="G2560" s="24">
        <f t="shared" si="119"/>
        <v>163.63636363290004</v>
      </c>
      <c r="H2560" s="1" t="s">
        <v>1</v>
      </c>
      <c r="I2560" s="4" t="s">
        <v>2</v>
      </c>
      <c r="J2560" s="14">
        <v>0.94444444444444442</v>
      </c>
      <c r="K2560" s="20" t="str">
        <f t="shared" si="118"/>
        <v>3rd Shift</v>
      </c>
    </row>
    <row r="2561" spans="1:11" x14ac:dyDescent="0.25">
      <c r="A2561" s="1">
        <v>2560</v>
      </c>
      <c r="B2561" s="1">
        <v>3</v>
      </c>
      <c r="C2561" s="3">
        <v>3115270409300</v>
      </c>
      <c r="D2561" s="2">
        <v>44541.944444444445</v>
      </c>
      <c r="E2561" s="2">
        <v>44542.020833333336</v>
      </c>
      <c r="F2561" s="23">
        <f t="shared" si="117"/>
        <v>7.6388888890505768E-2</v>
      </c>
      <c r="G2561" s="24">
        <f t="shared" si="119"/>
        <v>163.63636363290004</v>
      </c>
      <c r="H2561" s="1" t="s">
        <v>1</v>
      </c>
      <c r="I2561" s="4" t="s">
        <v>2</v>
      </c>
      <c r="J2561" s="14">
        <v>0.94444444444444442</v>
      </c>
      <c r="K2561" s="20" t="str">
        <f t="shared" si="118"/>
        <v>3rd Shift</v>
      </c>
    </row>
    <row r="2562" spans="1:11" x14ac:dyDescent="0.25">
      <c r="A2562" s="1">
        <v>2561</v>
      </c>
      <c r="B2562" s="1">
        <v>2</v>
      </c>
      <c r="C2562" s="3">
        <v>2115270169700</v>
      </c>
      <c r="D2562" s="2">
        <v>44541.944444444445</v>
      </c>
      <c r="E2562" s="2">
        <v>44542.020833333336</v>
      </c>
      <c r="F2562" s="23">
        <f t="shared" ref="F2562:F2625" si="120">E2562-D2562</f>
        <v>7.6388888890505768E-2</v>
      </c>
      <c r="G2562" s="24">
        <f t="shared" si="119"/>
        <v>163.63636363290004</v>
      </c>
      <c r="H2562" s="1" t="s">
        <v>1</v>
      </c>
      <c r="I2562" s="4" t="s">
        <v>2</v>
      </c>
      <c r="J2562" s="14">
        <v>0.94444444444444442</v>
      </c>
      <c r="K2562" s="20" t="str">
        <f t="shared" ref="K2562:K2625" si="121">IF(AND(J2562&gt;=$M$3,J2562&lt;$M$4),"1st Shift",IF(AND(J2562&gt;=$M$4,J2562&lt;$M$5),"2nd Shift","3rd Shift"))</f>
        <v>3rd Shift</v>
      </c>
    </row>
    <row r="2563" spans="1:11" x14ac:dyDescent="0.25">
      <c r="A2563" s="1">
        <v>2562</v>
      </c>
      <c r="B2563" s="1">
        <v>1</v>
      </c>
      <c r="C2563" s="3">
        <v>1115270058100</v>
      </c>
      <c r="D2563" s="2">
        <v>44541.944444444445</v>
      </c>
      <c r="E2563" s="2">
        <v>44542.020833333336</v>
      </c>
      <c r="F2563" s="23">
        <f t="shared" si="120"/>
        <v>7.6388888890505768E-2</v>
      </c>
      <c r="G2563" s="24">
        <f t="shared" ref="G2563:G2626" si="122">$M$9/F2563*100</f>
        <v>163.63636363290004</v>
      </c>
      <c r="H2563" s="1" t="s">
        <v>1</v>
      </c>
      <c r="I2563" s="4" t="s">
        <v>2</v>
      </c>
      <c r="J2563" s="14">
        <v>0.94444444444444442</v>
      </c>
      <c r="K2563" s="20" t="str">
        <f t="shared" si="121"/>
        <v>3rd Shift</v>
      </c>
    </row>
    <row r="2564" spans="1:11" x14ac:dyDescent="0.25">
      <c r="A2564" s="1">
        <v>2563</v>
      </c>
      <c r="B2564" s="1">
        <v>12</v>
      </c>
      <c r="C2564" s="3">
        <v>12115271560306</v>
      </c>
      <c r="D2564" s="2">
        <v>44542.347222222219</v>
      </c>
      <c r="E2564" s="2">
        <v>44542.409722222219</v>
      </c>
      <c r="F2564" s="23">
        <f t="shared" si="120"/>
        <v>6.25E-2</v>
      </c>
      <c r="G2564" s="24">
        <f t="shared" si="122"/>
        <v>200</v>
      </c>
      <c r="H2564" s="1" t="s">
        <v>1</v>
      </c>
      <c r="I2564" s="4" t="s">
        <v>2</v>
      </c>
      <c r="J2564" s="14">
        <v>0.34722222222222221</v>
      </c>
      <c r="K2564" s="20" t="str">
        <f t="shared" si="121"/>
        <v>1st Shift</v>
      </c>
    </row>
    <row r="2565" spans="1:11" x14ac:dyDescent="0.25">
      <c r="A2565" s="1">
        <v>2564</v>
      </c>
      <c r="B2565" s="1">
        <v>10</v>
      </c>
      <c r="C2565" s="3">
        <v>10115271970605</v>
      </c>
      <c r="D2565" s="2">
        <v>44542.4375</v>
      </c>
      <c r="E2565" s="2">
        <v>44542.635416666664</v>
      </c>
      <c r="F2565" s="23">
        <f t="shared" si="120"/>
        <v>0.19791666666424135</v>
      </c>
      <c r="G2565" s="24">
        <f t="shared" si="122"/>
        <v>63.157894737616061</v>
      </c>
      <c r="H2565" s="1" t="s">
        <v>1</v>
      </c>
      <c r="I2565" s="4" t="s">
        <v>2</v>
      </c>
      <c r="J2565" s="14">
        <v>0.4375</v>
      </c>
      <c r="K2565" s="20" t="str">
        <f t="shared" si="121"/>
        <v>1st Shift</v>
      </c>
    </row>
    <row r="2566" spans="1:11" x14ac:dyDescent="0.25">
      <c r="A2566" s="1">
        <v>2565</v>
      </c>
      <c r="B2566" s="1">
        <v>7</v>
      </c>
      <c r="C2566" s="3">
        <v>7115271757100</v>
      </c>
      <c r="D2566" s="2">
        <v>44542.4375</v>
      </c>
      <c r="E2566" s="2">
        <v>44542.635416666664</v>
      </c>
      <c r="F2566" s="23">
        <f t="shared" si="120"/>
        <v>0.19791666666424135</v>
      </c>
      <c r="G2566" s="24">
        <f t="shared" si="122"/>
        <v>63.157894737616061</v>
      </c>
      <c r="H2566" s="1" t="s">
        <v>1</v>
      </c>
      <c r="I2566" s="4" t="s">
        <v>2</v>
      </c>
      <c r="J2566" s="14">
        <v>0.4375</v>
      </c>
      <c r="K2566" s="20" t="str">
        <f t="shared" si="121"/>
        <v>1st Shift</v>
      </c>
    </row>
    <row r="2567" spans="1:11" x14ac:dyDescent="0.25">
      <c r="A2567" s="1">
        <v>2566</v>
      </c>
      <c r="B2567" s="1">
        <v>3</v>
      </c>
      <c r="C2567" s="3">
        <v>3115270333900</v>
      </c>
      <c r="D2567" s="2">
        <v>44542.570138888892</v>
      </c>
      <c r="E2567" s="2">
        <v>44542.635416666664</v>
      </c>
      <c r="F2567" s="23">
        <f t="shared" si="120"/>
        <v>6.5277777772280388E-2</v>
      </c>
      <c r="G2567" s="24">
        <f t="shared" si="122"/>
        <v>191.489361718254</v>
      </c>
      <c r="H2567" s="1" t="s">
        <v>1</v>
      </c>
      <c r="I2567" s="4" t="s">
        <v>2</v>
      </c>
      <c r="J2567" s="14">
        <v>0.57013888888888886</v>
      </c>
      <c r="K2567" s="20" t="str">
        <f t="shared" si="121"/>
        <v>1st Shift</v>
      </c>
    </row>
    <row r="2568" spans="1:11" x14ac:dyDescent="0.25">
      <c r="A2568" s="1">
        <v>2567</v>
      </c>
      <c r="B2568" s="1">
        <v>3</v>
      </c>
      <c r="C2568" s="3">
        <v>3115270332800</v>
      </c>
      <c r="D2568" s="2">
        <v>44542.4375</v>
      </c>
      <c r="E2568" s="2">
        <v>44542.635416666664</v>
      </c>
      <c r="F2568" s="23">
        <f t="shared" si="120"/>
        <v>0.19791666666424135</v>
      </c>
      <c r="G2568" s="24">
        <f t="shared" si="122"/>
        <v>63.157894737616061</v>
      </c>
      <c r="H2568" s="1" t="s">
        <v>1</v>
      </c>
      <c r="I2568" s="4" t="s">
        <v>2</v>
      </c>
      <c r="J2568" s="14">
        <v>0.4375</v>
      </c>
      <c r="K2568" s="20" t="str">
        <f t="shared" si="121"/>
        <v>1st Shift</v>
      </c>
    </row>
    <row r="2569" spans="1:11" x14ac:dyDescent="0.25">
      <c r="A2569" s="1">
        <v>2568</v>
      </c>
      <c r="B2569" s="1">
        <v>15</v>
      </c>
      <c r="C2569" s="3">
        <v>15115271757707</v>
      </c>
      <c r="D2569" s="2">
        <v>44542.652777777781</v>
      </c>
      <c r="E2569" s="2">
        <v>44542.715277777781</v>
      </c>
      <c r="F2569" s="23">
        <f t="shared" si="120"/>
        <v>6.25E-2</v>
      </c>
      <c r="G2569" s="24">
        <f t="shared" si="122"/>
        <v>200</v>
      </c>
      <c r="H2569" s="1" t="s">
        <v>1</v>
      </c>
      <c r="I2569" s="4" t="s">
        <v>2</v>
      </c>
      <c r="J2569" s="14">
        <v>0.65277777777777779</v>
      </c>
      <c r="K2569" s="20" t="str">
        <f t="shared" si="121"/>
        <v>2nd Shift</v>
      </c>
    </row>
    <row r="2570" spans="1:11" x14ac:dyDescent="0.25">
      <c r="A2570" s="1">
        <v>2569</v>
      </c>
      <c r="B2570" s="1">
        <v>3</v>
      </c>
      <c r="C2570" s="3">
        <v>3115270408900</v>
      </c>
      <c r="D2570" s="2">
        <v>44542.652777777781</v>
      </c>
      <c r="E2570" s="2">
        <v>44542.715277777781</v>
      </c>
      <c r="F2570" s="23">
        <f t="shared" si="120"/>
        <v>6.25E-2</v>
      </c>
      <c r="G2570" s="24">
        <f t="shared" si="122"/>
        <v>200</v>
      </c>
      <c r="H2570" s="1" t="s">
        <v>1</v>
      </c>
      <c r="I2570" s="4" t="s">
        <v>2</v>
      </c>
      <c r="J2570" s="14">
        <v>0.65277777777777779</v>
      </c>
      <c r="K2570" s="20" t="str">
        <f t="shared" si="121"/>
        <v>2nd Shift</v>
      </c>
    </row>
    <row r="2571" spans="1:11" x14ac:dyDescent="0.25">
      <c r="A2571" s="1">
        <v>2570</v>
      </c>
      <c r="B2571" s="1">
        <v>27</v>
      </c>
      <c r="C2571" s="3">
        <v>27115270384451</v>
      </c>
      <c r="D2571" s="2">
        <v>44542.729166666664</v>
      </c>
      <c r="E2571" s="2">
        <v>44542.767361111109</v>
      </c>
      <c r="F2571" s="23">
        <f t="shared" si="120"/>
        <v>3.8194444445252884E-2</v>
      </c>
      <c r="G2571" s="24">
        <f t="shared" si="122"/>
        <v>327.27272726580009</v>
      </c>
      <c r="H2571" s="1" t="s">
        <v>1</v>
      </c>
      <c r="I2571" s="4" t="s">
        <v>2</v>
      </c>
      <c r="J2571" s="14">
        <v>0.72916666666666663</v>
      </c>
      <c r="K2571" s="20" t="str">
        <f t="shared" si="121"/>
        <v>2nd Shift</v>
      </c>
    </row>
    <row r="2572" spans="1:11" x14ac:dyDescent="0.25">
      <c r="A2572" s="1">
        <v>2571</v>
      </c>
      <c r="B2572" s="1">
        <v>13</v>
      </c>
      <c r="C2572" s="3">
        <v>13115271590700</v>
      </c>
      <c r="D2572" s="2">
        <v>44543.416666666664</v>
      </c>
      <c r="E2572" s="2">
        <v>44543.614583333336</v>
      </c>
      <c r="F2572" s="23">
        <f t="shared" si="120"/>
        <v>0.19791666667151731</v>
      </c>
      <c r="G2572" s="24">
        <f t="shared" si="122"/>
        <v>63.157894735294192</v>
      </c>
      <c r="H2572" s="1" t="s">
        <v>1</v>
      </c>
      <c r="I2572" s="4" t="s">
        <v>2</v>
      </c>
      <c r="J2572" s="14">
        <v>0.41666666666666669</v>
      </c>
      <c r="K2572" s="20" t="str">
        <f t="shared" si="121"/>
        <v>1st Shift</v>
      </c>
    </row>
    <row r="2573" spans="1:11" x14ac:dyDescent="0.25">
      <c r="A2573" s="1">
        <v>2572</v>
      </c>
      <c r="B2573" s="1">
        <v>7</v>
      </c>
      <c r="C2573" s="3">
        <v>7115271760901</v>
      </c>
      <c r="D2573" s="2">
        <v>44543.416666666664</v>
      </c>
      <c r="E2573" s="2">
        <v>44543.614583333336</v>
      </c>
      <c r="F2573" s="23">
        <f t="shared" si="120"/>
        <v>0.19791666667151731</v>
      </c>
      <c r="G2573" s="24">
        <f t="shared" si="122"/>
        <v>63.157894735294192</v>
      </c>
      <c r="H2573" s="1" t="s">
        <v>1</v>
      </c>
      <c r="I2573" s="4" t="s">
        <v>2</v>
      </c>
      <c r="J2573" s="14">
        <v>0.41666666666666669</v>
      </c>
      <c r="K2573" s="20" t="str">
        <f t="shared" si="121"/>
        <v>1st Shift</v>
      </c>
    </row>
    <row r="2574" spans="1:11" x14ac:dyDescent="0.25">
      <c r="A2574" s="1">
        <v>2573</v>
      </c>
      <c r="B2574" s="1">
        <v>7</v>
      </c>
      <c r="C2574" s="3">
        <v>7115271760308</v>
      </c>
      <c r="D2574" s="2">
        <v>44543.416666666664</v>
      </c>
      <c r="E2574" s="2">
        <v>44543.614583333336</v>
      </c>
      <c r="F2574" s="23">
        <f t="shared" si="120"/>
        <v>0.19791666667151731</v>
      </c>
      <c r="G2574" s="24">
        <f t="shared" si="122"/>
        <v>63.157894735294192</v>
      </c>
      <c r="H2574" s="1" t="s">
        <v>1</v>
      </c>
      <c r="I2574" s="4" t="s">
        <v>2</v>
      </c>
      <c r="J2574" s="14">
        <v>0.41666666666666669</v>
      </c>
      <c r="K2574" s="20" t="str">
        <f t="shared" si="121"/>
        <v>1st Shift</v>
      </c>
    </row>
    <row r="2575" spans="1:11" x14ac:dyDescent="0.25">
      <c r="A2575" s="1">
        <v>2574</v>
      </c>
      <c r="B2575" s="1">
        <v>3</v>
      </c>
      <c r="C2575" s="3">
        <v>3115270309100</v>
      </c>
      <c r="D2575" s="2">
        <v>44543.416666666664</v>
      </c>
      <c r="E2575" s="2">
        <v>44543.614583333336</v>
      </c>
      <c r="F2575" s="23">
        <f t="shared" si="120"/>
        <v>0.19791666667151731</v>
      </c>
      <c r="G2575" s="24">
        <f t="shared" si="122"/>
        <v>63.157894735294192</v>
      </c>
      <c r="H2575" s="1" t="s">
        <v>1</v>
      </c>
      <c r="I2575" s="4" t="s">
        <v>4</v>
      </c>
      <c r="J2575" s="14">
        <v>0.41666666666666669</v>
      </c>
      <c r="K2575" s="20" t="str">
        <f t="shared" si="121"/>
        <v>1st Shift</v>
      </c>
    </row>
    <row r="2576" spans="1:11" x14ac:dyDescent="0.25">
      <c r="A2576" s="1">
        <v>2575</v>
      </c>
      <c r="B2576" s="1">
        <v>1</v>
      </c>
      <c r="C2576" s="3">
        <v>1115270061900</v>
      </c>
      <c r="D2576" s="2">
        <v>44543.416666666664</v>
      </c>
      <c r="E2576" s="2">
        <v>44543.614583333336</v>
      </c>
      <c r="F2576" s="23">
        <f t="shared" si="120"/>
        <v>0.19791666667151731</v>
      </c>
      <c r="G2576" s="24">
        <f t="shared" si="122"/>
        <v>63.157894735294192</v>
      </c>
      <c r="H2576" s="1" t="s">
        <v>1</v>
      </c>
      <c r="I2576" s="4" t="s">
        <v>2</v>
      </c>
      <c r="J2576" s="14">
        <v>0.41666666666666669</v>
      </c>
      <c r="K2576" s="20" t="str">
        <f t="shared" si="121"/>
        <v>1st Shift</v>
      </c>
    </row>
    <row r="2577" spans="1:11" x14ac:dyDescent="0.25">
      <c r="A2577" s="1">
        <v>2576</v>
      </c>
      <c r="B2577" s="1">
        <v>7</v>
      </c>
      <c r="C2577" s="3">
        <v>7115271759901</v>
      </c>
      <c r="D2577" s="2">
        <v>44543.694444444445</v>
      </c>
      <c r="E2577" s="2">
        <v>44543.71875</v>
      </c>
      <c r="F2577" s="23">
        <f t="shared" si="120"/>
        <v>2.4305555554747116E-2</v>
      </c>
      <c r="G2577" s="24">
        <f t="shared" si="122"/>
        <v>514.28571430282022</v>
      </c>
      <c r="H2577" s="1" t="s">
        <v>1</v>
      </c>
      <c r="I2577" s="4" t="s">
        <v>2</v>
      </c>
      <c r="J2577" s="14">
        <v>0.69444444444444442</v>
      </c>
      <c r="K2577" s="20" t="str">
        <f t="shared" si="121"/>
        <v>2nd Shift</v>
      </c>
    </row>
    <row r="2578" spans="1:11" x14ac:dyDescent="0.25">
      <c r="A2578" s="1">
        <v>2577</v>
      </c>
      <c r="B2578" s="1">
        <v>14</v>
      </c>
      <c r="C2578" s="3">
        <v>14115271672411</v>
      </c>
      <c r="D2578" s="2">
        <v>44544.4375</v>
      </c>
      <c r="E2578" s="2">
        <v>44544.5</v>
      </c>
      <c r="F2578" s="23">
        <f t="shared" si="120"/>
        <v>6.25E-2</v>
      </c>
      <c r="G2578" s="24">
        <f t="shared" si="122"/>
        <v>200</v>
      </c>
      <c r="H2578" s="1" t="s">
        <v>1</v>
      </c>
      <c r="I2578" s="4" t="s">
        <v>2</v>
      </c>
      <c r="J2578" s="14">
        <v>0.4375</v>
      </c>
      <c r="K2578" s="20" t="str">
        <f t="shared" si="121"/>
        <v>1st Shift</v>
      </c>
    </row>
    <row r="2579" spans="1:11" x14ac:dyDescent="0.25">
      <c r="A2579" s="1">
        <v>2578</v>
      </c>
      <c r="B2579" s="1">
        <v>12</v>
      </c>
      <c r="C2579" s="3">
        <v>12115271574521</v>
      </c>
      <c r="D2579" s="2">
        <v>44544.4375</v>
      </c>
      <c r="E2579" s="2">
        <v>44544.5</v>
      </c>
      <c r="F2579" s="23">
        <f t="shared" si="120"/>
        <v>6.25E-2</v>
      </c>
      <c r="G2579" s="24">
        <f t="shared" si="122"/>
        <v>200</v>
      </c>
      <c r="H2579" s="1" t="s">
        <v>1</v>
      </c>
      <c r="I2579" s="4" t="s">
        <v>5</v>
      </c>
      <c r="J2579" s="14">
        <v>0.4375</v>
      </c>
      <c r="K2579" s="20" t="str">
        <f t="shared" si="121"/>
        <v>1st Shift</v>
      </c>
    </row>
    <row r="2580" spans="1:11" x14ac:dyDescent="0.25">
      <c r="A2580" s="1">
        <v>2579</v>
      </c>
      <c r="B2580" s="1">
        <v>13</v>
      </c>
      <c r="C2580" s="3">
        <v>13115271642901</v>
      </c>
      <c r="D2580" s="2">
        <v>44544.625</v>
      </c>
      <c r="E2580" s="2">
        <v>44544.833333333336</v>
      </c>
      <c r="F2580" s="23">
        <f t="shared" si="120"/>
        <v>0.20833333333575865</v>
      </c>
      <c r="G2580" s="24">
        <f t="shared" si="122"/>
        <v>59.999999999301515</v>
      </c>
      <c r="H2580" s="1" t="s">
        <v>1</v>
      </c>
      <c r="I2580" s="4" t="s">
        <v>2</v>
      </c>
      <c r="J2580" s="14">
        <v>0.625</v>
      </c>
      <c r="K2580" s="20" t="str">
        <f t="shared" si="121"/>
        <v>2nd Shift</v>
      </c>
    </row>
    <row r="2581" spans="1:11" x14ac:dyDescent="0.25">
      <c r="A2581" s="1">
        <v>2580</v>
      </c>
      <c r="B2581" s="1">
        <v>1</v>
      </c>
      <c r="C2581" s="3">
        <v>1115270052200</v>
      </c>
      <c r="D2581" s="2">
        <v>44544.625</v>
      </c>
      <c r="E2581" s="2">
        <v>44544.833333333336</v>
      </c>
      <c r="F2581" s="23">
        <f t="shared" si="120"/>
        <v>0.20833333333575865</v>
      </c>
      <c r="G2581" s="24">
        <f t="shared" si="122"/>
        <v>59.999999999301515</v>
      </c>
      <c r="H2581" s="1" t="s">
        <v>1</v>
      </c>
      <c r="I2581" s="4" t="s">
        <v>3</v>
      </c>
      <c r="J2581" s="14">
        <v>0.625</v>
      </c>
      <c r="K2581" s="20" t="str">
        <f t="shared" si="121"/>
        <v>2nd Shift</v>
      </c>
    </row>
    <row r="2582" spans="1:11" x14ac:dyDescent="0.25">
      <c r="A2582" s="1">
        <v>2581</v>
      </c>
      <c r="B2582" s="1">
        <v>8</v>
      </c>
      <c r="C2582" s="3">
        <v>8115271877102</v>
      </c>
      <c r="D2582" s="2">
        <v>44545.427083333336</v>
      </c>
      <c r="E2582" s="2">
        <v>44545.569444444445</v>
      </c>
      <c r="F2582" s="23">
        <f t="shared" si="120"/>
        <v>0.14236111110949423</v>
      </c>
      <c r="G2582" s="24">
        <f t="shared" si="122"/>
        <v>87.804878049777741</v>
      </c>
      <c r="H2582" s="1" t="s">
        <v>1</v>
      </c>
      <c r="I2582" s="4" t="s">
        <v>2</v>
      </c>
      <c r="J2582" s="14">
        <v>0.42708333333333331</v>
      </c>
      <c r="K2582" s="20" t="str">
        <f t="shared" si="121"/>
        <v>1st Shift</v>
      </c>
    </row>
    <row r="2583" spans="1:11" x14ac:dyDescent="0.25">
      <c r="A2583" s="1">
        <v>2582</v>
      </c>
      <c r="B2583" s="1">
        <v>6</v>
      </c>
      <c r="C2583" s="3">
        <v>6115271741302</v>
      </c>
      <c r="D2583" s="2">
        <v>44545.427083333336</v>
      </c>
      <c r="E2583" s="2">
        <v>44545.569444444445</v>
      </c>
      <c r="F2583" s="23">
        <f t="shared" si="120"/>
        <v>0.14236111110949423</v>
      </c>
      <c r="G2583" s="24">
        <f t="shared" si="122"/>
        <v>87.804878049777741</v>
      </c>
      <c r="H2583" s="1" t="s">
        <v>1</v>
      </c>
      <c r="I2583" s="4" t="s">
        <v>2</v>
      </c>
      <c r="J2583" s="14">
        <v>0.42708333333333331</v>
      </c>
      <c r="K2583" s="20" t="str">
        <f t="shared" si="121"/>
        <v>1st Shift</v>
      </c>
    </row>
    <row r="2584" spans="1:11" x14ac:dyDescent="0.25">
      <c r="A2584" s="1">
        <v>2583</v>
      </c>
      <c r="B2584" s="1">
        <v>9</v>
      </c>
      <c r="C2584" s="3">
        <v>9115270640503</v>
      </c>
      <c r="D2584" s="2">
        <v>44545.680555555555</v>
      </c>
      <c r="E2584" s="2">
        <v>44545.767361111109</v>
      </c>
      <c r="F2584" s="23">
        <f t="shared" si="120"/>
        <v>8.6805555554747116E-2</v>
      </c>
      <c r="G2584" s="24">
        <f t="shared" si="122"/>
        <v>144.00000000134111</v>
      </c>
      <c r="H2584" s="1" t="s">
        <v>1</v>
      </c>
      <c r="I2584" s="4" t="s">
        <v>5</v>
      </c>
      <c r="J2584" s="14">
        <v>0.68055555555555558</v>
      </c>
      <c r="K2584" s="20" t="str">
        <f t="shared" si="121"/>
        <v>2nd Shift</v>
      </c>
    </row>
    <row r="2585" spans="1:11" x14ac:dyDescent="0.25">
      <c r="A2585" s="1">
        <v>2584</v>
      </c>
      <c r="B2585" s="1">
        <v>5</v>
      </c>
      <c r="C2585" s="3">
        <v>5115271676103</v>
      </c>
      <c r="D2585" s="2">
        <v>44545.680555555555</v>
      </c>
      <c r="E2585" s="2">
        <v>44545.767361111109</v>
      </c>
      <c r="F2585" s="23">
        <f t="shared" si="120"/>
        <v>8.6805555554747116E-2</v>
      </c>
      <c r="G2585" s="24">
        <f t="shared" si="122"/>
        <v>144.00000000134111</v>
      </c>
      <c r="H2585" s="1" t="s">
        <v>1</v>
      </c>
      <c r="I2585" s="4" t="s">
        <v>8</v>
      </c>
      <c r="J2585" s="14">
        <v>0.68055555555555558</v>
      </c>
      <c r="K2585" s="20" t="str">
        <f t="shared" si="121"/>
        <v>2nd Shift</v>
      </c>
    </row>
    <row r="2586" spans="1:11" x14ac:dyDescent="0.25">
      <c r="A2586" s="1">
        <v>2585</v>
      </c>
      <c r="B2586" s="1">
        <v>3</v>
      </c>
      <c r="C2586" s="3">
        <v>3115270408800</v>
      </c>
      <c r="D2586" s="2">
        <v>44545.791666666664</v>
      </c>
      <c r="E2586" s="2">
        <v>44545.819444444445</v>
      </c>
      <c r="F2586" s="23">
        <f t="shared" si="120"/>
        <v>2.7777777781011537E-2</v>
      </c>
      <c r="G2586" s="24">
        <f t="shared" si="122"/>
        <v>449.99999994761311</v>
      </c>
      <c r="H2586" s="1" t="s">
        <v>1</v>
      </c>
      <c r="I2586" s="4" t="s">
        <v>3</v>
      </c>
      <c r="J2586" s="14">
        <v>0.79166666666666663</v>
      </c>
      <c r="K2586" s="20" t="str">
        <f t="shared" si="121"/>
        <v>2nd Shift</v>
      </c>
    </row>
    <row r="2587" spans="1:11" x14ac:dyDescent="0.25">
      <c r="A2587" s="1">
        <v>2586</v>
      </c>
      <c r="B2587" s="1">
        <v>4</v>
      </c>
      <c r="C2587" s="3">
        <v>4115270830100</v>
      </c>
      <c r="D2587" s="2">
        <v>44545.9375</v>
      </c>
      <c r="E2587" s="2">
        <v>44546.000011574077</v>
      </c>
      <c r="F2587" s="23">
        <f t="shared" si="120"/>
        <v>6.2511574076779652E-2</v>
      </c>
      <c r="G2587" s="24">
        <f t="shared" si="122"/>
        <v>199.96296981174899</v>
      </c>
      <c r="H2587" s="1" t="s">
        <v>1</v>
      </c>
      <c r="I2587" s="4" t="s">
        <v>2</v>
      </c>
      <c r="J2587" s="14">
        <v>0.9375</v>
      </c>
      <c r="K2587" s="20" t="str">
        <f t="shared" si="121"/>
        <v>3rd Shift</v>
      </c>
    </row>
    <row r="2588" spans="1:11" x14ac:dyDescent="0.25">
      <c r="A2588" s="1">
        <v>2587</v>
      </c>
      <c r="B2588" s="1">
        <v>14</v>
      </c>
      <c r="C2588" s="3">
        <v>14115271678800</v>
      </c>
      <c r="D2588" s="2">
        <v>44546.46875</v>
      </c>
      <c r="E2588" s="2">
        <v>44546.5625</v>
      </c>
      <c r="F2588" s="23">
        <f t="shared" si="120"/>
        <v>9.375E-2</v>
      </c>
      <c r="G2588" s="24">
        <f t="shared" si="122"/>
        <v>133.33333333333331</v>
      </c>
      <c r="H2588" s="1" t="s">
        <v>1</v>
      </c>
      <c r="I2588" s="4" t="s">
        <v>2</v>
      </c>
      <c r="J2588" s="14">
        <v>0.46875</v>
      </c>
      <c r="K2588" s="20" t="str">
        <f t="shared" si="121"/>
        <v>1st Shift</v>
      </c>
    </row>
    <row r="2589" spans="1:11" x14ac:dyDescent="0.25">
      <c r="A2589" s="1">
        <v>2588</v>
      </c>
      <c r="B2589" s="1">
        <v>3</v>
      </c>
      <c r="C2589" s="3">
        <v>3115270320700</v>
      </c>
      <c r="D2589" s="2">
        <v>44546.46875</v>
      </c>
      <c r="E2589" s="2">
        <v>44546.5625</v>
      </c>
      <c r="F2589" s="23">
        <f t="shared" si="120"/>
        <v>9.375E-2</v>
      </c>
      <c r="G2589" s="24">
        <f t="shared" si="122"/>
        <v>133.33333333333331</v>
      </c>
      <c r="H2589" s="1" t="s">
        <v>1</v>
      </c>
      <c r="I2589" s="4" t="s">
        <v>3</v>
      </c>
      <c r="J2589" s="14">
        <v>0.46875</v>
      </c>
      <c r="K2589" s="20" t="str">
        <f t="shared" si="121"/>
        <v>1st Shift</v>
      </c>
    </row>
    <row r="2590" spans="1:11" x14ac:dyDescent="0.25">
      <c r="A2590" s="1">
        <v>2589</v>
      </c>
      <c r="B2590" s="1">
        <v>13</v>
      </c>
      <c r="C2590" s="3">
        <v>13115271634400</v>
      </c>
      <c r="D2590" s="2">
        <v>44546.46875</v>
      </c>
      <c r="E2590" s="2">
        <v>44546.569444444445</v>
      </c>
      <c r="F2590" s="23">
        <f t="shared" si="120"/>
        <v>0.10069444444525288</v>
      </c>
      <c r="G2590" s="24">
        <f t="shared" si="122"/>
        <v>124.1379310334861</v>
      </c>
      <c r="H2590" s="1" t="s">
        <v>1</v>
      </c>
      <c r="I2590" s="4" t="s">
        <v>2</v>
      </c>
      <c r="J2590" s="14">
        <v>0.46875</v>
      </c>
      <c r="K2590" s="20" t="str">
        <f t="shared" si="121"/>
        <v>1st Shift</v>
      </c>
    </row>
    <row r="2591" spans="1:11" x14ac:dyDescent="0.25">
      <c r="A2591" s="1">
        <v>2590</v>
      </c>
      <c r="B2591" s="1">
        <v>3</v>
      </c>
      <c r="C2591" s="3">
        <v>3115270280903</v>
      </c>
      <c r="D2591" s="2">
        <v>44546.46875</v>
      </c>
      <c r="E2591" s="2">
        <v>44546.569444444445</v>
      </c>
      <c r="F2591" s="23">
        <f t="shared" si="120"/>
        <v>0.10069444444525288</v>
      </c>
      <c r="G2591" s="24">
        <f t="shared" si="122"/>
        <v>124.1379310334861</v>
      </c>
      <c r="H2591" s="1" t="s">
        <v>1</v>
      </c>
      <c r="I2591" s="4" t="s">
        <v>2</v>
      </c>
      <c r="J2591" s="14">
        <v>0.46875</v>
      </c>
      <c r="K2591" s="20" t="str">
        <f t="shared" si="121"/>
        <v>1st Shift</v>
      </c>
    </row>
    <row r="2592" spans="1:11" x14ac:dyDescent="0.25">
      <c r="A2592" s="1">
        <v>2591</v>
      </c>
      <c r="B2592" s="1">
        <v>15</v>
      </c>
      <c r="C2592" s="3">
        <v>15115271775012</v>
      </c>
      <c r="D2592" s="2">
        <v>44546.6875</v>
      </c>
      <c r="E2592" s="2">
        <v>44546.861111111109</v>
      </c>
      <c r="F2592" s="23">
        <f t="shared" si="120"/>
        <v>0.17361111110949423</v>
      </c>
      <c r="G2592" s="24">
        <f t="shared" si="122"/>
        <v>72.000000000670553</v>
      </c>
      <c r="H2592" s="1" t="s">
        <v>1</v>
      </c>
      <c r="I2592" s="4" t="s">
        <v>8</v>
      </c>
      <c r="J2592" s="14">
        <v>0.6875</v>
      </c>
      <c r="K2592" s="20" t="str">
        <f t="shared" si="121"/>
        <v>2nd Shift</v>
      </c>
    </row>
    <row r="2593" spans="1:11" x14ac:dyDescent="0.25">
      <c r="A2593" s="1">
        <v>2592</v>
      </c>
      <c r="B2593" s="1">
        <v>9</v>
      </c>
      <c r="C2593" s="3">
        <v>9115271952900</v>
      </c>
      <c r="D2593" s="2">
        <v>44546.6875</v>
      </c>
      <c r="E2593" s="2">
        <v>44546.861111111109</v>
      </c>
      <c r="F2593" s="23">
        <f t="shared" si="120"/>
        <v>0.17361111110949423</v>
      </c>
      <c r="G2593" s="24">
        <f t="shared" si="122"/>
        <v>72.000000000670553</v>
      </c>
      <c r="H2593" s="1" t="s">
        <v>1</v>
      </c>
      <c r="I2593" s="4" t="s">
        <v>2</v>
      </c>
      <c r="J2593" s="14">
        <v>0.6875</v>
      </c>
      <c r="K2593" s="20" t="str">
        <f t="shared" si="121"/>
        <v>2nd Shift</v>
      </c>
    </row>
    <row r="2594" spans="1:11" x14ac:dyDescent="0.25">
      <c r="A2594" s="1">
        <v>2593</v>
      </c>
      <c r="B2594" s="1">
        <v>7</v>
      </c>
      <c r="C2594" s="3">
        <v>7115271760304</v>
      </c>
      <c r="D2594" s="2">
        <v>44546.6875</v>
      </c>
      <c r="E2594" s="2">
        <v>44546.861111111109</v>
      </c>
      <c r="F2594" s="23">
        <f t="shared" si="120"/>
        <v>0.17361111110949423</v>
      </c>
      <c r="G2594" s="24">
        <f t="shared" si="122"/>
        <v>72.000000000670553</v>
      </c>
      <c r="H2594" s="1" t="s">
        <v>1</v>
      </c>
      <c r="I2594" s="4" t="s">
        <v>2</v>
      </c>
      <c r="J2594" s="14">
        <v>0.6875</v>
      </c>
      <c r="K2594" s="20" t="str">
        <f t="shared" si="121"/>
        <v>2nd Shift</v>
      </c>
    </row>
    <row r="2595" spans="1:11" x14ac:dyDescent="0.25">
      <c r="A2595" s="1">
        <v>2594</v>
      </c>
      <c r="B2595" s="1">
        <v>11</v>
      </c>
      <c r="C2595" s="3">
        <v>11115271560019</v>
      </c>
      <c r="D2595" s="2">
        <v>44547.006944444445</v>
      </c>
      <c r="E2595" s="2">
        <v>44547.09375</v>
      </c>
      <c r="F2595" s="23">
        <f t="shared" si="120"/>
        <v>8.6805555554747116E-2</v>
      </c>
      <c r="G2595" s="24">
        <f t="shared" si="122"/>
        <v>144.00000000134111</v>
      </c>
      <c r="H2595" s="1" t="s">
        <v>1</v>
      </c>
      <c r="I2595" s="4" t="s">
        <v>2</v>
      </c>
      <c r="J2595" s="14">
        <v>6.9444444444444441E-3</v>
      </c>
      <c r="K2595" s="20" t="str">
        <f t="shared" si="121"/>
        <v>3rd Shift</v>
      </c>
    </row>
    <row r="2596" spans="1:11" x14ac:dyDescent="0.25">
      <c r="A2596" s="1">
        <v>2595</v>
      </c>
      <c r="B2596" s="1">
        <v>1</v>
      </c>
      <c r="C2596" s="3">
        <v>1115270040804</v>
      </c>
      <c r="D2596" s="2">
        <v>44547.006944444445</v>
      </c>
      <c r="E2596" s="2">
        <v>44547.09375</v>
      </c>
      <c r="F2596" s="23">
        <f t="shared" si="120"/>
        <v>8.6805555554747116E-2</v>
      </c>
      <c r="G2596" s="24">
        <f t="shared" si="122"/>
        <v>144.00000000134111</v>
      </c>
      <c r="H2596" s="1" t="s">
        <v>1</v>
      </c>
      <c r="I2596" s="4" t="s">
        <v>3</v>
      </c>
      <c r="J2596" s="14">
        <v>6.9444444444444441E-3</v>
      </c>
      <c r="K2596" s="20" t="str">
        <f t="shared" si="121"/>
        <v>3rd Shift</v>
      </c>
    </row>
    <row r="2597" spans="1:11" x14ac:dyDescent="0.25">
      <c r="A2597" s="1">
        <v>2596</v>
      </c>
      <c r="B2597" s="1">
        <v>14</v>
      </c>
      <c r="C2597" s="3">
        <v>14115271672601</v>
      </c>
      <c r="D2597" s="2">
        <v>44547.415277777778</v>
      </c>
      <c r="E2597" s="2">
        <v>44547.541666666664</v>
      </c>
      <c r="F2597" s="23">
        <f t="shared" si="120"/>
        <v>0.12638888888614019</v>
      </c>
      <c r="G2597" s="24">
        <f t="shared" si="122"/>
        <v>98.901098903249789</v>
      </c>
      <c r="H2597" s="1" t="s">
        <v>1</v>
      </c>
      <c r="I2597" s="4" t="s">
        <v>2</v>
      </c>
      <c r="J2597" s="14">
        <v>0.4152777777777778</v>
      </c>
      <c r="K2597" s="20" t="str">
        <f t="shared" si="121"/>
        <v>1st Shift</v>
      </c>
    </row>
    <row r="2598" spans="1:11" x14ac:dyDescent="0.25">
      <c r="A2598" s="1">
        <v>2597</v>
      </c>
      <c r="B2598" s="1">
        <v>12</v>
      </c>
      <c r="C2598" s="3">
        <v>12115271573208</v>
      </c>
      <c r="D2598" s="2">
        <v>44547.415277777778</v>
      </c>
      <c r="E2598" s="2">
        <v>44547.541666666664</v>
      </c>
      <c r="F2598" s="23">
        <f t="shared" si="120"/>
        <v>0.12638888888614019</v>
      </c>
      <c r="G2598" s="24">
        <f t="shared" si="122"/>
        <v>98.901098903249789</v>
      </c>
      <c r="H2598" s="1" t="s">
        <v>1</v>
      </c>
      <c r="I2598" s="4" t="s">
        <v>2</v>
      </c>
      <c r="J2598" s="14">
        <v>0.4152777777777778</v>
      </c>
      <c r="K2598" s="20" t="str">
        <f t="shared" si="121"/>
        <v>1st Shift</v>
      </c>
    </row>
    <row r="2599" spans="1:11" x14ac:dyDescent="0.25">
      <c r="A2599" s="1">
        <v>2598</v>
      </c>
      <c r="B2599" s="1">
        <v>10</v>
      </c>
      <c r="C2599" s="3">
        <v>10115271959501</v>
      </c>
      <c r="D2599" s="2">
        <v>44547.415277777778</v>
      </c>
      <c r="E2599" s="2">
        <v>44547.541666666664</v>
      </c>
      <c r="F2599" s="23">
        <f t="shared" si="120"/>
        <v>0.12638888888614019</v>
      </c>
      <c r="G2599" s="24">
        <f t="shared" si="122"/>
        <v>98.901098903249789</v>
      </c>
      <c r="H2599" s="1" t="s">
        <v>1</v>
      </c>
      <c r="I2599" s="4" t="s">
        <v>2</v>
      </c>
      <c r="J2599" s="14">
        <v>0.4152777777777778</v>
      </c>
      <c r="K2599" s="20" t="str">
        <f t="shared" si="121"/>
        <v>1st Shift</v>
      </c>
    </row>
    <row r="2600" spans="1:11" x14ac:dyDescent="0.25">
      <c r="A2600" s="1">
        <v>2599</v>
      </c>
      <c r="B2600" s="1">
        <v>13</v>
      </c>
      <c r="C2600" s="3">
        <v>13115271644600</v>
      </c>
      <c r="D2600" s="2">
        <v>44547.65625</v>
      </c>
      <c r="E2600" s="2">
        <v>44547.736111111109</v>
      </c>
      <c r="F2600" s="23">
        <f t="shared" si="120"/>
        <v>7.9861111109494232E-2</v>
      </c>
      <c r="G2600" s="24">
        <f t="shared" si="122"/>
        <v>156.52173913360375</v>
      </c>
      <c r="H2600" s="1" t="s">
        <v>1</v>
      </c>
      <c r="I2600" s="4" t="s">
        <v>2</v>
      </c>
      <c r="J2600" s="14">
        <v>0.65625</v>
      </c>
      <c r="K2600" s="20" t="str">
        <f t="shared" si="121"/>
        <v>2nd Shift</v>
      </c>
    </row>
    <row r="2601" spans="1:11" x14ac:dyDescent="0.25">
      <c r="A2601" s="1">
        <v>2600</v>
      </c>
      <c r="B2601" s="1">
        <v>7</v>
      </c>
      <c r="C2601" s="3">
        <v>7115271768104</v>
      </c>
      <c r="D2601" s="2">
        <v>44547.65625</v>
      </c>
      <c r="E2601" s="2">
        <v>44547.736111111109</v>
      </c>
      <c r="F2601" s="23">
        <f t="shared" si="120"/>
        <v>7.9861111109494232E-2</v>
      </c>
      <c r="G2601" s="24">
        <f t="shared" si="122"/>
        <v>156.52173913360375</v>
      </c>
      <c r="H2601" s="1" t="s">
        <v>1</v>
      </c>
      <c r="I2601" s="4" t="s">
        <v>3</v>
      </c>
      <c r="J2601" s="14">
        <v>0.65625</v>
      </c>
      <c r="K2601" s="20" t="str">
        <f t="shared" si="121"/>
        <v>2nd Shift</v>
      </c>
    </row>
    <row r="2602" spans="1:11" x14ac:dyDescent="0.25">
      <c r="A2602" s="1">
        <v>2601</v>
      </c>
      <c r="B2602" s="1">
        <v>3</v>
      </c>
      <c r="C2602" s="3">
        <v>3115270341001</v>
      </c>
      <c r="D2602" s="2">
        <v>44547.65625</v>
      </c>
      <c r="E2602" s="2">
        <v>44547.736111111109</v>
      </c>
      <c r="F2602" s="23">
        <f t="shared" si="120"/>
        <v>7.9861111109494232E-2</v>
      </c>
      <c r="G2602" s="24">
        <f t="shared" si="122"/>
        <v>156.52173913360375</v>
      </c>
      <c r="H2602" s="1" t="s">
        <v>1</v>
      </c>
      <c r="I2602" s="4" t="s">
        <v>2</v>
      </c>
      <c r="J2602" s="14">
        <v>0.65625</v>
      </c>
      <c r="K2602" s="20" t="str">
        <f t="shared" si="121"/>
        <v>2nd Shift</v>
      </c>
    </row>
    <row r="2603" spans="1:11" x14ac:dyDescent="0.25">
      <c r="A2603" s="1">
        <v>2602</v>
      </c>
      <c r="B2603" s="1">
        <v>12</v>
      </c>
      <c r="C2603" s="3">
        <v>12115271584103</v>
      </c>
      <c r="D2603" s="2">
        <v>44547.75</v>
      </c>
      <c r="E2603" s="2">
        <v>44547.902777777781</v>
      </c>
      <c r="F2603" s="23">
        <f t="shared" si="120"/>
        <v>0.15277777778101154</v>
      </c>
      <c r="G2603" s="24">
        <f t="shared" si="122"/>
        <v>81.818181816450021</v>
      </c>
      <c r="H2603" s="1" t="s">
        <v>1</v>
      </c>
      <c r="I2603" s="4" t="s">
        <v>2</v>
      </c>
      <c r="J2603" s="14">
        <v>0.75</v>
      </c>
      <c r="K2603" s="20" t="str">
        <f t="shared" si="121"/>
        <v>2nd Shift</v>
      </c>
    </row>
    <row r="2604" spans="1:11" x14ac:dyDescent="0.25">
      <c r="A2604" s="1">
        <v>2603</v>
      </c>
      <c r="B2604" s="1">
        <v>12</v>
      </c>
      <c r="C2604" s="3">
        <v>12115271574612</v>
      </c>
      <c r="D2604" s="2">
        <v>44547.75</v>
      </c>
      <c r="E2604" s="2">
        <v>44547.902777777781</v>
      </c>
      <c r="F2604" s="23">
        <f t="shared" si="120"/>
        <v>0.15277777778101154</v>
      </c>
      <c r="G2604" s="24">
        <f t="shared" si="122"/>
        <v>81.818181816450021</v>
      </c>
      <c r="H2604" s="1" t="s">
        <v>1</v>
      </c>
      <c r="I2604" s="4" t="s">
        <v>3</v>
      </c>
      <c r="J2604" s="14">
        <v>0.75</v>
      </c>
      <c r="K2604" s="20" t="str">
        <f t="shared" si="121"/>
        <v>2nd Shift</v>
      </c>
    </row>
    <row r="2605" spans="1:11" x14ac:dyDescent="0.25">
      <c r="A2605" s="1">
        <v>2604</v>
      </c>
      <c r="B2605" s="1">
        <v>2</v>
      </c>
      <c r="C2605" s="3">
        <v>2115270274100</v>
      </c>
      <c r="D2605" s="2">
        <v>44547.75</v>
      </c>
      <c r="E2605" s="2">
        <v>44547.902777777781</v>
      </c>
      <c r="F2605" s="23">
        <f t="shared" si="120"/>
        <v>0.15277777778101154</v>
      </c>
      <c r="G2605" s="24">
        <f t="shared" si="122"/>
        <v>81.818181816450021</v>
      </c>
      <c r="H2605" s="1" t="s">
        <v>1</v>
      </c>
      <c r="I2605" s="4" t="s">
        <v>3</v>
      </c>
      <c r="J2605" s="14">
        <v>0.75</v>
      </c>
      <c r="K2605" s="20" t="str">
        <f t="shared" si="121"/>
        <v>2nd Shift</v>
      </c>
    </row>
    <row r="2606" spans="1:11" x14ac:dyDescent="0.25">
      <c r="A2606" s="1">
        <v>2605</v>
      </c>
      <c r="B2606" s="1">
        <v>2</v>
      </c>
      <c r="C2606" s="3">
        <v>2115270265200</v>
      </c>
      <c r="D2606" s="2">
        <v>44547.75</v>
      </c>
      <c r="E2606" s="2">
        <v>44547.902777777781</v>
      </c>
      <c r="F2606" s="23">
        <f t="shared" si="120"/>
        <v>0.15277777778101154</v>
      </c>
      <c r="G2606" s="24">
        <f t="shared" si="122"/>
        <v>81.818181816450021</v>
      </c>
      <c r="H2606" s="1" t="s">
        <v>1</v>
      </c>
      <c r="I2606" s="4" t="s">
        <v>3</v>
      </c>
      <c r="J2606" s="14">
        <v>0.75</v>
      </c>
      <c r="K2606" s="20" t="str">
        <f t="shared" si="121"/>
        <v>2nd Shift</v>
      </c>
    </row>
    <row r="2607" spans="1:11" x14ac:dyDescent="0.25">
      <c r="A2607" s="1">
        <v>2606</v>
      </c>
      <c r="B2607" s="1">
        <v>7</v>
      </c>
      <c r="C2607" s="3">
        <v>7115271756410</v>
      </c>
      <c r="D2607" s="2">
        <v>44548.3125</v>
      </c>
      <c r="E2607" s="2">
        <v>44548.454861111109</v>
      </c>
      <c r="F2607" s="23">
        <f t="shared" si="120"/>
        <v>0.14236111110949423</v>
      </c>
      <c r="G2607" s="24">
        <f t="shared" si="122"/>
        <v>87.804878049777741</v>
      </c>
      <c r="H2607" s="1" t="s">
        <v>1</v>
      </c>
      <c r="I2607" s="4" t="s">
        <v>2</v>
      </c>
      <c r="J2607" s="14">
        <v>0.3125</v>
      </c>
      <c r="K2607" s="20" t="str">
        <f t="shared" si="121"/>
        <v>1st Shift</v>
      </c>
    </row>
    <row r="2608" spans="1:11" x14ac:dyDescent="0.25">
      <c r="A2608" s="1">
        <v>2607</v>
      </c>
      <c r="B2608" s="1">
        <v>1</v>
      </c>
      <c r="C2608" s="3">
        <v>1115270146300</v>
      </c>
      <c r="D2608" s="2">
        <v>44548.3125</v>
      </c>
      <c r="E2608" s="2">
        <v>44548.454861111109</v>
      </c>
      <c r="F2608" s="23">
        <f t="shared" si="120"/>
        <v>0.14236111110949423</v>
      </c>
      <c r="G2608" s="24">
        <f t="shared" si="122"/>
        <v>87.804878049777741</v>
      </c>
      <c r="H2608" s="1" t="s">
        <v>1</v>
      </c>
      <c r="I2608" s="4" t="s">
        <v>2</v>
      </c>
      <c r="J2608" s="14">
        <v>0.3125</v>
      </c>
      <c r="K2608" s="20" t="str">
        <f t="shared" si="121"/>
        <v>1st Shift</v>
      </c>
    </row>
    <row r="2609" spans="1:11" x14ac:dyDescent="0.25">
      <c r="A2609" s="1">
        <v>2608</v>
      </c>
      <c r="B2609" s="1">
        <v>6</v>
      </c>
      <c r="C2609" s="3">
        <v>6115271721114</v>
      </c>
      <c r="D2609" s="2">
        <v>44548.46875</v>
      </c>
      <c r="E2609" s="2">
        <v>44548.5625</v>
      </c>
      <c r="F2609" s="23">
        <f t="shared" si="120"/>
        <v>9.375E-2</v>
      </c>
      <c r="G2609" s="24">
        <f t="shared" si="122"/>
        <v>133.33333333333331</v>
      </c>
      <c r="H2609" s="1" t="s">
        <v>1</v>
      </c>
      <c r="I2609" s="4" t="s">
        <v>2</v>
      </c>
      <c r="J2609" s="14">
        <v>0.46875</v>
      </c>
      <c r="K2609" s="20" t="str">
        <f t="shared" si="121"/>
        <v>1st Shift</v>
      </c>
    </row>
    <row r="2610" spans="1:11" x14ac:dyDescent="0.25">
      <c r="A2610" s="1">
        <v>2609</v>
      </c>
      <c r="B2610" s="1">
        <v>10</v>
      </c>
      <c r="C2610" s="3">
        <v>10115271967801</v>
      </c>
      <c r="D2610" s="2">
        <v>44548.625</v>
      </c>
      <c r="E2610" s="2">
        <v>44548.701388888891</v>
      </c>
      <c r="F2610" s="23">
        <f t="shared" si="120"/>
        <v>7.6388888890505768E-2</v>
      </c>
      <c r="G2610" s="24">
        <f t="shared" si="122"/>
        <v>163.63636363290004</v>
      </c>
      <c r="H2610" s="1" t="s">
        <v>1</v>
      </c>
      <c r="I2610" s="4" t="s">
        <v>2</v>
      </c>
      <c r="J2610" s="14">
        <v>0.625</v>
      </c>
      <c r="K2610" s="20" t="str">
        <f t="shared" si="121"/>
        <v>2nd Shift</v>
      </c>
    </row>
    <row r="2611" spans="1:11" x14ac:dyDescent="0.25">
      <c r="A2611" s="1">
        <v>2610</v>
      </c>
      <c r="B2611" s="1">
        <v>7</v>
      </c>
      <c r="C2611" s="3">
        <v>7115271783707</v>
      </c>
      <c r="D2611" s="2">
        <v>44548.625</v>
      </c>
      <c r="E2611" s="2">
        <v>44548.701388888891</v>
      </c>
      <c r="F2611" s="23">
        <f t="shared" si="120"/>
        <v>7.6388888890505768E-2</v>
      </c>
      <c r="G2611" s="24">
        <f t="shared" si="122"/>
        <v>163.63636363290004</v>
      </c>
      <c r="H2611" s="1" t="s">
        <v>1</v>
      </c>
      <c r="I2611" s="4" t="s">
        <v>2</v>
      </c>
      <c r="J2611" s="14">
        <v>0.625</v>
      </c>
      <c r="K2611" s="20" t="str">
        <f t="shared" si="121"/>
        <v>2nd Shift</v>
      </c>
    </row>
    <row r="2612" spans="1:11" x14ac:dyDescent="0.25">
      <c r="A2612" s="1">
        <v>2611</v>
      </c>
      <c r="B2612" s="1">
        <v>10</v>
      </c>
      <c r="C2612" s="3">
        <v>10115271434200</v>
      </c>
      <c r="D2612" s="2">
        <v>44548.729166666664</v>
      </c>
      <c r="E2612" s="2">
        <v>44548.819444444445</v>
      </c>
      <c r="F2612" s="23">
        <f t="shared" si="120"/>
        <v>9.0277777781011537E-2</v>
      </c>
      <c r="G2612" s="24">
        <f t="shared" si="122"/>
        <v>138.46153845657875</v>
      </c>
      <c r="H2612" s="1" t="s">
        <v>1</v>
      </c>
      <c r="I2612" s="4" t="s">
        <v>2</v>
      </c>
      <c r="J2612" s="14">
        <v>0.72916666666666663</v>
      </c>
      <c r="K2612" s="20" t="str">
        <f t="shared" si="121"/>
        <v>2nd Shift</v>
      </c>
    </row>
    <row r="2613" spans="1:11" x14ac:dyDescent="0.25">
      <c r="A2613" s="1">
        <v>2612</v>
      </c>
      <c r="B2613" s="1">
        <v>4</v>
      </c>
      <c r="C2613" s="3">
        <v>4115270825901</v>
      </c>
      <c r="D2613" s="2">
        <v>44548.729166666664</v>
      </c>
      <c r="E2613" s="2">
        <v>44548.819444444445</v>
      </c>
      <c r="F2613" s="23">
        <f t="shared" si="120"/>
        <v>9.0277777781011537E-2</v>
      </c>
      <c r="G2613" s="24">
        <f t="shared" si="122"/>
        <v>138.46153845657875</v>
      </c>
      <c r="H2613" s="1" t="s">
        <v>1</v>
      </c>
      <c r="I2613" s="4" t="s">
        <v>2</v>
      </c>
      <c r="J2613" s="14">
        <v>0.72916666666666663</v>
      </c>
      <c r="K2613" s="20" t="str">
        <f t="shared" si="121"/>
        <v>2nd Shift</v>
      </c>
    </row>
    <row r="2614" spans="1:11" x14ac:dyDescent="0.25">
      <c r="A2614" s="1">
        <v>2613</v>
      </c>
      <c r="B2614" s="1">
        <v>13</v>
      </c>
      <c r="C2614" s="3">
        <v>13115271639300</v>
      </c>
      <c r="D2614" s="2">
        <v>44549.684027777781</v>
      </c>
      <c r="E2614" s="2">
        <v>44549.774305555555</v>
      </c>
      <c r="F2614" s="23">
        <f t="shared" si="120"/>
        <v>9.0277777773735579E-2</v>
      </c>
      <c r="G2614" s="24">
        <f t="shared" si="122"/>
        <v>138.46153846773811</v>
      </c>
      <c r="H2614" s="1" t="s">
        <v>1</v>
      </c>
      <c r="I2614" s="4" t="s">
        <v>3</v>
      </c>
      <c r="J2614" s="14">
        <v>0.68402777777777779</v>
      </c>
      <c r="K2614" s="20" t="str">
        <f t="shared" si="121"/>
        <v>2nd Shift</v>
      </c>
    </row>
    <row r="2615" spans="1:11" x14ac:dyDescent="0.25">
      <c r="A2615" s="1">
        <v>2614</v>
      </c>
      <c r="B2615" s="1">
        <v>10</v>
      </c>
      <c r="C2615" s="3">
        <v>10115271959701</v>
      </c>
      <c r="D2615" s="2">
        <v>44549.684027777781</v>
      </c>
      <c r="E2615" s="2">
        <v>44549.774305555555</v>
      </c>
      <c r="F2615" s="23">
        <f t="shared" si="120"/>
        <v>9.0277777773735579E-2</v>
      </c>
      <c r="G2615" s="24">
        <f t="shared" si="122"/>
        <v>138.46153846773811</v>
      </c>
      <c r="H2615" s="1" t="s">
        <v>1</v>
      </c>
      <c r="I2615" s="4" t="s">
        <v>2</v>
      </c>
      <c r="J2615" s="14">
        <v>0.68402777777777779</v>
      </c>
      <c r="K2615" s="20" t="str">
        <f t="shared" si="121"/>
        <v>2nd Shift</v>
      </c>
    </row>
    <row r="2616" spans="1:11" x14ac:dyDescent="0.25">
      <c r="A2616" s="1">
        <v>2615</v>
      </c>
      <c r="B2616" s="1">
        <v>7</v>
      </c>
      <c r="C2616" s="3">
        <v>7115271760300</v>
      </c>
      <c r="D2616" s="2">
        <v>44549.684027777781</v>
      </c>
      <c r="E2616" s="2">
        <v>44549.774305555555</v>
      </c>
      <c r="F2616" s="23">
        <f t="shared" si="120"/>
        <v>9.0277777773735579E-2</v>
      </c>
      <c r="G2616" s="24">
        <f t="shared" si="122"/>
        <v>138.46153846773811</v>
      </c>
      <c r="H2616" s="1" t="s">
        <v>1</v>
      </c>
      <c r="I2616" s="4" t="s">
        <v>2</v>
      </c>
      <c r="J2616" s="14">
        <v>0.68402777777777779</v>
      </c>
      <c r="K2616" s="20" t="str">
        <f t="shared" si="121"/>
        <v>2nd Shift</v>
      </c>
    </row>
    <row r="2617" spans="1:11" x14ac:dyDescent="0.25">
      <c r="A2617" s="1">
        <v>2616</v>
      </c>
      <c r="B2617" s="1">
        <v>12</v>
      </c>
      <c r="C2617" s="3">
        <v>12115271560121</v>
      </c>
      <c r="D2617" s="2">
        <v>44550.567361111112</v>
      </c>
      <c r="E2617" s="2">
        <v>44550.618055555555</v>
      </c>
      <c r="F2617" s="23">
        <f t="shared" si="120"/>
        <v>5.0694444442342501E-2</v>
      </c>
      <c r="G2617" s="24">
        <f t="shared" si="122"/>
        <v>246.57534247597715</v>
      </c>
      <c r="H2617" s="1" t="s">
        <v>1</v>
      </c>
      <c r="I2617" s="4" t="s">
        <v>3</v>
      </c>
      <c r="J2617" s="14">
        <v>0.56736111111111109</v>
      </c>
      <c r="K2617" s="20" t="str">
        <f t="shared" si="121"/>
        <v>1st Shift</v>
      </c>
    </row>
    <row r="2618" spans="1:11" x14ac:dyDescent="0.25">
      <c r="A2618" s="1">
        <v>2617</v>
      </c>
      <c r="B2618" s="1">
        <v>4</v>
      </c>
      <c r="C2618" s="3">
        <v>4115270848000</v>
      </c>
      <c r="D2618" s="2">
        <v>44550.484027777777</v>
      </c>
      <c r="E2618" s="2">
        <v>44550.576388888891</v>
      </c>
      <c r="F2618" s="23">
        <f t="shared" si="120"/>
        <v>9.2361111113859806E-2</v>
      </c>
      <c r="G2618" s="24">
        <f t="shared" si="122"/>
        <v>135.33834586063392</v>
      </c>
      <c r="H2618" s="1" t="s">
        <v>1</v>
      </c>
      <c r="I2618" s="4" t="s">
        <v>3</v>
      </c>
      <c r="J2618" s="14">
        <v>0.48402777777777778</v>
      </c>
      <c r="K2618" s="20" t="str">
        <f t="shared" si="121"/>
        <v>1st Shift</v>
      </c>
    </row>
    <row r="2619" spans="1:11" x14ac:dyDescent="0.25">
      <c r="A2619" s="1">
        <v>2618</v>
      </c>
      <c r="B2619" s="1">
        <v>3</v>
      </c>
      <c r="C2619" s="3">
        <v>3115270421800</v>
      </c>
      <c r="D2619" s="2">
        <v>44550.484027777777</v>
      </c>
      <c r="E2619" s="2">
        <v>44550.576388888891</v>
      </c>
      <c r="F2619" s="23">
        <f t="shared" si="120"/>
        <v>9.2361111113859806E-2</v>
      </c>
      <c r="G2619" s="24">
        <f t="shared" si="122"/>
        <v>135.33834586063392</v>
      </c>
      <c r="H2619" s="1" t="s">
        <v>1</v>
      </c>
      <c r="I2619" s="4" t="s">
        <v>3</v>
      </c>
      <c r="J2619" s="14">
        <v>0.48402777777777778</v>
      </c>
      <c r="K2619" s="20" t="str">
        <f t="shared" si="121"/>
        <v>1st Shift</v>
      </c>
    </row>
    <row r="2620" spans="1:11" x14ac:dyDescent="0.25">
      <c r="A2620" s="1">
        <v>2619</v>
      </c>
      <c r="B2620" s="1">
        <v>1</v>
      </c>
      <c r="C2620" s="3">
        <v>1115270027500</v>
      </c>
      <c r="D2620" s="2">
        <v>44550.484027777777</v>
      </c>
      <c r="E2620" s="2">
        <v>44550.576388888891</v>
      </c>
      <c r="F2620" s="23">
        <f t="shared" si="120"/>
        <v>9.2361111113859806E-2</v>
      </c>
      <c r="G2620" s="24">
        <f t="shared" si="122"/>
        <v>135.33834586063392</v>
      </c>
      <c r="H2620" s="1" t="s">
        <v>1</v>
      </c>
      <c r="I2620" s="4" t="s">
        <v>3</v>
      </c>
      <c r="J2620" s="14">
        <v>0.48402777777777778</v>
      </c>
      <c r="K2620" s="20" t="str">
        <f t="shared" si="121"/>
        <v>1st Shift</v>
      </c>
    </row>
    <row r="2621" spans="1:11" x14ac:dyDescent="0.25">
      <c r="A2621" s="1">
        <v>2620</v>
      </c>
      <c r="B2621" s="1">
        <v>11</v>
      </c>
      <c r="C2621" s="3">
        <v>11115271542600</v>
      </c>
      <c r="D2621" s="2">
        <v>44550.715277777781</v>
      </c>
      <c r="E2621" s="2">
        <v>44550.791666666664</v>
      </c>
      <c r="F2621" s="23">
        <f t="shared" si="120"/>
        <v>7.6388888883229811E-2</v>
      </c>
      <c r="G2621" s="24">
        <f t="shared" si="122"/>
        <v>163.63636364848622</v>
      </c>
      <c r="H2621" s="1" t="s">
        <v>1</v>
      </c>
      <c r="I2621" s="4" t="s">
        <v>3</v>
      </c>
      <c r="J2621" s="14">
        <v>0.71527777777777779</v>
      </c>
      <c r="K2621" s="20" t="str">
        <f t="shared" si="121"/>
        <v>2nd Shift</v>
      </c>
    </row>
    <row r="2622" spans="1:11" x14ac:dyDescent="0.25">
      <c r="A2622" s="1">
        <v>2621</v>
      </c>
      <c r="B2622" s="1">
        <v>10</v>
      </c>
      <c r="C2622" s="3">
        <v>10115271433901</v>
      </c>
      <c r="D2622" s="2">
        <v>44550.715277777781</v>
      </c>
      <c r="E2622" s="2">
        <v>44550.791666666664</v>
      </c>
      <c r="F2622" s="23">
        <f t="shared" si="120"/>
        <v>7.6388888883229811E-2</v>
      </c>
      <c r="G2622" s="24">
        <f t="shared" si="122"/>
        <v>163.63636364848622</v>
      </c>
      <c r="H2622" s="1" t="s">
        <v>1</v>
      </c>
      <c r="I2622" s="4" t="s">
        <v>2</v>
      </c>
      <c r="J2622" s="14">
        <v>0.71527777777777779</v>
      </c>
      <c r="K2622" s="20" t="str">
        <f t="shared" si="121"/>
        <v>2nd Shift</v>
      </c>
    </row>
    <row r="2623" spans="1:11" x14ac:dyDescent="0.25">
      <c r="A2623" s="1">
        <v>2622</v>
      </c>
      <c r="B2623" s="1">
        <v>14</v>
      </c>
      <c r="C2623" s="3">
        <v>14115271686301</v>
      </c>
      <c r="D2623" s="2">
        <v>44551.385416666664</v>
      </c>
      <c r="E2623" s="2">
        <v>44551.53125</v>
      </c>
      <c r="F2623" s="23">
        <f t="shared" si="120"/>
        <v>0.14583333333575865</v>
      </c>
      <c r="G2623" s="24">
        <f t="shared" si="122"/>
        <v>85.714285712860217</v>
      </c>
      <c r="H2623" s="1" t="s">
        <v>1</v>
      </c>
      <c r="I2623" s="4" t="s">
        <v>2</v>
      </c>
      <c r="J2623" s="14">
        <v>0.38541666666666669</v>
      </c>
      <c r="K2623" s="20" t="str">
        <f t="shared" si="121"/>
        <v>1st Shift</v>
      </c>
    </row>
    <row r="2624" spans="1:11" x14ac:dyDescent="0.25">
      <c r="A2624" s="1">
        <v>2623</v>
      </c>
      <c r="B2624" s="1">
        <v>14</v>
      </c>
      <c r="C2624" s="3">
        <v>14115271678505</v>
      </c>
      <c r="D2624" s="2">
        <v>44551.385416666664</v>
      </c>
      <c r="E2624" s="2">
        <v>44551.53125</v>
      </c>
      <c r="F2624" s="23">
        <f t="shared" si="120"/>
        <v>0.14583333333575865</v>
      </c>
      <c r="G2624" s="24">
        <f t="shared" si="122"/>
        <v>85.714285712860217</v>
      </c>
      <c r="H2624" s="1" t="s">
        <v>1</v>
      </c>
      <c r="I2624" s="4" t="s">
        <v>2</v>
      </c>
      <c r="J2624" s="14">
        <v>0.38541666666666669</v>
      </c>
      <c r="K2624" s="20" t="str">
        <f t="shared" si="121"/>
        <v>1st Shift</v>
      </c>
    </row>
    <row r="2625" spans="1:11" x14ac:dyDescent="0.25">
      <c r="A2625" s="1">
        <v>2624</v>
      </c>
      <c r="B2625" s="1">
        <v>14</v>
      </c>
      <c r="C2625" s="3">
        <v>14115271672404</v>
      </c>
      <c r="D2625" s="2">
        <v>44551.385416666664</v>
      </c>
      <c r="E2625" s="2">
        <v>44551.53125</v>
      </c>
      <c r="F2625" s="23">
        <f t="shared" si="120"/>
        <v>0.14583333333575865</v>
      </c>
      <c r="G2625" s="24">
        <f t="shared" si="122"/>
        <v>85.714285712860217</v>
      </c>
      <c r="H2625" s="1" t="s">
        <v>1</v>
      </c>
      <c r="I2625" s="4" t="s">
        <v>3</v>
      </c>
      <c r="J2625" s="14">
        <v>0.38541666666666669</v>
      </c>
      <c r="K2625" s="20" t="str">
        <f t="shared" si="121"/>
        <v>1st Shift</v>
      </c>
    </row>
    <row r="2626" spans="1:11" x14ac:dyDescent="0.25">
      <c r="A2626" s="1">
        <v>2625</v>
      </c>
      <c r="B2626" s="1">
        <v>6</v>
      </c>
      <c r="C2626" s="3">
        <v>6115271731100</v>
      </c>
      <c r="D2626" s="2">
        <v>44551.385416666664</v>
      </c>
      <c r="E2626" s="2">
        <v>44551.53125</v>
      </c>
      <c r="F2626" s="23">
        <f t="shared" ref="F2626:F2689" si="123">E2626-D2626</f>
        <v>0.14583333333575865</v>
      </c>
      <c r="G2626" s="24">
        <f t="shared" si="122"/>
        <v>85.714285712860217</v>
      </c>
      <c r="H2626" s="1" t="s">
        <v>1</v>
      </c>
      <c r="I2626" s="4" t="s">
        <v>3</v>
      </c>
      <c r="J2626" s="14">
        <v>0.38541666666666669</v>
      </c>
      <c r="K2626" s="20" t="str">
        <f t="shared" ref="K2626:K2689" si="124">IF(AND(J2626&gt;=$M$3,J2626&lt;$M$4),"1st Shift",IF(AND(J2626&gt;=$M$4,J2626&lt;$M$5),"2nd Shift","3rd Shift"))</f>
        <v>1st Shift</v>
      </c>
    </row>
    <row r="2627" spans="1:11" x14ac:dyDescent="0.25">
      <c r="A2627" s="1">
        <v>2626</v>
      </c>
      <c r="B2627" s="1">
        <v>1</v>
      </c>
      <c r="C2627" s="3">
        <v>1115270156000</v>
      </c>
      <c r="D2627" s="2">
        <v>44551.385416666664</v>
      </c>
      <c r="E2627" s="2">
        <v>44551.53125</v>
      </c>
      <c r="F2627" s="23">
        <f t="shared" si="123"/>
        <v>0.14583333333575865</v>
      </c>
      <c r="G2627" s="24">
        <f t="shared" ref="G2627:G2690" si="125">$M$9/F2627*100</f>
        <v>85.714285712860217</v>
      </c>
      <c r="H2627" s="1" t="s">
        <v>1</v>
      </c>
      <c r="I2627" s="4" t="s">
        <v>3</v>
      </c>
      <c r="J2627" s="14">
        <v>0.38541666666666669</v>
      </c>
      <c r="K2627" s="20" t="str">
        <f t="shared" si="124"/>
        <v>1st Shift</v>
      </c>
    </row>
    <row r="2628" spans="1:11" x14ac:dyDescent="0.25">
      <c r="A2628" s="1">
        <v>2627</v>
      </c>
      <c r="B2628" s="1">
        <v>14</v>
      </c>
      <c r="C2628" s="3">
        <v>14115271672601</v>
      </c>
      <c r="D2628" s="2">
        <v>44551.654166666667</v>
      </c>
      <c r="E2628" s="2">
        <v>44551.75</v>
      </c>
      <c r="F2628" s="23">
        <f t="shared" si="123"/>
        <v>9.5833333332848269E-2</v>
      </c>
      <c r="G2628" s="24">
        <f t="shared" si="125"/>
        <v>130.43478260935586</v>
      </c>
      <c r="H2628" s="1" t="s">
        <v>1</v>
      </c>
      <c r="I2628" s="4" t="s">
        <v>2</v>
      </c>
      <c r="J2628" s="14">
        <v>0.65416666666666667</v>
      </c>
      <c r="K2628" s="20" t="str">
        <f t="shared" si="124"/>
        <v>2nd Shift</v>
      </c>
    </row>
    <row r="2629" spans="1:11" x14ac:dyDescent="0.25">
      <c r="A2629" s="1">
        <v>2628</v>
      </c>
      <c r="B2629" s="1">
        <v>3</v>
      </c>
      <c r="C2629" s="3">
        <v>3115270306603</v>
      </c>
      <c r="D2629" s="2">
        <v>44551.654166666667</v>
      </c>
      <c r="E2629" s="2">
        <v>44551.75</v>
      </c>
      <c r="F2629" s="23">
        <f t="shared" si="123"/>
        <v>9.5833333332848269E-2</v>
      </c>
      <c r="G2629" s="24">
        <f t="shared" si="125"/>
        <v>130.43478260935586</v>
      </c>
      <c r="H2629" s="1" t="s">
        <v>1</v>
      </c>
      <c r="I2629" s="4" t="s">
        <v>2</v>
      </c>
      <c r="J2629" s="14">
        <v>0.65416666666666667</v>
      </c>
      <c r="K2629" s="20" t="str">
        <f t="shared" si="124"/>
        <v>2nd Shift</v>
      </c>
    </row>
    <row r="2630" spans="1:11" x14ac:dyDescent="0.25">
      <c r="A2630" s="1">
        <v>2629</v>
      </c>
      <c r="B2630" s="1">
        <v>13</v>
      </c>
      <c r="C2630" s="3">
        <v>13115271633602</v>
      </c>
      <c r="D2630" s="2">
        <v>44552.445833333331</v>
      </c>
      <c r="E2630" s="2">
        <v>44552.541666666664</v>
      </c>
      <c r="F2630" s="23">
        <f t="shared" si="123"/>
        <v>9.5833333332848269E-2</v>
      </c>
      <c r="G2630" s="24">
        <f t="shared" si="125"/>
        <v>130.43478260935586</v>
      </c>
      <c r="H2630" s="1" t="s">
        <v>1</v>
      </c>
      <c r="I2630" s="4" t="s">
        <v>3</v>
      </c>
      <c r="J2630" s="14">
        <v>0.44583333333333336</v>
      </c>
      <c r="K2630" s="20" t="str">
        <f t="shared" si="124"/>
        <v>1st Shift</v>
      </c>
    </row>
    <row r="2631" spans="1:11" x14ac:dyDescent="0.25">
      <c r="A2631" s="1">
        <v>2630</v>
      </c>
      <c r="B2631" s="1">
        <v>11</v>
      </c>
      <c r="C2631" s="3">
        <v>11115271534102</v>
      </c>
      <c r="D2631" s="2">
        <v>44552.445833333331</v>
      </c>
      <c r="E2631" s="2">
        <v>44552.541666666664</v>
      </c>
      <c r="F2631" s="23">
        <f t="shared" si="123"/>
        <v>9.5833333332848269E-2</v>
      </c>
      <c r="G2631" s="24">
        <f t="shared" si="125"/>
        <v>130.43478260935586</v>
      </c>
      <c r="H2631" s="1" t="s">
        <v>1</v>
      </c>
      <c r="I2631" s="4" t="s">
        <v>3</v>
      </c>
      <c r="J2631" s="14">
        <v>0.44583333333333336</v>
      </c>
      <c r="K2631" s="20" t="str">
        <f t="shared" si="124"/>
        <v>1st Shift</v>
      </c>
    </row>
    <row r="2632" spans="1:11" x14ac:dyDescent="0.25">
      <c r="A2632" s="1">
        <v>2631</v>
      </c>
      <c r="B2632" s="1">
        <v>7</v>
      </c>
      <c r="C2632" s="3">
        <v>7115271757603</v>
      </c>
      <c r="D2632" s="2">
        <v>44552.445833333331</v>
      </c>
      <c r="E2632" s="2">
        <v>44552.541666666664</v>
      </c>
      <c r="F2632" s="23">
        <f t="shared" si="123"/>
        <v>9.5833333332848269E-2</v>
      </c>
      <c r="G2632" s="24">
        <f t="shared" si="125"/>
        <v>130.43478260935586</v>
      </c>
      <c r="H2632" s="1" t="s">
        <v>1</v>
      </c>
      <c r="I2632" s="4" t="s">
        <v>3</v>
      </c>
      <c r="J2632" s="14">
        <v>0.44583333333333336</v>
      </c>
      <c r="K2632" s="20" t="str">
        <f t="shared" si="124"/>
        <v>1st Shift</v>
      </c>
    </row>
    <row r="2633" spans="1:11" x14ac:dyDescent="0.25">
      <c r="A2633" s="1">
        <v>2632</v>
      </c>
      <c r="B2633" s="1">
        <v>1</v>
      </c>
      <c r="C2633" s="3">
        <v>1115270122700</v>
      </c>
      <c r="D2633" s="2">
        <v>44552.445833333331</v>
      </c>
      <c r="E2633" s="2">
        <v>44552.541666666664</v>
      </c>
      <c r="F2633" s="23">
        <f t="shared" si="123"/>
        <v>9.5833333332848269E-2</v>
      </c>
      <c r="G2633" s="24">
        <f t="shared" si="125"/>
        <v>130.43478260935586</v>
      </c>
      <c r="H2633" s="1" t="s">
        <v>1</v>
      </c>
      <c r="I2633" s="4" t="s">
        <v>2</v>
      </c>
      <c r="J2633" s="14">
        <v>0.44583333333333336</v>
      </c>
      <c r="K2633" s="20" t="str">
        <f t="shared" si="124"/>
        <v>1st Shift</v>
      </c>
    </row>
    <row r="2634" spans="1:11" x14ac:dyDescent="0.25">
      <c r="A2634" s="1">
        <v>2633</v>
      </c>
      <c r="B2634" s="1">
        <v>14</v>
      </c>
      <c r="C2634" s="3">
        <v>14115271687622</v>
      </c>
      <c r="D2634" s="2">
        <v>44552.760416666664</v>
      </c>
      <c r="E2634" s="2">
        <v>44552.847222222219</v>
      </c>
      <c r="F2634" s="23">
        <f t="shared" si="123"/>
        <v>8.6805555554747116E-2</v>
      </c>
      <c r="G2634" s="24">
        <f t="shared" si="125"/>
        <v>144.00000000134111</v>
      </c>
      <c r="H2634" s="1" t="s">
        <v>1</v>
      </c>
      <c r="I2634" s="4" t="s">
        <v>3</v>
      </c>
      <c r="J2634" s="14">
        <v>0.76041666666666663</v>
      </c>
      <c r="K2634" s="20" t="str">
        <f t="shared" si="124"/>
        <v>2nd Shift</v>
      </c>
    </row>
    <row r="2635" spans="1:11" x14ac:dyDescent="0.25">
      <c r="A2635" s="1">
        <v>2634</v>
      </c>
      <c r="B2635" s="1">
        <v>6</v>
      </c>
      <c r="C2635" s="3">
        <v>6115271698102</v>
      </c>
      <c r="D2635" s="2">
        <v>44552.760416666664</v>
      </c>
      <c r="E2635" s="2">
        <v>44552.847222222219</v>
      </c>
      <c r="F2635" s="23">
        <f t="shared" si="123"/>
        <v>8.6805555554747116E-2</v>
      </c>
      <c r="G2635" s="24">
        <f t="shared" si="125"/>
        <v>144.00000000134111</v>
      </c>
      <c r="H2635" s="1" t="s">
        <v>1</v>
      </c>
      <c r="I2635" s="4" t="s">
        <v>2</v>
      </c>
      <c r="J2635" s="14">
        <v>0.76041666666666663</v>
      </c>
      <c r="K2635" s="20" t="str">
        <f t="shared" si="124"/>
        <v>2nd Shift</v>
      </c>
    </row>
    <row r="2636" spans="1:11" x14ac:dyDescent="0.25">
      <c r="A2636" s="1">
        <v>2635</v>
      </c>
      <c r="B2636" s="1">
        <v>2</v>
      </c>
      <c r="C2636" s="3">
        <v>2115270221200</v>
      </c>
      <c r="D2636" s="2">
        <v>44552.760416666664</v>
      </c>
      <c r="E2636" s="2">
        <v>44552.847222222219</v>
      </c>
      <c r="F2636" s="23">
        <f t="shared" si="123"/>
        <v>8.6805555554747116E-2</v>
      </c>
      <c r="G2636" s="24">
        <f t="shared" si="125"/>
        <v>144.00000000134111</v>
      </c>
      <c r="H2636" s="1" t="s">
        <v>1</v>
      </c>
      <c r="I2636" s="4" t="s">
        <v>2</v>
      </c>
      <c r="J2636" s="14">
        <v>0.76041666666666663</v>
      </c>
      <c r="K2636" s="20" t="str">
        <f t="shared" si="124"/>
        <v>2nd Shift</v>
      </c>
    </row>
    <row r="2637" spans="1:11" x14ac:dyDescent="0.25">
      <c r="A2637" s="1">
        <v>2636</v>
      </c>
      <c r="B2637" s="1">
        <v>11</v>
      </c>
      <c r="C2637" s="3">
        <v>11115271539403</v>
      </c>
      <c r="D2637" s="2">
        <v>44552.875</v>
      </c>
      <c r="E2637" s="2">
        <v>44552.916666666664</v>
      </c>
      <c r="F2637" s="23">
        <f t="shared" si="123"/>
        <v>4.1666666664241347E-2</v>
      </c>
      <c r="G2637" s="24">
        <f t="shared" si="125"/>
        <v>300.0000000174623</v>
      </c>
      <c r="H2637" s="1" t="s">
        <v>1</v>
      </c>
      <c r="I2637" s="4" t="s">
        <v>3</v>
      </c>
      <c r="J2637" s="14">
        <v>0.875</v>
      </c>
      <c r="K2637" s="20" t="str">
        <f t="shared" si="124"/>
        <v>2nd Shift</v>
      </c>
    </row>
    <row r="2638" spans="1:11" x14ac:dyDescent="0.25">
      <c r="A2638" s="1">
        <v>2637</v>
      </c>
      <c r="B2638" s="1">
        <v>7</v>
      </c>
      <c r="C2638" s="3">
        <v>7115271760310</v>
      </c>
      <c r="D2638" s="2">
        <v>44552.875</v>
      </c>
      <c r="E2638" s="2">
        <v>44552.916666666664</v>
      </c>
      <c r="F2638" s="23">
        <f t="shared" si="123"/>
        <v>4.1666666664241347E-2</v>
      </c>
      <c r="G2638" s="24">
        <f t="shared" si="125"/>
        <v>300.0000000174623</v>
      </c>
      <c r="H2638" s="1" t="s">
        <v>1</v>
      </c>
      <c r="I2638" s="4" t="s">
        <v>3</v>
      </c>
      <c r="J2638" s="14">
        <v>0.875</v>
      </c>
      <c r="K2638" s="20" t="str">
        <f t="shared" si="124"/>
        <v>2nd Shift</v>
      </c>
    </row>
    <row r="2639" spans="1:11" x14ac:dyDescent="0.25">
      <c r="A2639" s="1">
        <v>2638</v>
      </c>
      <c r="B2639" s="1">
        <v>2</v>
      </c>
      <c r="C2639" s="3">
        <v>2115270181800</v>
      </c>
      <c r="D2639" s="2">
        <v>44553.4375</v>
      </c>
      <c r="E2639" s="2">
        <v>44553.486111111109</v>
      </c>
      <c r="F2639" s="23">
        <f t="shared" si="123"/>
        <v>4.8611111109494232E-2</v>
      </c>
      <c r="G2639" s="24">
        <f t="shared" si="125"/>
        <v>257.14285715141011</v>
      </c>
      <c r="H2639" s="1" t="s">
        <v>1</v>
      </c>
      <c r="I2639" s="4" t="s">
        <v>3</v>
      </c>
      <c r="J2639" s="14">
        <v>0.4375</v>
      </c>
      <c r="K2639" s="20" t="str">
        <f t="shared" si="124"/>
        <v>1st Shift</v>
      </c>
    </row>
    <row r="2640" spans="1:11" x14ac:dyDescent="0.25">
      <c r="A2640" s="1">
        <v>2639</v>
      </c>
      <c r="B2640" s="1">
        <v>12</v>
      </c>
      <c r="C2640" s="3">
        <v>12115271560167</v>
      </c>
      <c r="D2640" s="2">
        <v>44553.510416666664</v>
      </c>
      <c r="E2640" s="2">
        <v>44553.5625</v>
      </c>
      <c r="F2640" s="23">
        <f t="shared" si="123"/>
        <v>5.2083333335758653E-2</v>
      </c>
      <c r="G2640" s="24">
        <f t="shared" si="125"/>
        <v>239.99999998882413</v>
      </c>
      <c r="H2640" s="1" t="s">
        <v>1</v>
      </c>
      <c r="I2640" s="4" t="s">
        <v>2</v>
      </c>
      <c r="J2640" s="14">
        <v>0.51041666666666663</v>
      </c>
      <c r="K2640" s="20" t="str">
        <f t="shared" si="124"/>
        <v>1st Shift</v>
      </c>
    </row>
    <row r="2641" spans="1:11" x14ac:dyDescent="0.25">
      <c r="A2641" s="1">
        <v>2640</v>
      </c>
      <c r="B2641" s="1">
        <v>3</v>
      </c>
      <c r="C2641" s="3">
        <v>3115270336700</v>
      </c>
      <c r="D2641" s="2">
        <v>44553.510416666664</v>
      </c>
      <c r="E2641" s="2">
        <v>44553.5625</v>
      </c>
      <c r="F2641" s="23">
        <f t="shared" si="123"/>
        <v>5.2083333335758653E-2</v>
      </c>
      <c r="G2641" s="24">
        <f t="shared" si="125"/>
        <v>239.99999998882413</v>
      </c>
      <c r="H2641" s="1" t="s">
        <v>1</v>
      </c>
      <c r="I2641" s="4" t="s">
        <v>3</v>
      </c>
      <c r="J2641" s="14">
        <v>0.51041666666666663</v>
      </c>
      <c r="K2641" s="20" t="str">
        <f t="shared" si="124"/>
        <v>1st Shift</v>
      </c>
    </row>
    <row r="2642" spans="1:11" x14ac:dyDescent="0.25">
      <c r="A2642" s="1">
        <v>2641</v>
      </c>
      <c r="B2642" s="1">
        <v>13</v>
      </c>
      <c r="C2642" s="3">
        <v>13115271590905</v>
      </c>
      <c r="D2642" s="2">
        <v>44553.697916666664</v>
      </c>
      <c r="E2642" s="2">
        <v>44553.760416666664</v>
      </c>
      <c r="F2642" s="23">
        <f t="shared" si="123"/>
        <v>6.25E-2</v>
      </c>
      <c r="G2642" s="24">
        <f t="shared" si="125"/>
        <v>200</v>
      </c>
      <c r="H2642" s="1" t="s">
        <v>1</v>
      </c>
      <c r="I2642" s="4" t="s">
        <v>3</v>
      </c>
      <c r="J2642" s="14">
        <v>0.69791666666666663</v>
      </c>
      <c r="K2642" s="20" t="str">
        <f t="shared" si="124"/>
        <v>2nd Shift</v>
      </c>
    </row>
    <row r="2643" spans="1:11" x14ac:dyDescent="0.25">
      <c r="A2643" s="1">
        <v>2642</v>
      </c>
      <c r="B2643" s="1">
        <v>3</v>
      </c>
      <c r="C2643" s="3">
        <v>3115270305801</v>
      </c>
      <c r="D2643" s="2">
        <v>44553.697916666664</v>
      </c>
      <c r="E2643" s="2">
        <v>44553.760416666664</v>
      </c>
      <c r="F2643" s="23">
        <f t="shared" si="123"/>
        <v>6.25E-2</v>
      </c>
      <c r="G2643" s="24">
        <f t="shared" si="125"/>
        <v>200</v>
      </c>
      <c r="H2643" s="1" t="s">
        <v>1</v>
      </c>
      <c r="I2643" s="4" t="s">
        <v>2</v>
      </c>
      <c r="J2643" s="14">
        <v>0.69791666666666663</v>
      </c>
      <c r="K2643" s="20" t="str">
        <f t="shared" si="124"/>
        <v>2nd Shift</v>
      </c>
    </row>
    <row r="2644" spans="1:11" x14ac:dyDescent="0.25">
      <c r="A2644" s="1">
        <v>2643</v>
      </c>
      <c r="B2644" s="1">
        <v>2</v>
      </c>
      <c r="C2644" s="3">
        <v>2115270274400</v>
      </c>
      <c r="D2644" s="2">
        <v>44553.888888888891</v>
      </c>
      <c r="E2644" s="2">
        <v>44553.913194444445</v>
      </c>
      <c r="F2644" s="23">
        <f t="shared" si="123"/>
        <v>2.4305555554747116E-2</v>
      </c>
      <c r="G2644" s="24">
        <f t="shared" si="125"/>
        <v>514.28571430282022</v>
      </c>
      <c r="H2644" s="1" t="s">
        <v>1</v>
      </c>
      <c r="I2644" s="4" t="s">
        <v>2</v>
      </c>
      <c r="J2644" s="14">
        <v>0.88888888888888884</v>
      </c>
      <c r="K2644" s="20" t="str">
        <f t="shared" si="124"/>
        <v>2nd Shift</v>
      </c>
    </row>
    <row r="2645" spans="1:11" x14ac:dyDescent="0.25">
      <c r="A2645" s="1">
        <v>2644</v>
      </c>
      <c r="B2645" s="1">
        <v>4</v>
      </c>
      <c r="C2645" s="3">
        <v>4115270847300</v>
      </c>
      <c r="D2645" s="2">
        <v>44553.944444444445</v>
      </c>
      <c r="E2645" s="2">
        <v>44553.979166666664</v>
      </c>
      <c r="F2645" s="23">
        <f t="shared" si="123"/>
        <v>3.4722222218988463E-2</v>
      </c>
      <c r="G2645" s="24">
        <f t="shared" si="125"/>
        <v>360.00000003352761</v>
      </c>
      <c r="H2645" s="1" t="s">
        <v>1</v>
      </c>
      <c r="I2645" s="4" t="s">
        <v>2</v>
      </c>
      <c r="J2645" s="14">
        <v>0.94444444444444442</v>
      </c>
      <c r="K2645" s="20" t="str">
        <f t="shared" si="124"/>
        <v>3rd Shift</v>
      </c>
    </row>
    <row r="2646" spans="1:11" x14ac:dyDescent="0.25">
      <c r="A2646" s="1">
        <v>2645</v>
      </c>
      <c r="B2646" s="1">
        <v>3</v>
      </c>
      <c r="C2646" s="3">
        <v>3115270421100</v>
      </c>
      <c r="D2646" s="2">
        <v>44553.989583333336</v>
      </c>
      <c r="E2646" s="2">
        <v>44554.027777777781</v>
      </c>
      <c r="F2646" s="23">
        <f t="shared" si="123"/>
        <v>3.8194444445252884E-2</v>
      </c>
      <c r="G2646" s="24">
        <f t="shared" si="125"/>
        <v>327.27272726580009</v>
      </c>
      <c r="H2646" s="1" t="s">
        <v>1</v>
      </c>
      <c r="I2646" s="4" t="s">
        <v>2</v>
      </c>
      <c r="J2646" s="14">
        <v>0.98958333333333337</v>
      </c>
      <c r="K2646" s="20" t="str">
        <f t="shared" si="124"/>
        <v>3rd Shift</v>
      </c>
    </row>
    <row r="2647" spans="1:11" x14ac:dyDescent="0.25">
      <c r="A2647" s="1">
        <v>2646</v>
      </c>
      <c r="B2647" s="1">
        <v>9</v>
      </c>
      <c r="C2647" s="3">
        <v>9115271952100</v>
      </c>
      <c r="D2647" s="2">
        <v>44554.381944444445</v>
      </c>
      <c r="E2647" s="2">
        <v>44554.520833333336</v>
      </c>
      <c r="F2647" s="23">
        <f t="shared" si="123"/>
        <v>0.13888888889050577</v>
      </c>
      <c r="G2647" s="24">
        <f t="shared" si="125"/>
        <v>89.999999998952262</v>
      </c>
      <c r="H2647" s="1" t="s">
        <v>1</v>
      </c>
      <c r="I2647" s="4" t="s">
        <v>3</v>
      </c>
      <c r="J2647" s="14">
        <v>0.38194444444444442</v>
      </c>
      <c r="K2647" s="20" t="str">
        <f t="shared" si="124"/>
        <v>1st Shift</v>
      </c>
    </row>
    <row r="2648" spans="1:11" x14ac:dyDescent="0.25">
      <c r="A2648" s="1">
        <v>2647</v>
      </c>
      <c r="B2648" s="1">
        <v>7</v>
      </c>
      <c r="C2648" s="3">
        <v>7115271760002</v>
      </c>
      <c r="D2648" s="2">
        <v>44554.381944444445</v>
      </c>
      <c r="E2648" s="2">
        <v>44554.520833333336</v>
      </c>
      <c r="F2648" s="23">
        <f t="shared" si="123"/>
        <v>0.13888888889050577</v>
      </c>
      <c r="G2648" s="24">
        <f t="shared" si="125"/>
        <v>89.999999998952262</v>
      </c>
      <c r="H2648" s="1" t="s">
        <v>1</v>
      </c>
      <c r="I2648" s="4" t="s">
        <v>2</v>
      </c>
      <c r="J2648" s="14">
        <v>0.38194444444444442</v>
      </c>
      <c r="K2648" s="20" t="str">
        <f t="shared" si="124"/>
        <v>1st Shift</v>
      </c>
    </row>
    <row r="2649" spans="1:11" x14ac:dyDescent="0.25">
      <c r="A2649" s="1">
        <v>2648</v>
      </c>
      <c r="B2649" s="1">
        <v>3</v>
      </c>
      <c r="C2649" s="3">
        <v>3115270421200</v>
      </c>
      <c r="D2649" s="2">
        <v>44554.381944444445</v>
      </c>
      <c r="E2649" s="2">
        <v>44554.520833333336</v>
      </c>
      <c r="F2649" s="23">
        <f t="shared" si="123"/>
        <v>0.13888888889050577</v>
      </c>
      <c r="G2649" s="24">
        <f t="shared" si="125"/>
        <v>89.999999998952262</v>
      </c>
      <c r="H2649" s="1" t="s">
        <v>1</v>
      </c>
      <c r="I2649" s="4" t="s">
        <v>2</v>
      </c>
      <c r="J2649" s="14">
        <v>0.38194444444444442</v>
      </c>
      <c r="K2649" s="20" t="str">
        <f t="shared" si="124"/>
        <v>1st Shift</v>
      </c>
    </row>
    <row r="2650" spans="1:11" x14ac:dyDescent="0.25">
      <c r="A2650" s="1">
        <v>2649</v>
      </c>
      <c r="B2650" s="1">
        <v>13</v>
      </c>
      <c r="C2650" s="3">
        <v>13115271590301</v>
      </c>
      <c r="D2650" s="2">
        <v>44554.53125</v>
      </c>
      <c r="E2650" s="2">
        <v>44554.576388888891</v>
      </c>
      <c r="F2650" s="23">
        <f t="shared" si="123"/>
        <v>4.5138888890505768E-2</v>
      </c>
      <c r="G2650" s="24">
        <f t="shared" si="125"/>
        <v>276.9230769131575</v>
      </c>
      <c r="H2650" s="1" t="s">
        <v>1</v>
      </c>
      <c r="I2650" s="4" t="s">
        <v>3</v>
      </c>
      <c r="J2650" s="14">
        <v>0.53125</v>
      </c>
      <c r="K2650" s="20" t="str">
        <f t="shared" si="124"/>
        <v>1st Shift</v>
      </c>
    </row>
    <row r="2651" spans="1:11" x14ac:dyDescent="0.25">
      <c r="A2651" s="1">
        <v>2650</v>
      </c>
      <c r="B2651" s="1">
        <v>13</v>
      </c>
      <c r="C2651" s="3">
        <v>13115271607500</v>
      </c>
      <c r="D2651" s="2">
        <v>44554.666666666664</v>
      </c>
      <c r="E2651" s="2">
        <v>44554.732638888891</v>
      </c>
      <c r="F2651" s="23">
        <f t="shared" si="123"/>
        <v>6.5972222226264421E-2</v>
      </c>
      <c r="G2651" s="24">
        <f t="shared" si="125"/>
        <v>189.47368419891703</v>
      </c>
      <c r="H2651" s="1" t="s">
        <v>1</v>
      </c>
      <c r="I2651" s="4" t="s">
        <v>3</v>
      </c>
      <c r="J2651" s="14">
        <v>0.66666666666666663</v>
      </c>
      <c r="K2651" s="20" t="str">
        <f t="shared" si="124"/>
        <v>2nd Shift</v>
      </c>
    </row>
    <row r="2652" spans="1:11" x14ac:dyDescent="0.25">
      <c r="A2652" s="1">
        <v>2651</v>
      </c>
      <c r="B2652" s="1">
        <v>7</v>
      </c>
      <c r="C2652" s="3">
        <v>7115271760700</v>
      </c>
      <c r="D2652" s="2">
        <v>44554.666666666664</v>
      </c>
      <c r="E2652" s="2">
        <v>44554.732638888891</v>
      </c>
      <c r="F2652" s="23">
        <f t="shared" si="123"/>
        <v>6.5972222226264421E-2</v>
      </c>
      <c r="G2652" s="24">
        <f t="shared" si="125"/>
        <v>189.47368419891703</v>
      </c>
      <c r="H2652" s="1" t="s">
        <v>1</v>
      </c>
      <c r="I2652" s="4" t="s">
        <v>3</v>
      </c>
      <c r="J2652" s="14">
        <v>0.66666666666666663</v>
      </c>
      <c r="K2652" s="20" t="str">
        <f t="shared" si="124"/>
        <v>2nd Shift</v>
      </c>
    </row>
    <row r="2653" spans="1:11" x14ac:dyDescent="0.25">
      <c r="A2653" s="1">
        <v>2652</v>
      </c>
      <c r="B2653" s="1">
        <v>5</v>
      </c>
      <c r="C2653" s="3">
        <v>5115271258103</v>
      </c>
      <c r="D2653" s="2">
        <v>44554.666666666664</v>
      </c>
      <c r="E2653" s="2">
        <v>44554.732638888891</v>
      </c>
      <c r="F2653" s="23">
        <f t="shared" si="123"/>
        <v>6.5972222226264421E-2</v>
      </c>
      <c r="G2653" s="24">
        <f t="shared" si="125"/>
        <v>189.47368419891703</v>
      </c>
      <c r="H2653" s="1" t="s">
        <v>1</v>
      </c>
      <c r="I2653" s="4" t="s">
        <v>2</v>
      </c>
      <c r="J2653" s="14">
        <v>0.66666666666666663</v>
      </c>
      <c r="K2653" s="20" t="str">
        <f t="shared" si="124"/>
        <v>2nd Shift</v>
      </c>
    </row>
    <row r="2654" spans="1:11" x14ac:dyDescent="0.25">
      <c r="A2654" s="1">
        <v>2653</v>
      </c>
      <c r="B2654" s="1">
        <v>13</v>
      </c>
      <c r="C2654" s="3">
        <v>13115271591107</v>
      </c>
      <c r="D2654" s="2">
        <v>44554.774305555555</v>
      </c>
      <c r="E2654" s="2">
        <v>44554.84375</v>
      </c>
      <c r="F2654" s="23">
        <f t="shared" si="123"/>
        <v>6.9444444445252884E-2</v>
      </c>
      <c r="G2654" s="24">
        <f t="shared" si="125"/>
        <v>179.99999999790452</v>
      </c>
      <c r="H2654" s="1" t="s">
        <v>1</v>
      </c>
      <c r="I2654" s="4" t="s">
        <v>3</v>
      </c>
      <c r="J2654" s="14">
        <v>0.77430555555555558</v>
      </c>
      <c r="K2654" s="20" t="str">
        <f t="shared" si="124"/>
        <v>2nd Shift</v>
      </c>
    </row>
    <row r="2655" spans="1:11" x14ac:dyDescent="0.25">
      <c r="A2655" s="1">
        <v>2654</v>
      </c>
      <c r="B2655" s="1">
        <v>10</v>
      </c>
      <c r="C2655" s="3">
        <v>10115271453603</v>
      </c>
      <c r="D2655" s="2">
        <v>44554.774305555555</v>
      </c>
      <c r="E2655" s="2">
        <v>44554.84375</v>
      </c>
      <c r="F2655" s="23">
        <f t="shared" si="123"/>
        <v>6.9444444445252884E-2</v>
      </c>
      <c r="G2655" s="24">
        <f t="shared" si="125"/>
        <v>179.99999999790452</v>
      </c>
      <c r="H2655" s="1" t="s">
        <v>1</v>
      </c>
      <c r="I2655" s="4" t="s">
        <v>4</v>
      </c>
      <c r="J2655" s="14">
        <v>0.77430555555555558</v>
      </c>
      <c r="K2655" s="20" t="str">
        <f t="shared" si="124"/>
        <v>2nd Shift</v>
      </c>
    </row>
    <row r="2656" spans="1:11" x14ac:dyDescent="0.25">
      <c r="A2656" s="1">
        <v>2655</v>
      </c>
      <c r="B2656" s="1">
        <v>8</v>
      </c>
      <c r="C2656" s="3">
        <v>8115271809802</v>
      </c>
      <c r="D2656" s="2">
        <v>44554.774305555555</v>
      </c>
      <c r="E2656" s="2">
        <v>44554.84375</v>
      </c>
      <c r="F2656" s="23">
        <f t="shared" si="123"/>
        <v>6.9444444445252884E-2</v>
      </c>
      <c r="G2656" s="24">
        <f t="shared" si="125"/>
        <v>179.99999999790452</v>
      </c>
      <c r="H2656" s="1" t="s">
        <v>1</v>
      </c>
      <c r="I2656" s="4" t="s">
        <v>2</v>
      </c>
      <c r="J2656" s="14">
        <v>0.77430555555555558</v>
      </c>
      <c r="K2656" s="20" t="str">
        <f t="shared" si="124"/>
        <v>2nd Shift</v>
      </c>
    </row>
    <row r="2657" spans="1:11" x14ac:dyDescent="0.25">
      <c r="A2657" s="1">
        <v>2656</v>
      </c>
      <c r="B2657" s="1">
        <v>3</v>
      </c>
      <c r="C2657" s="3">
        <v>3115270308800</v>
      </c>
      <c r="D2657" s="2">
        <v>44554.774305555555</v>
      </c>
      <c r="E2657" s="2">
        <v>44554.84375</v>
      </c>
      <c r="F2657" s="23">
        <f t="shared" si="123"/>
        <v>6.9444444445252884E-2</v>
      </c>
      <c r="G2657" s="24">
        <f t="shared" si="125"/>
        <v>179.99999999790452</v>
      </c>
      <c r="H2657" s="1" t="s">
        <v>1</v>
      </c>
      <c r="I2657" s="4" t="s">
        <v>2</v>
      </c>
      <c r="J2657" s="14">
        <v>0.77430555555555558</v>
      </c>
      <c r="K2657" s="20" t="str">
        <f t="shared" si="124"/>
        <v>2nd Shift</v>
      </c>
    </row>
    <row r="2658" spans="1:11" x14ac:dyDescent="0.25">
      <c r="A2658" s="1">
        <v>2657</v>
      </c>
      <c r="B2658" s="1">
        <v>2</v>
      </c>
      <c r="C2658" s="3">
        <v>2115270217500</v>
      </c>
      <c r="D2658" s="2">
        <v>44554.951388888891</v>
      </c>
      <c r="E2658" s="2">
        <v>44554.986111111109</v>
      </c>
      <c r="F2658" s="23">
        <f t="shared" si="123"/>
        <v>3.4722222218988463E-2</v>
      </c>
      <c r="G2658" s="24">
        <f t="shared" si="125"/>
        <v>360.00000003352761</v>
      </c>
      <c r="H2658" s="1" t="s">
        <v>1</v>
      </c>
      <c r="I2658" s="4" t="s">
        <v>3</v>
      </c>
      <c r="J2658" s="14">
        <v>0.95138888888888884</v>
      </c>
      <c r="K2658" s="20" t="str">
        <f t="shared" si="124"/>
        <v>3rd Shift</v>
      </c>
    </row>
    <row r="2659" spans="1:11" x14ac:dyDescent="0.25">
      <c r="A2659" s="1">
        <v>2658</v>
      </c>
      <c r="B2659" s="1">
        <v>14</v>
      </c>
      <c r="C2659" s="3">
        <v>14115271672502</v>
      </c>
      <c r="D2659" s="2">
        <v>44555.375</v>
      </c>
      <c r="E2659" s="2">
        <v>44555.517361111109</v>
      </c>
      <c r="F2659" s="23">
        <f t="shared" si="123"/>
        <v>0.14236111110949423</v>
      </c>
      <c r="G2659" s="24">
        <f t="shared" si="125"/>
        <v>87.804878049777741</v>
      </c>
      <c r="H2659" s="1" t="s">
        <v>1</v>
      </c>
      <c r="I2659" s="4" t="s">
        <v>3</v>
      </c>
      <c r="J2659" s="14">
        <v>0.375</v>
      </c>
      <c r="K2659" s="20" t="str">
        <f t="shared" si="124"/>
        <v>1st Shift</v>
      </c>
    </row>
    <row r="2660" spans="1:11" x14ac:dyDescent="0.25">
      <c r="A2660" s="1">
        <v>2659</v>
      </c>
      <c r="B2660" s="1">
        <v>8</v>
      </c>
      <c r="C2660" s="3">
        <v>8115271813103</v>
      </c>
      <c r="D2660" s="2">
        <v>44555.375</v>
      </c>
      <c r="E2660" s="2">
        <v>44555.524305555555</v>
      </c>
      <c r="F2660" s="23">
        <f t="shared" si="123"/>
        <v>0.14930555555474712</v>
      </c>
      <c r="G2660" s="24">
        <f t="shared" si="125"/>
        <v>83.720930233011458</v>
      </c>
      <c r="H2660" s="1" t="s">
        <v>1</v>
      </c>
      <c r="I2660" s="4" t="s">
        <v>2</v>
      </c>
      <c r="J2660" s="14">
        <v>0.375</v>
      </c>
      <c r="K2660" s="20" t="str">
        <f t="shared" si="124"/>
        <v>1st Shift</v>
      </c>
    </row>
    <row r="2661" spans="1:11" x14ac:dyDescent="0.25">
      <c r="A2661" s="1">
        <v>2660</v>
      </c>
      <c r="B2661" s="1">
        <v>7</v>
      </c>
      <c r="C2661" s="3">
        <v>7115271760900</v>
      </c>
      <c r="D2661" s="2">
        <v>44555.375</v>
      </c>
      <c r="E2661" s="2">
        <v>44555.524305555555</v>
      </c>
      <c r="F2661" s="23">
        <f t="shared" si="123"/>
        <v>0.14930555555474712</v>
      </c>
      <c r="G2661" s="24">
        <f t="shared" si="125"/>
        <v>83.720930233011458</v>
      </c>
      <c r="H2661" s="1" t="s">
        <v>1</v>
      </c>
      <c r="I2661" s="4" t="s">
        <v>2</v>
      </c>
      <c r="J2661" s="14">
        <v>0.375</v>
      </c>
      <c r="K2661" s="20" t="str">
        <f t="shared" si="124"/>
        <v>1st Shift</v>
      </c>
    </row>
    <row r="2662" spans="1:11" x14ac:dyDescent="0.25">
      <c r="A2662" s="1">
        <v>2661</v>
      </c>
      <c r="B2662" s="1">
        <v>6</v>
      </c>
      <c r="C2662" s="3">
        <v>6115271741302</v>
      </c>
      <c r="D2662" s="2">
        <v>44555.375</v>
      </c>
      <c r="E2662" s="2">
        <v>44555.524305555555</v>
      </c>
      <c r="F2662" s="23">
        <f t="shared" si="123"/>
        <v>0.14930555555474712</v>
      </c>
      <c r="G2662" s="24">
        <f t="shared" si="125"/>
        <v>83.720930233011458</v>
      </c>
      <c r="H2662" s="1" t="s">
        <v>1</v>
      </c>
      <c r="I2662" s="4" t="s">
        <v>2</v>
      </c>
      <c r="J2662" s="14">
        <v>0.375</v>
      </c>
      <c r="K2662" s="20" t="str">
        <f t="shared" si="124"/>
        <v>1st Shift</v>
      </c>
    </row>
    <row r="2663" spans="1:11" x14ac:dyDescent="0.25">
      <c r="A2663" s="1">
        <v>2662</v>
      </c>
      <c r="B2663" s="1">
        <v>6</v>
      </c>
      <c r="C2663" s="3">
        <v>6115271723702</v>
      </c>
      <c r="D2663" s="2">
        <v>44555.375</v>
      </c>
      <c r="E2663" s="2">
        <v>44555.524305555555</v>
      </c>
      <c r="F2663" s="23">
        <f t="shared" si="123"/>
        <v>0.14930555555474712</v>
      </c>
      <c r="G2663" s="24">
        <f t="shared" si="125"/>
        <v>83.720930233011458</v>
      </c>
      <c r="H2663" s="1" t="s">
        <v>1</v>
      </c>
      <c r="I2663" s="4" t="s">
        <v>2</v>
      </c>
      <c r="J2663" s="14">
        <v>0.375</v>
      </c>
      <c r="K2663" s="20" t="str">
        <f t="shared" si="124"/>
        <v>1st Shift</v>
      </c>
    </row>
    <row r="2664" spans="1:11" x14ac:dyDescent="0.25">
      <c r="A2664" s="1">
        <v>2663</v>
      </c>
      <c r="B2664" s="1">
        <v>13</v>
      </c>
      <c r="C2664" s="3">
        <v>13115271639301</v>
      </c>
      <c r="D2664" s="2">
        <v>44555.694444444445</v>
      </c>
      <c r="E2664" s="2">
        <v>44555.770833333336</v>
      </c>
      <c r="F2664" s="23">
        <f t="shared" si="123"/>
        <v>7.6388888890505768E-2</v>
      </c>
      <c r="G2664" s="24">
        <f t="shared" si="125"/>
        <v>163.63636363290004</v>
      </c>
      <c r="H2664" s="1" t="s">
        <v>1</v>
      </c>
      <c r="I2664" s="4" t="s">
        <v>2</v>
      </c>
      <c r="J2664" s="14">
        <v>0.69444444444444442</v>
      </c>
      <c r="K2664" s="20" t="str">
        <f t="shared" si="124"/>
        <v>2nd Shift</v>
      </c>
    </row>
    <row r="2665" spans="1:11" x14ac:dyDescent="0.25">
      <c r="A2665" s="1">
        <v>2664</v>
      </c>
      <c r="B2665" s="1">
        <v>8</v>
      </c>
      <c r="C2665" s="3">
        <v>8115270618403</v>
      </c>
      <c r="D2665" s="2">
        <v>44555.694444444445</v>
      </c>
      <c r="E2665" s="2">
        <v>44555.770833333336</v>
      </c>
      <c r="F2665" s="23">
        <f t="shared" si="123"/>
        <v>7.6388888890505768E-2</v>
      </c>
      <c r="G2665" s="24">
        <f t="shared" si="125"/>
        <v>163.63636363290004</v>
      </c>
      <c r="H2665" s="1" t="s">
        <v>1</v>
      </c>
      <c r="I2665" s="4" t="s">
        <v>2</v>
      </c>
      <c r="J2665" s="14">
        <v>0.69444444444444442</v>
      </c>
      <c r="K2665" s="20" t="str">
        <f t="shared" si="124"/>
        <v>2nd Shift</v>
      </c>
    </row>
    <row r="2666" spans="1:11" x14ac:dyDescent="0.25">
      <c r="A2666" s="1">
        <v>2665</v>
      </c>
      <c r="B2666" s="1">
        <v>6</v>
      </c>
      <c r="C2666" s="3">
        <v>6115271722213</v>
      </c>
      <c r="D2666" s="2">
        <v>44555.694444444445</v>
      </c>
      <c r="E2666" s="2">
        <v>44555.770833333336</v>
      </c>
      <c r="F2666" s="23">
        <f t="shared" si="123"/>
        <v>7.6388888890505768E-2</v>
      </c>
      <c r="G2666" s="24">
        <f t="shared" si="125"/>
        <v>163.63636363290004</v>
      </c>
      <c r="H2666" s="1" t="s">
        <v>1</v>
      </c>
      <c r="I2666" s="4" t="s">
        <v>2</v>
      </c>
      <c r="J2666" s="14">
        <v>0.69444444444444442</v>
      </c>
      <c r="K2666" s="20" t="str">
        <f t="shared" si="124"/>
        <v>2nd Shift</v>
      </c>
    </row>
    <row r="2667" spans="1:11" x14ac:dyDescent="0.25">
      <c r="A2667" s="1">
        <v>2666</v>
      </c>
      <c r="B2667" s="1">
        <v>1</v>
      </c>
      <c r="C2667" s="3">
        <v>1115270067700</v>
      </c>
      <c r="D2667" s="2">
        <v>44555.96875</v>
      </c>
      <c r="E2667" s="2">
        <v>44556.006944444445</v>
      </c>
      <c r="F2667" s="23">
        <f t="shared" si="123"/>
        <v>3.8194444445252884E-2</v>
      </c>
      <c r="G2667" s="24">
        <f t="shared" si="125"/>
        <v>327.27272726580009</v>
      </c>
      <c r="H2667" s="1" t="s">
        <v>1</v>
      </c>
      <c r="I2667" s="4" t="s">
        <v>2</v>
      </c>
      <c r="J2667" s="14">
        <v>0.96875</v>
      </c>
      <c r="K2667" s="20" t="str">
        <f t="shared" si="124"/>
        <v>3rd Shift</v>
      </c>
    </row>
    <row r="2668" spans="1:11" x14ac:dyDescent="0.25">
      <c r="A2668" s="1">
        <v>2667</v>
      </c>
      <c r="B2668" s="1">
        <v>10</v>
      </c>
      <c r="C2668" s="3">
        <v>10115271964300</v>
      </c>
      <c r="D2668" s="2">
        <v>44556.642361111109</v>
      </c>
      <c r="E2668" s="2">
        <v>44556.708333333336</v>
      </c>
      <c r="F2668" s="23">
        <f t="shared" si="123"/>
        <v>6.5972222226264421E-2</v>
      </c>
      <c r="G2668" s="24">
        <f t="shared" si="125"/>
        <v>189.47368419891703</v>
      </c>
      <c r="H2668" s="1" t="s">
        <v>1</v>
      </c>
      <c r="I2668" s="4" t="s">
        <v>3</v>
      </c>
      <c r="J2668" s="14">
        <v>0.64236111111111116</v>
      </c>
      <c r="K2668" s="20" t="str">
        <f t="shared" si="124"/>
        <v>2nd Shift</v>
      </c>
    </row>
    <row r="2669" spans="1:11" x14ac:dyDescent="0.25">
      <c r="A2669" s="1">
        <v>2668</v>
      </c>
      <c r="B2669" s="1">
        <v>3</v>
      </c>
      <c r="C2669" s="3">
        <v>3115270310900</v>
      </c>
      <c r="D2669" s="2">
        <v>44556.642361111109</v>
      </c>
      <c r="E2669" s="2">
        <v>44556.708333333336</v>
      </c>
      <c r="F2669" s="23">
        <f t="shared" si="123"/>
        <v>6.5972222226264421E-2</v>
      </c>
      <c r="G2669" s="24">
        <f t="shared" si="125"/>
        <v>189.47368419891703</v>
      </c>
      <c r="H2669" s="1" t="s">
        <v>1</v>
      </c>
      <c r="I2669" s="4" t="s">
        <v>2</v>
      </c>
      <c r="J2669" s="14">
        <v>0.64236111111111116</v>
      </c>
      <c r="K2669" s="20" t="str">
        <f t="shared" si="124"/>
        <v>2nd Shift</v>
      </c>
    </row>
    <row r="2670" spans="1:11" x14ac:dyDescent="0.25">
      <c r="A2670" s="1">
        <v>2669</v>
      </c>
      <c r="B2670" s="1">
        <v>12</v>
      </c>
      <c r="C2670" s="3">
        <v>12115271571018</v>
      </c>
      <c r="D2670" s="2">
        <v>44556.736111111109</v>
      </c>
      <c r="E2670" s="2">
        <v>44556.833333333336</v>
      </c>
      <c r="F2670" s="23">
        <f t="shared" si="123"/>
        <v>9.7222222226264421E-2</v>
      </c>
      <c r="G2670" s="24">
        <f t="shared" si="125"/>
        <v>128.57142856608297</v>
      </c>
      <c r="H2670" s="1" t="s">
        <v>1</v>
      </c>
      <c r="I2670" s="4" t="s">
        <v>3</v>
      </c>
      <c r="J2670" s="14">
        <v>0.73611111111111116</v>
      </c>
      <c r="K2670" s="20" t="str">
        <f t="shared" si="124"/>
        <v>2nd Shift</v>
      </c>
    </row>
    <row r="2671" spans="1:11" x14ac:dyDescent="0.25">
      <c r="A2671" s="1">
        <v>2670</v>
      </c>
      <c r="B2671" s="1">
        <v>8</v>
      </c>
      <c r="C2671" s="3">
        <v>8115271820900</v>
      </c>
      <c r="D2671" s="2">
        <v>44556.736111111109</v>
      </c>
      <c r="E2671" s="2">
        <v>44556.833333333336</v>
      </c>
      <c r="F2671" s="23">
        <f t="shared" si="123"/>
        <v>9.7222222226264421E-2</v>
      </c>
      <c r="G2671" s="24">
        <f t="shared" si="125"/>
        <v>128.57142856608297</v>
      </c>
      <c r="H2671" s="1" t="s">
        <v>1</v>
      </c>
      <c r="I2671" s="4" t="s">
        <v>2</v>
      </c>
      <c r="J2671" s="14">
        <v>0.73611111111111116</v>
      </c>
      <c r="K2671" s="20" t="str">
        <f t="shared" si="124"/>
        <v>2nd Shift</v>
      </c>
    </row>
    <row r="2672" spans="1:11" x14ac:dyDescent="0.25">
      <c r="A2672" s="1">
        <v>2671</v>
      </c>
      <c r="B2672" s="1">
        <v>4</v>
      </c>
      <c r="C2672" s="3">
        <v>4115270847506</v>
      </c>
      <c r="D2672" s="2">
        <v>44556.736111111109</v>
      </c>
      <c r="E2672" s="2">
        <v>44556.833333333336</v>
      </c>
      <c r="F2672" s="23">
        <f t="shared" si="123"/>
        <v>9.7222222226264421E-2</v>
      </c>
      <c r="G2672" s="24">
        <f t="shared" si="125"/>
        <v>128.57142856608297</v>
      </c>
      <c r="H2672" s="1" t="s">
        <v>1</v>
      </c>
      <c r="I2672" s="4" t="s">
        <v>3</v>
      </c>
      <c r="J2672" s="14">
        <v>0.73611111111111116</v>
      </c>
      <c r="K2672" s="20" t="str">
        <f t="shared" si="124"/>
        <v>2nd Shift</v>
      </c>
    </row>
    <row r="2673" spans="1:11" x14ac:dyDescent="0.25">
      <c r="A2673" s="1">
        <v>2672</v>
      </c>
      <c r="B2673" s="1">
        <v>3</v>
      </c>
      <c r="C2673" s="3">
        <v>3115270341004</v>
      </c>
      <c r="D2673" s="2">
        <v>44556.736111111109</v>
      </c>
      <c r="E2673" s="2">
        <v>44556.833333333336</v>
      </c>
      <c r="F2673" s="23">
        <f t="shared" si="123"/>
        <v>9.7222222226264421E-2</v>
      </c>
      <c r="G2673" s="24">
        <f t="shared" si="125"/>
        <v>128.57142856608297</v>
      </c>
      <c r="H2673" s="1" t="s">
        <v>1</v>
      </c>
      <c r="I2673" s="4" t="s">
        <v>3</v>
      </c>
      <c r="J2673" s="14">
        <v>0.73611111111111116</v>
      </c>
      <c r="K2673" s="20" t="str">
        <f t="shared" si="124"/>
        <v>2nd Shift</v>
      </c>
    </row>
    <row r="2674" spans="1:11" x14ac:dyDescent="0.25">
      <c r="A2674" s="1">
        <v>2673</v>
      </c>
      <c r="B2674" s="1">
        <v>13</v>
      </c>
      <c r="C2674" s="3">
        <v>13115271604900</v>
      </c>
      <c r="D2674" s="2">
        <v>44557.40625</v>
      </c>
      <c r="E2674" s="2">
        <v>44557.579861111109</v>
      </c>
      <c r="F2674" s="23">
        <f t="shared" si="123"/>
        <v>0.17361111110949423</v>
      </c>
      <c r="G2674" s="24">
        <f t="shared" si="125"/>
        <v>72.000000000670553</v>
      </c>
      <c r="H2674" s="1" t="s">
        <v>1</v>
      </c>
      <c r="I2674" s="4" t="s">
        <v>2</v>
      </c>
      <c r="J2674" s="14">
        <v>0.40625</v>
      </c>
      <c r="K2674" s="20" t="str">
        <f t="shared" si="124"/>
        <v>1st Shift</v>
      </c>
    </row>
    <row r="2675" spans="1:11" x14ac:dyDescent="0.25">
      <c r="A2675" s="1">
        <v>2674</v>
      </c>
      <c r="B2675" s="1">
        <v>9</v>
      </c>
      <c r="C2675" s="3">
        <v>9115271945600</v>
      </c>
      <c r="D2675" s="2">
        <v>44557.40625</v>
      </c>
      <c r="E2675" s="2">
        <v>44557.579861111109</v>
      </c>
      <c r="F2675" s="23">
        <f t="shared" si="123"/>
        <v>0.17361111110949423</v>
      </c>
      <c r="G2675" s="24">
        <f t="shared" si="125"/>
        <v>72.000000000670553</v>
      </c>
      <c r="H2675" s="1" t="s">
        <v>1</v>
      </c>
      <c r="I2675" s="4" t="s">
        <v>3</v>
      </c>
      <c r="J2675" s="14">
        <v>0.40625</v>
      </c>
      <c r="K2675" s="20" t="str">
        <f t="shared" si="124"/>
        <v>1st Shift</v>
      </c>
    </row>
    <row r="2676" spans="1:11" x14ac:dyDescent="0.25">
      <c r="A2676" s="1">
        <v>2675</v>
      </c>
      <c r="B2676" s="1">
        <v>7</v>
      </c>
      <c r="C2676" s="3">
        <v>7115271771008</v>
      </c>
      <c r="D2676" s="2">
        <v>44557.40625</v>
      </c>
      <c r="E2676" s="2">
        <v>44557.579861111109</v>
      </c>
      <c r="F2676" s="23">
        <f t="shared" si="123"/>
        <v>0.17361111110949423</v>
      </c>
      <c r="G2676" s="24">
        <f t="shared" si="125"/>
        <v>72.000000000670553</v>
      </c>
      <c r="H2676" s="1" t="s">
        <v>1</v>
      </c>
      <c r="I2676" s="4" t="s">
        <v>3</v>
      </c>
      <c r="J2676" s="14">
        <v>0.40625</v>
      </c>
      <c r="K2676" s="20" t="str">
        <f t="shared" si="124"/>
        <v>1st Shift</v>
      </c>
    </row>
    <row r="2677" spans="1:11" x14ac:dyDescent="0.25">
      <c r="A2677" s="1">
        <v>2676</v>
      </c>
      <c r="B2677" s="1">
        <v>6</v>
      </c>
      <c r="C2677" s="3">
        <v>6115271690602</v>
      </c>
      <c r="D2677" s="2">
        <v>44557.40625</v>
      </c>
      <c r="E2677" s="2">
        <v>44557.579861111109</v>
      </c>
      <c r="F2677" s="23">
        <f t="shared" si="123"/>
        <v>0.17361111110949423</v>
      </c>
      <c r="G2677" s="24">
        <f t="shared" si="125"/>
        <v>72.000000000670553</v>
      </c>
      <c r="H2677" s="1" t="s">
        <v>1</v>
      </c>
      <c r="I2677" s="4" t="s">
        <v>3</v>
      </c>
      <c r="J2677" s="14">
        <v>0.40625</v>
      </c>
      <c r="K2677" s="20" t="str">
        <f t="shared" si="124"/>
        <v>1st Shift</v>
      </c>
    </row>
    <row r="2678" spans="1:11" x14ac:dyDescent="0.25">
      <c r="A2678" s="1">
        <v>2677</v>
      </c>
      <c r="B2678" s="1">
        <v>12</v>
      </c>
      <c r="C2678" s="3">
        <v>12115271577320</v>
      </c>
      <c r="D2678" s="2">
        <v>44557.680555555555</v>
      </c>
      <c r="E2678" s="2">
        <v>44557.802083333336</v>
      </c>
      <c r="F2678" s="23">
        <f t="shared" si="123"/>
        <v>0.12152777778101154</v>
      </c>
      <c r="G2678" s="24">
        <f t="shared" si="125"/>
        <v>102.85714285440591</v>
      </c>
      <c r="H2678" s="1" t="s">
        <v>1</v>
      </c>
      <c r="I2678" s="4" t="s">
        <v>2</v>
      </c>
      <c r="J2678" s="14">
        <v>0.68055555555555558</v>
      </c>
      <c r="K2678" s="20" t="str">
        <f t="shared" si="124"/>
        <v>2nd Shift</v>
      </c>
    </row>
    <row r="2679" spans="1:11" x14ac:dyDescent="0.25">
      <c r="A2679" s="1">
        <v>2678</v>
      </c>
      <c r="B2679" s="1">
        <v>3</v>
      </c>
      <c r="C2679" s="3">
        <v>3115270306404</v>
      </c>
      <c r="D2679" s="2">
        <v>44557.680555555555</v>
      </c>
      <c r="E2679" s="2">
        <v>44557.802083333336</v>
      </c>
      <c r="F2679" s="23">
        <f t="shared" si="123"/>
        <v>0.12152777778101154</v>
      </c>
      <c r="G2679" s="24">
        <f t="shared" si="125"/>
        <v>102.85714285440591</v>
      </c>
      <c r="H2679" s="1" t="s">
        <v>1</v>
      </c>
      <c r="I2679" s="4" t="s">
        <v>2</v>
      </c>
      <c r="J2679" s="14">
        <v>0.68055555555555558</v>
      </c>
      <c r="K2679" s="20" t="str">
        <f t="shared" si="124"/>
        <v>2nd Shift</v>
      </c>
    </row>
    <row r="2680" spans="1:11" x14ac:dyDescent="0.25">
      <c r="A2680" s="1">
        <v>2679</v>
      </c>
      <c r="B2680" s="1">
        <v>2</v>
      </c>
      <c r="C2680" s="3">
        <v>2115270218301</v>
      </c>
      <c r="D2680" s="2">
        <v>44557.680555555555</v>
      </c>
      <c r="E2680" s="2">
        <v>44557.802083333336</v>
      </c>
      <c r="F2680" s="23">
        <f t="shared" si="123"/>
        <v>0.12152777778101154</v>
      </c>
      <c r="G2680" s="24">
        <f t="shared" si="125"/>
        <v>102.85714285440591</v>
      </c>
      <c r="H2680" s="1" t="s">
        <v>1</v>
      </c>
      <c r="I2680" s="4" t="s">
        <v>3</v>
      </c>
      <c r="J2680" s="14">
        <v>0.68055555555555558</v>
      </c>
      <c r="K2680" s="20" t="str">
        <f t="shared" si="124"/>
        <v>2nd Shift</v>
      </c>
    </row>
    <row r="2681" spans="1:11" x14ac:dyDescent="0.25">
      <c r="A2681" s="1">
        <v>2680</v>
      </c>
      <c r="B2681" s="1">
        <v>6</v>
      </c>
      <c r="C2681" s="3">
        <v>6115271720824</v>
      </c>
      <c r="D2681" s="2">
        <v>44557.892361111109</v>
      </c>
      <c r="E2681" s="2">
        <v>44557.913194444445</v>
      </c>
      <c r="F2681" s="23">
        <f t="shared" si="123"/>
        <v>2.0833333335758653E-2</v>
      </c>
      <c r="G2681" s="24">
        <f t="shared" si="125"/>
        <v>599.99999993015081</v>
      </c>
      <c r="H2681" s="1" t="s">
        <v>1</v>
      </c>
      <c r="I2681" s="4" t="s">
        <v>3</v>
      </c>
      <c r="J2681" s="14">
        <v>0.89236111111111116</v>
      </c>
      <c r="K2681" s="20" t="str">
        <f t="shared" si="124"/>
        <v>2nd Shift</v>
      </c>
    </row>
    <row r="2682" spans="1:11" x14ac:dyDescent="0.25">
      <c r="A2682" s="1">
        <v>2681</v>
      </c>
      <c r="B2682" s="1">
        <v>4</v>
      </c>
      <c r="C2682" s="3">
        <v>4115270847103</v>
      </c>
      <c r="D2682" s="2">
        <v>44557.9375</v>
      </c>
      <c r="E2682" s="2">
        <v>44557.986111111109</v>
      </c>
      <c r="F2682" s="23">
        <f t="shared" si="123"/>
        <v>4.8611111109494232E-2</v>
      </c>
      <c r="G2682" s="24">
        <f t="shared" si="125"/>
        <v>257.14285715141011</v>
      </c>
      <c r="H2682" s="1" t="s">
        <v>1</v>
      </c>
      <c r="I2682" s="4" t="s">
        <v>3</v>
      </c>
      <c r="J2682" s="14">
        <v>0.9375</v>
      </c>
      <c r="K2682" s="20" t="str">
        <f t="shared" si="124"/>
        <v>3rd Shift</v>
      </c>
    </row>
    <row r="2683" spans="1:11" x14ac:dyDescent="0.25">
      <c r="A2683" s="1">
        <v>2682</v>
      </c>
      <c r="B2683" s="1">
        <v>14</v>
      </c>
      <c r="C2683" s="3">
        <v>14115271675103</v>
      </c>
      <c r="D2683" s="2">
        <v>44558.395833333336</v>
      </c>
      <c r="E2683" s="2">
        <v>44558.527777777781</v>
      </c>
      <c r="F2683" s="23">
        <f t="shared" si="123"/>
        <v>0.13194444444525288</v>
      </c>
      <c r="G2683" s="24">
        <f t="shared" si="125"/>
        <v>94.736842104682694</v>
      </c>
      <c r="H2683" s="1" t="s">
        <v>1</v>
      </c>
      <c r="I2683" s="4" t="s">
        <v>3</v>
      </c>
      <c r="J2683" s="14">
        <v>0.39583333333333331</v>
      </c>
      <c r="K2683" s="20" t="str">
        <f t="shared" si="124"/>
        <v>1st Shift</v>
      </c>
    </row>
    <row r="2684" spans="1:11" x14ac:dyDescent="0.25">
      <c r="A2684" s="1">
        <v>2683</v>
      </c>
      <c r="B2684" s="1">
        <v>6</v>
      </c>
      <c r="C2684" s="3">
        <v>6115271691208</v>
      </c>
      <c r="D2684" s="2">
        <v>44558.395833333336</v>
      </c>
      <c r="E2684" s="2">
        <v>44558.527777777781</v>
      </c>
      <c r="F2684" s="23">
        <f t="shared" si="123"/>
        <v>0.13194444444525288</v>
      </c>
      <c r="G2684" s="24">
        <f t="shared" si="125"/>
        <v>94.736842104682694</v>
      </c>
      <c r="H2684" s="1" t="s">
        <v>1</v>
      </c>
      <c r="I2684" s="4" t="s">
        <v>3</v>
      </c>
      <c r="J2684" s="14">
        <v>0.39583333333333331</v>
      </c>
      <c r="K2684" s="20" t="str">
        <f t="shared" si="124"/>
        <v>1st Shift</v>
      </c>
    </row>
    <row r="2685" spans="1:11" x14ac:dyDescent="0.25">
      <c r="A2685" s="1">
        <v>2684</v>
      </c>
      <c r="B2685" s="1">
        <v>5</v>
      </c>
      <c r="C2685" s="3">
        <v>5115271256501</v>
      </c>
      <c r="D2685" s="2">
        <v>44558.395833333336</v>
      </c>
      <c r="E2685" s="2">
        <v>44558.527777777781</v>
      </c>
      <c r="F2685" s="23">
        <f t="shared" si="123"/>
        <v>0.13194444444525288</v>
      </c>
      <c r="G2685" s="24">
        <f t="shared" si="125"/>
        <v>94.736842104682694</v>
      </c>
      <c r="H2685" s="1" t="s">
        <v>1</v>
      </c>
      <c r="I2685" s="4" t="s">
        <v>3</v>
      </c>
      <c r="J2685" s="14">
        <v>0.39583333333333331</v>
      </c>
      <c r="K2685" s="20" t="str">
        <f t="shared" si="124"/>
        <v>1st Shift</v>
      </c>
    </row>
    <row r="2686" spans="1:11" x14ac:dyDescent="0.25">
      <c r="A2686" s="1">
        <v>2685</v>
      </c>
      <c r="B2686" s="1">
        <v>15</v>
      </c>
      <c r="C2686" s="3">
        <v>15115271743401</v>
      </c>
      <c r="D2686" s="2">
        <v>44558.677083333336</v>
      </c>
      <c r="E2686" s="2">
        <v>44558.708333333336</v>
      </c>
      <c r="F2686" s="23">
        <f t="shared" si="123"/>
        <v>3.125E-2</v>
      </c>
      <c r="G2686" s="24">
        <f t="shared" si="125"/>
        <v>400</v>
      </c>
      <c r="H2686" s="1" t="s">
        <v>1</v>
      </c>
      <c r="I2686" s="4" t="s">
        <v>2</v>
      </c>
      <c r="J2686" s="14">
        <v>0.67708333333333337</v>
      </c>
      <c r="K2686" s="20" t="str">
        <f t="shared" si="124"/>
        <v>2nd Shift</v>
      </c>
    </row>
    <row r="2687" spans="1:11" x14ac:dyDescent="0.25">
      <c r="A2687" s="1">
        <v>2686</v>
      </c>
      <c r="B2687" s="1">
        <v>14</v>
      </c>
      <c r="C2687" s="3">
        <v>14115271729400</v>
      </c>
      <c r="D2687" s="2">
        <v>44558.78125</v>
      </c>
      <c r="E2687" s="2">
        <v>44558.864583333336</v>
      </c>
      <c r="F2687" s="23">
        <f t="shared" si="123"/>
        <v>8.3333333335758653E-2</v>
      </c>
      <c r="G2687" s="24">
        <f t="shared" si="125"/>
        <v>149.99999999563443</v>
      </c>
      <c r="H2687" s="1" t="s">
        <v>1</v>
      </c>
      <c r="I2687" s="4" t="s">
        <v>2</v>
      </c>
      <c r="J2687" s="14">
        <v>0.78125</v>
      </c>
      <c r="K2687" s="20" t="str">
        <f t="shared" si="124"/>
        <v>2nd Shift</v>
      </c>
    </row>
    <row r="2688" spans="1:11" x14ac:dyDescent="0.25">
      <c r="A2688" s="1">
        <v>2687</v>
      </c>
      <c r="B2688" s="1">
        <v>7</v>
      </c>
      <c r="C2688" s="3">
        <v>7115271768300</v>
      </c>
      <c r="D2688" s="2">
        <v>44558.78125</v>
      </c>
      <c r="E2688" s="2">
        <v>44558.864583333336</v>
      </c>
      <c r="F2688" s="23">
        <f t="shared" si="123"/>
        <v>8.3333333335758653E-2</v>
      </c>
      <c r="G2688" s="24">
        <f t="shared" si="125"/>
        <v>149.99999999563443</v>
      </c>
      <c r="H2688" s="1" t="s">
        <v>1</v>
      </c>
      <c r="I2688" s="4" t="s">
        <v>3</v>
      </c>
      <c r="J2688" s="14">
        <v>0.78125</v>
      </c>
      <c r="K2688" s="20" t="str">
        <f t="shared" si="124"/>
        <v>2nd Shift</v>
      </c>
    </row>
    <row r="2689" spans="1:11" x14ac:dyDescent="0.25">
      <c r="A2689" s="1">
        <v>2688</v>
      </c>
      <c r="B2689" s="1">
        <v>7</v>
      </c>
      <c r="C2689" s="3">
        <v>7115271760700</v>
      </c>
      <c r="D2689" s="2">
        <v>44558.78125</v>
      </c>
      <c r="E2689" s="2">
        <v>44558.864583333336</v>
      </c>
      <c r="F2689" s="23">
        <f t="shared" si="123"/>
        <v>8.3333333335758653E-2</v>
      </c>
      <c r="G2689" s="24">
        <f t="shared" si="125"/>
        <v>149.99999999563443</v>
      </c>
      <c r="H2689" s="1" t="s">
        <v>1</v>
      </c>
      <c r="I2689" s="4" t="s">
        <v>2</v>
      </c>
      <c r="J2689" s="14">
        <v>0.78125</v>
      </c>
      <c r="K2689" s="20" t="str">
        <f t="shared" si="124"/>
        <v>2nd Shift</v>
      </c>
    </row>
    <row r="2690" spans="1:11" x14ac:dyDescent="0.25">
      <c r="A2690" s="1">
        <v>2689</v>
      </c>
      <c r="B2690" s="1">
        <v>1</v>
      </c>
      <c r="C2690" s="3">
        <v>1115270127200</v>
      </c>
      <c r="D2690" s="2">
        <v>44558.78125</v>
      </c>
      <c r="E2690" s="2">
        <v>44558.864583333336</v>
      </c>
      <c r="F2690" s="23">
        <f t="shared" ref="F2690:F2753" si="126">E2690-D2690</f>
        <v>8.3333333335758653E-2</v>
      </c>
      <c r="G2690" s="24">
        <f t="shared" si="125"/>
        <v>149.99999999563443</v>
      </c>
      <c r="H2690" s="1" t="s">
        <v>1</v>
      </c>
      <c r="I2690" s="4" t="s">
        <v>2</v>
      </c>
      <c r="J2690" s="14">
        <v>0.78125</v>
      </c>
      <c r="K2690" s="20" t="str">
        <f t="shared" ref="K2690:K2753" si="127">IF(AND(J2690&gt;=$M$3,J2690&lt;$M$4),"1st Shift",IF(AND(J2690&gt;=$M$4,J2690&lt;$M$5),"2nd Shift","3rd Shift"))</f>
        <v>2nd Shift</v>
      </c>
    </row>
    <row r="2691" spans="1:11" x14ac:dyDescent="0.25">
      <c r="A2691" s="1">
        <v>2690</v>
      </c>
      <c r="B2691" s="1">
        <v>14</v>
      </c>
      <c r="C2691" s="3">
        <v>14115271722801</v>
      </c>
      <c r="D2691" s="2">
        <v>44559.427083333336</v>
      </c>
      <c r="E2691" s="2">
        <v>44559.579861111109</v>
      </c>
      <c r="F2691" s="23">
        <f t="shared" si="126"/>
        <v>0.15277777777373558</v>
      </c>
      <c r="G2691" s="24">
        <f t="shared" ref="G2691:G2754" si="128">$M$9/F2691*100</f>
        <v>81.818181820346567</v>
      </c>
      <c r="H2691" s="1" t="s">
        <v>1</v>
      </c>
      <c r="I2691" s="4" t="s">
        <v>2</v>
      </c>
      <c r="J2691" s="14">
        <v>0.42708333333333331</v>
      </c>
      <c r="K2691" s="20" t="str">
        <f t="shared" si="127"/>
        <v>1st Shift</v>
      </c>
    </row>
    <row r="2692" spans="1:11" x14ac:dyDescent="0.25">
      <c r="A2692" s="1">
        <v>2691</v>
      </c>
      <c r="B2692" s="1">
        <v>14</v>
      </c>
      <c r="C2692" s="3">
        <v>14115271691526</v>
      </c>
      <c r="D2692" s="2">
        <v>44559.427083333336</v>
      </c>
      <c r="E2692" s="2">
        <v>44559.579861111109</v>
      </c>
      <c r="F2692" s="23">
        <f t="shared" si="126"/>
        <v>0.15277777777373558</v>
      </c>
      <c r="G2692" s="24">
        <f t="shared" si="128"/>
        <v>81.818181820346567</v>
      </c>
      <c r="H2692" s="1" t="s">
        <v>1</v>
      </c>
      <c r="I2692" s="4" t="s">
        <v>2</v>
      </c>
      <c r="J2692" s="14">
        <v>0.42708333333333331</v>
      </c>
      <c r="K2692" s="20" t="str">
        <f t="shared" si="127"/>
        <v>1st Shift</v>
      </c>
    </row>
    <row r="2693" spans="1:11" x14ac:dyDescent="0.25">
      <c r="A2693" s="1">
        <v>2692</v>
      </c>
      <c r="B2693" s="1">
        <v>13</v>
      </c>
      <c r="C2693" s="3">
        <v>13115271669402</v>
      </c>
      <c r="D2693" s="2">
        <v>44559.427083333336</v>
      </c>
      <c r="E2693" s="2">
        <v>44559.579861111109</v>
      </c>
      <c r="F2693" s="23">
        <f t="shared" si="126"/>
        <v>0.15277777777373558</v>
      </c>
      <c r="G2693" s="24">
        <f t="shared" si="128"/>
        <v>81.818181820346567</v>
      </c>
      <c r="H2693" s="1" t="s">
        <v>1</v>
      </c>
      <c r="I2693" s="4" t="s">
        <v>2</v>
      </c>
      <c r="J2693" s="14">
        <v>0.42708333333333331</v>
      </c>
      <c r="K2693" s="20" t="str">
        <f t="shared" si="127"/>
        <v>1st Shift</v>
      </c>
    </row>
    <row r="2694" spans="1:11" x14ac:dyDescent="0.25">
      <c r="A2694" s="1">
        <v>2693</v>
      </c>
      <c r="B2694" s="1">
        <v>12</v>
      </c>
      <c r="C2694" s="3">
        <v>12115271568404</v>
      </c>
      <c r="D2694" s="2">
        <v>44559.427083333336</v>
      </c>
      <c r="E2694" s="2">
        <v>44559.579861111109</v>
      </c>
      <c r="F2694" s="23">
        <f t="shared" si="126"/>
        <v>0.15277777777373558</v>
      </c>
      <c r="G2694" s="24">
        <f t="shared" si="128"/>
        <v>81.818181820346567</v>
      </c>
      <c r="H2694" s="1" t="s">
        <v>1</v>
      </c>
      <c r="I2694" s="4" t="s">
        <v>2</v>
      </c>
      <c r="J2694" s="14">
        <v>0.42708333333333331</v>
      </c>
      <c r="K2694" s="20" t="str">
        <f t="shared" si="127"/>
        <v>1st Shift</v>
      </c>
    </row>
    <row r="2695" spans="1:11" x14ac:dyDescent="0.25">
      <c r="A2695" s="1">
        <v>2694</v>
      </c>
      <c r="B2695" s="1">
        <v>8</v>
      </c>
      <c r="C2695" s="3">
        <v>8115271810102</v>
      </c>
      <c r="D2695" s="2">
        <v>44559.427083333336</v>
      </c>
      <c r="E2695" s="2">
        <v>44559.579861111109</v>
      </c>
      <c r="F2695" s="23">
        <f t="shared" si="126"/>
        <v>0.15277777777373558</v>
      </c>
      <c r="G2695" s="24">
        <f t="shared" si="128"/>
        <v>81.818181820346567</v>
      </c>
      <c r="H2695" s="1" t="s">
        <v>1</v>
      </c>
      <c r="I2695" s="4" t="s">
        <v>2</v>
      </c>
      <c r="J2695" s="14">
        <v>0.42708333333333331</v>
      </c>
      <c r="K2695" s="20" t="str">
        <f t="shared" si="127"/>
        <v>1st Shift</v>
      </c>
    </row>
    <row r="2696" spans="1:11" x14ac:dyDescent="0.25">
      <c r="A2696" s="1">
        <v>2695</v>
      </c>
      <c r="B2696" s="1">
        <v>14</v>
      </c>
      <c r="C2696" s="3">
        <v>14115271672410</v>
      </c>
      <c r="D2696" s="2">
        <v>44559.680555555555</v>
      </c>
      <c r="E2696" s="2">
        <v>44559.767361111109</v>
      </c>
      <c r="F2696" s="23">
        <f t="shared" si="126"/>
        <v>8.6805555554747116E-2</v>
      </c>
      <c r="G2696" s="24">
        <f t="shared" si="128"/>
        <v>144.00000000134111</v>
      </c>
      <c r="H2696" s="1" t="s">
        <v>1</v>
      </c>
      <c r="I2696" s="4" t="s">
        <v>2</v>
      </c>
      <c r="J2696" s="14">
        <v>0.68055555555555558</v>
      </c>
      <c r="K2696" s="20" t="str">
        <f t="shared" si="127"/>
        <v>2nd Shift</v>
      </c>
    </row>
    <row r="2697" spans="1:11" x14ac:dyDescent="0.25">
      <c r="A2697" s="1">
        <v>2696</v>
      </c>
      <c r="B2697" s="1">
        <v>11</v>
      </c>
      <c r="C2697" s="3">
        <v>11115271542604</v>
      </c>
      <c r="D2697" s="2">
        <v>44559.680555555555</v>
      </c>
      <c r="E2697" s="2">
        <v>44559.767361111109</v>
      </c>
      <c r="F2697" s="23">
        <f t="shared" si="126"/>
        <v>8.6805555554747116E-2</v>
      </c>
      <c r="G2697" s="24">
        <f t="shared" si="128"/>
        <v>144.00000000134111</v>
      </c>
      <c r="H2697" s="1" t="s">
        <v>1</v>
      </c>
      <c r="I2697" s="4" t="s">
        <v>2</v>
      </c>
      <c r="J2697" s="14">
        <v>0.68055555555555558</v>
      </c>
      <c r="K2697" s="20" t="str">
        <f t="shared" si="127"/>
        <v>2nd Shift</v>
      </c>
    </row>
    <row r="2698" spans="1:11" x14ac:dyDescent="0.25">
      <c r="A2698" s="1">
        <v>2697</v>
      </c>
      <c r="B2698" s="1">
        <v>13</v>
      </c>
      <c r="C2698" s="3">
        <v>13115271590508</v>
      </c>
      <c r="D2698" s="2">
        <v>44559.791666666664</v>
      </c>
      <c r="E2698" s="2">
        <v>44559.90625</v>
      </c>
      <c r="F2698" s="23">
        <f t="shared" si="126"/>
        <v>0.11458333333575865</v>
      </c>
      <c r="G2698" s="24">
        <f t="shared" si="128"/>
        <v>109.09090908860001</v>
      </c>
      <c r="H2698" s="1" t="s">
        <v>1</v>
      </c>
      <c r="I2698" s="4" t="s">
        <v>3</v>
      </c>
      <c r="J2698" s="14">
        <v>0.79166666666666663</v>
      </c>
      <c r="K2698" s="20" t="str">
        <f t="shared" si="127"/>
        <v>2nd Shift</v>
      </c>
    </row>
    <row r="2699" spans="1:11" x14ac:dyDescent="0.25">
      <c r="A2699" s="1">
        <v>2698</v>
      </c>
      <c r="B2699" s="1">
        <v>8</v>
      </c>
      <c r="C2699" s="3">
        <v>8115271839102</v>
      </c>
      <c r="D2699" s="2">
        <v>44559.791666666664</v>
      </c>
      <c r="E2699" s="2">
        <v>44559.90625</v>
      </c>
      <c r="F2699" s="23">
        <f t="shared" si="126"/>
        <v>0.11458333333575865</v>
      </c>
      <c r="G2699" s="24">
        <f t="shared" si="128"/>
        <v>109.09090908860001</v>
      </c>
      <c r="H2699" s="1" t="s">
        <v>1</v>
      </c>
      <c r="I2699" s="4" t="s">
        <v>3</v>
      </c>
      <c r="J2699" s="14">
        <v>0.79166666666666663</v>
      </c>
      <c r="K2699" s="20" t="str">
        <f t="shared" si="127"/>
        <v>2nd Shift</v>
      </c>
    </row>
    <row r="2700" spans="1:11" x14ac:dyDescent="0.25">
      <c r="A2700" s="1">
        <v>2699</v>
      </c>
      <c r="B2700" s="1">
        <v>7</v>
      </c>
      <c r="C2700" s="3">
        <v>7115271804520</v>
      </c>
      <c r="D2700" s="2">
        <v>44559.791666666664</v>
      </c>
      <c r="E2700" s="2">
        <v>44559.90625</v>
      </c>
      <c r="F2700" s="23">
        <f t="shared" si="126"/>
        <v>0.11458333333575865</v>
      </c>
      <c r="G2700" s="24">
        <f t="shared" si="128"/>
        <v>109.09090908860001</v>
      </c>
      <c r="H2700" s="1" t="s">
        <v>1</v>
      </c>
      <c r="I2700" s="4" t="s">
        <v>3</v>
      </c>
      <c r="J2700" s="14">
        <v>0.79166666666666663</v>
      </c>
      <c r="K2700" s="20" t="str">
        <f t="shared" si="127"/>
        <v>2nd Shift</v>
      </c>
    </row>
    <row r="2701" spans="1:11" x14ac:dyDescent="0.25">
      <c r="A2701" s="1">
        <v>2700</v>
      </c>
      <c r="B2701" s="1">
        <v>6</v>
      </c>
      <c r="C2701" s="3">
        <v>6115271745103</v>
      </c>
      <c r="D2701" s="2">
        <v>44559.791666666664</v>
      </c>
      <c r="E2701" s="2">
        <v>44559.90625</v>
      </c>
      <c r="F2701" s="23">
        <f t="shared" si="126"/>
        <v>0.11458333333575865</v>
      </c>
      <c r="G2701" s="24">
        <f t="shared" si="128"/>
        <v>109.09090908860001</v>
      </c>
      <c r="H2701" s="1" t="s">
        <v>1</v>
      </c>
      <c r="I2701" s="4" t="s">
        <v>2</v>
      </c>
      <c r="J2701" s="14">
        <v>0.79166666666666663</v>
      </c>
      <c r="K2701" s="20" t="str">
        <f t="shared" si="127"/>
        <v>2nd Shift</v>
      </c>
    </row>
    <row r="2702" spans="1:11" x14ac:dyDescent="0.25">
      <c r="A2702" s="1">
        <v>2701</v>
      </c>
      <c r="B2702" s="1">
        <v>6</v>
      </c>
      <c r="C2702" s="3">
        <v>6115271712900</v>
      </c>
      <c r="D2702" s="2">
        <v>44559.791666666664</v>
      </c>
      <c r="E2702" s="2">
        <v>44559.90625</v>
      </c>
      <c r="F2702" s="23">
        <f t="shared" si="126"/>
        <v>0.11458333333575865</v>
      </c>
      <c r="G2702" s="24">
        <f t="shared" si="128"/>
        <v>109.09090908860001</v>
      </c>
      <c r="H2702" s="1" t="s">
        <v>1</v>
      </c>
      <c r="I2702" s="4" t="s">
        <v>2</v>
      </c>
      <c r="J2702" s="14">
        <v>0.79166666666666663</v>
      </c>
      <c r="K2702" s="20" t="str">
        <f t="shared" si="127"/>
        <v>2nd Shift</v>
      </c>
    </row>
    <row r="2703" spans="1:11" x14ac:dyDescent="0.25">
      <c r="A2703" s="1">
        <v>2702</v>
      </c>
      <c r="B2703" s="1">
        <v>15</v>
      </c>
      <c r="C2703" s="3">
        <v>15115271743902</v>
      </c>
      <c r="D2703" s="2">
        <v>44560.4375</v>
      </c>
      <c r="E2703" s="2">
        <v>44560.5625</v>
      </c>
      <c r="F2703" s="23">
        <f t="shared" si="126"/>
        <v>0.125</v>
      </c>
      <c r="G2703" s="24">
        <f t="shared" si="128"/>
        <v>100</v>
      </c>
      <c r="H2703" s="1" t="s">
        <v>1</v>
      </c>
      <c r="I2703" s="4" t="s">
        <v>2</v>
      </c>
      <c r="J2703" s="14">
        <v>0.4375</v>
      </c>
      <c r="K2703" s="20" t="str">
        <f t="shared" si="127"/>
        <v>1st Shift</v>
      </c>
    </row>
    <row r="2704" spans="1:11" x14ac:dyDescent="0.25">
      <c r="A2704" s="1">
        <v>2703</v>
      </c>
      <c r="B2704" s="1">
        <v>10</v>
      </c>
      <c r="C2704" s="3">
        <v>10115271964200</v>
      </c>
      <c r="D2704" s="2">
        <v>44560.510416666664</v>
      </c>
      <c r="E2704" s="2">
        <v>44560.5625</v>
      </c>
      <c r="F2704" s="23">
        <f t="shared" si="126"/>
        <v>5.2083333335758653E-2</v>
      </c>
      <c r="G2704" s="24">
        <f t="shared" si="128"/>
        <v>239.99999998882413</v>
      </c>
      <c r="H2704" s="1" t="s">
        <v>1</v>
      </c>
      <c r="I2704" s="4" t="s">
        <v>4</v>
      </c>
      <c r="J2704" s="14">
        <v>0.51041666666666663</v>
      </c>
      <c r="K2704" s="20" t="str">
        <f t="shared" si="127"/>
        <v>1st Shift</v>
      </c>
    </row>
    <row r="2705" spans="1:11" x14ac:dyDescent="0.25">
      <c r="A2705" s="1">
        <v>2704</v>
      </c>
      <c r="B2705" s="1">
        <v>1</v>
      </c>
      <c r="C2705" s="3">
        <v>1115270123100</v>
      </c>
      <c r="D2705" s="2">
        <v>44560.53125</v>
      </c>
      <c r="E2705" s="2">
        <v>44560.5625</v>
      </c>
      <c r="F2705" s="23">
        <f t="shared" si="126"/>
        <v>3.125E-2</v>
      </c>
      <c r="G2705" s="24">
        <f t="shared" si="128"/>
        <v>400</v>
      </c>
      <c r="H2705" s="1" t="s">
        <v>1</v>
      </c>
      <c r="I2705" s="4" t="s">
        <v>2</v>
      </c>
      <c r="J2705" s="14">
        <v>0.53125</v>
      </c>
      <c r="K2705" s="20" t="str">
        <f t="shared" si="127"/>
        <v>1st Shift</v>
      </c>
    </row>
    <row r="2706" spans="1:11" x14ac:dyDescent="0.25">
      <c r="A2706" s="1">
        <v>2705</v>
      </c>
      <c r="B2706" s="1">
        <v>13</v>
      </c>
      <c r="C2706" s="3">
        <v>13115271590905</v>
      </c>
      <c r="D2706" s="2">
        <v>44560.666666666664</v>
      </c>
      <c r="E2706" s="2">
        <v>44560.784722222219</v>
      </c>
      <c r="F2706" s="23">
        <f t="shared" si="126"/>
        <v>0.11805555555474712</v>
      </c>
      <c r="G2706" s="24">
        <f t="shared" si="128"/>
        <v>105.88235294190156</v>
      </c>
      <c r="H2706" s="1" t="s">
        <v>1</v>
      </c>
      <c r="I2706" s="4" t="s">
        <v>4</v>
      </c>
      <c r="J2706" s="14">
        <v>0.66666666666666663</v>
      </c>
      <c r="K2706" s="20" t="str">
        <f t="shared" si="127"/>
        <v>2nd Shift</v>
      </c>
    </row>
    <row r="2707" spans="1:11" x14ac:dyDescent="0.25">
      <c r="A2707" s="1">
        <v>2706</v>
      </c>
      <c r="B2707" s="1">
        <v>7</v>
      </c>
      <c r="C2707" s="3">
        <v>7115271768100</v>
      </c>
      <c r="D2707" s="2">
        <v>44560.666666666664</v>
      </c>
      <c r="E2707" s="2">
        <v>44560.784722222219</v>
      </c>
      <c r="F2707" s="23">
        <f t="shared" si="126"/>
        <v>0.11805555555474712</v>
      </c>
      <c r="G2707" s="24">
        <f t="shared" si="128"/>
        <v>105.88235294190156</v>
      </c>
      <c r="H2707" s="1" t="s">
        <v>1</v>
      </c>
      <c r="I2707" s="4" t="s">
        <v>3</v>
      </c>
      <c r="J2707" s="14">
        <v>0.66666666666666663</v>
      </c>
      <c r="K2707" s="20" t="str">
        <f t="shared" si="127"/>
        <v>2nd Shift</v>
      </c>
    </row>
    <row r="2708" spans="1:11" x14ac:dyDescent="0.25">
      <c r="A2708" s="1">
        <v>2707</v>
      </c>
      <c r="B2708" s="1">
        <v>6</v>
      </c>
      <c r="C2708" s="3">
        <v>6115271745607</v>
      </c>
      <c r="D2708" s="2">
        <v>44560.666666666664</v>
      </c>
      <c r="E2708" s="2">
        <v>44560.784722222219</v>
      </c>
      <c r="F2708" s="23">
        <f t="shared" si="126"/>
        <v>0.11805555555474712</v>
      </c>
      <c r="G2708" s="24">
        <f t="shared" si="128"/>
        <v>105.88235294190156</v>
      </c>
      <c r="H2708" s="1" t="s">
        <v>1</v>
      </c>
      <c r="I2708" s="4" t="s">
        <v>2</v>
      </c>
      <c r="J2708" s="14">
        <v>0.66666666666666663</v>
      </c>
      <c r="K2708" s="20" t="str">
        <f t="shared" si="127"/>
        <v>2nd Shift</v>
      </c>
    </row>
    <row r="2709" spans="1:11" x14ac:dyDescent="0.25">
      <c r="A2709" s="1">
        <v>2708</v>
      </c>
      <c r="B2709" s="1">
        <v>2</v>
      </c>
      <c r="C2709" s="3">
        <v>2115270232400</v>
      </c>
      <c r="D2709" s="2">
        <v>44560.666666666664</v>
      </c>
      <c r="E2709" s="2">
        <v>44560.784722222219</v>
      </c>
      <c r="F2709" s="23">
        <f t="shared" si="126"/>
        <v>0.11805555555474712</v>
      </c>
      <c r="G2709" s="24">
        <f t="shared" si="128"/>
        <v>105.88235294190156</v>
      </c>
      <c r="H2709" s="1" t="s">
        <v>1</v>
      </c>
      <c r="I2709" s="4" t="s">
        <v>2</v>
      </c>
      <c r="J2709" s="14">
        <v>0.66666666666666663</v>
      </c>
      <c r="K2709" s="20" t="str">
        <f t="shared" si="127"/>
        <v>2nd Shift</v>
      </c>
    </row>
    <row r="2710" spans="1:11" x14ac:dyDescent="0.25">
      <c r="A2710" s="1">
        <v>2709</v>
      </c>
      <c r="B2710" s="1">
        <v>13</v>
      </c>
      <c r="C2710" s="3">
        <v>13115271590401</v>
      </c>
      <c r="D2710" s="2">
        <v>44560.798611111109</v>
      </c>
      <c r="E2710" s="2">
        <v>44560.875</v>
      </c>
      <c r="F2710" s="23">
        <f t="shared" si="126"/>
        <v>7.6388888890505768E-2</v>
      </c>
      <c r="G2710" s="24">
        <f t="shared" si="128"/>
        <v>163.63636363290004</v>
      </c>
      <c r="H2710" s="1" t="s">
        <v>1</v>
      </c>
      <c r="I2710" s="4" t="s">
        <v>3</v>
      </c>
      <c r="J2710" s="14">
        <v>0.79861111111111116</v>
      </c>
      <c r="K2710" s="20" t="str">
        <f t="shared" si="127"/>
        <v>2nd Shift</v>
      </c>
    </row>
    <row r="2711" spans="1:11" x14ac:dyDescent="0.25">
      <c r="A2711" s="1">
        <v>2710</v>
      </c>
      <c r="B2711" s="1">
        <v>7</v>
      </c>
      <c r="C2711" s="3">
        <v>7115271774602</v>
      </c>
      <c r="D2711" s="2">
        <v>44560.798611111109</v>
      </c>
      <c r="E2711" s="2">
        <v>44560.875</v>
      </c>
      <c r="F2711" s="23">
        <f t="shared" si="126"/>
        <v>7.6388888890505768E-2</v>
      </c>
      <c r="G2711" s="24">
        <f t="shared" si="128"/>
        <v>163.63636363290004</v>
      </c>
      <c r="H2711" s="1" t="s">
        <v>1</v>
      </c>
      <c r="I2711" s="4" t="s">
        <v>8</v>
      </c>
      <c r="J2711" s="14">
        <v>0.79861111111111116</v>
      </c>
      <c r="K2711" s="20" t="str">
        <f t="shared" si="127"/>
        <v>2nd Shift</v>
      </c>
    </row>
    <row r="2712" spans="1:11" x14ac:dyDescent="0.25">
      <c r="A2712" s="1">
        <v>2711</v>
      </c>
      <c r="B2712" s="1">
        <v>11</v>
      </c>
      <c r="C2712" s="3">
        <v>11115271507701</v>
      </c>
      <c r="D2712" s="2">
        <v>44561.407638888886</v>
      </c>
      <c r="E2712" s="2">
        <v>44561.458333333336</v>
      </c>
      <c r="F2712" s="23">
        <f t="shared" si="126"/>
        <v>5.0694444449618459E-2</v>
      </c>
      <c r="G2712" s="24">
        <f t="shared" si="128"/>
        <v>246.57534244058726</v>
      </c>
      <c r="H2712" s="1" t="s">
        <v>1</v>
      </c>
      <c r="I2712" s="4" t="s">
        <v>3</v>
      </c>
      <c r="J2712" s="14">
        <v>0.40763888888888888</v>
      </c>
      <c r="K2712" s="20" t="str">
        <f t="shared" si="127"/>
        <v>1st Shift</v>
      </c>
    </row>
    <row r="2713" spans="1:11" x14ac:dyDescent="0.25">
      <c r="A2713" s="1">
        <v>2712</v>
      </c>
      <c r="B2713" s="1">
        <v>7</v>
      </c>
      <c r="C2713" s="3">
        <v>7115271753900</v>
      </c>
      <c r="D2713" s="2">
        <v>44561.407638888886</v>
      </c>
      <c r="E2713" s="2">
        <v>44561.458333333336</v>
      </c>
      <c r="F2713" s="23">
        <f t="shared" si="126"/>
        <v>5.0694444449618459E-2</v>
      </c>
      <c r="G2713" s="24">
        <f t="shared" si="128"/>
        <v>246.57534244058726</v>
      </c>
      <c r="H2713" s="1" t="s">
        <v>1</v>
      </c>
      <c r="I2713" s="4" t="s">
        <v>3</v>
      </c>
      <c r="J2713" s="14">
        <v>0.40763888888888888</v>
      </c>
      <c r="K2713" s="20" t="str">
        <f t="shared" si="127"/>
        <v>1st Shift</v>
      </c>
    </row>
    <row r="2714" spans="1:11" x14ac:dyDescent="0.25">
      <c r="A2714" s="1">
        <v>2713</v>
      </c>
      <c r="B2714" s="1">
        <v>13</v>
      </c>
      <c r="C2714" s="3">
        <v>13115271591204</v>
      </c>
      <c r="D2714" s="2">
        <v>44561.46875</v>
      </c>
      <c r="E2714" s="2">
        <v>44561.5625</v>
      </c>
      <c r="F2714" s="23">
        <f t="shared" si="126"/>
        <v>9.375E-2</v>
      </c>
      <c r="G2714" s="24">
        <f t="shared" si="128"/>
        <v>133.33333333333331</v>
      </c>
      <c r="H2714" s="1" t="s">
        <v>1</v>
      </c>
      <c r="I2714" s="4" t="s">
        <v>3</v>
      </c>
      <c r="J2714" s="14">
        <v>0.46875</v>
      </c>
      <c r="K2714" s="20" t="str">
        <f t="shared" si="127"/>
        <v>1st Shift</v>
      </c>
    </row>
    <row r="2715" spans="1:11" x14ac:dyDescent="0.25">
      <c r="A2715" s="1">
        <v>2714</v>
      </c>
      <c r="B2715" s="1">
        <v>7</v>
      </c>
      <c r="C2715" s="3">
        <v>7115271753872</v>
      </c>
      <c r="D2715" s="2">
        <v>44561.46875</v>
      </c>
      <c r="E2715" s="2">
        <v>44561.5625</v>
      </c>
      <c r="F2715" s="23">
        <f t="shared" si="126"/>
        <v>9.375E-2</v>
      </c>
      <c r="G2715" s="24">
        <f t="shared" si="128"/>
        <v>133.33333333333331</v>
      </c>
      <c r="H2715" s="1" t="s">
        <v>1</v>
      </c>
      <c r="I2715" s="4" t="s">
        <v>2</v>
      </c>
      <c r="J2715" s="14">
        <v>0.46875</v>
      </c>
      <c r="K2715" s="20" t="str">
        <f t="shared" si="127"/>
        <v>1st Shift</v>
      </c>
    </row>
    <row r="2716" spans="1:11" x14ac:dyDescent="0.25">
      <c r="A2716" s="1">
        <v>2715</v>
      </c>
      <c r="B2716" s="1">
        <v>1</v>
      </c>
      <c r="C2716" s="3">
        <v>1115270123100</v>
      </c>
      <c r="D2716" s="2">
        <v>44561.46875</v>
      </c>
      <c r="E2716" s="2">
        <v>44561.5625</v>
      </c>
      <c r="F2716" s="23">
        <f t="shared" si="126"/>
        <v>9.375E-2</v>
      </c>
      <c r="G2716" s="24">
        <f t="shared" si="128"/>
        <v>133.33333333333331</v>
      </c>
      <c r="H2716" s="1" t="s">
        <v>1</v>
      </c>
      <c r="I2716" s="4" t="s">
        <v>3</v>
      </c>
      <c r="J2716" s="14">
        <v>0.46875</v>
      </c>
      <c r="K2716" s="20" t="str">
        <f t="shared" si="127"/>
        <v>1st Shift</v>
      </c>
    </row>
    <row r="2717" spans="1:11" x14ac:dyDescent="0.25">
      <c r="A2717" s="1">
        <v>2716</v>
      </c>
      <c r="B2717" s="1">
        <v>14</v>
      </c>
      <c r="C2717" s="3">
        <v>14115271679624</v>
      </c>
      <c r="D2717" s="2">
        <v>44561.71875</v>
      </c>
      <c r="E2717" s="2">
        <v>44561.78125</v>
      </c>
      <c r="F2717" s="23">
        <f t="shared" si="126"/>
        <v>6.25E-2</v>
      </c>
      <c r="G2717" s="24">
        <f t="shared" si="128"/>
        <v>200</v>
      </c>
      <c r="H2717" s="1" t="s">
        <v>1</v>
      </c>
      <c r="I2717" s="4" t="s">
        <v>3</v>
      </c>
      <c r="J2717" s="14">
        <v>0.71875</v>
      </c>
      <c r="K2717" s="20" t="str">
        <f t="shared" si="127"/>
        <v>2nd Shift</v>
      </c>
    </row>
    <row r="2718" spans="1:11" x14ac:dyDescent="0.25">
      <c r="A2718" s="1">
        <v>2717</v>
      </c>
      <c r="B2718" s="1">
        <v>6</v>
      </c>
      <c r="C2718" s="3">
        <v>6115271720826</v>
      </c>
      <c r="D2718" s="2">
        <v>44561.638888888891</v>
      </c>
      <c r="E2718" s="2">
        <v>44561.78125</v>
      </c>
      <c r="F2718" s="23">
        <f t="shared" si="126"/>
        <v>0.14236111110949423</v>
      </c>
      <c r="G2718" s="24">
        <f t="shared" si="128"/>
        <v>87.804878049777741</v>
      </c>
      <c r="H2718" s="1" t="s">
        <v>1</v>
      </c>
      <c r="I2718" s="4" t="s">
        <v>2</v>
      </c>
      <c r="J2718" s="14">
        <v>0.63888888888888884</v>
      </c>
      <c r="K2718" s="20" t="str">
        <f t="shared" si="127"/>
        <v>2nd Shift</v>
      </c>
    </row>
    <row r="2719" spans="1:11" x14ac:dyDescent="0.25">
      <c r="A2719" s="1">
        <v>2718</v>
      </c>
      <c r="B2719" s="1">
        <v>2</v>
      </c>
      <c r="C2719" s="3">
        <v>2115270169700</v>
      </c>
      <c r="D2719" s="2">
        <v>44561.638888888891</v>
      </c>
      <c r="E2719" s="2">
        <v>44561.78125</v>
      </c>
      <c r="F2719" s="23">
        <f t="shared" si="126"/>
        <v>0.14236111110949423</v>
      </c>
      <c r="G2719" s="24">
        <f t="shared" si="128"/>
        <v>87.804878049777741</v>
      </c>
      <c r="H2719" s="1" t="s">
        <v>1</v>
      </c>
      <c r="I2719" s="4" t="s">
        <v>2</v>
      </c>
      <c r="J2719" s="14">
        <v>0.63888888888888884</v>
      </c>
      <c r="K2719" s="20" t="str">
        <f t="shared" si="127"/>
        <v>2nd Shift</v>
      </c>
    </row>
    <row r="2720" spans="1:11" x14ac:dyDescent="0.25">
      <c r="A2720" s="1">
        <v>2719</v>
      </c>
      <c r="B2720" s="1">
        <v>1</v>
      </c>
      <c r="C2720" s="3">
        <v>1115270119700</v>
      </c>
      <c r="D2720" s="2">
        <v>44561.690972222219</v>
      </c>
      <c r="E2720" s="2">
        <v>44561.78125</v>
      </c>
      <c r="F2720" s="23">
        <f t="shared" si="126"/>
        <v>9.0277777781011537E-2</v>
      </c>
      <c r="G2720" s="24">
        <f t="shared" si="128"/>
        <v>138.46153845657875</v>
      </c>
      <c r="H2720" s="1" t="s">
        <v>1</v>
      </c>
      <c r="I2720" s="4" t="s">
        <v>3</v>
      </c>
      <c r="J2720" s="14">
        <v>0.69097222222222221</v>
      </c>
      <c r="K2720" s="20" t="str">
        <f t="shared" si="127"/>
        <v>2nd Shift</v>
      </c>
    </row>
    <row r="2721" spans="1:11" x14ac:dyDescent="0.25">
      <c r="A2721" s="1">
        <v>2720</v>
      </c>
      <c r="B2721" s="1">
        <v>12</v>
      </c>
      <c r="C2721" s="3">
        <v>12115271560115</v>
      </c>
      <c r="D2721" s="2">
        <v>44561.833333333336</v>
      </c>
      <c r="E2721" s="2">
        <v>44561.916666666664</v>
      </c>
      <c r="F2721" s="23">
        <f t="shared" si="126"/>
        <v>8.3333333328482695E-2</v>
      </c>
      <c r="G2721" s="24">
        <f t="shared" si="128"/>
        <v>150.00000000873115</v>
      </c>
      <c r="H2721" s="1" t="s">
        <v>1</v>
      </c>
      <c r="I2721" s="4" t="s">
        <v>3</v>
      </c>
      <c r="J2721" s="14">
        <v>0.83333333333333337</v>
      </c>
      <c r="K2721" s="20" t="str">
        <f t="shared" si="127"/>
        <v>2nd Shift</v>
      </c>
    </row>
    <row r="2722" spans="1:11" x14ac:dyDescent="0.25">
      <c r="A2722" s="1">
        <v>2721</v>
      </c>
      <c r="B2722" s="1">
        <v>6</v>
      </c>
      <c r="C2722" s="3">
        <v>6115271717217</v>
      </c>
      <c r="D2722" s="2">
        <v>44561.833333333336</v>
      </c>
      <c r="E2722" s="2">
        <v>44561.916666666664</v>
      </c>
      <c r="F2722" s="23">
        <f t="shared" si="126"/>
        <v>8.3333333328482695E-2</v>
      </c>
      <c r="G2722" s="24">
        <f t="shared" si="128"/>
        <v>150.00000000873115</v>
      </c>
      <c r="H2722" s="1" t="s">
        <v>1</v>
      </c>
      <c r="I2722" s="4" t="s">
        <v>2</v>
      </c>
      <c r="J2722" s="14">
        <v>0.83333333333333337</v>
      </c>
      <c r="K2722" s="20" t="str">
        <f t="shared" si="127"/>
        <v>2nd Shift</v>
      </c>
    </row>
    <row r="2723" spans="1:11" x14ac:dyDescent="0.25">
      <c r="A2723" s="1">
        <v>2722</v>
      </c>
      <c r="B2723" s="1">
        <v>6</v>
      </c>
      <c r="C2723" s="3">
        <v>6115271717218</v>
      </c>
      <c r="D2723" s="2">
        <v>44562.121527777781</v>
      </c>
      <c r="E2723" s="2">
        <v>44562.197916666664</v>
      </c>
      <c r="F2723" s="23">
        <f t="shared" si="126"/>
        <v>7.6388888883229811E-2</v>
      </c>
      <c r="G2723" s="24">
        <f t="shared" si="128"/>
        <v>163.63636364848622</v>
      </c>
      <c r="H2723" s="1" t="s">
        <v>1</v>
      </c>
      <c r="I2723" s="4" t="s">
        <v>4</v>
      </c>
      <c r="J2723" s="14">
        <v>0.12152777777777778</v>
      </c>
      <c r="K2723" s="20" t="str">
        <f t="shared" si="127"/>
        <v>3rd Shift</v>
      </c>
    </row>
    <row r="2724" spans="1:11" x14ac:dyDescent="0.25">
      <c r="A2724" s="1">
        <v>2723</v>
      </c>
      <c r="B2724" s="1">
        <v>7</v>
      </c>
      <c r="C2724" s="3">
        <v>7115271772408</v>
      </c>
      <c r="D2724" s="2">
        <v>44562.375</v>
      </c>
      <c r="E2724" s="2">
        <v>44562.45208333333</v>
      </c>
      <c r="F2724" s="23">
        <f t="shared" si="126"/>
        <v>7.7083333329937886E-2</v>
      </c>
      <c r="G2724" s="24">
        <f t="shared" si="128"/>
        <v>162.16216216930525</v>
      </c>
      <c r="H2724" s="1" t="s">
        <v>1</v>
      </c>
      <c r="I2724" s="4" t="s">
        <v>3</v>
      </c>
      <c r="J2724" s="14">
        <v>0.375</v>
      </c>
      <c r="K2724" s="20" t="str">
        <f t="shared" si="127"/>
        <v>1st Shift</v>
      </c>
    </row>
    <row r="2725" spans="1:11" x14ac:dyDescent="0.25">
      <c r="A2725" s="1">
        <v>2724</v>
      </c>
      <c r="B2725" s="1">
        <v>12</v>
      </c>
      <c r="C2725" s="3">
        <v>12115271567005</v>
      </c>
      <c r="D2725" s="2">
        <v>44562.505555555559</v>
      </c>
      <c r="E2725" s="2">
        <v>44562.579861111109</v>
      </c>
      <c r="F2725" s="23">
        <f t="shared" si="126"/>
        <v>7.4305555550381541E-2</v>
      </c>
      <c r="G2725" s="24">
        <f t="shared" si="128"/>
        <v>168.22429907713428</v>
      </c>
      <c r="H2725" s="1" t="s">
        <v>1</v>
      </c>
      <c r="I2725" s="4" t="s">
        <v>3</v>
      </c>
      <c r="J2725" s="14">
        <v>0.50555555555555554</v>
      </c>
      <c r="K2725" s="20" t="str">
        <f t="shared" si="127"/>
        <v>1st Shift</v>
      </c>
    </row>
    <row r="2726" spans="1:11" x14ac:dyDescent="0.25">
      <c r="A2726" s="1">
        <v>2725</v>
      </c>
      <c r="B2726" s="1">
        <v>7</v>
      </c>
      <c r="C2726" s="3">
        <v>7115271768201</v>
      </c>
      <c r="D2726" s="2">
        <v>44562.505555555559</v>
      </c>
      <c r="E2726" s="2">
        <v>44562.579861111109</v>
      </c>
      <c r="F2726" s="23">
        <f t="shared" si="126"/>
        <v>7.4305555550381541E-2</v>
      </c>
      <c r="G2726" s="24">
        <f t="shared" si="128"/>
        <v>168.22429907713428</v>
      </c>
      <c r="H2726" s="1" t="s">
        <v>1</v>
      </c>
      <c r="I2726" s="4" t="s">
        <v>3</v>
      </c>
      <c r="J2726" s="14">
        <v>0.50555555555555554</v>
      </c>
      <c r="K2726" s="20" t="str">
        <f t="shared" si="127"/>
        <v>1st Shift</v>
      </c>
    </row>
    <row r="2727" spans="1:11" x14ac:dyDescent="0.25">
      <c r="A2727" s="1">
        <v>2726</v>
      </c>
      <c r="B2727" s="1">
        <v>10</v>
      </c>
      <c r="C2727" s="3">
        <v>10115271441900</v>
      </c>
      <c r="D2727" s="2">
        <v>44562.642361111109</v>
      </c>
      <c r="E2727" s="2">
        <v>44562.708333333336</v>
      </c>
      <c r="F2727" s="23">
        <f t="shared" si="126"/>
        <v>6.5972222226264421E-2</v>
      </c>
      <c r="G2727" s="24">
        <f t="shared" si="128"/>
        <v>189.47368419891703</v>
      </c>
      <c r="H2727" s="1" t="s">
        <v>1</v>
      </c>
      <c r="I2727" s="4" t="s">
        <v>2</v>
      </c>
      <c r="J2727" s="14">
        <v>0.64236111111111116</v>
      </c>
      <c r="K2727" s="20" t="str">
        <f t="shared" si="127"/>
        <v>2nd Shift</v>
      </c>
    </row>
    <row r="2728" spans="1:11" x14ac:dyDescent="0.25">
      <c r="A2728" s="1">
        <v>2727</v>
      </c>
      <c r="B2728" s="1">
        <v>7</v>
      </c>
      <c r="C2728" s="3">
        <v>7115271766014</v>
      </c>
      <c r="D2728" s="2">
        <v>44562.642361111109</v>
      </c>
      <c r="E2728" s="2">
        <v>44562.708333333336</v>
      </c>
      <c r="F2728" s="23">
        <f t="shared" si="126"/>
        <v>6.5972222226264421E-2</v>
      </c>
      <c r="G2728" s="24">
        <f t="shared" si="128"/>
        <v>189.47368419891703</v>
      </c>
      <c r="H2728" s="1" t="s">
        <v>1</v>
      </c>
      <c r="I2728" s="4" t="s">
        <v>3</v>
      </c>
      <c r="J2728" s="14">
        <v>0.64236111111111116</v>
      </c>
      <c r="K2728" s="20" t="str">
        <f t="shared" si="127"/>
        <v>2nd Shift</v>
      </c>
    </row>
    <row r="2729" spans="1:11" x14ac:dyDescent="0.25">
      <c r="A2729" s="1">
        <v>2728</v>
      </c>
      <c r="B2729" s="1">
        <v>6</v>
      </c>
      <c r="C2729" s="3">
        <v>6115271741300</v>
      </c>
      <c r="D2729" s="2">
        <v>44562.642361111109</v>
      </c>
      <c r="E2729" s="2">
        <v>44562.708333333336</v>
      </c>
      <c r="F2729" s="23">
        <f t="shared" si="126"/>
        <v>6.5972222226264421E-2</v>
      </c>
      <c r="G2729" s="24">
        <f t="shared" si="128"/>
        <v>189.47368419891703</v>
      </c>
      <c r="H2729" s="1" t="s">
        <v>1</v>
      </c>
      <c r="I2729" s="4" t="s">
        <v>3</v>
      </c>
      <c r="J2729" s="14">
        <v>0.64236111111111116</v>
      </c>
      <c r="K2729" s="20" t="str">
        <f t="shared" si="127"/>
        <v>2nd Shift</v>
      </c>
    </row>
    <row r="2730" spans="1:11" x14ac:dyDescent="0.25">
      <c r="A2730" s="1">
        <v>2729</v>
      </c>
      <c r="B2730" s="1">
        <v>14</v>
      </c>
      <c r="C2730" s="3">
        <v>14115271680203</v>
      </c>
      <c r="D2730" s="2">
        <v>44562.805555555555</v>
      </c>
      <c r="E2730" s="2">
        <v>44562.895833333336</v>
      </c>
      <c r="F2730" s="23">
        <f t="shared" si="126"/>
        <v>9.0277777781011537E-2</v>
      </c>
      <c r="G2730" s="24">
        <f t="shared" si="128"/>
        <v>138.46153845657875</v>
      </c>
      <c r="H2730" s="1" t="s">
        <v>1</v>
      </c>
      <c r="I2730" s="4" t="s">
        <v>2</v>
      </c>
      <c r="J2730" s="14">
        <v>0.80555555555555558</v>
      </c>
      <c r="K2730" s="20" t="str">
        <f t="shared" si="127"/>
        <v>2nd Shift</v>
      </c>
    </row>
    <row r="2731" spans="1:11" x14ac:dyDescent="0.25">
      <c r="A2731" s="1">
        <v>2730</v>
      </c>
      <c r="B2731" s="1">
        <v>2</v>
      </c>
      <c r="C2731" s="3">
        <v>2115270217600</v>
      </c>
      <c r="D2731" s="2">
        <v>44562.805555555555</v>
      </c>
      <c r="E2731" s="2">
        <v>44562.895833333336</v>
      </c>
      <c r="F2731" s="23">
        <f t="shared" si="126"/>
        <v>9.0277777781011537E-2</v>
      </c>
      <c r="G2731" s="24">
        <f t="shared" si="128"/>
        <v>138.46153845657875</v>
      </c>
      <c r="H2731" s="1" t="s">
        <v>1</v>
      </c>
      <c r="I2731" s="4" t="s">
        <v>2</v>
      </c>
      <c r="J2731" s="14">
        <v>0.80555555555555558</v>
      </c>
      <c r="K2731" s="20" t="str">
        <f t="shared" si="127"/>
        <v>2nd Shift</v>
      </c>
    </row>
    <row r="2732" spans="1:11" x14ac:dyDescent="0.25">
      <c r="A2732" s="1">
        <v>2731</v>
      </c>
      <c r="B2732" s="1">
        <v>12</v>
      </c>
      <c r="C2732" s="3">
        <v>12115271574511</v>
      </c>
      <c r="D2732" s="2">
        <v>44563.666666666664</v>
      </c>
      <c r="E2732" s="2">
        <v>44563.725694444445</v>
      </c>
      <c r="F2732" s="23">
        <f t="shared" si="126"/>
        <v>5.9027777781011537E-2</v>
      </c>
      <c r="G2732" s="24">
        <f t="shared" si="128"/>
        <v>211.7647058707517</v>
      </c>
      <c r="H2732" s="1" t="s">
        <v>1</v>
      </c>
      <c r="I2732" s="4" t="s">
        <v>3</v>
      </c>
      <c r="J2732" s="14">
        <v>0.66666666666666663</v>
      </c>
      <c r="K2732" s="20" t="str">
        <f t="shared" si="127"/>
        <v>2nd Shift</v>
      </c>
    </row>
    <row r="2733" spans="1:11" x14ac:dyDescent="0.25">
      <c r="A2733" s="1">
        <v>2732</v>
      </c>
      <c r="B2733" s="1">
        <v>2</v>
      </c>
      <c r="C2733" s="3">
        <v>2115270168400</v>
      </c>
      <c r="D2733" s="2">
        <v>44563.666666666664</v>
      </c>
      <c r="E2733" s="2">
        <v>44563.725694444445</v>
      </c>
      <c r="F2733" s="23">
        <f t="shared" si="126"/>
        <v>5.9027777781011537E-2</v>
      </c>
      <c r="G2733" s="24">
        <f t="shared" si="128"/>
        <v>211.7647058707517</v>
      </c>
      <c r="H2733" s="1" t="s">
        <v>1</v>
      </c>
      <c r="I2733" s="4" t="s">
        <v>2</v>
      </c>
      <c r="J2733" s="14">
        <v>0.66666666666666663</v>
      </c>
      <c r="K2733" s="20" t="str">
        <f t="shared" si="127"/>
        <v>2nd Shift</v>
      </c>
    </row>
    <row r="2734" spans="1:11" x14ac:dyDescent="0.25">
      <c r="A2734" s="1">
        <v>2733</v>
      </c>
      <c r="B2734" s="1">
        <v>14</v>
      </c>
      <c r="C2734" s="3">
        <v>14115271719901</v>
      </c>
      <c r="D2734" s="2">
        <v>44563.739583333336</v>
      </c>
      <c r="E2734" s="2">
        <v>44563.84375</v>
      </c>
      <c r="F2734" s="23">
        <f t="shared" si="126"/>
        <v>0.10416666666424135</v>
      </c>
      <c r="G2734" s="24">
        <f t="shared" si="128"/>
        <v>120.00000000279397</v>
      </c>
      <c r="H2734" s="1" t="s">
        <v>1</v>
      </c>
      <c r="I2734" s="4" t="s">
        <v>2</v>
      </c>
      <c r="J2734" s="14">
        <v>0.73958333333333337</v>
      </c>
      <c r="K2734" s="20" t="str">
        <f t="shared" si="127"/>
        <v>2nd Shift</v>
      </c>
    </row>
    <row r="2735" spans="1:11" x14ac:dyDescent="0.25">
      <c r="A2735" s="1">
        <v>2734</v>
      </c>
      <c r="B2735" s="1">
        <v>12</v>
      </c>
      <c r="C2735" s="3">
        <v>12115271580700</v>
      </c>
      <c r="D2735" s="2">
        <v>44563.739583333336</v>
      </c>
      <c r="E2735" s="2">
        <v>44563.84375</v>
      </c>
      <c r="F2735" s="23">
        <f t="shared" si="126"/>
        <v>0.10416666666424135</v>
      </c>
      <c r="G2735" s="24">
        <f t="shared" si="128"/>
        <v>120.00000000279397</v>
      </c>
      <c r="H2735" s="1" t="s">
        <v>1</v>
      </c>
      <c r="I2735" s="4" t="s">
        <v>4</v>
      </c>
      <c r="J2735" s="14">
        <v>0.73958333333333337</v>
      </c>
      <c r="K2735" s="20" t="str">
        <f t="shared" si="127"/>
        <v>2nd Shift</v>
      </c>
    </row>
    <row r="2736" spans="1:11" x14ac:dyDescent="0.25">
      <c r="A2736" s="1">
        <v>2735</v>
      </c>
      <c r="B2736" s="1">
        <v>1</v>
      </c>
      <c r="C2736" s="3">
        <v>1115270067201</v>
      </c>
      <c r="D2736" s="2">
        <v>44563.739583333336</v>
      </c>
      <c r="E2736" s="2">
        <v>44563.84375</v>
      </c>
      <c r="F2736" s="23">
        <f t="shared" si="126"/>
        <v>0.10416666666424135</v>
      </c>
      <c r="G2736" s="24">
        <f t="shared" si="128"/>
        <v>120.00000000279397</v>
      </c>
      <c r="H2736" s="1" t="s">
        <v>1</v>
      </c>
      <c r="I2736" s="4" t="s">
        <v>2</v>
      </c>
      <c r="J2736" s="14">
        <v>0.73958333333333337</v>
      </c>
      <c r="K2736" s="20" t="str">
        <f t="shared" si="127"/>
        <v>2nd Shift</v>
      </c>
    </row>
    <row r="2737" spans="1:11" x14ac:dyDescent="0.25">
      <c r="A2737" s="1">
        <v>2736</v>
      </c>
      <c r="B2737" s="1">
        <v>3</v>
      </c>
      <c r="C2737" s="3">
        <v>3115270340600</v>
      </c>
      <c r="D2737" s="2">
        <v>44564.34375</v>
      </c>
      <c r="E2737" s="2">
        <v>44564.385416666664</v>
      </c>
      <c r="F2737" s="23">
        <f t="shared" si="126"/>
        <v>4.1666666664241347E-2</v>
      </c>
      <c r="G2737" s="24">
        <f t="shared" si="128"/>
        <v>300.0000000174623</v>
      </c>
      <c r="H2737" s="1" t="s">
        <v>1</v>
      </c>
      <c r="I2737" s="4" t="s">
        <v>4</v>
      </c>
      <c r="J2737" s="14">
        <v>0.34375</v>
      </c>
      <c r="K2737" s="20" t="str">
        <f t="shared" si="127"/>
        <v>1st Shift</v>
      </c>
    </row>
    <row r="2738" spans="1:11" x14ac:dyDescent="0.25">
      <c r="A2738" s="1">
        <v>2737</v>
      </c>
      <c r="B2738" s="1">
        <v>12</v>
      </c>
      <c r="C2738" s="3">
        <v>12115271589004</v>
      </c>
      <c r="D2738" s="2">
        <v>44564.458333333336</v>
      </c>
      <c r="E2738" s="2">
        <v>44564.583333333336</v>
      </c>
      <c r="F2738" s="23">
        <f t="shared" si="126"/>
        <v>0.125</v>
      </c>
      <c r="G2738" s="24">
        <f t="shared" si="128"/>
        <v>100</v>
      </c>
      <c r="H2738" s="1" t="s">
        <v>1</v>
      </c>
      <c r="I2738" s="4" t="s">
        <v>4</v>
      </c>
      <c r="J2738" s="14">
        <v>0.45833333333333331</v>
      </c>
      <c r="K2738" s="20" t="str">
        <f t="shared" si="127"/>
        <v>1st Shift</v>
      </c>
    </row>
    <row r="2739" spans="1:11" x14ac:dyDescent="0.25">
      <c r="A2739" s="1">
        <v>2738</v>
      </c>
      <c r="B2739" s="1">
        <v>12</v>
      </c>
      <c r="C2739" s="3">
        <v>12115271575321</v>
      </c>
      <c r="D2739" s="2">
        <v>44564.5</v>
      </c>
      <c r="E2739" s="2">
        <v>44564.583333333336</v>
      </c>
      <c r="F2739" s="23">
        <f t="shared" si="126"/>
        <v>8.3333333335758653E-2</v>
      </c>
      <c r="G2739" s="24">
        <f t="shared" si="128"/>
        <v>149.99999999563443</v>
      </c>
      <c r="H2739" s="1" t="s">
        <v>1</v>
      </c>
      <c r="I2739" s="4" t="s">
        <v>2</v>
      </c>
      <c r="J2739" s="14">
        <v>0.5</v>
      </c>
      <c r="K2739" s="20" t="str">
        <f t="shared" si="127"/>
        <v>1st Shift</v>
      </c>
    </row>
    <row r="2740" spans="1:11" x14ac:dyDescent="0.25">
      <c r="A2740" s="1">
        <v>2739</v>
      </c>
      <c r="B2740" s="1">
        <v>11</v>
      </c>
      <c r="C2740" s="3">
        <v>11115271539100</v>
      </c>
      <c r="D2740" s="2">
        <v>44564.548611111109</v>
      </c>
      <c r="E2740" s="2">
        <v>44564.583333333336</v>
      </c>
      <c r="F2740" s="23">
        <f t="shared" si="126"/>
        <v>3.4722222226264421E-2</v>
      </c>
      <c r="G2740" s="24">
        <f t="shared" si="128"/>
        <v>359.99999995809048</v>
      </c>
      <c r="H2740" s="1" t="s">
        <v>1</v>
      </c>
      <c r="I2740" s="4" t="s">
        <v>3</v>
      </c>
      <c r="J2740" s="14">
        <v>0.54861111111111116</v>
      </c>
      <c r="K2740" s="20" t="str">
        <f t="shared" si="127"/>
        <v>1st Shift</v>
      </c>
    </row>
    <row r="2741" spans="1:11" x14ac:dyDescent="0.25">
      <c r="A2741" s="1">
        <v>2740</v>
      </c>
      <c r="B2741" s="1">
        <v>10</v>
      </c>
      <c r="C2741" s="3">
        <v>10115271958401</v>
      </c>
      <c r="D2741" s="2">
        <v>44564.458333333336</v>
      </c>
      <c r="E2741" s="2">
        <v>44564.583333333336</v>
      </c>
      <c r="F2741" s="23">
        <f t="shared" si="126"/>
        <v>0.125</v>
      </c>
      <c r="G2741" s="24">
        <f t="shared" si="128"/>
        <v>100</v>
      </c>
      <c r="H2741" s="1" t="s">
        <v>1</v>
      </c>
      <c r="I2741" s="4" t="s">
        <v>2</v>
      </c>
      <c r="J2741" s="14">
        <v>0.45833333333333331</v>
      </c>
      <c r="K2741" s="20" t="str">
        <f t="shared" si="127"/>
        <v>1st Shift</v>
      </c>
    </row>
    <row r="2742" spans="1:11" x14ac:dyDescent="0.25">
      <c r="A2742" s="1">
        <v>2741</v>
      </c>
      <c r="B2742" s="1">
        <v>9</v>
      </c>
      <c r="C2742" s="3">
        <v>9115271937100</v>
      </c>
      <c r="D2742" s="2">
        <v>44564.520833333336</v>
      </c>
      <c r="E2742" s="2">
        <v>44564.583333333336</v>
      </c>
      <c r="F2742" s="23">
        <f t="shared" si="126"/>
        <v>6.25E-2</v>
      </c>
      <c r="G2742" s="24">
        <f t="shared" si="128"/>
        <v>200</v>
      </c>
      <c r="H2742" s="1" t="s">
        <v>1</v>
      </c>
      <c r="I2742" s="4" t="s">
        <v>3</v>
      </c>
      <c r="J2742" s="14">
        <v>0.52083333333333337</v>
      </c>
      <c r="K2742" s="20" t="str">
        <f t="shared" si="127"/>
        <v>1st Shift</v>
      </c>
    </row>
    <row r="2743" spans="1:11" x14ac:dyDescent="0.25">
      <c r="A2743" s="1">
        <v>2742</v>
      </c>
      <c r="B2743" s="1">
        <v>8</v>
      </c>
      <c r="C2743" s="3">
        <v>8115271855800</v>
      </c>
      <c r="D2743" s="2">
        <v>44564.458333333336</v>
      </c>
      <c r="E2743" s="2">
        <v>44564.583333333336</v>
      </c>
      <c r="F2743" s="23">
        <f t="shared" si="126"/>
        <v>0.125</v>
      </c>
      <c r="G2743" s="24">
        <f t="shared" si="128"/>
        <v>100</v>
      </c>
      <c r="H2743" s="1" t="s">
        <v>1</v>
      </c>
      <c r="I2743" s="4" t="s">
        <v>2</v>
      </c>
      <c r="J2743" s="14">
        <v>0.45833333333333331</v>
      </c>
      <c r="K2743" s="20" t="str">
        <f t="shared" si="127"/>
        <v>1st Shift</v>
      </c>
    </row>
    <row r="2744" spans="1:11" x14ac:dyDescent="0.25">
      <c r="A2744" s="1">
        <v>2743</v>
      </c>
      <c r="B2744" s="1">
        <v>10</v>
      </c>
      <c r="C2744" s="3">
        <v>10115271453200</v>
      </c>
      <c r="D2744" s="2">
        <v>44564.697916666664</v>
      </c>
      <c r="E2744" s="2">
        <v>44564.767361111109</v>
      </c>
      <c r="F2744" s="23">
        <f t="shared" si="126"/>
        <v>6.9444444445252884E-2</v>
      </c>
      <c r="G2744" s="24">
        <f t="shared" si="128"/>
        <v>179.99999999790452</v>
      </c>
      <c r="H2744" s="1" t="s">
        <v>1</v>
      </c>
      <c r="I2744" s="4" t="s">
        <v>2</v>
      </c>
      <c r="J2744" s="14">
        <v>0.69791666666666663</v>
      </c>
      <c r="K2744" s="20" t="str">
        <f t="shared" si="127"/>
        <v>2nd Shift</v>
      </c>
    </row>
    <row r="2745" spans="1:11" x14ac:dyDescent="0.25">
      <c r="A2745" s="1">
        <v>2744</v>
      </c>
      <c r="B2745" s="1">
        <v>6</v>
      </c>
      <c r="C2745" s="3">
        <v>6115271751108</v>
      </c>
      <c r="D2745" s="2">
        <v>44564.697916666664</v>
      </c>
      <c r="E2745" s="2">
        <v>44564.767361111109</v>
      </c>
      <c r="F2745" s="23">
        <f t="shared" si="126"/>
        <v>6.9444444445252884E-2</v>
      </c>
      <c r="G2745" s="24">
        <f t="shared" si="128"/>
        <v>179.99999999790452</v>
      </c>
      <c r="H2745" s="1" t="s">
        <v>1</v>
      </c>
      <c r="I2745" s="4" t="s">
        <v>2</v>
      </c>
      <c r="J2745" s="14">
        <v>0.69791666666666663</v>
      </c>
      <c r="K2745" s="20" t="str">
        <f t="shared" si="127"/>
        <v>2nd Shift</v>
      </c>
    </row>
    <row r="2746" spans="1:11" x14ac:dyDescent="0.25">
      <c r="A2746" s="1">
        <v>2745</v>
      </c>
      <c r="B2746" s="1">
        <v>3</v>
      </c>
      <c r="C2746" s="3">
        <v>3115270421100</v>
      </c>
      <c r="D2746" s="2">
        <v>44564.697916666664</v>
      </c>
      <c r="E2746" s="2">
        <v>44564.767361111109</v>
      </c>
      <c r="F2746" s="23">
        <f t="shared" si="126"/>
        <v>6.9444444445252884E-2</v>
      </c>
      <c r="G2746" s="24">
        <f t="shared" si="128"/>
        <v>179.99999999790452</v>
      </c>
      <c r="H2746" s="1" t="s">
        <v>1</v>
      </c>
      <c r="I2746" s="4" t="s">
        <v>3</v>
      </c>
      <c r="J2746" s="14">
        <v>0.69791666666666663</v>
      </c>
      <c r="K2746" s="20" t="str">
        <f t="shared" si="127"/>
        <v>2nd Shift</v>
      </c>
    </row>
    <row r="2747" spans="1:11" x14ac:dyDescent="0.25">
      <c r="A2747" s="1">
        <v>2746</v>
      </c>
      <c r="B2747" s="1">
        <v>3</v>
      </c>
      <c r="C2747" s="3">
        <v>3115270366500</v>
      </c>
      <c r="D2747" s="2">
        <v>44564.697916666664</v>
      </c>
      <c r="E2747" s="2">
        <v>44564.767361111109</v>
      </c>
      <c r="F2747" s="23">
        <f t="shared" si="126"/>
        <v>6.9444444445252884E-2</v>
      </c>
      <c r="G2747" s="24">
        <f t="shared" si="128"/>
        <v>179.99999999790452</v>
      </c>
      <c r="H2747" s="1" t="s">
        <v>1</v>
      </c>
      <c r="I2747" s="4" t="s">
        <v>3</v>
      </c>
      <c r="J2747" s="14">
        <v>0.69791666666666663</v>
      </c>
      <c r="K2747" s="20" t="str">
        <f t="shared" si="127"/>
        <v>2nd Shift</v>
      </c>
    </row>
    <row r="2748" spans="1:11" x14ac:dyDescent="0.25">
      <c r="A2748" s="1">
        <v>2747</v>
      </c>
      <c r="B2748" s="1">
        <v>4</v>
      </c>
      <c r="C2748" s="3">
        <v>4115270826600</v>
      </c>
      <c r="D2748" s="2">
        <v>44564.805555555555</v>
      </c>
      <c r="E2748" s="2">
        <v>44564.847222222219</v>
      </c>
      <c r="F2748" s="23">
        <f t="shared" si="126"/>
        <v>4.1666666664241347E-2</v>
      </c>
      <c r="G2748" s="24">
        <f t="shared" si="128"/>
        <v>300.0000000174623</v>
      </c>
      <c r="H2748" s="1" t="s">
        <v>1</v>
      </c>
      <c r="I2748" s="4" t="s">
        <v>3</v>
      </c>
      <c r="J2748" s="14">
        <v>0.80555555555555558</v>
      </c>
      <c r="K2748" s="20" t="str">
        <f t="shared" si="127"/>
        <v>2nd Shift</v>
      </c>
    </row>
    <row r="2749" spans="1:11" x14ac:dyDescent="0.25">
      <c r="A2749" s="1">
        <v>2748</v>
      </c>
      <c r="B2749" s="1">
        <v>3</v>
      </c>
      <c r="C2749" s="3">
        <v>3115270306400</v>
      </c>
      <c r="D2749" s="2">
        <v>44564.791666666664</v>
      </c>
      <c r="E2749" s="2">
        <v>44564.847222222219</v>
      </c>
      <c r="F2749" s="23">
        <f t="shared" si="126"/>
        <v>5.5555555554747116E-2</v>
      </c>
      <c r="G2749" s="24">
        <f t="shared" si="128"/>
        <v>225.00000000327418</v>
      </c>
      <c r="H2749" s="1" t="s">
        <v>1</v>
      </c>
      <c r="I2749" s="4" t="s">
        <v>3</v>
      </c>
      <c r="J2749" s="14">
        <v>0.79166666666666663</v>
      </c>
      <c r="K2749" s="20" t="str">
        <f t="shared" si="127"/>
        <v>2nd Shift</v>
      </c>
    </row>
    <row r="2750" spans="1:11" x14ac:dyDescent="0.25">
      <c r="A2750" s="1">
        <v>2749</v>
      </c>
      <c r="B2750" s="1">
        <v>10</v>
      </c>
      <c r="C2750" s="3">
        <v>10115271463200</v>
      </c>
      <c r="D2750" s="2">
        <v>44564.868055555555</v>
      </c>
      <c r="E2750" s="2">
        <v>44564.927083333336</v>
      </c>
      <c r="F2750" s="23">
        <f t="shared" si="126"/>
        <v>5.9027777781011537E-2</v>
      </c>
      <c r="G2750" s="24">
        <f t="shared" si="128"/>
        <v>211.7647058707517</v>
      </c>
      <c r="H2750" s="1" t="s">
        <v>1</v>
      </c>
      <c r="I2750" s="4" t="s">
        <v>4</v>
      </c>
      <c r="J2750" s="14">
        <v>0.86805555555555558</v>
      </c>
      <c r="K2750" s="20" t="str">
        <f t="shared" si="127"/>
        <v>2nd Shift</v>
      </c>
    </row>
    <row r="2751" spans="1:11" x14ac:dyDescent="0.25">
      <c r="A2751" s="1">
        <v>2750</v>
      </c>
      <c r="B2751" s="1">
        <v>5</v>
      </c>
      <c r="C2751" s="3">
        <v>5115270974400</v>
      </c>
      <c r="D2751" s="2">
        <v>44564.868055555555</v>
      </c>
      <c r="E2751" s="2">
        <v>44564.927083333336</v>
      </c>
      <c r="F2751" s="23">
        <f t="shared" si="126"/>
        <v>5.9027777781011537E-2</v>
      </c>
      <c r="G2751" s="24">
        <f t="shared" si="128"/>
        <v>211.7647058707517</v>
      </c>
      <c r="H2751" s="1" t="s">
        <v>1</v>
      </c>
      <c r="I2751" s="4" t="s">
        <v>2</v>
      </c>
      <c r="J2751" s="14">
        <v>0.86805555555555558</v>
      </c>
      <c r="K2751" s="20" t="str">
        <f t="shared" si="127"/>
        <v>2nd Shift</v>
      </c>
    </row>
    <row r="2752" spans="1:11" x14ac:dyDescent="0.25">
      <c r="A2752" s="1">
        <v>2751</v>
      </c>
      <c r="B2752" s="1">
        <v>13</v>
      </c>
      <c r="C2752" s="3">
        <v>13115271626901</v>
      </c>
      <c r="D2752" s="2">
        <v>44565.625</v>
      </c>
      <c r="E2752" s="2">
        <v>44565.770833333336</v>
      </c>
      <c r="F2752" s="23">
        <f t="shared" si="126"/>
        <v>0.14583333333575865</v>
      </c>
      <c r="G2752" s="24">
        <f t="shared" si="128"/>
        <v>85.714285712860217</v>
      </c>
      <c r="H2752" s="1" t="s">
        <v>1</v>
      </c>
      <c r="I2752" s="4" t="s">
        <v>4</v>
      </c>
      <c r="J2752" s="14">
        <v>0.625</v>
      </c>
      <c r="K2752" s="20" t="str">
        <f t="shared" si="127"/>
        <v>2nd Shift</v>
      </c>
    </row>
    <row r="2753" spans="1:11" x14ac:dyDescent="0.25">
      <c r="A2753" s="1">
        <v>2752</v>
      </c>
      <c r="B2753" s="1">
        <v>11</v>
      </c>
      <c r="C2753" s="3">
        <v>11115271051500</v>
      </c>
      <c r="D2753" s="2">
        <v>44565.625</v>
      </c>
      <c r="E2753" s="2">
        <v>44565.770833333336</v>
      </c>
      <c r="F2753" s="23">
        <f t="shared" si="126"/>
        <v>0.14583333333575865</v>
      </c>
      <c r="G2753" s="24">
        <f t="shared" si="128"/>
        <v>85.714285712860217</v>
      </c>
      <c r="H2753" s="1" t="s">
        <v>1</v>
      </c>
      <c r="I2753" s="4" t="s">
        <v>2</v>
      </c>
      <c r="J2753" s="14">
        <v>0.625</v>
      </c>
      <c r="K2753" s="20" t="str">
        <f t="shared" si="127"/>
        <v>2nd Shift</v>
      </c>
    </row>
    <row r="2754" spans="1:11" x14ac:dyDescent="0.25">
      <c r="A2754" s="1">
        <v>2753</v>
      </c>
      <c r="B2754" s="1">
        <v>7</v>
      </c>
      <c r="C2754" s="3">
        <v>7115271760800</v>
      </c>
      <c r="D2754" s="2">
        <v>44565.625</v>
      </c>
      <c r="E2754" s="2">
        <v>44565.770833333336</v>
      </c>
      <c r="F2754" s="23">
        <f t="shared" ref="F2754:F2817" si="129">E2754-D2754</f>
        <v>0.14583333333575865</v>
      </c>
      <c r="G2754" s="24">
        <f t="shared" si="128"/>
        <v>85.714285712860217</v>
      </c>
      <c r="H2754" s="1" t="s">
        <v>1</v>
      </c>
      <c r="I2754" s="4" t="s">
        <v>4</v>
      </c>
      <c r="J2754" s="14">
        <v>0.625</v>
      </c>
      <c r="K2754" s="20" t="str">
        <f t="shared" ref="K2754:K2817" si="130">IF(AND(J2754&gt;=$M$3,J2754&lt;$M$4),"1st Shift",IF(AND(J2754&gt;=$M$4,J2754&lt;$M$5),"2nd Shift","3rd Shift"))</f>
        <v>2nd Shift</v>
      </c>
    </row>
    <row r="2755" spans="1:11" x14ac:dyDescent="0.25">
      <c r="A2755" s="1">
        <v>2754</v>
      </c>
      <c r="B2755" s="1">
        <v>7</v>
      </c>
      <c r="C2755" s="3">
        <v>7115271753900</v>
      </c>
      <c r="D2755" s="2">
        <v>44565.625</v>
      </c>
      <c r="E2755" s="2">
        <v>44565.770833333336</v>
      </c>
      <c r="F2755" s="23">
        <f t="shared" si="129"/>
        <v>0.14583333333575865</v>
      </c>
      <c r="G2755" s="24">
        <f t="shared" ref="G2755:G2818" si="131">$M$9/F2755*100</f>
        <v>85.714285712860217</v>
      </c>
      <c r="H2755" s="1" t="s">
        <v>1</v>
      </c>
      <c r="I2755" s="4" t="s">
        <v>4</v>
      </c>
      <c r="J2755" s="14">
        <v>0.625</v>
      </c>
      <c r="K2755" s="20" t="str">
        <f t="shared" si="130"/>
        <v>2nd Shift</v>
      </c>
    </row>
    <row r="2756" spans="1:11" x14ac:dyDescent="0.25">
      <c r="A2756" s="1">
        <v>2755</v>
      </c>
      <c r="B2756" s="1">
        <v>3</v>
      </c>
      <c r="C2756" s="3">
        <v>3115270421200</v>
      </c>
      <c r="D2756" s="2">
        <v>44566.947916666664</v>
      </c>
      <c r="E2756" s="2">
        <v>44567.020833333336</v>
      </c>
      <c r="F2756" s="23">
        <f t="shared" si="129"/>
        <v>7.2916666671517305E-2</v>
      </c>
      <c r="G2756" s="24">
        <f t="shared" si="131"/>
        <v>171.42857141716746</v>
      </c>
      <c r="H2756" s="1" t="s">
        <v>1</v>
      </c>
      <c r="I2756" s="4" t="s">
        <v>3</v>
      </c>
      <c r="J2756" s="14">
        <v>0.94791666666666663</v>
      </c>
      <c r="K2756" s="20" t="str">
        <f t="shared" si="130"/>
        <v>3rd Shift</v>
      </c>
    </row>
    <row r="2757" spans="1:11" x14ac:dyDescent="0.25">
      <c r="A2757" s="1">
        <v>2756</v>
      </c>
      <c r="B2757" s="1">
        <v>11</v>
      </c>
      <c r="C2757" s="3">
        <v>11115271508000</v>
      </c>
      <c r="D2757" s="2">
        <v>44565.958333333336</v>
      </c>
      <c r="E2757" s="2">
        <v>44566.166666666664</v>
      </c>
      <c r="F2757" s="23">
        <f t="shared" si="129"/>
        <v>0.20833333332848269</v>
      </c>
      <c r="G2757" s="24">
        <f t="shared" si="131"/>
        <v>60.000000001396984</v>
      </c>
      <c r="H2757" s="1" t="s">
        <v>1</v>
      </c>
      <c r="I2757" s="4" t="s">
        <v>2</v>
      </c>
      <c r="J2757" s="14">
        <v>0.95833333333333337</v>
      </c>
      <c r="K2757" s="20" t="str">
        <f t="shared" si="130"/>
        <v>3rd Shift</v>
      </c>
    </row>
    <row r="2758" spans="1:11" x14ac:dyDescent="0.25">
      <c r="A2758" s="1">
        <v>2757</v>
      </c>
      <c r="B2758" s="1">
        <v>10</v>
      </c>
      <c r="C2758" s="3">
        <v>10115271432506</v>
      </c>
      <c r="D2758" s="2">
        <v>44565.958333333336</v>
      </c>
      <c r="E2758" s="2">
        <v>44566.166666666664</v>
      </c>
      <c r="F2758" s="23">
        <f t="shared" si="129"/>
        <v>0.20833333332848269</v>
      </c>
      <c r="G2758" s="24">
        <f t="shared" si="131"/>
        <v>60.000000001396984</v>
      </c>
      <c r="H2758" s="1" t="s">
        <v>1</v>
      </c>
      <c r="I2758" s="4" t="s">
        <v>2</v>
      </c>
      <c r="J2758" s="14">
        <v>0.95833333333333337</v>
      </c>
      <c r="K2758" s="20" t="str">
        <f t="shared" si="130"/>
        <v>3rd Shift</v>
      </c>
    </row>
    <row r="2759" spans="1:11" x14ac:dyDescent="0.25">
      <c r="A2759" s="1">
        <v>2758</v>
      </c>
      <c r="B2759" s="1">
        <v>3</v>
      </c>
      <c r="C2759" s="3">
        <v>3115270420900</v>
      </c>
      <c r="D2759" s="2">
        <v>44565.958333333336</v>
      </c>
      <c r="E2759" s="2">
        <v>44566.166666666664</v>
      </c>
      <c r="F2759" s="23">
        <f t="shared" si="129"/>
        <v>0.20833333332848269</v>
      </c>
      <c r="G2759" s="24">
        <f t="shared" si="131"/>
        <v>60.000000001396984</v>
      </c>
      <c r="H2759" s="1" t="s">
        <v>1</v>
      </c>
      <c r="I2759" s="4" t="s">
        <v>3</v>
      </c>
      <c r="J2759" s="14">
        <v>0.95833333333333337</v>
      </c>
      <c r="K2759" s="20" t="str">
        <f t="shared" si="130"/>
        <v>3rd Shift</v>
      </c>
    </row>
    <row r="2760" spans="1:11" x14ac:dyDescent="0.25">
      <c r="A2760" s="1">
        <v>2759</v>
      </c>
      <c r="B2760" s="1">
        <v>3</v>
      </c>
      <c r="C2760" s="3">
        <v>3115270333202</v>
      </c>
      <c r="D2760" s="2">
        <v>44566.208333333336</v>
      </c>
      <c r="E2760" s="2">
        <v>44566.236111111109</v>
      </c>
      <c r="F2760" s="23">
        <f t="shared" si="129"/>
        <v>2.7777777773735579E-2</v>
      </c>
      <c r="G2760" s="24">
        <f t="shared" si="131"/>
        <v>450.00000006548362</v>
      </c>
      <c r="H2760" s="1" t="s">
        <v>1</v>
      </c>
      <c r="I2760" s="4" t="s">
        <v>2</v>
      </c>
      <c r="J2760" s="14">
        <v>0.20833333333333334</v>
      </c>
      <c r="K2760" s="20" t="str">
        <f t="shared" si="130"/>
        <v>3rd Shift</v>
      </c>
    </row>
    <row r="2761" spans="1:11" x14ac:dyDescent="0.25">
      <c r="A2761" s="1">
        <v>2760</v>
      </c>
      <c r="B2761" s="1">
        <v>14</v>
      </c>
      <c r="C2761" s="3">
        <v>14115271673603</v>
      </c>
      <c r="D2761" s="2">
        <v>44566.34375</v>
      </c>
      <c r="E2761" s="2">
        <v>44566.642361111109</v>
      </c>
      <c r="F2761" s="23">
        <f t="shared" si="129"/>
        <v>0.29861111110949423</v>
      </c>
      <c r="G2761" s="24">
        <f t="shared" si="131"/>
        <v>41.860465116505729</v>
      </c>
      <c r="H2761" s="1" t="s">
        <v>1</v>
      </c>
      <c r="I2761" s="4" t="s">
        <v>8</v>
      </c>
      <c r="J2761" s="14">
        <v>0.34375</v>
      </c>
      <c r="K2761" s="20" t="str">
        <f t="shared" si="130"/>
        <v>1st Shift</v>
      </c>
    </row>
    <row r="2762" spans="1:11" x14ac:dyDescent="0.25">
      <c r="A2762" s="1">
        <v>2761</v>
      </c>
      <c r="B2762" s="1">
        <v>13</v>
      </c>
      <c r="C2762" s="3">
        <v>13115271590603</v>
      </c>
      <c r="D2762" s="2">
        <v>44566.34375</v>
      </c>
      <c r="E2762" s="2">
        <v>44566.642361111109</v>
      </c>
      <c r="F2762" s="23">
        <f t="shared" si="129"/>
        <v>0.29861111110949423</v>
      </c>
      <c r="G2762" s="24">
        <f t="shared" si="131"/>
        <v>41.860465116505729</v>
      </c>
      <c r="H2762" s="1" t="s">
        <v>1</v>
      </c>
      <c r="I2762" s="4" t="s">
        <v>2</v>
      </c>
      <c r="J2762" s="14">
        <v>0.34375</v>
      </c>
      <c r="K2762" s="20" t="str">
        <f t="shared" si="130"/>
        <v>1st Shift</v>
      </c>
    </row>
    <row r="2763" spans="1:11" x14ac:dyDescent="0.25">
      <c r="A2763" s="1">
        <v>2762</v>
      </c>
      <c r="B2763" s="1">
        <v>12</v>
      </c>
      <c r="C2763" s="3">
        <v>12115271560116</v>
      </c>
      <c r="D2763" s="2">
        <v>44566.34375</v>
      </c>
      <c r="E2763" s="2">
        <v>44566.642361111109</v>
      </c>
      <c r="F2763" s="23">
        <f t="shared" si="129"/>
        <v>0.29861111110949423</v>
      </c>
      <c r="G2763" s="24">
        <f t="shared" si="131"/>
        <v>41.860465116505729</v>
      </c>
      <c r="H2763" s="1" t="s">
        <v>1</v>
      </c>
      <c r="I2763" s="4" t="s">
        <v>2</v>
      </c>
      <c r="J2763" s="14">
        <v>0.34375</v>
      </c>
      <c r="K2763" s="20" t="str">
        <f t="shared" si="130"/>
        <v>1st Shift</v>
      </c>
    </row>
    <row r="2764" spans="1:11" x14ac:dyDescent="0.25">
      <c r="A2764" s="1">
        <v>2763</v>
      </c>
      <c r="B2764" s="1">
        <v>6</v>
      </c>
      <c r="C2764" s="3">
        <v>6115271741302</v>
      </c>
      <c r="D2764" s="2">
        <v>44566.34375</v>
      </c>
      <c r="E2764" s="2">
        <v>44566.642361111109</v>
      </c>
      <c r="F2764" s="23">
        <f t="shared" si="129"/>
        <v>0.29861111110949423</v>
      </c>
      <c r="G2764" s="24">
        <f t="shared" si="131"/>
        <v>41.860465116505729</v>
      </c>
      <c r="H2764" s="1" t="s">
        <v>1</v>
      </c>
      <c r="I2764" s="4" t="s">
        <v>2</v>
      </c>
      <c r="J2764" s="14">
        <v>0.34375</v>
      </c>
      <c r="K2764" s="20" t="str">
        <f t="shared" si="130"/>
        <v>1st Shift</v>
      </c>
    </row>
    <row r="2765" spans="1:11" x14ac:dyDescent="0.25">
      <c r="A2765" s="1">
        <v>2764</v>
      </c>
      <c r="B2765" s="1">
        <v>10</v>
      </c>
      <c r="C2765" s="3">
        <v>10115271959200</v>
      </c>
      <c r="D2765" s="2">
        <v>44566.65625</v>
      </c>
      <c r="E2765" s="2">
        <v>44566.927083333336</v>
      </c>
      <c r="F2765" s="23">
        <f t="shared" si="129"/>
        <v>0.27083333333575865</v>
      </c>
      <c r="G2765" s="24">
        <f t="shared" si="131"/>
        <v>46.153846153432845</v>
      </c>
      <c r="H2765" s="1" t="s">
        <v>1</v>
      </c>
      <c r="I2765" s="4" t="s">
        <v>3</v>
      </c>
      <c r="J2765" s="14">
        <v>0.65625</v>
      </c>
      <c r="K2765" s="20" t="str">
        <f t="shared" si="130"/>
        <v>2nd Shift</v>
      </c>
    </row>
    <row r="2766" spans="1:11" x14ac:dyDescent="0.25">
      <c r="A2766" s="1">
        <v>2765</v>
      </c>
      <c r="B2766" s="1">
        <v>9</v>
      </c>
      <c r="C2766" s="3">
        <v>9115271935000</v>
      </c>
      <c r="D2766" s="2">
        <v>44566.65625</v>
      </c>
      <c r="E2766" s="2">
        <v>44566.927083333336</v>
      </c>
      <c r="F2766" s="23">
        <f t="shared" si="129"/>
        <v>0.27083333333575865</v>
      </c>
      <c r="G2766" s="24">
        <f t="shared" si="131"/>
        <v>46.153846153432845</v>
      </c>
      <c r="H2766" s="1" t="s">
        <v>1</v>
      </c>
      <c r="I2766" s="4" t="s">
        <v>3</v>
      </c>
      <c r="J2766" s="14">
        <v>0.65625</v>
      </c>
      <c r="K2766" s="20" t="str">
        <f t="shared" si="130"/>
        <v>2nd Shift</v>
      </c>
    </row>
    <row r="2767" spans="1:11" x14ac:dyDescent="0.25">
      <c r="A2767" s="1">
        <v>2766</v>
      </c>
      <c r="B2767" s="1">
        <v>8</v>
      </c>
      <c r="C2767" s="3">
        <v>8115271857400</v>
      </c>
      <c r="D2767" s="2">
        <v>44566.65625</v>
      </c>
      <c r="E2767" s="2">
        <v>44566.927083333336</v>
      </c>
      <c r="F2767" s="23">
        <f t="shared" si="129"/>
        <v>0.27083333333575865</v>
      </c>
      <c r="G2767" s="24">
        <f t="shared" si="131"/>
        <v>46.153846153432845</v>
      </c>
      <c r="H2767" s="1" t="s">
        <v>1</v>
      </c>
      <c r="I2767" s="4" t="s">
        <v>2</v>
      </c>
      <c r="J2767" s="14">
        <v>0.65625</v>
      </c>
      <c r="K2767" s="20" t="str">
        <f t="shared" si="130"/>
        <v>2nd Shift</v>
      </c>
    </row>
    <row r="2768" spans="1:11" x14ac:dyDescent="0.25">
      <c r="A2768" s="1">
        <v>2767</v>
      </c>
      <c r="B2768" s="1">
        <v>8</v>
      </c>
      <c r="C2768" s="3">
        <v>8115270613600</v>
      </c>
      <c r="D2768" s="2">
        <v>44566.65625</v>
      </c>
      <c r="E2768" s="2">
        <v>44566.927083333336</v>
      </c>
      <c r="F2768" s="23">
        <f t="shared" si="129"/>
        <v>0.27083333333575865</v>
      </c>
      <c r="G2768" s="24">
        <f t="shared" si="131"/>
        <v>46.153846153432845</v>
      </c>
      <c r="H2768" s="1" t="s">
        <v>1</v>
      </c>
      <c r="I2768" s="4" t="s">
        <v>2</v>
      </c>
      <c r="J2768" s="14">
        <v>0.65625</v>
      </c>
      <c r="K2768" s="20" t="str">
        <f t="shared" si="130"/>
        <v>2nd Shift</v>
      </c>
    </row>
    <row r="2769" spans="1:11" x14ac:dyDescent="0.25">
      <c r="A2769" s="1">
        <v>2768</v>
      </c>
      <c r="B2769" s="1">
        <v>7</v>
      </c>
      <c r="C2769" s="3">
        <v>7115271760600</v>
      </c>
      <c r="D2769" s="2">
        <v>44566.65625</v>
      </c>
      <c r="E2769" s="2">
        <v>44566.927083333336</v>
      </c>
      <c r="F2769" s="23">
        <f t="shared" si="129"/>
        <v>0.27083333333575865</v>
      </c>
      <c r="G2769" s="24">
        <f t="shared" si="131"/>
        <v>46.153846153432845</v>
      </c>
      <c r="H2769" s="1" t="s">
        <v>1</v>
      </c>
      <c r="I2769" s="4" t="s">
        <v>3</v>
      </c>
      <c r="J2769" s="14">
        <v>0.65625</v>
      </c>
      <c r="K2769" s="20" t="str">
        <f t="shared" si="130"/>
        <v>2nd Shift</v>
      </c>
    </row>
    <row r="2770" spans="1:11" x14ac:dyDescent="0.25">
      <c r="A2770" s="1">
        <v>2769</v>
      </c>
      <c r="B2770" s="1">
        <v>4</v>
      </c>
      <c r="C2770" s="3">
        <v>4115270875301</v>
      </c>
      <c r="D2770" s="2">
        <v>44566.65625</v>
      </c>
      <c r="E2770" s="2">
        <v>44566.927083333336</v>
      </c>
      <c r="F2770" s="23">
        <f t="shared" si="129"/>
        <v>0.27083333333575865</v>
      </c>
      <c r="G2770" s="24">
        <f t="shared" si="131"/>
        <v>46.153846153432845</v>
      </c>
      <c r="H2770" s="1" t="s">
        <v>1</v>
      </c>
      <c r="I2770" s="4" t="s">
        <v>3</v>
      </c>
      <c r="J2770" s="14">
        <v>0.65625</v>
      </c>
      <c r="K2770" s="20" t="str">
        <f t="shared" si="130"/>
        <v>2nd Shift</v>
      </c>
    </row>
    <row r="2771" spans="1:11" x14ac:dyDescent="0.25">
      <c r="A2771" s="1">
        <v>2770</v>
      </c>
      <c r="B2771" s="1">
        <v>1</v>
      </c>
      <c r="C2771" s="3">
        <v>1115270052200</v>
      </c>
      <c r="D2771" s="2">
        <v>44566.65625</v>
      </c>
      <c r="E2771" s="2">
        <v>44566.927083333336</v>
      </c>
      <c r="F2771" s="23">
        <f t="shared" si="129"/>
        <v>0.27083333333575865</v>
      </c>
      <c r="G2771" s="24">
        <f t="shared" si="131"/>
        <v>46.153846153432845</v>
      </c>
      <c r="H2771" s="1" t="s">
        <v>1</v>
      </c>
      <c r="I2771" s="4" t="s">
        <v>3</v>
      </c>
      <c r="J2771" s="14">
        <v>0.65625</v>
      </c>
      <c r="K2771" s="20" t="str">
        <f t="shared" si="130"/>
        <v>2nd Shift</v>
      </c>
    </row>
    <row r="2772" spans="1:11" x14ac:dyDescent="0.25">
      <c r="A2772" s="1">
        <v>2771</v>
      </c>
      <c r="B2772" s="1">
        <v>13</v>
      </c>
      <c r="C2772" s="3">
        <v>13115271590401</v>
      </c>
      <c r="D2772" s="2">
        <v>44566.947916666664</v>
      </c>
      <c r="E2772" s="2">
        <v>44567.020833333336</v>
      </c>
      <c r="F2772" s="23">
        <f t="shared" si="129"/>
        <v>7.2916666671517305E-2</v>
      </c>
      <c r="G2772" s="24">
        <f t="shared" si="131"/>
        <v>171.42857141716746</v>
      </c>
      <c r="H2772" s="1" t="s">
        <v>1</v>
      </c>
      <c r="I2772" s="4" t="s">
        <v>8</v>
      </c>
      <c r="J2772" s="14">
        <v>0.94791666666666663</v>
      </c>
      <c r="K2772" s="20" t="str">
        <f t="shared" si="130"/>
        <v>3rd Shift</v>
      </c>
    </row>
    <row r="2773" spans="1:11" x14ac:dyDescent="0.25">
      <c r="A2773" s="1">
        <v>2772</v>
      </c>
      <c r="B2773" s="1">
        <v>11</v>
      </c>
      <c r="C2773" s="3">
        <v>11115271558106</v>
      </c>
      <c r="D2773" s="2">
        <v>44566.947916666664</v>
      </c>
      <c r="E2773" s="2">
        <v>44567.020833333336</v>
      </c>
      <c r="F2773" s="23">
        <f t="shared" si="129"/>
        <v>7.2916666671517305E-2</v>
      </c>
      <c r="G2773" s="24">
        <f t="shared" si="131"/>
        <v>171.42857141716746</v>
      </c>
      <c r="H2773" s="1" t="s">
        <v>1</v>
      </c>
      <c r="I2773" s="4" t="s">
        <v>8</v>
      </c>
      <c r="J2773" s="14">
        <v>0.94791666666666663</v>
      </c>
      <c r="K2773" s="20" t="str">
        <f t="shared" si="130"/>
        <v>3rd Shift</v>
      </c>
    </row>
    <row r="2774" spans="1:11" x14ac:dyDescent="0.25">
      <c r="A2774" s="1">
        <v>2773</v>
      </c>
      <c r="B2774" s="1">
        <v>12</v>
      </c>
      <c r="C2774" s="3">
        <v>12115271567396</v>
      </c>
      <c r="D2774" s="2">
        <v>44567.434027777781</v>
      </c>
      <c r="E2774" s="2">
        <v>44567.621527777781</v>
      </c>
      <c r="F2774" s="23">
        <f t="shared" si="129"/>
        <v>0.1875</v>
      </c>
      <c r="G2774" s="24">
        <f t="shared" si="131"/>
        <v>66.666666666666657</v>
      </c>
      <c r="H2774" s="1" t="s">
        <v>1</v>
      </c>
      <c r="I2774" s="4" t="s">
        <v>3</v>
      </c>
      <c r="J2774" s="14">
        <v>0.43402777777777779</v>
      </c>
      <c r="K2774" s="20" t="str">
        <f t="shared" si="130"/>
        <v>1st Shift</v>
      </c>
    </row>
    <row r="2775" spans="1:11" x14ac:dyDescent="0.25">
      <c r="A2775" s="1">
        <v>2774</v>
      </c>
      <c r="B2775" s="1">
        <v>10</v>
      </c>
      <c r="C2775" s="3">
        <v>10115271967500</v>
      </c>
      <c r="D2775" s="2">
        <v>44567.434027777781</v>
      </c>
      <c r="E2775" s="2">
        <v>44567.621527777781</v>
      </c>
      <c r="F2775" s="23">
        <f t="shared" si="129"/>
        <v>0.1875</v>
      </c>
      <c r="G2775" s="24">
        <f t="shared" si="131"/>
        <v>66.666666666666657</v>
      </c>
      <c r="H2775" s="1" t="s">
        <v>1</v>
      </c>
      <c r="I2775" s="4" t="s">
        <v>4</v>
      </c>
      <c r="J2775" s="14">
        <v>0.43402777777777779</v>
      </c>
      <c r="K2775" s="20" t="str">
        <f t="shared" si="130"/>
        <v>1st Shift</v>
      </c>
    </row>
    <row r="2776" spans="1:11" x14ac:dyDescent="0.25">
      <c r="A2776" s="1">
        <v>2775</v>
      </c>
      <c r="B2776" s="1">
        <v>7</v>
      </c>
      <c r="C2776" s="3">
        <v>7115271768107</v>
      </c>
      <c r="D2776" s="2">
        <v>44567.434027777781</v>
      </c>
      <c r="E2776" s="2">
        <v>44567.621527777781</v>
      </c>
      <c r="F2776" s="23">
        <f t="shared" si="129"/>
        <v>0.1875</v>
      </c>
      <c r="G2776" s="24">
        <f t="shared" si="131"/>
        <v>66.666666666666657</v>
      </c>
      <c r="H2776" s="1" t="s">
        <v>1</v>
      </c>
      <c r="I2776" s="4" t="s">
        <v>3</v>
      </c>
      <c r="J2776" s="14">
        <v>0.43402777777777779</v>
      </c>
      <c r="K2776" s="20" t="str">
        <f t="shared" si="130"/>
        <v>1st Shift</v>
      </c>
    </row>
    <row r="2777" spans="1:11" x14ac:dyDescent="0.25">
      <c r="A2777" s="1">
        <v>2776</v>
      </c>
      <c r="B2777" s="1">
        <v>5</v>
      </c>
      <c r="C2777" s="3">
        <v>5115271664800</v>
      </c>
      <c r="D2777" s="2">
        <v>44567.434027777781</v>
      </c>
      <c r="E2777" s="2">
        <v>44567.621527777781</v>
      </c>
      <c r="F2777" s="23">
        <f t="shared" si="129"/>
        <v>0.1875</v>
      </c>
      <c r="G2777" s="24">
        <f t="shared" si="131"/>
        <v>66.666666666666657</v>
      </c>
      <c r="H2777" s="1" t="s">
        <v>1</v>
      </c>
      <c r="I2777" s="4" t="s">
        <v>3</v>
      </c>
      <c r="J2777" s="14">
        <v>0.43402777777777779</v>
      </c>
      <c r="K2777" s="20" t="str">
        <f t="shared" si="130"/>
        <v>1st Shift</v>
      </c>
    </row>
    <row r="2778" spans="1:11" x14ac:dyDescent="0.25">
      <c r="A2778" s="1">
        <v>2777</v>
      </c>
      <c r="B2778" s="1">
        <v>3</v>
      </c>
      <c r="C2778" s="3">
        <v>3115270340802</v>
      </c>
      <c r="D2778" s="2">
        <v>44567.434027777781</v>
      </c>
      <c r="E2778" s="2">
        <v>44567.621527777781</v>
      </c>
      <c r="F2778" s="23">
        <f t="shared" si="129"/>
        <v>0.1875</v>
      </c>
      <c r="G2778" s="24">
        <f t="shared" si="131"/>
        <v>66.666666666666657</v>
      </c>
      <c r="H2778" s="1" t="s">
        <v>1</v>
      </c>
      <c r="I2778" s="4" t="s">
        <v>3</v>
      </c>
      <c r="J2778" s="14">
        <v>0.43402777777777779</v>
      </c>
      <c r="K2778" s="20" t="str">
        <f t="shared" si="130"/>
        <v>1st Shift</v>
      </c>
    </row>
    <row r="2779" spans="1:11" x14ac:dyDescent="0.25">
      <c r="A2779" s="1">
        <v>2778</v>
      </c>
      <c r="B2779" s="1">
        <v>14</v>
      </c>
      <c r="C2779" s="3">
        <v>14115271679700</v>
      </c>
      <c r="D2779" s="2">
        <v>44567.6875</v>
      </c>
      <c r="E2779" s="2">
        <v>44567.913194444445</v>
      </c>
      <c r="F2779" s="23">
        <f t="shared" si="129"/>
        <v>0.22569444444525288</v>
      </c>
      <c r="G2779" s="24">
        <f t="shared" si="131"/>
        <v>55.384615384416989</v>
      </c>
      <c r="H2779" s="1" t="s">
        <v>1</v>
      </c>
      <c r="I2779" s="4" t="s">
        <v>2</v>
      </c>
      <c r="J2779" s="14">
        <v>0.6875</v>
      </c>
      <c r="K2779" s="20" t="str">
        <f t="shared" si="130"/>
        <v>2nd Shift</v>
      </c>
    </row>
    <row r="2780" spans="1:11" x14ac:dyDescent="0.25">
      <c r="A2780" s="1">
        <v>2779</v>
      </c>
      <c r="B2780" s="1">
        <v>13</v>
      </c>
      <c r="C2780" s="3">
        <v>13115271641605</v>
      </c>
      <c r="D2780" s="2">
        <v>44567.6875</v>
      </c>
      <c r="E2780" s="2">
        <v>44567.913194444445</v>
      </c>
      <c r="F2780" s="23">
        <f t="shared" si="129"/>
        <v>0.22569444444525288</v>
      </c>
      <c r="G2780" s="24">
        <f t="shared" si="131"/>
        <v>55.384615384416989</v>
      </c>
      <c r="H2780" s="1" t="s">
        <v>1</v>
      </c>
      <c r="I2780" s="4" t="s">
        <v>2</v>
      </c>
      <c r="J2780" s="14">
        <v>0.6875</v>
      </c>
      <c r="K2780" s="20" t="str">
        <f t="shared" si="130"/>
        <v>2nd Shift</v>
      </c>
    </row>
    <row r="2781" spans="1:11" x14ac:dyDescent="0.25">
      <c r="A2781" s="1">
        <v>2780</v>
      </c>
      <c r="B2781" s="1">
        <v>13</v>
      </c>
      <c r="C2781" s="3">
        <v>13115271591805</v>
      </c>
      <c r="D2781" s="2">
        <v>44567.760416666664</v>
      </c>
      <c r="E2781" s="2">
        <v>44567.913194444445</v>
      </c>
      <c r="F2781" s="23">
        <f t="shared" si="129"/>
        <v>0.15277777778101154</v>
      </c>
      <c r="G2781" s="24">
        <f t="shared" si="131"/>
        <v>81.818181816450021</v>
      </c>
      <c r="H2781" s="1" t="s">
        <v>1</v>
      </c>
      <c r="I2781" s="4" t="s">
        <v>3</v>
      </c>
      <c r="J2781" s="14">
        <v>0.76041666666666663</v>
      </c>
      <c r="K2781" s="20" t="str">
        <f t="shared" si="130"/>
        <v>2nd Shift</v>
      </c>
    </row>
    <row r="2782" spans="1:11" x14ac:dyDescent="0.25">
      <c r="A2782" s="1">
        <v>2781</v>
      </c>
      <c r="B2782" s="1">
        <v>12</v>
      </c>
      <c r="C2782" s="3">
        <v>12115271561607</v>
      </c>
      <c r="D2782" s="2">
        <v>44567.6875</v>
      </c>
      <c r="E2782" s="2">
        <v>44567.913194444445</v>
      </c>
      <c r="F2782" s="23">
        <f t="shared" si="129"/>
        <v>0.22569444444525288</v>
      </c>
      <c r="G2782" s="24">
        <f t="shared" si="131"/>
        <v>55.384615384416989</v>
      </c>
      <c r="H2782" s="1" t="s">
        <v>1</v>
      </c>
      <c r="I2782" s="4" t="s">
        <v>2</v>
      </c>
      <c r="J2782" s="14">
        <v>0.6875</v>
      </c>
      <c r="K2782" s="20" t="str">
        <f t="shared" si="130"/>
        <v>2nd Shift</v>
      </c>
    </row>
    <row r="2783" spans="1:11" x14ac:dyDescent="0.25">
      <c r="A2783" s="1">
        <v>2782</v>
      </c>
      <c r="B2783" s="1">
        <v>11</v>
      </c>
      <c r="C2783" s="3">
        <v>11115271542801</v>
      </c>
      <c r="D2783" s="2">
        <v>44567.784722222219</v>
      </c>
      <c r="E2783" s="2">
        <v>44567.913194444445</v>
      </c>
      <c r="F2783" s="23">
        <f t="shared" si="129"/>
        <v>0.12847222222626442</v>
      </c>
      <c r="G2783" s="24">
        <f t="shared" si="131"/>
        <v>97.297297294235975</v>
      </c>
      <c r="H2783" s="1" t="s">
        <v>1</v>
      </c>
      <c r="I2783" s="4" t="s">
        <v>3</v>
      </c>
      <c r="J2783" s="14">
        <v>0.78472222222222221</v>
      </c>
      <c r="K2783" s="20" t="str">
        <f t="shared" si="130"/>
        <v>2nd Shift</v>
      </c>
    </row>
    <row r="2784" spans="1:11" x14ac:dyDescent="0.25">
      <c r="A2784" s="1">
        <v>2783</v>
      </c>
      <c r="B2784" s="1">
        <v>10</v>
      </c>
      <c r="C2784" s="3">
        <v>10115271966901</v>
      </c>
      <c r="D2784" s="2">
        <v>44567.6875</v>
      </c>
      <c r="E2784" s="2">
        <v>44567.913194444445</v>
      </c>
      <c r="F2784" s="23">
        <f t="shared" si="129"/>
        <v>0.22569444444525288</v>
      </c>
      <c r="G2784" s="24">
        <f t="shared" si="131"/>
        <v>55.384615384416989</v>
      </c>
      <c r="H2784" s="1" t="s">
        <v>1</v>
      </c>
      <c r="I2784" s="4" t="s">
        <v>2</v>
      </c>
      <c r="J2784" s="14">
        <v>0.6875</v>
      </c>
      <c r="K2784" s="20" t="str">
        <f t="shared" si="130"/>
        <v>2nd Shift</v>
      </c>
    </row>
    <row r="2785" spans="1:11" x14ac:dyDescent="0.25">
      <c r="A2785" s="1">
        <v>2784</v>
      </c>
      <c r="B2785" s="1">
        <v>10</v>
      </c>
      <c r="C2785" s="3">
        <v>10115271964800</v>
      </c>
      <c r="D2785" s="2">
        <v>44567.6875</v>
      </c>
      <c r="E2785" s="2">
        <v>44567.913194444445</v>
      </c>
      <c r="F2785" s="23">
        <f t="shared" si="129"/>
        <v>0.22569444444525288</v>
      </c>
      <c r="G2785" s="24">
        <f t="shared" si="131"/>
        <v>55.384615384416989</v>
      </c>
      <c r="H2785" s="1" t="s">
        <v>1</v>
      </c>
      <c r="I2785" s="4" t="s">
        <v>3</v>
      </c>
      <c r="J2785" s="14">
        <v>0.6875</v>
      </c>
      <c r="K2785" s="20" t="str">
        <f t="shared" si="130"/>
        <v>2nd Shift</v>
      </c>
    </row>
    <row r="2786" spans="1:11" x14ac:dyDescent="0.25">
      <c r="A2786" s="1">
        <v>2785</v>
      </c>
      <c r="B2786" s="1">
        <v>8</v>
      </c>
      <c r="C2786" s="3">
        <v>8115271820400</v>
      </c>
      <c r="D2786" s="2">
        <v>44567.6875</v>
      </c>
      <c r="E2786" s="2">
        <v>44567.913194444445</v>
      </c>
      <c r="F2786" s="23">
        <f t="shared" si="129"/>
        <v>0.22569444444525288</v>
      </c>
      <c r="G2786" s="24">
        <f t="shared" si="131"/>
        <v>55.384615384416989</v>
      </c>
      <c r="H2786" s="1" t="s">
        <v>1</v>
      </c>
      <c r="I2786" s="4" t="s">
        <v>2</v>
      </c>
      <c r="J2786" s="14">
        <v>0.6875</v>
      </c>
      <c r="K2786" s="20" t="str">
        <f t="shared" si="130"/>
        <v>2nd Shift</v>
      </c>
    </row>
    <row r="2787" spans="1:11" x14ac:dyDescent="0.25">
      <c r="A2787" s="1">
        <v>2786</v>
      </c>
      <c r="B2787" s="1">
        <v>4</v>
      </c>
      <c r="C2787" s="3">
        <v>4115270826800</v>
      </c>
      <c r="D2787" s="2">
        <v>44567.6875</v>
      </c>
      <c r="E2787" s="2">
        <v>44567.913194444445</v>
      </c>
      <c r="F2787" s="23">
        <f t="shared" si="129"/>
        <v>0.22569444444525288</v>
      </c>
      <c r="G2787" s="24">
        <f t="shared" si="131"/>
        <v>55.384615384416989</v>
      </c>
      <c r="H2787" s="1" t="s">
        <v>1</v>
      </c>
      <c r="I2787" s="4" t="s">
        <v>3</v>
      </c>
      <c r="J2787" s="14">
        <v>0.6875</v>
      </c>
      <c r="K2787" s="20" t="str">
        <f t="shared" si="130"/>
        <v>2nd Shift</v>
      </c>
    </row>
    <row r="2788" spans="1:11" x14ac:dyDescent="0.25">
      <c r="A2788" s="1">
        <v>2787</v>
      </c>
      <c r="B2788" s="1">
        <v>2</v>
      </c>
      <c r="C2788" s="3">
        <v>2115270254201</v>
      </c>
      <c r="D2788" s="2">
        <v>44567.822916666664</v>
      </c>
      <c r="E2788" s="2">
        <v>44567.913194444445</v>
      </c>
      <c r="F2788" s="23">
        <f t="shared" si="129"/>
        <v>9.0277777781011537E-2</v>
      </c>
      <c r="G2788" s="24">
        <f t="shared" si="131"/>
        <v>138.46153845657875</v>
      </c>
      <c r="H2788" s="1" t="s">
        <v>1</v>
      </c>
      <c r="I2788" s="4" t="s">
        <v>2</v>
      </c>
      <c r="J2788" s="14">
        <v>0.82291666666666663</v>
      </c>
      <c r="K2788" s="20" t="str">
        <f t="shared" si="130"/>
        <v>2nd Shift</v>
      </c>
    </row>
    <row r="2789" spans="1:11" x14ac:dyDescent="0.25">
      <c r="A2789" s="1">
        <v>2788</v>
      </c>
      <c r="B2789" s="1">
        <v>2</v>
      </c>
      <c r="C2789" s="3">
        <v>2115270253800</v>
      </c>
      <c r="D2789" s="2">
        <v>44567.822916666664</v>
      </c>
      <c r="E2789" s="2">
        <v>44567.913194444445</v>
      </c>
      <c r="F2789" s="23">
        <f t="shared" si="129"/>
        <v>9.0277777781011537E-2</v>
      </c>
      <c r="G2789" s="24">
        <f t="shared" si="131"/>
        <v>138.46153845657875</v>
      </c>
      <c r="H2789" s="1" t="s">
        <v>1</v>
      </c>
      <c r="I2789" s="4" t="s">
        <v>2</v>
      </c>
      <c r="J2789" s="14">
        <v>0.82291666666666663</v>
      </c>
      <c r="K2789" s="20" t="str">
        <f t="shared" si="130"/>
        <v>2nd Shift</v>
      </c>
    </row>
    <row r="2790" spans="1:11" x14ac:dyDescent="0.25">
      <c r="A2790" s="1">
        <v>2789</v>
      </c>
      <c r="B2790" s="1">
        <v>1</v>
      </c>
      <c r="C2790" s="3">
        <v>1115270126800</v>
      </c>
      <c r="D2790" s="2">
        <v>44567.6875</v>
      </c>
      <c r="E2790" s="2">
        <v>44567.913194444445</v>
      </c>
      <c r="F2790" s="23">
        <f t="shared" si="129"/>
        <v>0.22569444444525288</v>
      </c>
      <c r="G2790" s="24">
        <f t="shared" si="131"/>
        <v>55.384615384416989</v>
      </c>
      <c r="H2790" s="1" t="s">
        <v>1</v>
      </c>
      <c r="I2790" s="4" t="s">
        <v>3</v>
      </c>
      <c r="J2790" s="14">
        <v>0.6875</v>
      </c>
      <c r="K2790" s="20" t="str">
        <f t="shared" si="130"/>
        <v>2nd Shift</v>
      </c>
    </row>
    <row r="2791" spans="1:11" x14ac:dyDescent="0.25">
      <c r="A2791" s="1">
        <v>2790</v>
      </c>
      <c r="B2791" s="1">
        <v>3</v>
      </c>
      <c r="C2791" s="3">
        <v>3115270340802</v>
      </c>
      <c r="D2791" s="2">
        <v>44567.961805555555</v>
      </c>
      <c r="E2791" s="2">
        <v>44568.020833333336</v>
      </c>
      <c r="F2791" s="23">
        <f t="shared" si="129"/>
        <v>5.9027777781011537E-2</v>
      </c>
      <c r="G2791" s="24">
        <f t="shared" si="131"/>
        <v>211.7647058707517</v>
      </c>
      <c r="H2791" s="1" t="s">
        <v>1</v>
      </c>
      <c r="I2791" s="4" t="s">
        <v>2</v>
      </c>
      <c r="J2791" s="14">
        <v>0.96180555555555558</v>
      </c>
      <c r="K2791" s="20" t="str">
        <f t="shared" si="130"/>
        <v>3rd Shift</v>
      </c>
    </row>
    <row r="2792" spans="1:11" x14ac:dyDescent="0.25">
      <c r="A2792" s="1">
        <v>2791</v>
      </c>
      <c r="B2792" s="1">
        <v>1</v>
      </c>
      <c r="C2792" s="3">
        <v>1115270027501</v>
      </c>
      <c r="D2792" s="2">
        <v>44567.961805555555</v>
      </c>
      <c r="E2792" s="2">
        <v>44568.020833333336</v>
      </c>
      <c r="F2792" s="23">
        <f t="shared" si="129"/>
        <v>5.9027777781011537E-2</v>
      </c>
      <c r="G2792" s="24">
        <f t="shared" si="131"/>
        <v>211.7647058707517</v>
      </c>
      <c r="H2792" s="1" t="s">
        <v>1</v>
      </c>
      <c r="I2792" s="4" t="s">
        <v>2</v>
      </c>
      <c r="J2792" s="14">
        <v>0.96180555555555558</v>
      </c>
      <c r="K2792" s="20" t="str">
        <f t="shared" si="130"/>
        <v>3rd Shift</v>
      </c>
    </row>
    <row r="2793" spans="1:11" x14ac:dyDescent="0.25">
      <c r="A2793" s="1">
        <v>2792</v>
      </c>
      <c r="B2793" s="1">
        <v>15</v>
      </c>
      <c r="C2793" s="3">
        <v>15115271747300</v>
      </c>
      <c r="D2793" s="2">
        <v>44568.520833333336</v>
      </c>
      <c r="E2793" s="2">
        <v>44568.579861111109</v>
      </c>
      <c r="F2793" s="23">
        <f t="shared" si="129"/>
        <v>5.9027777773735579E-2</v>
      </c>
      <c r="G2793" s="24">
        <f t="shared" si="131"/>
        <v>211.76470589685451</v>
      </c>
      <c r="H2793" s="1" t="s">
        <v>1</v>
      </c>
      <c r="I2793" s="4" t="s">
        <v>2</v>
      </c>
      <c r="J2793" s="14">
        <v>0.52083333333333337</v>
      </c>
      <c r="K2793" s="20" t="str">
        <f t="shared" si="130"/>
        <v>1st Shift</v>
      </c>
    </row>
    <row r="2794" spans="1:11" x14ac:dyDescent="0.25">
      <c r="A2794" s="1">
        <v>2793</v>
      </c>
      <c r="B2794" s="1">
        <v>14</v>
      </c>
      <c r="C2794" s="3">
        <v>14115271672900</v>
      </c>
      <c r="D2794" s="2">
        <v>44568.40625</v>
      </c>
      <c r="E2794" s="2">
        <v>44568.579861111109</v>
      </c>
      <c r="F2794" s="23">
        <f t="shared" si="129"/>
        <v>0.17361111110949423</v>
      </c>
      <c r="G2794" s="24">
        <f t="shared" si="131"/>
        <v>72.000000000670553</v>
      </c>
      <c r="H2794" s="1" t="s">
        <v>1</v>
      </c>
      <c r="I2794" s="4" t="s">
        <v>2</v>
      </c>
      <c r="J2794" s="14">
        <v>0.40625</v>
      </c>
      <c r="K2794" s="20" t="str">
        <f t="shared" si="130"/>
        <v>1st Shift</v>
      </c>
    </row>
    <row r="2795" spans="1:11" x14ac:dyDescent="0.25">
      <c r="A2795" s="1">
        <v>2794</v>
      </c>
      <c r="B2795" s="1">
        <v>13</v>
      </c>
      <c r="C2795" s="3">
        <v>13115271617700</v>
      </c>
      <c r="D2795" s="2">
        <v>44568.520833333336</v>
      </c>
      <c r="E2795" s="2">
        <v>44568.579861111109</v>
      </c>
      <c r="F2795" s="23">
        <f t="shared" si="129"/>
        <v>5.9027777773735579E-2</v>
      </c>
      <c r="G2795" s="24">
        <f t="shared" si="131"/>
        <v>211.76470589685451</v>
      </c>
      <c r="H2795" s="1" t="s">
        <v>1</v>
      </c>
      <c r="I2795" s="4" t="s">
        <v>2</v>
      </c>
      <c r="J2795" s="14">
        <v>0.52083333333333337</v>
      </c>
      <c r="K2795" s="20" t="str">
        <f t="shared" si="130"/>
        <v>1st Shift</v>
      </c>
    </row>
    <row r="2796" spans="1:11" x14ac:dyDescent="0.25">
      <c r="A2796" s="1">
        <v>2795</v>
      </c>
      <c r="B2796" s="1">
        <v>12</v>
      </c>
      <c r="C2796" s="3">
        <v>12115271580900</v>
      </c>
      <c r="D2796" s="2">
        <v>44568.520833333336</v>
      </c>
      <c r="E2796" s="2">
        <v>44568.579861111109</v>
      </c>
      <c r="F2796" s="23">
        <f t="shared" si="129"/>
        <v>5.9027777773735579E-2</v>
      </c>
      <c r="G2796" s="24">
        <f t="shared" si="131"/>
        <v>211.76470589685451</v>
      </c>
      <c r="H2796" s="1" t="s">
        <v>1</v>
      </c>
      <c r="I2796" s="4" t="s">
        <v>3</v>
      </c>
      <c r="J2796" s="14">
        <v>0.52083333333333337</v>
      </c>
      <c r="K2796" s="20" t="str">
        <f t="shared" si="130"/>
        <v>1st Shift</v>
      </c>
    </row>
    <row r="2797" spans="1:11" x14ac:dyDescent="0.25">
      <c r="A2797" s="1">
        <v>2796</v>
      </c>
      <c r="B2797" s="1">
        <v>8</v>
      </c>
      <c r="C2797" s="3">
        <v>8115271820902</v>
      </c>
      <c r="D2797" s="2">
        <v>44568.479166666664</v>
      </c>
      <c r="E2797" s="2">
        <v>44568.579861111109</v>
      </c>
      <c r="F2797" s="23">
        <f t="shared" si="129"/>
        <v>0.10069444444525288</v>
      </c>
      <c r="G2797" s="24">
        <f t="shared" si="131"/>
        <v>124.1379310334861</v>
      </c>
      <c r="H2797" s="1" t="s">
        <v>1</v>
      </c>
      <c r="I2797" s="4" t="s">
        <v>3</v>
      </c>
      <c r="J2797" s="14">
        <v>0.47916666666666669</v>
      </c>
      <c r="K2797" s="20" t="str">
        <f t="shared" si="130"/>
        <v>1st Shift</v>
      </c>
    </row>
    <row r="2798" spans="1:11" x14ac:dyDescent="0.25">
      <c r="A2798" s="1">
        <v>2797</v>
      </c>
      <c r="B2798" s="1">
        <v>7</v>
      </c>
      <c r="C2798" s="3">
        <v>7115271769700</v>
      </c>
      <c r="D2798" s="2">
        <v>44568.479166666664</v>
      </c>
      <c r="E2798" s="2">
        <v>44568.579861111109</v>
      </c>
      <c r="F2798" s="23">
        <f t="shared" si="129"/>
        <v>0.10069444444525288</v>
      </c>
      <c r="G2798" s="24">
        <f t="shared" si="131"/>
        <v>124.1379310334861</v>
      </c>
      <c r="H2798" s="1" t="s">
        <v>1</v>
      </c>
      <c r="I2798" s="4" t="s">
        <v>2</v>
      </c>
      <c r="J2798" s="14">
        <v>0.47916666666666669</v>
      </c>
      <c r="K2798" s="20" t="str">
        <f t="shared" si="130"/>
        <v>1st Shift</v>
      </c>
    </row>
    <row r="2799" spans="1:11" x14ac:dyDescent="0.25">
      <c r="A2799" s="1">
        <v>2798</v>
      </c>
      <c r="B2799" s="1">
        <v>6</v>
      </c>
      <c r="C2799" s="3">
        <v>6115271717221</v>
      </c>
      <c r="D2799" s="2">
        <v>44568.40625</v>
      </c>
      <c r="E2799" s="2">
        <v>44568.579861111109</v>
      </c>
      <c r="F2799" s="23">
        <f t="shared" si="129"/>
        <v>0.17361111110949423</v>
      </c>
      <c r="G2799" s="24">
        <f t="shared" si="131"/>
        <v>72.000000000670553</v>
      </c>
      <c r="H2799" s="1" t="s">
        <v>1</v>
      </c>
      <c r="I2799" s="4" t="s">
        <v>8</v>
      </c>
      <c r="J2799" s="14">
        <v>0.40625</v>
      </c>
      <c r="K2799" s="20" t="str">
        <f t="shared" si="130"/>
        <v>1st Shift</v>
      </c>
    </row>
    <row r="2800" spans="1:11" x14ac:dyDescent="0.25">
      <c r="A2800" s="1">
        <v>2799</v>
      </c>
      <c r="B2800" s="1">
        <v>5</v>
      </c>
      <c r="C2800" s="3">
        <v>5115271685512</v>
      </c>
      <c r="D2800" s="2">
        <v>44568.520833333336</v>
      </c>
      <c r="E2800" s="2">
        <v>44568.579861111109</v>
      </c>
      <c r="F2800" s="23">
        <f t="shared" si="129"/>
        <v>5.9027777773735579E-2</v>
      </c>
      <c r="G2800" s="24">
        <f t="shared" si="131"/>
        <v>211.76470589685451</v>
      </c>
      <c r="H2800" s="1" t="s">
        <v>1</v>
      </c>
      <c r="I2800" s="4" t="s">
        <v>2</v>
      </c>
      <c r="J2800" s="14">
        <v>0.52083333333333337</v>
      </c>
      <c r="K2800" s="20" t="str">
        <f t="shared" si="130"/>
        <v>1st Shift</v>
      </c>
    </row>
    <row r="2801" spans="1:11" x14ac:dyDescent="0.25">
      <c r="A2801" s="1">
        <v>2800</v>
      </c>
      <c r="B2801" s="1">
        <v>5</v>
      </c>
      <c r="C2801" s="3">
        <v>5115271676300</v>
      </c>
      <c r="D2801" s="2">
        <v>44568.40625</v>
      </c>
      <c r="E2801" s="2">
        <v>44568.579861111109</v>
      </c>
      <c r="F2801" s="23">
        <f t="shared" si="129"/>
        <v>0.17361111110949423</v>
      </c>
      <c r="G2801" s="24">
        <f t="shared" si="131"/>
        <v>72.000000000670553</v>
      </c>
      <c r="H2801" s="1" t="s">
        <v>1</v>
      </c>
      <c r="I2801" s="4" t="s">
        <v>2</v>
      </c>
      <c r="J2801" s="14">
        <v>0.40625</v>
      </c>
      <c r="K2801" s="20" t="str">
        <f t="shared" si="130"/>
        <v>1st Shift</v>
      </c>
    </row>
    <row r="2802" spans="1:11" x14ac:dyDescent="0.25">
      <c r="A2802" s="1">
        <v>2801</v>
      </c>
      <c r="B2802" s="1">
        <v>2</v>
      </c>
      <c r="C2802" s="3">
        <v>2115270229901</v>
      </c>
      <c r="D2802" s="2">
        <v>44568.510416666664</v>
      </c>
      <c r="E2802" s="2">
        <v>44568.579861111109</v>
      </c>
      <c r="F2802" s="23">
        <f t="shared" si="129"/>
        <v>6.9444444445252884E-2</v>
      </c>
      <c r="G2802" s="24">
        <f t="shared" si="131"/>
        <v>179.99999999790452</v>
      </c>
      <c r="H2802" s="1" t="s">
        <v>1</v>
      </c>
      <c r="I2802" s="4" t="s">
        <v>3</v>
      </c>
      <c r="J2802" s="14">
        <v>0.51041666666666663</v>
      </c>
      <c r="K2802" s="20" t="str">
        <f t="shared" si="130"/>
        <v>1st Shift</v>
      </c>
    </row>
    <row r="2803" spans="1:11" x14ac:dyDescent="0.25">
      <c r="A2803" s="1">
        <v>2802</v>
      </c>
      <c r="B2803" s="1">
        <v>1</v>
      </c>
      <c r="C2803" s="3">
        <v>1115270143200</v>
      </c>
      <c r="D2803" s="2">
        <v>44568.510416666664</v>
      </c>
      <c r="E2803" s="2">
        <v>44568.579861111109</v>
      </c>
      <c r="F2803" s="23">
        <f t="shared" si="129"/>
        <v>6.9444444445252884E-2</v>
      </c>
      <c r="G2803" s="24">
        <f t="shared" si="131"/>
        <v>179.99999999790452</v>
      </c>
      <c r="H2803" s="1" t="s">
        <v>1</v>
      </c>
      <c r="I2803" s="4" t="s">
        <v>3</v>
      </c>
      <c r="J2803" s="14">
        <v>0.51041666666666663</v>
      </c>
      <c r="K2803" s="20" t="str">
        <f t="shared" si="130"/>
        <v>1st Shift</v>
      </c>
    </row>
    <row r="2804" spans="1:11" x14ac:dyDescent="0.25">
      <c r="A2804" s="1">
        <v>2803</v>
      </c>
      <c r="B2804" s="1">
        <v>1</v>
      </c>
      <c r="C2804" s="3">
        <v>1115270040900</v>
      </c>
      <c r="D2804" s="2">
        <v>44568.40625</v>
      </c>
      <c r="E2804" s="2">
        <v>44568.579861111109</v>
      </c>
      <c r="F2804" s="23">
        <f t="shared" si="129"/>
        <v>0.17361111110949423</v>
      </c>
      <c r="G2804" s="24">
        <f t="shared" si="131"/>
        <v>72.000000000670553</v>
      </c>
      <c r="H2804" s="1" t="s">
        <v>1</v>
      </c>
      <c r="I2804" s="4" t="s">
        <v>2</v>
      </c>
      <c r="J2804" s="14">
        <v>0.40625</v>
      </c>
      <c r="K2804" s="20" t="str">
        <f t="shared" si="130"/>
        <v>1st Shift</v>
      </c>
    </row>
    <row r="2805" spans="1:11" x14ac:dyDescent="0.25">
      <c r="A2805" s="1">
        <v>2804</v>
      </c>
      <c r="B2805" s="1">
        <v>14</v>
      </c>
      <c r="C2805" s="3">
        <v>14115271677302</v>
      </c>
      <c r="D2805" s="2">
        <v>44568.885416666664</v>
      </c>
      <c r="E2805" s="2">
        <v>44568.909722222219</v>
      </c>
      <c r="F2805" s="23">
        <f t="shared" si="129"/>
        <v>2.4305555554747116E-2</v>
      </c>
      <c r="G2805" s="24">
        <f t="shared" si="131"/>
        <v>514.28571430282022</v>
      </c>
      <c r="H2805" s="1" t="s">
        <v>1</v>
      </c>
      <c r="I2805" s="4" t="s">
        <v>2</v>
      </c>
      <c r="J2805" s="14">
        <v>0.88541666666666663</v>
      </c>
      <c r="K2805" s="20" t="str">
        <f t="shared" si="130"/>
        <v>2nd Shift</v>
      </c>
    </row>
    <row r="2806" spans="1:11" x14ac:dyDescent="0.25">
      <c r="A2806" s="1">
        <v>2805</v>
      </c>
      <c r="B2806" s="1">
        <v>11</v>
      </c>
      <c r="C2806" s="3">
        <v>11115271469504</v>
      </c>
      <c r="D2806" s="2">
        <v>44568.673611111109</v>
      </c>
      <c r="E2806" s="2">
        <v>44568.909722222219</v>
      </c>
      <c r="F2806" s="23">
        <f t="shared" si="129"/>
        <v>0.23611111110949423</v>
      </c>
      <c r="G2806" s="24">
        <f t="shared" si="131"/>
        <v>52.941176470950779</v>
      </c>
      <c r="H2806" s="1" t="s">
        <v>1</v>
      </c>
      <c r="I2806" s="4" t="s">
        <v>2</v>
      </c>
      <c r="J2806" s="14">
        <v>0.67361111111111116</v>
      </c>
      <c r="K2806" s="20" t="str">
        <f t="shared" si="130"/>
        <v>2nd Shift</v>
      </c>
    </row>
    <row r="2807" spans="1:11" x14ac:dyDescent="0.25">
      <c r="A2807" s="1">
        <v>2806</v>
      </c>
      <c r="B2807" s="1">
        <v>9</v>
      </c>
      <c r="C2807" s="3">
        <v>9115271953902</v>
      </c>
      <c r="D2807" s="2">
        <v>44568.673611111109</v>
      </c>
      <c r="E2807" s="2">
        <v>44568.909722222219</v>
      </c>
      <c r="F2807" s="23">
        <f t="shared" si="129"/>
        <v>0.23611111110949423</v>
      </c>
      <c r="G2807" s="24">
        <f t="shared" si="131"/>
        <v>52.941176470950779</v>
      </c>
      <c r="H2807" s="1" t="s">
        <v>1</v>
      </c>
      <c r="I2807" s="4" t="s">
        <v>2</v>
      </c>
      <c r="J2807" s="14">
        <v>0.67361111111111116</v>
      </c>
      <c r="K2807" s="20" t="str">
        <f t="shared" si="130"/>
        <v>2nd Shift</v>
      </c>
    </row>
    <row r="2808" spans="1:11" x14ac:dyDescent="0.25">
      <c r="A2808" s="1">
        <v>2807</v>
      </c>
      <c r="B2808" s="1">
        <v>9</v>
      </c>
      <c r="C2808" s="3">
        <v>9115271952901</v>
      </c>
      <c r="D2808" s="2">
        <v>44568.673611111109</v>
      </c>
      <c r="E2808" s="2">
        <v>44568.909722222219</v>
      </c>
      <c r="F2808" s="23">
        <f t="shared" si="129"/>
        <v>0.23611111110949423</v>
      </c>
      <c r="G2808" s="24">
        <f t="shared" si="131"/>
        <v>52.941176470950779</v>
      </c>
      <c r="H2808" s="1" t="s">
        <v>1</v>
      </c>
      <c r="I2808" s="4" t="s">
        <v>2</v>
      </c>
      <c r="J2808" s="14">
        <v>0.67361111111111116</v>
      </c>
      <c r="K2808" s="20" t="str">
        <f t="shared" si="130"/>
        <v>2nd Shift</v>
      </c>
    </row>
    <row r="2809" spans="1:11" x14ac:dyDescent="0.25">
      <c r="A2809" s="1">
        <v>2808</v>
      </c>
      <c r="B2809" s="1">
        <v>9</v>
      </c>
      <c r="C2809" s="3">
        <v>9115271931600</v>
      </c>
      <c r="D2809" s="2">
        <v>44568.673611111109</v>
      </c>
      <c r="E2809" s="2">
        <v>44568.909722222219</v>
      </c>
      <c r="F2809" s="23">
        <f t="shared" si="129"/>
        <v>0.23611111110949423</v>
      </c>
      <c r="G2809" s="24">
        <f t="shared" si="131"/>
        <v>52.941176470950779</v>
      </c>
      <c r="H2809" s="1" t="s">
        <v>1</v>
      </c>
      <c r="I2809" s="4" t="s">
        <v>2</v>
      </c>
      <c r="J2809" s="14">
        <v>0.67361111111111116</v>
      </c>
      <c r="K2809" s="20" t="str">
        <f t="shared" si="130"/>
        <v>2nd Shift</v>
      </c>
    </row>
    <row r="2810" spans="1:11" x14ac:dyDescent="0.25">
      <c r="A2810" s="1">
        <v>2809</v>
      </c>
      <c r="B2810" s="1">
        <v>7</v>
      </c>
      <c r="C2810" s="3">
        <v>7115271761101</v>
      </c>
      <c r="D2810" s="2">
        <v>44568.673611111109</v>
      </c>
      <c r="E2810" s="2">
        <v>44568.909722222219</v>
      </c>
      <c r="F2810" s="23">
        <f t="shared" si="129"/>
        <v>0.23611111110949423</v>
      </c>
      <c r="G2810" s="24">
        <f t="shared" si="131"/>
        <v>52.941176470950779</v>
      </c>
      <c r="H2810" s="1" t="s">
        <v>1</v>
      </c>
      <c r="I2810" s="4" t="s">
        <v>2</v>
      </c>
      <c r="J2810" s="14">
        <v>0.67361111111111116</v>
      </c>
      <c r="K2810" s="20" t="str">
        <f t="shared" si="130"/>
        <v>2nd Shift</v>
      </c>
    </row>
    <row r="2811" spans="1:11" x14ac:dyDescent="0.25">
      <c r="A2811" s="1">
        <v>2810</v>
      </c>
      <c r="B2811" s="1">
        <v>2</v>
      </c>
      <c r="C2811" s="3">
        <v>2115270274400</v>
      </c>
      <c r="D2811" s="2">
        <v>44568.673611111109</v>
      </c>
      <c r="E2811" s="2">
        <v>44568.909722222219</v>
      </c>
      <c r="F2811" s="23">
        <f t="shared" si="129"/>
        <v>0.23611111110949423</v>
      </c>
      <c r="G2811" s="24">
        <f t="shared" si="131"/>
        <v>52.941176470950779</v>
      </c>
      <c r="H2811" s="1" t="s">
        <v>1</v>
      </c>
      <c r="I2811" s="4" t="s">
        <v>2</v>
      </c>
      <c r="J2811" s="14">
        <v>0.67361111111111116</v>
      </c>
      <c r="K2811" s="20" t="str">
        <f t="shared" si="130"/>
        <v>2nd Shift</v>
      </c>
    </row>
    <row r="2812" spans="1:11" x14ac:dyDescent="0.25">
      <c r="A2812" s="1">
        <v>2811</v>
      </c>
      <c r="B2812" s="1">
        <v>12</v>
      </c>
      <c r="C2812" s="3">
        <v>12115271573218</v>
      </c>
      <c r="D2812" s="2">
        <v>44568.979166666664</v>
      </c>
      <c r="E2812" s="2">
        <v>44569.0625</v>
      </c>
      <c r="F2812" s="23">
        <f t="shared" si="129"/>
        <v>8.3333333335758653E-2</v>
      </c>
      <c r="G2812" s="24">
        <f t="shared" si="131"/>
        <v>149.99999999563443</v>
      </c>
      <c r="H2812" s="1" t="s">
        <v>1</v>
      </c>
      <c r="I2812" s="4" t="s">
        <v>3</v>
      </c>
      <c r="J2812" s="14">
        <v>0.97916666666666663</v>
      </c>
      <c r="K2812" s="20" t="str">
        <f t="shared" si="130"/>
        <v>3rd Shift</v>
      </c>
    </row>
    <row r="2813" spans="1:11" x14ac:dyDescent="0.25">
      <c r="A2813" s="1">
        <v>2812</v>
      </c>
      <c r="B2813" s="1">
        <v>7</v>
      </c>
      <c r="C2813" s="3">
        <v>7115271761001</v>
      </c>
      <c r="D2813" s="2">
        <v>44568.979166666664</v>
      </c>
      <c r="E2813" s="2">
        <v>44569.0625</v>
      </c>
      <c r="F2813" s="23">
        <f t="shared" si="129"/>
        <v>8.3333333335758653E-2</v>
      </c>
      <c r="G2813" s="24">
        <f t="shared" si="131"/>
        <v>149.99999999563443</v>
      </c>
      <c r="H2813" s="1" t="s">
        <v>1</v>
      </c>
      <c r="I2813" s="4" t="s">
        <v>2</v>
      </c>
      <c r="J2813" s="14">
        <v>0.97916666666666663</v>
      </c>
      <c r="K2813" s="20" t="str">
        <f t="shared" si="130"/>
        <v>3rd Shift</v>
      </c>
    </row>
    <row r="2814" spans="1:11" x14ac:dyDescent="0.25">
      <c r="A2814" s="1">
        <v>2813</v>
      </c>
      <c r="B2814" s="1">
        <v>1</v>
      </c>
      <c r="C2814" s="3">
        <v>1115270101400</v>
      </c>
      <c r="D2814" s="2">
        <v>44568.979166666664</v>
      </c>
      <c r="E2814" s="2">
        <v>44569.0625</v>
      </c>
      <c r="F2814" s="23">
        <f t="shared" si="129"/>
        <v>8.3333333335758653E-2</v>
      </c>
      <c r="G2814" s="24">
        <f t="shared" si="131"/>
        <v>149.99999999563443</v>
      </c>
      <c r="H2814" s="1" t="s">
        <v>1</v>
      </c>
      <c r="I2814" s="4" t="s">
        <v>3</v>
      </c>
      <c r="J2814" s="14">
        <v>0.97916666666666663</v>
      </c>
      <c r="K2814" s="20" t="str">
        <f t="shared" si="130"/>
        <v>3rd Shift</v>
      </c>
    </row>
    <row r="2815" spans="1:11" x14ac:dyDescent="0.25">
      <c r="A2815" s="1">
        <v>2814</v>
      </c>
      <c r="B2815" s="1">
        <v>12</v>
      </c>
      <c r="C2815" s="3">
        <v>12115271580605</v>
      </c>
      <c r="D2815" s="2">
        <v>44569.375</v>
      </c>
      <c r="E2815" s="2">
        <v>44569.520833333336</v>
      </c>
      <c r="F2815" s="23">
        <f t="shared" si="129"/>
        <v>0.14583333333575865</v>
      </c>
      <c r="G2815" s="24">
        <f t="shared" si="131"/>
        <v>85.714285712860217</v>
      </c>
      <c r="H2815" s="1" t="s">
        <v>1</v>
      </c>
      <c r="I2815" s="4" t="s">
        <v>2</v>
      </c>
      <c r="J2815" s="14">
        <v>0.375</v>
      </c>
      <c r="K2815" s="20" t="str">
        <f t="shared" si="130"/>
        <v>1st Shift</v>
      </c>
    </row>
    <row r="2816" spans="1:11" x14ac:dyDescent="0.25">
      <c r="A2816" s="1">
        <v>2815</v>
      </c>
      <c r="B2816" s="1">
        <v>8</v>
      </c>
      <c r="C2816" s="3">
        <v>8115271809905</v>
      </c>
      <c r="D2816" s="2">
        <v>44569.375</v>
      </c>
      <c r="E2816" s="2">
        <v>44569.520833333336</v>
      </c>
      <c r="F2816" s="23">
        <f t="shared" si="129"/>
        <v>0.14583333333575865</v>
      </c>
      <c r="G2816" s="24">
        <f t="shared" si="131"/>
        <v>85.714285712860217</v>
      </c>
      <c r="H2816" s="1" t="s">
        <v>1</v>
      </c>
      <c r="I2816" s="4" t="s">
        <v>4</v>
      </c>
      <c r="J2816" s="14">
        <v>0.375</v>
      </c>
      <c r="K2816" s="20" t="str">
        <f t="shared" si="130"/>
        <v>1st Shift</v>
      </c>
    </row>
    <row r="2817" spans="1:11" x14ac:dyDescent="0.25">
      <c r="A2817" s="1">
        <v>2816</v>
      </c>
      <c r="B2817" s="1">
        <v>6</v>
      </c>
      <c r="C2817" s="3">
        <v>6115271751105</v>
      </c>
      <c r="D2817" s="2">
        <v>44569.375</v>
      </c>
      <c r="E2817" s="2">
        <v>44569.520833333336</v>
      </c>
      <c r="F2817" s="23">
        <f t="shared" si="129"/>
        <v>0.14583333333575865</v>
      </c>
      <c r="G2817" s="24">
        <f t="shared" si="131"/>
        <v>85.714285712860217</v>
      </c>
      <c r="H2817" s="1" t="s">
        <v>1</v>
      </c>
      <c r="I2817" s="4" t="s">
        <v>2</v>
      </c>
      <c r="J2817" s="14">
        <v>0.375</v>
      </c>
      <c r="K2817" s="20" t="str">
        <f t="shared" si="130"/>
        <v>1st Shift</v>
      </c>
    </row>
    <row r="2818" spans="1:11" x14ac:dyDescent="0.25">
      <c r="A2818" s="1">
        <v>2817</v>
      </c>
      <c r="B2818" s="1">
        <v>5</v>
      </c>
      <c r="C2818" s="3">
        <v>5115271676402</v>
      </c>
      <c r="D2818" s="2">
        <v>44569.375</v>
      </c>
      <c r="E2818" s="2">
        <v>44569.520833333336</v>
      </c>
      <c r="F2818" s="23">
        <f t="shared" ref="F2818:F2881" si="132">E2818-D2818</f>
        <v>0.14583333333575865</v>
      </c>
      <c r="G2818" s="24">
        <f t="shared" si="131"/>
        <v>85.714285712860217</v>
      </c>
      <c r="H2818" s="1" t="s">
        <v>1</v>
      </c>
      <c r="I2818" s="4" t="s">
        <v>2</v>
      </c>
      <c r="J2818" s="14">
        <v>0.375</v>
      </c>
      <c r="K2818" s="20" t="str">
        <f t="shared" ref="K2818:K2881" si="133">IF(AND(J2818&gt;=$M$3,J2818&lt;$M$4),"1st Shift",IF(AND(J2818&gt;=$M$4,J2818&lt;$M$5),"2nd Shift","3rd Shift"))</f>
        <v>1st Shift</v>
      </c>
    </row>
    <row r="2819" spans="1:11" x14ac:dyDescent="0.25">
      <c r="A2819" s="1">
        <v>2818</v>
      </c>
      <c r="B2819" s="1">
        <v>2</v>
      </c>
      <c r="C2819" s="3">
        <v>2115270233400</v>
      </c>
      <c r="D2819" s="2">
        <v>44569.375</v>
      </c>
      <c r="E2819" s="2">
        <v>44569.520833333336</v>
      </c>
      <c r="F2819" s="23">
        <f t="shared" si="132"/>
        <v>0.14583333333575865</v>
      </c>
      <c r="G2819" s="24">
        <f t="shared" ref="G2819:G2882" si="134">$M$9/F2819*100</f>
        <v>85.714285712860217</v>
      </c>
      <c r="H2819" s="1" t="s">
        <v>1</v>
      </c>
      <c r="I2819" s="4" t="s">
        <v>2</v>
      </c>
      <c r="J2819" s="14">
        <v>0.375</v>
      </c>
      <c r="K2819" s="20" t="str">
        <f t="shared" si="133"/>
        <v>1st Shift</v>
      </c>
    </row>
    <row r="2820" spans="1:11" x14ac:dyDescent="0.25">
      <c r="A2820" s="1">
        <v>2819</v>
      </c>
      <c r="B2820" s="1">
        <v>10</v>
      </c>
      <c r="C2820" s="3">
        <v>10115271453603</v>
      </c>
      <c r="D2820" s="2">
        <v>44569.645833333336</v>
      </c>
      <c r="E2820" s="2">
        <v>44569.798611111109</v>
      </c>
      <c r="F2820" s="23">
        <f t="shared" si="132"/>
        <v>0.15277777777373558</v>
      </c>
      <c r="G2820" s="24">
        <f t="shared" si="134"/>
        <v>81.818181820346567</v>
      </c>
      <c r="H2820" s="1" t="s">
        <v>1</v>
      </c>
      <c r="I2820" s="4" t="s">
        <v>2</v>
      </c>
      <c r="J2820" s="14">
        <v>0.64583333333333337</v>
      </c>
      <c r="K2820" s="20" t="str">
        <f t="shared" si="133"/>
        <v>2nd Shift</v>
      </c>
    </row>
    <row r="2821" spans="1:11" x14ac:dyDescent="0.25">
      <c r="A2821" s="1">
        <v>2820</v>
      </c>
      <c r="B2821" s="1">
        <v>8</v>
      </c>
      <c r="C2821" s="3">
        <v>8115270614000</v>
      </c>
      <c r="D2821" s="2">
        <v>44569.645833333336</v>
      </c>
      <c r="E2821" s="2">
        <v>44569.798611111109</v>
      </c>
      <c r="F2821" s="23">
        <f t="shared" si="132"/>
        <v>0.15277777777373558</v>
      </c>
      <c r="G2821" s="24">
        <f t="shared" si="134"/>
        <v>81.818181820346567</v>
      </c>
      <c r="H2821" s="1" t="s">
        <v>1</v>
      </c>
      <c r="I2821" s="4" t="s">
        <v>2</v>
      </c>
      <c r="J2821" s="14">
        <v>0.64583333333333337</v>
      </c>
      <c r="K2821" s="20" t="str">
        <f t="shared" si="133"/>
        <v>2nd Shift</v>
      </c>
    </row>
    <row r="2822" spans="1:11" x14ac:dyDescent="0.25">
      <c r="A2822" s="1">
        <v>2821</v>
      </c>
      <c r="B2822" s="1">
        <v>6</v>
      </c>
      <c r="C2822" s="3">
        <v>6115271721130</v>
      </c>
      <c r="D2822" s="2">
        <v>44569.645833333336</v>
      </c>
      <c r="E2822" s="2">
        <v>44569.798611111109</v>
      </c>
      <c r="F2822" s="23">
        <f t="shared" si="132"/>
        <v>0.15277777777373558</v>
      </c>
      <c r="G2822" s="24">
        <f t="shared" si="134"/>
        <v>81.818181820346567</v>
      </c>
      <c r="H2822" s="1" t="s">
        <v>1</v>
      </c>
      <c r="I2822" s="4" t="s">
        <v>2</v>
      </c>
      <c r="J2822" s="14">
        <v>0.64583333333333337</v>
      </c>
      <c r="K2822" s="20" t="str">
        <f t="shared" si="133"/>
        <v>2nd Shift</v>
      </c>
    </row>
    <row r="2823" spans="1:11" x14ac:dyDescent="0.25">
      <c r="A2823" s="1">
        <v>2822</v>
      </c>
      <c r="B2823" s="1">
        <v>2</v>
      </c>
      <c r="C2823" s="3">
        <v>2115270267300</v>
      </c>
      <c r="D2823" s="2">
        <v>44569.645833333336</v>
      </c>
      <c r="E2823" s="2">
        <v>44569.798611111109</v>
      </c>
      <c r="F2823" s="23">
        <f t="shared" si="132"/>
        <v>0.15277777777373558</v>
      </c>
      <c r="G2823" s="24">
        <f t="shared" si="134"/>
        <v>81.818181820346567</v>
      </c>
      <c r="H2823" s="1" t="s">
        <v>1</v>
      </c>
      <c r="I2823" s="4" t="s">
        <v>3</v>
      </c>
      <c r="J2823" s="14">
        <v>0.64583333333333337</v>
      </c>
      <c r="K2823" s="20" t="str">
        <f t="shared" si="133"/>
        <v>2nd Shift</v>
      </c>
    </row>
    <row r="2824" spans="1:11" x14ac:dyDescent="0.25">
      <c r="A2824" s="1">
        <v>2823</v>
      </c>
      <c r="B2824" s="1">
        <v>13</v>
      </c>
      <c r="C2824" s="3">
        <v>13115271590601</v>
      </c>
      <c r="D2824" s="2">
        <v>44569.861111111109</v>
      </c>
      <c r="E2824" s="2">
        <v>44569.909722222219</v>
      </c>
      <c r="F2824" s="23">
        <f t="shared" si="132"/>
        <v>4.8611111109494232E-2</v>
      </c>
      <c r="G2824" s="24">
        <f t="shared" si="134"/>
        <v>257.14285715141011</v>
      </c>
      <c r="H2824" s="1" t="s">
        <v>1</v>
      </c>
      <c r="I2824" s="4" t="s">
        <v>3</v>
      </c>
      <c r="J2824" s="14">
        <v>0.86111111111111116</v>
      </c>
      <c r="K2824" s="20" t="str">
        <f t="shared" si="133"/>
        <v>2nd Shift</v>
      </c>
    </row>
    <row r="2825" spans="1:11" x14ac:dyDescent="0.25">
      <c r="A2825" s="1">
        <v>2824</v>
      </c>
      <c r="B2825" s="1">
        <v>12</v>
      </c>
      <c r="C2825" s="3">
        <v>12115271573409</v>
      </c>
      <c r="D2825" s="2">
        <v>44569.861111111109</v>
      </c>
      <c r="E2825" s="2">
        <v>44569.909722222219</v>
      </c>
      <c r="F2825" s="23">
        <f t="shared" si="132"/>
        <v>4.8611111109494232E-2</v>
      </c>
      <c r="G2825" s="24">
        <f t="shared" si="134"/>
        <v>257.14285715141011</v>
      </c>
      <c r="H2825" s="1" t="s">
        <v>1</v>
      </c>
      <c r="I2825" s="4" t="s">
        <v>2</v>
      </c>
      <c r="J2825" s="14">
        <v>0.86111111111111116</v>
      </c>
      <c r="K2825" s="20" t="str">
        <f t="shared" si="133"/>
        <v>2nd Shift</v>
      </c>
    </row>
    <row r="2826" spans="1:11" x14ac:dyDescent="0.25">
      <c r="A2826" s="1">
        <v>2825</v>
      </c>
      <c r="B2826" s="1">
        <v>12</v>
      </c>
      <c r="C2826" s="3">
        <v>12115271571044</v>
      </c>
      <c r="D2826" s="2">
        <v>44569.861111111109</v>
      </c>
      <c r="E2826" s="2">
        <v>44569.909722222219</v>
      </c>
      <c r="F2826" s="23">
        <f t="shared" si="132"/>
        <v>4.8611111109494232E-2</v>
      </c>
      <c r="G2826" s="24">
        <f t="shared" si="134"/>
        <v>257.14285715141011</v>
      </c>
      <c r="H2826" s="1" t="s">
        <v>1</v>
      </c>
      <c r="I2826" s="4" t="s">
        <v>2</v>
      </c>
      <c r="J2826" s="14">
        <v>0.86111111111111116</v>
      </c>
      <c r="K2826" s="20" t="str">
        <f t="shared" si="133"/>
        <v>2nd Shift</v>
      </c>
    </row>
    <row r="2827" spans="1:11" x14ac:dyDescent="0.25">
      <c r="A2827" s="1">
        <v>2826</v>
      </c>
      <c r="B2827" s="1">
        <v>5</v>
      </c>
      <c r="C2827" s="3">
        <v>5115271285501</v>
      </c>
      <c r="D2827" s="2">
        <v>44569.9375</v>
      </c>
      <c r="E2827" s="2">
        <v>44569.965277777781</v>
      </c>
      <c r="F2827" s="23">
        <f t="shared" si="132"/>
        <v>2.7777777781011537E-2</v>
      </c>
      <c r="G2827" s="24">
        <f t="shared" si="134"/>
        <v>449.99999994761311</v>
      </c>
      <c r="H2827" s="1" t="s">
        <v>1</v>
      </c>
      <c r="I2827" s="4" t="s">
        <v>4</v>
      </c>
      <c r="J2827" s="14">
        <v>0.9375</v>
      </c>
      <c r="K2827" s="20" t="str">
        <f t="shared" si="133"/>
        <v>3rd Shift</v>
      </c>
    </row>
    <row r="2828" spans="1:11" x14ac:dyDescent="0.25">
      <c r="A2828" s="1">
        <v>2827</v>
      </c>
      <c r="B2828" s="1">
        <v>15</v>
      </c>
      <c r="C2828" s="3">
        <v>15115271756900</v>
      </c>
      <c r="D2828" s="2">
        <v>44570.416666666664</v>
      </c>
      <c r="E2828" s="2">
        <v>44570.579861111109</v>
      </c>
      <c r="F2828" s="23">
        <f t="shared" si="132"/>
        <v>0.16319444444525288</v>
      </c>
      <c r="G2828" s="24">
        <f t="shared" si="134"/>
        <v>76.595744680471626</v>
      </c>
      <c r="H2828" s="1" t="s">
        <v>1</v>
      </c>
      <c r="I2828" s="4" t="s">
        <v>2</v>
      </c>
      <c r="J2828" s="14">
        <v>0.41666666666666669</v>
      </c>
      <c r="K2828" s="20" t="str">
        <f t="shared" si="133"/>
        <v>1st Shift</v>
      </c>
    </row>
    <row r="2829" spans="1:11" x14ac:dyDescent="0.25">
      <c r="A2829" s="1">
        <v>2828</v>
      </c>
      <c r="B2829" s="1">
        <v>11</v>
      </c>
      <c r="C2829" s="3">
        <v>11115271556400</v>
      </c>
      <c r="D2829" s="2">
        <v>44570.479166666664</v>
      </c>
      <c r="E2829" s="2">
        <v>44570.579861111109</v>
      </c>
      <c r="F2829" s="23">
        <f t="shared" si="132"/>
        <v>0.10069444444525288</v>
      </c>
      <c r="G2829" s="24">
        <f t="shared" si="134"/>
        <v>124.1379310334861</v>
      </c>
      <c r="H2829" s="1" t="s">
        <v>1</v>
      </c>
      <c r="I2829" s="4" t="s">
        <v>4</v>
      </c>
      <c r="J2829" s="14">
        <v>0.47916666666666669</v>
      </c>
      <c r="K2829" s="20" t="str">
        <f t="shared" si="133"/>
        <v>1st Shift</v>
      </c>
    </row>
    <row r="2830" spans="1:11" x14ac:dyDescent="0.25">
      <c r="A2830" s="1">
        <v>2829</v>
      </c>
      <c r="B2830" s="1">
        <v>7</v>
      </c>
      <c r="C2830" s="3">
        <v>7115271783717</v>
      </c>
      <c r="D2830" s="2">
        <v>44570.534722222219</v>
      </c>
      <c r="E2830" s="2">
        <v>44570.579861111109</v>
      </c>
      <c r="F2830" s="23">
        <f t="shared" si="132"/>
        <v>4.5138888890505768E-2</v>
      </c>
      <c r="G2830" s="24">
        <f t="shared" si="134"/>
        <v>276.9230769131575</v>
      </c>
      <c r="H2830" s="1" t="s">
        <v>1</v>
      </c>
      <c r="I2830" s="4" t="s">
        <v>2</v>
      </c>
      <c r="J2830" s="14">
        <v>0.53472222222222221</v>
      </c>
      <c r="K2830" s="20" t="str">
        <f t="shared" si="133"/>
        <v>1st Shift</v>
      </c>
    </row>
    <row r="2831" spans="1:11" x14ac:dyDescent="0.25">
      <c r="A2831" s="1">
        <v>2830</v>
      </c>
      <c r="B2831" s="1">
        <v>7</v>
      </c>
      <c r="C2831" s="3">
        <v>7115271754900</v>
      </c>
      <c r="D2831" s="2">
        <v>44570.416666666664</v>
      </c>
      <c r="E2831" s="2">
        <v>44570.579861111109</v>
      </c>
      <c r="F2831" s="23">
        <f t="shared" si="132"/>
        <v>0.16319444444525288</v>
      </c>
      <c r="G2831" s="24">
        <f t="shared" si="134"/>
        <v>76.595744680471626</v>
      </c>
      <c r="H2831" s="1" t="s">
        <v>1</v>
      </c>
      <c r="I2831" s="4" t="s">
        <v>2</v>
      </c>
      <c r="J2831" s="14">
        <v>0.41666666666666669</v>
      </c>
      <c r="K2831" s="20" t="str">
        <f t="shared" si="133"/>
        <v>1st Shift</v>
      </c>
    </row>
    <row r="2832" spans="1:11" x14ac:dyDescent="0.25">
      <c r="A2832" s="1">
        <v>2831</v>
      </c>
      <c r="B2832" s="1">
        <v>5</v>
      </c>
      <c r="C2832" s="3">
        <v>5115271258101</v>
      </c>
      <c r="D2832" s="2">
        <v>44570.416666666664</v>
      </c>
      <c r="E2832" s="2">
        <v>44570.579861111109</v>
      </c>
      <c r="F2832" s="23">
        <f t="shared" si="132"/>
        <v>0.16319444444525288</v>
      </c>
      <c r="G2832" s="24">
        <f t="shared" si="134"/>
        <v>76.595744680471626</v>
      </c>
      <c r="H2832" s="1" t="s">
        <v>1</v>
      </c>
      <c r="I2832" s="4" t="s">
        <v>3</v>
      </c>
      <c r="J2832" s="14">
        <v>0.41666666666666669</v>
      </c>
      <c r="K2832" s="20" t="str">
        <f t="shared" si="133"/>
        <v>1st Shift</v>
      </c>
    </row>
    <row r="2833" spans="1:11" x14ac:dyDescent="0.25">
      <c r="A2833" s="1">
        <v>2832</v>
      </c>
      <c r="B2833" s="1">
        <v>1</v>
      </c>
      <c r="C2833" s="3">
        <v>1115270126700</v>
      </c>
      <c r="D2833" s="2">
        <v>44570.534722222219</v>
      </c>
      <c r="E2833" s="2">
        <v>44570.579861111109</v>
      </c>
      <c r="F2833" s="23">
        <f t="shared" si="132"/>
        <v>4.5138888890505768E-2</v>
      </c>
      <c r="G2833" s="24">
        <f t="shared" si="134"/>
        <v>276.9230769131575</v>
      </c>
      <c r="H2833" s="1" t="s">
        <v>1</v>
      </c>
      <c r="I2833" s="4" t="s">
        <v>2</v>
      </c>
      <c r="J2833" s="14">
        <v>0.53472222222222221</v>
      </c>
      <c r="K2833" s="20" t="str">
        <f t="shared" si="133"/>
        <v>1st Shift</v>
      </c>
    </row>
    <row r="2834" spans="1:11" x14ac:dyDescent="0.25">
      <c r="A2834" s="1">
        <v>2833</v>
      </c>
      <c r="B2834" s="1">
        <v>1</v>
      </c>
      <c r="C2834" s="3">
        <v>1115270123000</v>
      </c>
      <c r="D2834" s="2">
        <v>44570.479166666664</v>
      </c>
      <c r="E2834" s="2">
        <v>44570.579861111109</v>
      </c>
      <c r="F2834" s="23">
        <f t="shared" si="132"/>
        <v>0.10069444444525288</v>
      </c>
      <c r="G2834" s="24">
        <f t="shared" si="134"/>
        <v>124.1379310334861</v>
      </c>
      <c r="H2834" s="1" t="s">
        <v>1</v>
      </c>
      <c r="I2834" s="4" t="s">
        <v>2</v>
      </c>
      <c r="J2834" s="14">
        <v>0.47916666666666669</v>
      </c>
      <c r="K2834" s="20" t="str">
        <f t="shared" si="133"/>
        <v>1st Shift</v>
      </c>
    </row>
    <row r="2835" spans="1:11" x14ac:dyDescent="0.25">
      <c r="A2835" s="1">
        <v>2834</v>
      </c>
      <c r="B2835" s="1">
        <v>11</v>
      </c>
      <c r="C2835" s="3">
        <v>11115227155630</v>
      </c>
      <c r="D2835" s="2">
        <v>44570.647222222222</v>
      </c>
      <c r="E2835" s="2">
        <v>44570.822222222225</v>
      </c>
      <c r="F2835" s="23">
        <f t="shared" si="132"/>
        <v>0.17500000000291038</v>
      </c>
      <c r="G2835" s="24">
        <f t="shared" si="134"/>
        <v>71.428571427383517</v>
      </c>
      <c r="H2835" s="1" t="s">
        <v>1</v>
      </c>
      <c r="I2835" s="4" t="s">
        <v>3</v>
      </c>
      <c r="J2835" s="14">
        <v>0.64722222222222225</v>
      </c>
      <c r="K2835" s="20" t="str">
        <f t="shared" si="133"/>
        <v>2nd Shift</v>
      </c>
    </row>
    <row r="2836" spans="1:11" x14ac:dyDescent="0.25">
      <c r="A2836" s="1">
        <v>2835</v>
      </c>
      <c r="B2836" s="1">
        <v>10</v>
      </c>
      <c r="C2836" s="3">
        <v>10115271959700</v>
      </c>
      <c r="D2836" s="2">
        <v>44570.647222222222</v>
      </c>
      <c r="E2836" s="2">
        <v>44570.822222222225</v>
      </c>
      <c r="F2836" s="23">
        <f t="shared" si="132"/>
        <v>0.17500000000291038</v>
      </c>
      <c r="G2836" s="24">
        <f t="shared" si="134"/>
        <v>71.428571427383517</v>
      </c>
      <c r="H2836" s="1" t="s">
        <v>1</v>
      </c>
      <c r="I2836" s="4" t="s">
        <v>2</v>
      </c>
      <c r="J2836" s="14">
        <v>0.64722222222222225</v>
      </c>
      <c r="K2836" s="20" t="str">
        <f t="shared" si="133"/>
        <v>2nd Shift</v>
      </c>
    </row>
    <row r="2837" spans="1:11" x14ac:dyDescent="0.25">
      <c r="A2837" s="1">
        <v>2836</v>
      </c>
      <c r="B2837" s="1">
        <v>8</v>
      </c>
      <c r="C2837" s="3">
        <v>8115271810100</v>
      </c>
      <c r="D2837" s="2">
        <v>44570.647222222222</v>
      </c>
      <c r="E2837" s="2">
        <v>44570.822222222225</v>
      </c>
      <c r="F2837" s="23">
        <f t="shared" si="132"/>
        <v>0.17500000000291038</v>
      </c>
      <c r="G2837" s="24">
        <f t="shared" si="134"/>
        <v>71.428571427383517</v>
      </c>
      <c r="H2837" s="1" t="s">
        <v>1</v>
      </c>
      <c r="I2837" s="4" t="s">
        <v>2</v>
      </c>
      <c r="J2837" s="14">
        <v>0.64722222222222225</v>
      </c>
      <c r="K2837" s="20" t="str">
        <f t="shared" si="133"/>
        <v>2nd Shift</v>
      </c>
    </row>
    <row r="2838" spans="1:11" x14ac:dyDescent="0.25">
      <c r="A2838" s="1">
        <v>2837</v>
      </c>
      <c r="B2838" s="1">
        <v>6</v>
      </c>
      <c r="C2838" s="3">
        <v>6115271741400</v>
      </c>
      <c r="D2838" s="2">
        <v>44570.647222222222</v>
      </c>
      <c r="E2838" s="2">
        <v>44570.822222222225</v>
      </c>
      <c r="F2838" s="23">
        <f t="shared" si="132"/>
        <v>0.17500000000291038</v>
      </c>
      <c r="G2838" s="24">
        <f t="shared" si="134"/>
        <v>71.428571427383517</v>
      </c>
      <c r="H2838" s="1" t="s">
        <v>1</v>
      </c>
      <c r="I2838" s="4" t="s">
        <v>2</v>
      </c>
      <c r="J2838" s="14">
        <v>0.64722222222222225</v>
      </c>
      <c r="K2838" s="20" t="str">
        <f t="shared" si="133"/>
        <v>2nd Shift</v>
      </c>
    </row>
    <row r="2839" spans="1:11" x14ac:dyDescent="0.25">
      <c r="A2839" s="1">
        <v>2838</v>
      </c>
      <c r="B2839" s="1">
        <v>2</v>
      </c>
      <c r="C2839" s="3">
        <v>2115270155500</v>
      </c>
      <c r="D2839" s="2">
        <v>44570.850694444445</v>
      </c>
      <c r="E2839" s="2">
        <v>44570.892361111109</v>
      </c>
      <c r="F2839" s="23">
        <f t="shared" si="132"/>
        <v>4.1666666664241347E-2</v>
      </c>
      <c r="G2839" s="24">
        <f t="shared" si="134"/>
        <v>300.0000000174623</v>
      </c>
      <c r="H2839" s="1" t="s">
        <v>1</v>
      </c>
      <c r="I2839" s="4" t="s">
        <v>2</v>
      </c>
      <c r="J2839" s="14">
        <v>0.85069444444444442</v>
      </c>
      <c r="K2839" s="20" t="str">
        <f t="shared" si="133"/>
        <v>2nd Shift</v>
      </c>
    </row>
    <row r="2840" spans="1:11" x14ac:dyDescent="0.25">
      <c r="A2840" s="1">
        <v>2839</v>
      </c>
      <c r="B2840" s="1">
        <v>1</v>
      </c>
      <c r="C2840" s="3">
        <v>1115270027900</v>
      </c>
      <c r="D2840" s="2">
        <v>44570.850694444445</v>
      </c>
      <c r="E2840" s="2">
        <v>44570.892361111109</v>
      </c>
      <c r="F2840" s="23">
        <f t="shared" si="132"/>
        <v>4.1666666664241347E-2</v>
      </c>
      <c r="G2840" s="24">
        <f t="shared" si="134"/>
        <v>300.0000000174623</v>
      </c>
      <c r="H2840" s="1" t="s">
        <v>1</v>
      </c>
      <c r="I2840" s="4" t="s">
        <v>2</v>
      </c>
      <c r="J2840" s="14">
        <v>0.85069444444444442</v>
      </c>
      <c r="K2840" s="20" t="str">
        <f t="shared" si="133"/>
        <v>2nd Shift</v>
      </c>
    </row>
    <row r="2841" spans="1:11" x14ac:dyDescent="0.25">
      <c r="A2841" s="1">
        <v>2840</v>
      </c>
      <c r="B2841" s="1">
        <v>8</v>
      </c>
      <c r="C2841" s="3">
        <v>8115271823202</v>
      </c>
      <c r="D2841" s="2">
        <v>44571.416666666664</v>
      </c>
      <c r="E2841" s="2">
        <v>44571.541666666664</v>
      </c>
      <c r="F2841" s="23">
        <f t="shared" si="132"/>
        <v>0.125</v>
      </c>
      <c r="G2841" s="24">
        <f t="shared" si="134"/>
        <v>100</v>
      </c>
      <c r="H2841" s="1" t="s">
        <v>1</v>
      </c>
      <c r="I2841" s="4" t="s">
        <v>2</v>
      </c>
      <c r="J2841" s="14">
        <v>0.41666666666666669</v>
      </c>
      <c r="K2841" s="20" t="str">
        <f t="shared" si="133"/>
        <v>1st Shift</v>
      </c>
    </row>
    <row r="2842" spans="1:11" x14ac:dyDescent="0.25">
      <c r="A2842" s="1">
        <v>2841</v>
      </c>
      <c r="B2842" s="1">
        <v>8</v>
      </c>
      <c r="C2842" s="3">
        <v>8115271823200</v>
      </c>
      <c r="D2842" s="2">
        <v>44571.416666666664</v>
      </c>
      <c r="E2842" s="2">
        <v>44571.541666666664</v>
      </c>
      <c r="F2842" s="23">
        <f t="shared" si="132"/>
        <v>0.125</v>
      </c>
      <c r="G2842" s="24">
        <f t="shared" si="134"/>
        <v>100</v>
      </c>
      <c r="H2842" s="1" t="s">
        <v>1</v>
      </c>
      <c r="I2842" s="4" t="s">
        <v>2</v>
      </c>
      <c r="J2842" s="14">
        <v>0.41666666666666669</v>
      </c>
      <c r="K2842" s="20" t="str">
        <f t="shared" si="133"/>
        <v>1st Shift</v>
      </c>
    </row>
    <row r="2843" spans="1:11" x14ac:dyDescent="0.25">
      <c r="A2843" s="1">
        <v>2842</v>
      </c>
      <c r="B2843" s="1">
        <v>8</v>
      </c>
      <c r="C2843" s="3">
        <v>8115271820902</v>
      </c>
      <c r="D2843" s="2">
        <v>44571.416666666664</v>
      </c>
      <c r="E2843" s="2">
        <v>44571.541666666664</v>
      </c>
      <c r="F2843" s="23">
        <f t="shared" si="132"/>
        <v>0.125</v>
      </c>
      <c r="G2843" s="24">
        <f t="shared" si="134"/>
        <v>100</v>
      </c>
      <c r="H2843" s="1" t="s">
        <v>1</v>
      </c>
      <c r="I2843" s="4" t="s">
        <v>4</v>
      </c>
      <c r="J2843" s="14">
        <v>0.41666666666666669</v>
      </c>
      <c r="K2843" s="20" t="str">
        <f t="shared" si="133"/>
        <v>1st Shift</v>
      </c>
    </row>
    <row r="2844" spans="1:11" x14ac:dyDescent="0.25">
      <c r="A2844" s="1">
        <v>2843</v>
      </c>
      <c r="B2844" s="1">
        <v>7</v>
      </c>
      <c r="C2844" s="3">
        <v>7115271760304</v>
      </c>
      <c r="D2844" s="2">
        <v>44571.416666666664</v>
      </c>
      <c r="E2844" s="2">
        <v>44571.541666666664</v>
      </c>
      <c r="F2844" s="23">
        <f t="shared" si="132"/>
        <v>0.125</v>
      </c>
      <c r="G2844" s="24">
        <f t="shared" si="134"/>
        <v>100</v>
      </c>
      <c r="H2844" s="1" t="s">
        <v>1</v>
      </c>
      <c r="I2844" s="4" t="s">
        <v>3</v>
      </c>
      <c r="J2844" s="14">
        <v>0.41666666666666669</v>
      </c>
      <c r="K2844" s="20" t="str">
        <f t="shared" si="133"/>
        <v>1st Shift</v>
      </c>
    </row>
    <row r="2845" spans="1:11" x14ac:dyDescent="0.25">
      <c r="A2845" s="1">
        <v>2844</v>
      </c>
      <c r="B2845" s="1">
        <v>1</v>
      </c>
      <c r="C2845" s="3">
        <v>1115270122800</v>
      </c>
      <c r="D2845" s="2">
        <v>44571.416666666664</v>
      </c>
      <c r="E2845" s="2">
        <v>44571.541666666664</v>
      </c>
      <c r="F2845" s="23">
        <f t="shared" si="132"/>
        <v>0.125</v>
      </c>
      <c r="G2845" s="24">
        <f t="shared" si="134"/>
        <v>100</v>
      </c>
      <c r="H2845" s="1" t="s">
        <v>1</v>
      </c>
      <c r="I2845" s="4" t="s">
        <v>2</v>
      </c>
      <c r="J2845" s="14">
        <v>0.41666666666666669</v>
      </c>
      <c r="K2845" s="20" t="str">
        <f t="shared" si="133"/>
        <v>1st Shift</v>
      </c>
    </row>
    <row r="2846" spans="1:11" x14ac:dyDescent="0.25">
      <c r="A2846" s="1">
        <v>2845</v>
      </c>
      <c r="B2846" s="1">
        <v>12</v>
      </c>
      <c r="C2846" s="3">
        <v>12115271560116</v>
      </c>
      <c r="D2846" s="2">
        <v>44571.6875</v>
      </c>
      <c r="E2846" s="2">
        <v>44571.763888888891</v>
      </c>
      <c r="F2846" s="23">
        <f t="shared" si="132"/>
        <v>7.6388888890505768E-2</v>
      </c>
      <c r="G2846" s="24">
        <f t="shared" si="134"/>
        <v>163.63636363290004</v>
      </c>
      <c r="H2846" s="1" t="s">
        <v>1</v>
      </c>
      <c r="I2846" s="4" t="s">
        <v>3</v>
      </c>
      <c r="J2846" s="14">
        <v>0.6875</v>
      </c>
      <c r="K2846" s="20" t="str">
        <f t="shared" si="133"/>
        <v>2nd Shift</v>
      </c>
    </row>
    <row r="2847" spans="1:11" x14ac:dyDescent="0.25">
      <c r="A2847" s="1">
        <v>2846</v>
      </c>
      <c r="B2847" s="1">
        <v>6</v>
      </c>
      <c r="C2847" s="3">
        <v>6115271751104</v>
      </c>
      <c r="D2847" s="2">
        <v>44571.6875</v>
      </c>
      <c r="E2847" s="2">
        <v>44571.763888888891</v>
      </c>
      <c r="F2847" s="23">
        <f t="shared" si="132"/>
        <v>7.6388888890505768E-2</v>
      </c>
      <c r="G2847" s="24">
        <f t="shared" si="134"/>
        <v>163.63636363290004</v>
      </c>
      <c r="H2847" s="1" t="s">
        <v>1</v>
      </c>
      <c r="I2847" s="4" t="s">
        <v>2</v>
      </c>
      <c r="J2847" s="14">
        <v>0.6875</v>
      </c>
      <c r="K2847" s="20" t="str">
        <f t="shared" si="133"/>
        <v>2nd Shift</v>
      </c>
    </row>
    <row r="2848" spans="1:11" x14ac:dyDescent="0.25">
      <c r="A2848" s="1">
        <v>2847</v>
      </c>
      <c r="B2848" s="1">
        <v>1</v>
      </c>
      <c r="C2848" s="3">
        <v>1115270142700</v>
      </c>
      <c r="D2848" s="2">
        <v>44571.6875</v>
      </c>
      <c r="E2848" s="2">
        <v>44571.763888888891</v>
      </c>
      <c r="F2848" s="23">
        <f t="shared" si="132"/>
        <v>7.6388888890505768E-2</v>
      </c>
      <c r="G2848" s="24">
        <f t="shared" si="134"/>
        <v>163.63636363290004</v>
      </c>
      <c r="H2848" s="1" t="s">
        <v>1</v>
      </c>
      <c r="I2848" s="4" t="s">
        <v>5</v>
      </c>
      <c r="J2848" s="14">
        <v>0.6875</v>
      </c>
      <c r="K2848" s="20" t="str">
        <f t="shared" si="133"/>
        <v>2nd Shift</v>
      </c>
    </row>
    <row r="2849" spans="1:11" x14ac:dyDescent="0.25">
      <c r="A2849" s="1">
        <v>2848</v>
      </c>
      <c r="B2849" s="1">
        <v>2</v>
      </c>
      <c r="C2849" s="3">
        <v>2115270160300</v>
      </c>
      <c r="D2849" s="2">
        <v>44572.416666666664</v>
      </c>
      <c r="E2849" s="2">
        <v>44572.479166666664</v>
      </c>
      <c r="F2849" s="23">
        <f t="shared" si="132"/>
        <v>6.25E-2</v>
      </c>
      <c r="G2849" s="24">
        <f t="shared" si="134"/>
        <v>200</v>
      </c>
      <c r="H2849" s="1" t="s">
        <v>1</v>
      </c>
      <c r="I2849" s="4" t="s">
        <v>5</v>
      </c>
      <c r="J2849" s="14">
        <v>0.41666666666666669</v>
      </c>
      <c r="K2849" s="20" t="str">
        <f t="shared" si="133"/>
        <v>1st Shift</v>
      </c>
    </row>
    <row r="2850" spans="1:11" x14ac:dyDescent="0.25">
      <c r="A2850" s="1">
        <v>2849</v>
      </c>
      <c r="B2850" s="1">
        <v>15</v>
      </c>
      <c r="C2850" s="3">
        <v>15115271743401</v>
      </c>
      <c r="D2850" s="2">
        <v>44572.708333333336</v>
      </c>
      <c r="E2850" s="2">
        <v>44572.864583333336</v>
      </c>
      <c r="F2850" s="23">
        <f t="shared" si="132"/>
        <v>0.15625</v>
      </c>
      <c r="G2850" s="24">
        <f t="shared" si="134"/>
        <v>80</v>
      </c>
      <c r="H2850" s="1" t="s">
        <v>1</v>
      </c>
      <c r="I2850" s="4" t="s">
        <v>2</v>
      </c>
      <c r="J2850" s="14">
        <v>0.70833333333333337</v>
      </c>
      <c r="K2850" s="20" t="str">
        <f t="shared" si="133"/>
        <v>2nd Shift</v>
      </c>
    </row>
    <row r="2851" spans="1:11" x14ac:dyDescent="0.25">
      <c r="A2851" s="1">
        <v>2850</v>
      </c>
      <c r="B2851" s="1">
        <v>11</v>
      </c>
      <c r="C2851" s="3">
        <v>11115271542606</v>
      </c>
      <c r="D2851" s="2">
        <v>44572.708333333336</v>
      </c>
      <c r="E2851" s="2">
        <v>44572.864583333336</v>
      </c>
      <c r="F2851" s="23">
        <f t="shared" si="132"/>
        <v>0.15625</v>
      </c>
      <c r="G2851" s="24">
        <f t="shared" si="134"/>
        <v>80</v>
      </c>
      <c r="H2851" s="1" t="s">
        <v>1</v>
      </c>
      <c r="I2851" s="4" t="s">
        <v>2</v>
      </c>
      <c r="J2851" s="14">
        <v>0.70833333333333337</v>
      </c>
      <c r="K2851" s="20" t="str">
        <f t="shared" si="133"/>
        <v>2nd Shift</v>
      </c>
    </row>
    <row r="2852" spans="1:11" x14ac:dyDescent="0.25">
      <c r="A2852" s="1">
        <v>2851</v>
      </c>
      <c r="B2852" s="1">
        <v>10</v>
      </c>
      <c r="C2852" s="3">
        <v>10115270952801</v>
      </c>
      <c r="D2852" s="2">
        <v>44572.708333333336</v>
      </c>
      <c r="E2852" s="2">
        <v>44572.864583333336</v>
      </c>
      <c r="F2852" s="23">
        <f t="shared" si="132"/>
        <v>0.15625</v>
      </c>
      <c r="G2852" s="24">
        <f t="shared" si="134"/>
        <v>80</v>
      </c>
      <c r="H2852" s="1" t="s">
        <v>1</v>
      </c>
      <c r="I2852" s="4" t="s">
        <v>2</v>
      </c>
      <c r="J2852" s="14">
        <v>0.70833333333333337</v>
      </c>
      <c r="K2852" s="20" t="str">
        <f t="shared" si="133"/>
        <v>2nd Shift</v>
      </c>
    </row>
    <row r="2853" spans="1:11" x14ac:dyDescent="0.25">
      <c r="A2853" s="1">
        <v>2852</v>
      </c>
      <c r="B2853" s="1">
        <v>6</v>
      </c>
      <c r="C2853" s="3">
        <v>6115271698600</v>
      </c>
      <c r="D2853" s="2">
        <v>44572.708333333336</v>
      </c>
      <c r="E2853" s="2">
        <v>44572.864583333336</v>
      </c>
      <c r="F2853" s="23">
        <f t="shared" si="132"/>
        <v>0.15625</v>
      </c>
      <c r="G2853" s="24">
        <f t="shared" si="134"/>
        <v>80</v>
      </c>
      <c r="H2853" s="1" t="s">
        <v>1</v>
      </c>
      <c r="I2853" s="4" t="s">
        <v>2</v>
      </c>
      <c r="J2853" s="14">
        <v>0.70833333333333337</v>
      </c>
      <c r="K2853" s="20" t="str">
        <f t="shared" si="133"/>
        <v>2nd Shift</v>
      </c>
    </row>
    <row r="2854" spans="1:11" x14ac:dyDescent="0.25">
      <c r="A2854" s="1">
        <v>2853</v>
      </c>
      <c r="B2854" s="1">
        <v>11</v>
      </c>
      <c r="C2854" s="3">
        <v>11115271542511</v>
      </c>
      <c r="D2854" s="2">
        <v>44572.944444444445</v>
      </c>
      <c r="E2854" s="2">
        <v>44572.989583333336</v>
      </c>
      <c r="F2854" s="23">
        <f t="shared" si="132"/>
        <v>4.5138888890505768E-2</v>
      </c>
      <c r="G2854" s="24">
        <f t="shared" si="134"/>
        <v>276.9230769131575</v>
      </c>
      <c r="H2854" s="1" t="s">
        <v>1</v>
      </c>
      <c r="I2854" s="4" t="s">
        <v>2</v>
      </c>
      <c r="J2854" s="14">
        <v>0.94444444444444442</v>
      </c>
      <c r="K2854" s="20" t="str">
        <f t="shared" si="133"/>
        <v>3rd Shift</v>
      </c>
    </row>
    <row r="2855" spans="1:11" x14ac:dyDescent="0.25">
      <c r="A2855" s="1">
        <v>2854</v>
      </c>
      <c r="B2855" s="1">
        <v>7</v>
      </c>
      <c r="C2855" s="3">
        <v>7115271756901</v>
      </c>
      <c r="D2855" s="2">
        <v>44573.041666666664</v>
      </c>
      <c r="E2855" s="2">
        <v>44573.107638888891</v>
      </c>
      <c r="F2855" s="23">
        <f t="shared" si="132"/>
        <v>6.5972222226264421E-2</v>
      </c>
      <c r="G2855" s="24">
        <f t="shared" si="134"/>
        <v>189.47368419891703</v>
      </c>
      <c r="H2855" s="1" t="s">
        <v>1</v>
      </c>
      <c r="I2855" s="4" t="s">
        <v>2</v>
      </c>
      <c r="J2855" s="14">
        <v>4.1666666666666664E-2</v>
      </c>
      <c r="K2855" s="20" t="str">
        <f t="shared" si="133"/>
        <v>3rd Shift</v>
      </c>
    </row>
    <row r="2856" spans="1:11" x14ac:dyDescent="0.25">
      <c r="A2856" s="1">
        <v>2855</v>
      </c>
      <c r="B2856" s="1">
        <v>3</v>
      </c>
      <c r="C2856" s="3">
        <v>3115270366500</v>
      </c>
      <c r="D2856" s="2">
        <v>44573.375</v>
      </c>
      <c r="E2856" s="2">
        <v>44573.4375</v>
      </c>
      <c r="F2856" s="23">
        <f t="shared" si="132"/>
        <v>6.25E-2</v>
      </c>
      <c r="G2856" s="24">
        <f t="shared" si="134"/>
        <v>200</v>
      </c>
      <c r="H2856" s="1" t="s">
        <v>1</v>
      </c>
      <c r="I2856" s="4" t="s">
        <v>2</v>
      </c>
      <c r="J2856" s="14">
        <v>0.375</v>
      </c>
      <c r="K2856" s="20" t="str">
        <f t="shared" si="133"/>
        <v>1st Shift</v>
      </c>
    </row>
    <row r="2857" spans="1:11" x14ac:dyDescent="0.25">
      <c r="A2857" s="1">
        <v>2856</v>
      </c>
      <c r="B2857" s="1">
        <v>10</v>
      </c>
      <c r="C2857" s="3">
        <v>10115279590001</v>
      </c>
      <c r="D2857" s="2">
        <v>44573.729166666664</v>
      </c>
      <c r="E2857" s="2">
        <v>44573.770833333336</v>
      </c>
      <c r="F2857" s="23">
        <f t="shared" si="132"/>
        <v>4.1666666671517305E-2</v>
      </c>
      <c r="G2857" s="24">
        <f t="shared" si="134"/>
        <v>299.9999999650754</v>
      </c>
      <c r="H2857" s="1" t="s">
        <v>1</v>
      </c>
      <c r="I2857" s="4" t="s">
        <v>2</v>
      </c>
      <c r="J2857" s="14">
        <v>0.72916666666666663</v>
      </c>
      <c r="K2857" s="20" t="str">
        <f t="shared" si="133"/>
        <v>2nd Shift</v>
      </c>
    </row>
    <row r="2858" spans="1:11" x14ac:dyDescent="0.25">
      <c r="A2858" s="1">
        <v>2857</v>
      </c>
      <c r="B2858" s="1">
        <v>13</v>
      </c>
      <c r="C2858" s="3">
        <v>13115271590501</v>
      </c>
      <c r="D2858" s="2">
        <v>44573.8125</v>
      </c>
      <c r="E2858" s="2">
        <v>44573.857638888891</v>
      </c>
      <c r="F2858" s="23">
        <f t="shared" si="132"/>
        <v>4.5138888890505768E-2</v>
      </c>
      <c r="G2858" s="24">
        <f t="shared" si="134"/>
        <v>276.9230769131575</v>
      </c>
      <c r="H2858" s="1" t="s">
        <v>1</v>
      </c>
      <c r="I2858" s="4" t="s">
        <v>3</v>
      </c>
      <c r="J2858" s="14">
        <v>0.8125</v>
      </c>
      <c r="K2858" s="20" t="str">
        <f t="shared" si="133"/>
        <v>2nd Shift</v>
      </c>
    </row>
    <row r="2859" spans="1:11" x14ac:dyDescent="0.25">
      <c r="A2859" s="1">
        <v>2858</v>
      </c>
      <c r="B2859" s="1">
        <v>4</v>
      </c>
      <c r="C2859" s="3">
        <v>4115270847400</v>
      </c>
      <c r="D2859" s="2">
        <v>44574.975694444445</v>
      </c>
      <c r="E2859" s="2">
        <v>44575.020833333336</v>
      </c>
      <c r="F2859" s="23">
        <f t="shared" si="132"/>
        <v>4.5138888890505768E-2</v>
      </c>
      <c r="G2859" s="24">
        <f t="shared" si="134"/>
        <v>276.9230769131575</v>
      </c>
      <c r="H2859" s="1" t="s">
        <v>1</v>
      </c>
      <c r="I2859" s="4" t="s">
        <v>5</v>
      </c>
      <c r="J2859" s="14">
        <v>0.97569444444444442</v>
      </c>
      <c r="K2859" s="20" t="str">
        <f t="shared" si="133"/>
        <v>3rd Shift</v>
      </c>
    </row>
    <row r="2860" spans="1:11" x14ac:dyDescent="0.25">
      <c r="A2860" s="1">
        <v>2859</v>
      </c>
      <c r="B2860" s="1">
        <v>1</v>
      </c>
      <c r="C2860" s="3">
        <v>1115270102000</v>
      </c>
      <c r="D2860" s="2">
        <v>44574.041666666664</v>
      </c>
      <c r="E2860" s="2">
        <v>44574.107638888891</v>
      </c>
      <c r="F2860" s="23">
        <f t="shared" si="132"/>
        <v>6.5972222226264421E-2</v>
      </c>
      <c r="G2860" s="24">
        <f t="shared" si="134"/>
        <v>189.47368419891703</v>
      </c>
      <c r="H2860" s="1" t="s">
        <v>1</v>
      </c>
      <c r="I2860" s="4" t="s">
        <v>2</v>
      </c>
      <c r="J2860" s="14">
        <v>4.1666666666666664E-2</v>
      </c>
      <c r="K2860" s="20" t="str">
        <f t="shared" si="133"/>
        <v>3rd Shift</v>
      </c>
    </row>
    <row r="2861" spans="1:11" x14ac:dyDescent="0.25">
      <c r="A2861" s="1">
        <v>2860</v>
      </c>
      <c r="B2861" s="1">
        <v>6</v>
      </c>
      <c r="C2861" s="3">
        <v>6115271753704</v>
      </c>
      <c r="D2861" s="2">
        <v>44574.375</v>
      </c>
      <c r="E2861" s="2">
        <v>44574.470833333333</v>
      </c>
      <c r="F2861" s="23">
        <f t="shared" si="132"/>
        <v>9.5833333332848269E-2</v>
      </c>
      <c r="G2861" s="24">
        <f t="shared" si="134"/>
        <v>130.43478260935586</v>
      </c>
      <c r="H2861" s="1" t="s">
        <v>1</v>
      </c>
      <c r="I2861" s="4" t="s">
        <v>3</v>
      </c>
      <c r="J2861" s="14">
        <v>0.375</v>
      </c>
      <c r="K2861" s="20" t="str">
        <f t="shared" si="133"/>
        <v>1st Shift</v>
      </c>
    </row>
    <row r="2862" spans="1:11" x14ac:dyDescent="0.25">
      <c r="A2862" s="1">
        <v>2861</v>
      </c>
      <c r="B2862" s="1">
        <v>6</v>
      </c>
      <c r="C2862" s="3">
        <v>6115271741300</v>
      </c>
      <c r="D2862" s="2">
        <v>44574.375</v>
      </c>
      <c r="E2862" s="2">
        <v>44574.470833333333</v>
      </c>
      <c r="F2862" s="23">
        <f t="shared" si="132"/>
        <v>9.5833333332848269E-2</v>
      </c>
      <c r="G2862" s="24">
        <f t="shared" si="134"/>
        <v>130.43478260935586</v>
      </c>
      <c r="H2862" s="1" t="s">
        <v>1</v>
      </c>
      <c r="I2862" s="4" t="s">
        <v>3</v>
      </c>
      <c r="J2862" s="14">
        <v>0.375</v>
      </c>
      <c r="K2862" s="20" t="str">
        <f t="shared" si="133"/>
        <v>1st Shift</v>
      </c>
    </row>
    <row r="2863" spans="1:11" x14ac:dyDescent="0.25">
      <c r="A2863" s="1">
        <v>2862</v>
      </c>
      <c r="B2863" s="1">
        <v>2</v>
      </c>
      <c r="C2863" s="3">
        <v>2115270229700</v>
      </c>
      <c r="D2863" s="2">
        <v>44574.375</v>
      </c>
      <c r="E2863" s="2">
        <v>44574.470833333333</v>
      </c>
      <c r="F2863" s="23">
        <f t="shared" si="132"/>
        <v>9.5833333332848269E-2</v>
      </c>
      <c r="G2863" s="24">
        <f t="shared" si="134"/>
        <v>130.43478260935586</v>
      </c>
      <c r="H2863" s="1" t="s">
        <v>1</v>
      </c>
      <c r="I2863" s="4" t="s">
        <v>4</v>
      </c>
      <c r="J2863" s="14">
        <v>0.375</v>
      </c>
      <c r="K2863" s="20" t="str">
        <f t="shared" si="133"/>
        <v>1st Shift</v>
      </c>
    </row>
    <row r="2864" spans="1:11" x14ac:dyDescent="0.25">
      <c r="A2864" s="1">
        <v>2863</v>
      </c>
      <c r="B2864" s="1">
        <v>12</v>
      </c>
      <c r="C2864" s="3">
        <v>12115271569304</v>
      </c>
      <c r="D2864" s="2">
        <v>44574.618055555555</v>
      </c>
      <c r="E2864" s="2">
        <v>44574.791666666664</v>
      </c>
      <c r="F2864" s="23">
        <f t="shared" si="132"/>
        <v>0.17361111110949423</v>
      </c>
      <c r="G2864" s="24">
        <f t="shared" si="134"/>
        <v>72.000000000670553</v>
      </c>
      <c r="H2864" s="1" t="s">
        <v>1</v>
      </c>
      <c r="I2864" s="4" t="s">
        <v>3</v>
      </c>
      <c r="J2864" s="14">
        <v>0.61805555555555558</v>
      </c>
      <c r="K2864" s="20" t="str">
        <f t="shared" si="133"/>
        <v>2nd Shift</v>
      </c>
    </row>
    <row r="2865" spans="1:11" x14ac:dyDescent="0.25">
      <c r="A2865" s="1">
        <v>2864</v>
      </c>
      <c r="B2865" s="1">
        <v>7</v>
      </c>
      <c r="C2865" s="3">
        <v>7115271783717</v>
      </c>
      <c r="D2865" s="2">
        <v>44574.618055555555</v>
      </c>
      <c r="E2865" s="2">
        <v>44574.791666666664</v>
      </c>
      <c r="F2865" s="23">
        <f t="shared" si="132"/>
        <v>0.17361111110949423</v>
      </c>
      <c r="G2865" s="24">
        <f t="shared" si="134"/>
        <v>72.000000000670553</v>
      </c>
      <c r="H2865" s="1" t="s">
        <v>1</v>
      </c>
      <c r="I2865" s="4" t="s">
        <v>8</v>
      </c>
      <c r="J2865" s="14">
        <v>0.61805555555555558</v>
      </c>
      <c r="K2865" s="20" t="str">
        <f t="shared" si="133"/>
        <v>2nd Shift</v>
      </c>
    </row>
    <row r="2866" spans="1:11" x14ac:dyDescent="0.25">
      <c r="A2866" s="1">
        <v>2865</v>
      </c>
      <c r="B2866" s="1">
        <v>3</v>
      </c>
      <c r="C2866" s="3">
        <v>3115270340300</v>
      </c>
      <c r="D2866" s="2">
        <v>44574.618055555555</v>
      </c>
      <c r="E2866" s="2">
        <v>44574.791666666664</v>
      </c>
      <c r="F2866" s="23">
        <f t="shared" si="132"/>
        <v>0.17361111110949423</v>
      </c>
      <c r="G2866" s="24">
        <f t="shared" si="134"/>
        <v>72.000000000670553</v>
      </c>
      <c r="H2866" s="1" t="s">
        <v>1</v>
      </c>
      <c r="I2866" s="4" t="s">
        <v>4</v>
      </c>
      <c r="J2866" s="14">
        <v>0.61805555555555558</v>
      </c>
      <c r="K2866" s="20" t="str">
        <f t="shared" si="133"/>
        <v>2nd Shift</v>
      </c>
    </row>
    <row r="2867" spans="1:11" x14ac:dyDescent="0.25">
      <c r="A2867" s="1">
        <v>2866</v>
      </c>
      <c r="B2867" s="1">
        <v>11</v>
      </c>
      <c r="C2867" s="3">
        <v>11115271542700</v>
      </c>
      <c r="D2867" s="2">
        <v>44574.836805555555</v>
      </c>
      <c r="E2867" s="2">
        <v>44574.923611111109</v>
      </c>
      <c r="F2867" s="23">
        <f t="shared" si="132"/>
        <v>8.6805555554747116E-2</v>
      </c>
      <c r="G2867" s="24">
        <f t="shared" si="134"/>
        <v>144.00000000134111</v>
      </c>
      <c r="H2867" s="1" t="s">
        <v>1</v>
      </c>
      <c r="I2867" s="4" t="s">
        <v>3</v>
      </c>
      <c r="J2867" s="14">
        <v>0.83680555555555558</v>
      </c>
      <c r="K2867" s="20" t="str">
        <f t="shared" si="133"/>
        <v>2nd Shift</v>
      </c>
    </row>
    <row r="2868" spans="1:11" x14ac:dyDescent="0.25">
      <c r="A2868" s="1">
        <v>2867</v>
      </c>
      <c r="B2868" s="1">
        <v>10</v>
      </c>
      <c r="C2868" s="3">
        <v>10115271559100</v>
      </c>
      <c r="D2868" s="2">
        <v>44574.836805555555</v>
      </c>
      <c r="E2868" s="2">
        <v>44574.923611111109</v>
      </c>
      <c r="F2868" s="23">
        <f t="shared" si="132"/>
        <v>8.6805555554747116E-2</v>
      </c>
      <c r="G2868" s="24">
        <f t="shared" si="134"/>
        <v>144.00000000134111</v>
      </c>
      <c r="H2868" s="1" t="s">
        <v>1</v>
      </c>
      <c r="I2868" s="4" t="s">
        <v>4</v>
      </c>
      <c r="J2868" s="14">
        <v>0.83680555555555558</v>
      </c>
      <c r="K2868" s="20" t="str">
        <f t="shared" si="133"/>
        <v>2nd Shift</v>
      </c>
    </row>
    <row r="2869" spans="1:11" x14ac:dyDescent="0.25">
      <c r="A2869" s="1">
        <v>2868</v>
      </c>
      <c r="B2869" s="1">
        <v>3</v>
      </c>
      <c r="C2869" s="3">
        <v>3115270308900</v>
      </c>
      <c r="D2869" s="2">
        <v>44574.798611111109</v>
      </c>
      <c r="E2869" s="2">
        <v>44574.923611111109</v>
      </c>
      <c r="F2869" s="23">
        <f t="shared" si="132"/>
        <v>0.125</v>
      </c>
      <c r="G2869" s="24">
        <f t="shared" si="134"/>
        <v>100</v>
      </c>
      <c r="H2869" s="1" t="s">
        <v>1</v>
      </c>
      <c r="I2869" s="4" t="s">
        <v>3</v>
      </c>
      <c r="J2869" s="14">
        <v>0.79861111111111116</v>
      </c>
      <c r="K2869" s="20" t="str">
        <f t="shared" si="133"/>
        <v>2nd Shift</v>
      </c>
    </row>
    <row r="2870" spans="1:11" x14ac:dyDescent="0.25">
      <c r="A2870" s="1">
        <v>2869</v>
      </c>
      <c r="B2870" s="1">
        <v>1</v>
      </c>
      <c r="C2870" s="3">
        <v>1115270097105</v>
      </c>
      <c r="D2870" s="2">
        <v>44574.836805555555</v>
      </c>
      <c r="E2870" s="2">
        <v>44574.923611111109</v>
      </c>
      <c r="F2870" s="23">
        <f t="shared" si="132"/>
        <v>8.6805555554747116E-2</v>
      </c>
      <c r="G2870" s="24">
        <f t="shared" si="134"/>
        <v>144.00000000134111</v>
      </c>
      <c r="H2870" s="1" t="s">
        <v>1</v>
      </c>
      <c r="I2870" s="4" t="s">
        <v>4</v>
      </c>
      <c r="J2870" s="14">
        <v>0.83680555555555558</v>
      </c>
      <c r="K2870" s="20" t="str">
        <f t="shared" si="133"/>
        <v>2nd Shift</v>
      </c>
    </row>
    <row r="2871" spans="1:11" x14ac:dyDescent="0.25">
      <c r="A2871" s="1">
        <v>2870</v>
      </c>
      <c r="B2871" s="1">
        <v>14</v>
      </c>
      <c r="C2871" s="3">
        <v>14115271672407</v>
      </c>
      <c r="D2871" s="2">
        <v>44574.975694444445</v>
      </c>
      <c r="E2871" s="2">
        <v>44575.020833333336</v>
      </c>
      <c r="F2871" s="23">
        <f t="shared" si="132"/>
        <v>4.5138888890505768E-2</v>
      </c>
      <c r="G2871" s="24">
        <f t="shared" si="134"/>
        <v>276.9230769131575</v>
      </c>
      <c r="H2871" s="1" t="s">
        <v>1</v>
      </c>
      <c r="I2871" s="4" t="s">
        <v>2</v>
      </c>
      <c r="J2871" s="14">
        <v>0.97569444444444442</v>
      </c>
      <c r="K2871" s="20" t="str">
        <f t="shared" si="133"/>
        <v>3rd Shift</v>
      </c>
    </row>
    <row r="2872" spans="1:11" x14ac:dyDescent="0.25">
      <c r="A2872" s="1">
        <v>2871</v>
      </c>
      <c r="B2872" s="1">
        <v>6</v>
      </c>
      <c r="C2872" s="3">
        <v>6115271741400</v>
      </c>
      <c r="D2872" s="2">
        <v>44575.159722222219</v>
      </c>
      <c r="E2872" s="2">
        <v>44575.225694444445</v>
      </c>
      <c r="F2872" s="23">
        <f t="shared" si="132"/>
        <v>6.5972222226264421E-2</v>
      </c>
      <c r="G2872" s="24">
        <f t="shared" si="134"/>
        <v>189.47368419891703</v>
      </c>
      <c r="H2872" s="1" t="s">
        <v>1</v>
      </c>
      <c r="I2872" s="4" t="s">
        <v>2</v>
      </c>
      <c r="J2872" s="14">
        <v>0.15972222222222221</v>
      </c>
      <c r="K2872" s="20" t="str">
        <f t="shared" si="133"/>
        <v>3rd Shift</v>
      </c>
    </row>
    <row r="2873" spans="1:11" x14ac:dyDescent="0.25">
      <c r="A2873" s="1">
        <v>2872</v>
      </c>
      <c r="B2873" s="1">
        <v>13</v>
      </c>
      <c r="C2873" s="3">
        <v>13115271590508</v>
      </c>
      <c r="D2873" s="2">
        <v>44575.4375</v>
      </c>
      <c r="E2873" s="2">
        <v>44575.555555555555</v>
      </c>
      <c r="F2873" s="23">
        <f t="shared" si="132"/>
        <v>0.11805555555474712</v>
      </c>
      <c r="G2873" s="24">
        <f t="shared" si="134"/>
        <v>105.88235294190156</v>
      </c>
      <c r="H2873" s="1" t="s">
        <v>1</v>
      </c>
      <c r="I2873" s="4" t="s">
        <v>2</v>
      </c>
      <c r="J2873" s="14">
        <v>0.4375</v>
      </c>
      <c r="K2873" s="20" t="str">
        <f t="shared" si="133"/>
        <v>1st Shift</v>
      </c>
    </row>
    <row r="2874" spans="1:11" x14ac:dyDescent="0.25">
      <c r="A2874" s="1">
        <v>2873</v>
      </c>
      <c r="B2874" s="1">
        <v>11</v>
      </c>
      <c r="C2874" s="3">
        <v>11115271543200</v>
      </c>
      <c r="D2874" s="2">
        <v>44575.4375</v>
      </c>
      <c r="E2874" s="2">
        <v>44575.555555555555</v>
      </c>
      <c r="F2874" s="23">
        <f t="shared" si="132"/>
        <v>0.11805555555474712</v>
      </c>
      <c r="G2874" s="24">
        <f t="shared" si="134"/>
        <v>105.88235294190156</v>
      </c>
      <c r="H2874" s="1" t="s">
        <v>1</v>
      </c>
      <c r="I2874" s="4" t="s">
        <v>4</v>
      </c>
      <c r="J2874" s="14">
        <v>0.4375</v>
      </c>
      <c r="K2874" s="20" t="str">
        <f t="shared" si="133"/>
        <v>1st Shift</v>
      </c>
    </row>
    <row r="2875" spans="1:11" x14ac:dyDescent="0.25">
      <c r="A2875" s="1">
        <v>2874</v>
      </c>
      <c r="B2875" s="1">
        <v>9</v>
      </c>
      <c r="C2875" s="3">
        <v>9115271948800</v>
      </c>
      <c r="D2875" s="2">
        <v>44575.4375</v>
      </c>
      <c r="E2875" s="2">
        <v>44575.555555555555</v>
      </c>
      <c r="F2875" s="23">
        <f t="shared" si="132"/>
        <v>0.11805555555474712</v>
      </c>
      <c r="G2875" s="24">
        <f t="shared" si="134"/>
        <v>105.88235294190156</v>
      </c>
      <c r="H2875" s="1" t="s">
        <v>1</v>
      </c>
      <c r="I2875" s="4" t="s">
        <v>3</v>
      </c>
      <c r="J2875" s="14">
        <v>0.4375</v>
      </c>
      <c r="K2875" s="20" t="str">
        <f t="shared" si="133"/>
        <v>1st Shift</v>
      </c>
    </row>
    <row r="2876" spans="1:11" x14ac:dyDescent="0.25">
      <c r="A2876" s="1">
        <v>2875</v>
      </c>
      <c r="B2876" s="1">
        <v>3</v>
      </c>
      <c r="C2876" s="3">
        <v>3115270349600</v>
      </c>
      <c r="D2876" s="2">
        <v>44575.4375</v>
      </c>
      <c r="E2876" s="2">
        <v>44575.555555555555</v>
      </c>
      <c r="F2876" s="23">
        <f t="shared" si="132"/>
        <v>0.11805555555474712</v>
      </c>
      <c r="G2876" s="24">
        <f t="shared" si="134"/>
        <v>105.88235294190156</v>
      </c>
      <c r="H2876" s="1" t="s">
        <v>1</v>
      </c>
      <c r="I2876" s="4" t="s">
        <v>2</v>
      </c>
      <c r="J2876" s="14">
        <v>0.4375</v>
      </c>
      <c r="K2876" s="20" t="str">
        <f t="shared" si="133"/>
        <v>1st Shift</v>
      </c>
    </row>
    <row r="2877" spans="1:11" x14ac:dyDescent="0.25">
      <c r="A2877" s="1">
        <v>2876</v>
      </c>
      <c r="B2877" s="1">
        <v>2</v>
      </c>
      <c r="C2877" s="3">
        <v>2115270229901</v>
      </c>
      <c r="D2877" s="2">
        <v>44575.4375</v>
      </c>
      <c r="E2877" s="2">
        <v>44575.555555555555</v>
      </c>
      <c r="F2877" s="23">
        <f t="shared" si="132"/>
        <v>0.11805555555474712</v>
      </c>
      <c r="G2877" s="24">
        <f t="shared" si="134"/>
        <v>105.88235294190156</v>
      </c>
      <c r="H2877" s="1" t="s">
        <v>1</v>
      </c>
      <c r="I2877" s="4" t="s">
        <v>4</v>
      </c>
      <c r="J2877" s="14">
        <v>0.4375</v>
      </c>
      <c r="K2877" s="20" t="str">
        <f t="shared" si="133"/>
        <v>1st Shift</v>
      </c>
    </row>
    <row r="2878" spans="1:11" x14ac:dyDescent="0.25">
      <c r="A2878" s="1">
        <v>2877</v>
      </c>
      <c r="B2878" s="1">
        <v>12</v>
      </c>
      <c r="C2878" s="3">
        <v>12115271574313</v>
      </c>
      <c r="D2878" s="2">
        <v>44575.674305555556</v>
      </c>
      <c r="E2878" s="2">
        <v>44575.8125</v>
      </c>
      <c r="F2878" s="23">
        <f t="shared" si="132"/>
        <v>0.13819444444379769</v>
      </c>
      <c r="G2878" s="24">
        <f t="shared" si="134"/>
        <v>90.45226130695599</v>
      </c>
      <c r="H2878" s="1" t="s">
        <v>1</v>
      </c>
      <c r="I2878" s="4" t="s">
        <v>2</v>
      </c>
      <c r="J2878" s="14">
        <v>0.6743055555555556</v>
      </c>
      <c r="K2878" s="20" t="str">
        <f t="shared" si="133"/>
        <v>2nd Shift</v>
      </c>
    </row>
    <row r="2879" spans="1:11" x14ac:dyDescent="0.25">
      <c r="A2879" s="1">
        <v>2878</v>
      </c>
      <c r="B2879" s="1">
        <v>11</v>
      </c>
      <c r="C2879" s="3">
        <v>11115271536305</v>
      </c>
      <c r="D2879" s="2">
        <v>44575.674305555556</v>
      </c>
      <c r="E2879" s="2">
        <v>44575.8125</v>
      </c>
      <c r="F2879" s="23">
        <f t="shared" si="132"/>
        <v>0.13819444444379769</v>
      </c>
      <c r="G2879" s="24">
        <f t="shared" si="134"/>
        <v>90.45226130695599</v>
      </c>
      <c r="H2879" s="1" t="s">
        <v>1</v>
      </c>
      <c r="I2879" s="4" t="s">
        <v>2</v>
      </c>
      <c r="J2879" s="14">
        <v>0.6743055555555556</v>
      </c>
      <c r="K2879" s="20" t="str">
        <f t="shared" si="133"/>
        <v>2nd Shift</v>
      </c>
    </row>
    <row r="2880" spans="1:11" x14ac:dyDescent="0.25">
      <c r="A2880" s="1">
        <v>2879</v>
      </c>
      <c r="B2880" s="1">
        <v>2</v>
      </c>
      <c r="C2880" s="3">
        <v>2115270274600</v>
      </c>
      <c r="D2880" s="2">
        <v>44575.746527777781</v>
      </c>
      <c r="E2880" s="2">
        <v>44575.8125</v>
      </c>
      <c r="F2880" s="23">
        <f t="shared" si="132"/>
        <v>6.5972222218988463E-2</v>
      </c>
      <c r="G2880" s="24">
        <f t="shared" si="134"/>
        <v>189.47368421981375</v>
      </c>
      <c r="H2880" s="1" t="s">
        <v>1</v>
      </c>
      <c r="I2880" s="4" t="s">
        <v>2</v>
      </c>
      <c r="J2880" s="14">
        <v>0.74652777777777779</v>
      </c>
      <c r="K2880" s="20" t="str">
        <f t="shared" si="133"/>
        <v>2nd Shift</v>
      </c>
    </row>
    <row r="2881" spans="1:11" x14ac:dyDescent="0.25">
      <c r="A2881" s="1">
        <v>2880</v>
      </c>
      <c r="B2881" s="1">
        <v>13</v>
      </c>
      <c r="C2881" s="3">
        <v>13115271608000</v>
      </c>
      <c r="D2881" s="2">
        <v>44575.885416666664</v>
      </c>
      <c r="E2881" s="2">
        <v>44575.916666666664</v>
      </c>
      <c r="F2881" s="23">
        <f t="shared" si="132"/>
        <v>3.125E-2</v>
      </c>
      <c r="G2881" s="24">
        <f t="shared" si="134"/>
        <v>400</v>
      </c>
      <c r="H2881" s="1" t="s">
        <v>1</v>
      </c>
      <c r="I2881" s="4" t="s">
        <v>2</v>
      </c>
      <c r="J2881" s="14">
        <v>0.88541666666666663</v>
      </c>
      <c r="K2881" s="20" t="str">
        <f t="shared" si="133"/>
        <v>2nd Shift</v>
      </c>
    </row>
    <row r="2882" spans="1:11" x14ac:dyDescent="0.25">
      <c r="A2882" s="1">
        <v>2881</v>
      </c>
      <c r="B2882" s="1">
        <v>13</v>
      </c>
      <c r="C2882" s="3">
        <v>13115271608402</v>
      </c>
      <c r="D2882" s="2">
        <v>44576.4375</v>
      </c>
      <c r="E2882" s="2">
        <v>44576.552083333336</v>
      </c>
      <c r="F2882" s="23">
        <f t="shared" ref="F2882:F2945" si="135">E2882-D2882</f>
        <v>0.11458333333575865</v>
      </c>
      <c r="G2882" s="24">
        <f t="shared" si="134"/>
        <v>109.09090908860001</v>
      </c>
      <c r="H2882" s="1" t="s">
        <v>1</v>
      </c>
      <c r="I2882" s="4" t="s">
        <v>3</v>
      </c>
      <c r="J2882" s="14">
        <v>0.4375</v>
      </c>
      <c r="K2882" s="20" t="str">
        <f t="shared" ref="K2882:K2945" si="136">IF(AND(J2882&gt;=$M$3,J2882&lt;$M$4),"1st Shift",IF(AND(J2882&gt;=$M$4,J2882&lt;$M$5),"2nd Shift","3rd Shift"))</f>
        <v>1st Shift</v>
      </c>
    </row>
    <row r="2883" spans="1:11" x14ac:dyDescent="0.25">
      <c r="A2883" s="1">
        <v>2882</v>
      </c>
      <c r="B2883" s="1">
        <v>10</v>
      </c>
      <c r="C2883" s="3">
        <v>10115271958500</v>
      </c>
      <c r="D2883" s="2">
        <v>44576.4375</v>
      </c>
      <c r="E2883" s="2">
        <v>44576.552083333336</v>
      </c>
      <c r="F2883" s="23">
        <f t="shared" si="135"/>
        <v>0.11458333333575865</v>
      </c>
      <c r="G2883" s="24">
        <f t="shared" ref="G2883:G2946" si="137">$M$9/F2883*100</f>
        <v>109.09090908860001</v>
      </c>
      <c r="H2883" s="1" t="s">
        <v>1</v>
      </c>
      <c r="I2883" s="4" t="s">
        <v>3</v>
      </c>
      <c r="J2883" s="14">
        <v>0.4375</v>
      </c>
      <c r="K2883" s="20" t="str">
        <f t="shared" si="136"/>
        <v>1st Shift</v>
      </c>
    </row>
    <row r="2884" spans="1:11" x14ac:dyDescent="0.25">
      <c r="A2884" s="1">
        <v>2883</v>
      </c>
      <c r="B2884" s="1">
        <v>3</v>
      </c>
      <c r="C2884" s="3">
        <v>3115270366800</v>
      </c>
      <c r="D2884" s="2">
        <v>44576.4375</v>
      </c>
      <c r="E2884" s="2">
        <v>44576.552083333336</v>
      </c>
      <c r="F2884" s="23">
        <f t="shared" si="135"/>
        <v>0.11458333333575865</v>
      </c>
      <c r="G2884" s="24">
        <f t="shared" si="137"/>
        <v>109.09090908860001</v>
      </c>
      <c r="H2884" s="1" t="s">
        <v>1</v>
      </c>
      <c r="I2884" s="4" t="s">
        <v>2</v>
      </c>
      <c r="J2884" s="14">
        <v>0.4375</v>
      </c>
      <c r="K2884" s="20" t="str">
        <f t="shared" si="136"/>
        <v>1st Shift</v>
      </c>
    </row>
    <row r="2885" spans="1:11" x14ac:dyDescent="0.25">
      <c r="A2885" s="1">
        <v>2884</v>
      </c>
      <c r="B2885" s="1">
        <v>2</v>
      </c>
      <c r="C2885" s="3">
        <v>2115270202200</v>
      </c>
      <c r="D2885" s="2">
        <v>44576.4375</v>
      </c>
      <c r="E2885" s="2">
        <v>44576.552083333336</v>
      </c>
      <c r="F2885" s="23">
        <f t="shared" si="135"/>
        <v>0.11458333333575865</v>
      </c>
      <c r="G2885" s="24">
        <f t="shared" si="137"/>
        <v>109.09090908860001</v>
      </c>
      <c r="H2885" s="1" t="s">
        <v>1</v>
      </c>
      <c r="I2885" s="4" t="s">
        <v>2</v>
      </c>
      <c r="J2885" s="14">
        <v>0.4375</v>
      </c>
      <c r="K2885" s="20" t="str">
        <f t="shared" si="136"/>
        <v>1st Shift</v>
      </c>
    </row>
    <row r="2886" spans="1:11" x14ac:dyDescent="0.25">
      <c r="A2886" s="1">
        <v>2885</v>
      </c>
      <c r="B2886" s="1">
        <v>3</v>
      </c>
      <c r="C2886" s="3">
        <v>3115270421000</v>
      </c>
      <c r="D2886" s="2">
        <v>44576.626388888886</v>
      </c>
      <c r="E2886" s="2">
        <v>44576.666666666664</v>
      </c>
      <c r="F2886" s="23">
        <f t="shared" si="135"/>
        <v>4.0277777778101154E-2</v>
      </c>
      <c r="G2886" s="24">
        <f t="shared" si="137"/>
        <v>310.34482758371524</v>
      </c>
      <c r="H2886" s="1" t="s">
        <v>1</v>
      </c>
      <c r="I2886" s="4" t="s">
        <v>2</v>
      </c>
      <c r="J2886" s="14">
        <v>0.62638888888888888</v>
      </c>
      <c r="K2886" s="20" t="str">
        <f t="shared" si="136"/>
        <v>2nd Shift</v>
      </c>
    </row>
    <row r="2887" spans="1:11" x14ac:dyDescent="0.25">
      <c r="A2887" s="1">
        <v>2886</v>
      </c>
      <c r="B2887" s="1">
        <v>7</v>
      </c>
      <c r="C2887" s="3">
        <v>7115271769601</v>
      </c>
      <c r="D2887" s="2">
        <v>44576.710416666669</v>
      </c>
      <c r="E2887" s="2">
        <v>44576.833333333336</v>
      </c>
      <c r="F2887" s="23">
        <f t="shared" si="135"/>
        <v>0.12291666666715173</v>
      </c>
      <c r="G2887" s="24">
        <f t="shared" si="137"/>
        <v>101.69491525383599</v>
      </c>
      <c r="H2887" s="1" t="s">
        <v>1</v>
      </c>
      <c r="I2887" s="4" t="s">
        <v>3</v>
      </c>
      <c r="J2887" s="14">
        <v>0.7104166666666667</v>
      </c>
      <c r="K2887" s="20" t="str">
        <f t="shared" si="136"/>
        <v>2nd Shift</v>
      </c>
    </row>
    <row r="2888" spans="1:11" x14ac:dyDescent="0.25">
      <c r="A2888" s="1">
        <v>2887</v>
      </c>
      <c r="B2888" s="1">
        <v>3</v>
      </c>
      <c r="C2888" s="3">
        <v>3115270340400</v>
      </c>
      <c r="D2888" s="2">
        <v>44576.710416666669</v>
      </c>
      <c r="E2888" s="2">
        <v>44576.833333333336</v>
      </c>
      <c r="F2888" s="23">
        <f t="shared" si="135"/>
        <v>0.12291666666715173</v>
      </c>
      <c r="G2888" s="24">
        <f t="shared" si="137"/>
        <v>101.69491525383599</v>
      </c>
      <c r="H2888" s="1" t="s">
        <v>1</v>
      </c>
      <c r="I2888" s="4" t="s">
        <v>2</v>
      </c>
      <c r="J2888" s="14">
        <v>0.7104166666666667</v>
      </c>
      <c r="K2888" s="20" t="str">
        <f t="shared" si="136"/>
        <v>2nd Shift</v>
      </c>
    </row>
    <row r="2889" spans="1:11" x14ac:dyDescent="0.25">
      <c r="A2889" s="1">
        <v>2888</v>
      </c>
      <c r="B2889" s="1">
        <v>3</v>
      </c>
      <c r="C2889" s="3">
        <v>3115270306701</v>
      </c>
      <c r="D2889" s="2">
        <v>44576.710416666669</v>
      </c>
      <c r="E2889" s="2">
        <v>44576.833333333336</v>
      </c>
      <c r="F2889" s="23">
        <f t="shared" si="135"/>
        <v>0.12291666666715173</v>
      </c>
      <c r="G2889" s="24">
        <f t="shared" si="137"/>
        <v>101.69491525383599</v>
      </c>
      <c r="H2889" s="1" t="s">
        <v>1</v>
      </c>
      <c r="I2889" s="4" t="s">
        <v>2</v>
      </c>
      <c r="J2889" s="14">
        <v>0.7104166666666667</v>
      </c>
      <c r="K2889" s="20" t="str">
        <f t="shared" si="136"/>
        <v>2nd Shift</v>
      </c>
    </row>
    <row r="2890" spans="1:11" x14ac:dyDescent="0.25">
      <c r="A2890" s="1">
        <v>2889</v>
      </c>
      <c r="B2890" s="1">
        <v>10</v>
      </c>
      <c r="C2890" s="3">
        <v>10115271471600</v>
      </c>
      <c r="D2890" s="2">
        <v>44576.878472222219</v>
      </c>
      <c r="E2890" s="2">
        <v>44576.90625</v>
      </c>
      <c r="F2890" s="23">
        <f t="shared" si="135"/>
        <v>2.7777777781011537E-2</v>
      </c>
      <c r="G2890" s="24">
        <f t="shared" si="137"/>
        <v>449.99999994761311</v>
      </c>
      <c r="H2890" s="1" t="s">
        <v>1</v>
      </c>
      <c r="I2890" s="4" t="s">
        <v>3</v>
      </c>
      <c r="J2890" s="14">
        <v>0.87847222222222221</v>
      </c>
      <c r="K2890" s="20" t="str">
        <f t="shared" si="136"/>
        <v>2nd Shift</v>
      </c>
    </row>
    <row r="2891" spans="1:11" x14ac:dyDescent="0.25">
      <c r="A2891" s="1">
        <v>2890</v>
      </c>
      <c r="B2891" s="1">
        <v>5</v>
      </c>
      <c r="C2891" s="3">
        <v>5115271295908</v>
      </c>
      <c r="D2891" s="2">
        <v>44577.458333333336</v>
      </c>
      <c r="E2891" s="2">
        <v>44577.535416666666</v>
      </c>
      <c r="F2891" s="23">
        <f t="shared" si="135"/>
        <v>7.7083333329937886E-2</v>
      </c>
      <c r="G2891" s="24">
        <f t="shared" si="137"/>
        <v>162.16216216930525</v>
      </c>
      <c r="H2891" s="1" t="s">
        <v>1</v>
      </c>
      <c r="I2891" s="4" t="s">
        <v>4</v>
      </c>
      <c r="J2891" s="14">
        <v>0.45833333333333331</v>
      </c>
      <c r="K2891" s="20" t="str">
        <f t="shared" si="136"/>
        <v>1st Shift</v>
      </c>
    </row>
    <row r="2892" spans="1:11" x14ac:dyDescent="0.25">
      <c r="A2892" s="1">
        <v>2891</v>
      </c>
      <c r="B2892" s="1">
        <v>3</v>
      </c>
      <c r="C2892" s="3">
        <v>3115270306602</v>
      </c>
      <c r="D2892" s="2">
        <v>44577.458333333336</v>
      </c>
      <c r="E2892" s="2">
        <v>44577.535416666666</v>
      </c>
      <c r="F2892" s="23">
        <f t="shared" si="135"/>
        <v>7.7083333329937886E-2</v>
      </c>
      <c r="G2892" s="24">
        <f t="shared" si="137"/>
        <v>162.16216216930525</v>
      </c>
      <c r="H2892" s="1" t="s">
        <v>1</v>
      </c>
      <c r="I2892" s="4" t="s">
        <v>4</v>
      </c>
      <c r="J2892" s="14">
        <v>0.45833333333333331</v>
      </c>
      <c r="K2892" s="20" t="str">
        <f t="shared" si="136"/>
        <v>1st Shift</v>
      </c>
    </row>
    <row r="2893" spans="1:11" x14ac:dyDescent="0.25">
      <c r="A2893" s="1">
        <v>2892</v>
      </c>
      <c r="B2893" s="1">
        <v>11</v>
      </c>
      <c r="C2893" s="3">
        <v>11115271542511</v>
      </c>
      <c r="D2893" s="2">
        <v>44577.67291666667</v>
      </c>
      <c r="E2893" s="2">
        <v>44577.739583333336</v>
      </c>
      <c r="F2893" s="23">
        <f t="shared" si="135"/>
        <v>6.6666666665696539E-2</v>
      </c>
      <c r="G2893" s="24">
        <f t="shared" si="137"/>
        <v>187.50000000272848</v>
      </c>
      <c r="H2893" s="1" t="s">
        <v>1</v>
      </c>
      <c r="I2893" s="4" t="s">
        <v>2</v>
      </c>
      <c r="J2893" s="14">
        <v>0.67291666666666672</v>
      </c>
      <c r="K2893" s="20" t="str">
        <f t="shared" si="136"/>
        <v>2nd Shift</v>
      </c>
    </row>
    <row r="2894" spans="1:11" x14ac:dyDescent="0.25">
      <c r="A2894" s="1">
        <v>2893</v>
      </c>
      <c r="B2894" s="1">
        <v>9</v>
      </c>
      <c r="C2894" s="3">
        <v>9115271923600</v>
      </c>
      <c r="D2894" s="2">
        <v>44577.618055555555</v>
      </c>
      <c r="E2894" s="2">
        <v>44577.739583333336</v>
      </c>
      <c r="F2894" s="23">
        <f t="shared" si="135"/>
        <v>0.12152777778101154</v>
      </c>
      <c r="G2894" s="24">
        <f t="shared" si="137"/>
        <v>102.85714285440591</v>
      </c>
      <c r="H2894" s="1" t="s">
        <v>1</v>
      </c>
      <c r="I2894" s="4" t="s">
        <v>3</v>
      </c>
      <c r="J2894" s="14">
        <v>0.61805555555555558</v>
      </c>
      <c r="K2894" s="20" t="str">
        <f t="shared" si="136"/>
        <v>2nd Shift</v>
      </c>
    </row>
    <row r="2895" spans="1:11" x14ac:dyDescent="0.25">
      <c r="A2895" s="1">
        <v>2894</v>
      </c>
      <c r="B2895" s="1">
        <v>8</v>
      </c>
      <c r="C2895" s="3">
        <v>8115271809910</v>
      </c>
      <c r="D2895" s="2">
        <v>44577.618055555555</v>
      </c>
      <c r="E2895" s="2">
        <v>44577.739583333336</v>
      </c>
      <c r="F2895" s="23">
        <f t="shared" si="135"/>
        <v>0.12152777778101154</v>
      </c>
      <c r="G2895" s="24">
        <f t="shared" si="137"/>
        <v>102.85714285440591</v>
      </c>
      <c r="H2895" s="1" t="s">
        <v>1</v>
      </c>
      <c r="I2895" s="4" t="s">
        <v>2</v>
      </c>
      <c r="J2895" s="14">
        <v>0.61805555555555558</v>
      </c>
      <c r="K2895" s="20" t="str">
        <f t="shared" si="136"/>
        <v>2nd Shift</v>
      </c>
    </row>
    <row r="2896" spans="1:11" x14ac:dyDescent="0.25">
      <c r="A2896" s="1">
        <v>2895</v>
      </c>
      <c r="B2896" s="1">
        <v>7</v>
      </c>
      <c r="C2896" s="3">
        <v>7115271783704</v>
      </c>
      <c r="D2896" s="2">
        <v>44577.618055555555</v>
      </c>
      <c r="E2896" s="2">
        <v>44577.739583333336</v>
      </c>
      <c r="F2896" s="23">
        <f t="shared" si="135"/>
        <v>0.12152777778101154</v>
      </c>
      <c r="G2896" s="24">
        <f t="shared" si="137"/>
        <v>102.85714285440591</v>
      </c>
      <c r="H2896" s="1" t="s">
        <v>1</v>
      </c>
      <c r="I2896" s="4" t="s">
        <v>3</v>
      </c>
      <c r="J2896" s="14">
        <v>0.61805555555555558</v>
      </c>
      <c r="K2896" s="20" t="str">
        <f t="shared" si="136"/>
        <v>2nd Shift</v>
      </c>
    </row>
    <row r="2897" spans="1:11" x14ac:dyDescent="0.25">
      <c r="A2897" s="1">
        <v>2896</v>
      </c>
      <c r="B2897" s="1">
        <v>6</v>
      </c>
      <c r="C2897" s="3">
        <v>6115271733601</v>
      </c>
      <c r="D2897" s="2">
        <v>44577.67291666667</v>
      </c>
      <c r="E2897" s="2">
        <v>44577.739583333336</v>
      </c>
      <c r="F2897" s="23">
        <f t="shared" si="135"/>
        <v>6.6666666665696539E-2</v>
      </c>
      <c r="G2897" s="24">
        <f t="shared" si="137"/>
        <v>187.50000000272848</v>
      </c>
      <c r="H2897" s="1" t="s">
        <v>1</v>
      </c>
      <c r="I2897" s="4" t="s">
        <v>5</v>
      </c>
      <c r="J2897" s="14">
        <v>0.67291666666666672</v>
      </c>
      <c r="K2897" s="20" t="str">
        <f t="shared" si="136"/>
        <v>2nd Shift</v>
      </c>
    </row>
    <row r="2898" spans="1:11" x14ac:dyDescent="0.25">
      <c r="A2898" s="1">
        <v>2897</v>
      </c>
      <c r="B2898" s="1">
        <v>14</v>
      </c>
      <c r="C2898" s="3">
        <v>14115271672600</v>
      </c>
      <c r="D2898" s="2">
        <v>44577.788888888892</v>
      </c>
      <c r="E2898" s="2">
        <v>44577.913194444445</v>
      </c>
      <c r="F2898" s="23">
        <f t="shared" si="135"/>
        <v>0.12430555555329192</v>
      </c>
      <c r="G2898" s="24">
        <f t="shared" si="137"/>
        <v>100.55865921970828</v>
      </c>
      <c r="H2898" s="1" t="s">
        <v>1</v>
      </c>
      <c r="I2898" s="4" t="s">
        <v>4</v>
      </c>
      <c r="J2898" s="14">
        <v>0.78888888888888886</v>
      </c>
      <c r="K2898" s="20" t="str">
        <f t="shared" si="136"/>
        <v>2nd Shift</v>
      </c>
    </row>
    <row r="2899" spans="1:11" x14ac:dyDescent="0.25">
      <c r="A2899" s="1">
        <v>2898</v>
      </c>
      <c r="B2899" s="1">
        <v>7</v>
      </c>
      <c r="C2899" s="3">
        <v>7115271783707</v>
      </c>
      <c r="D2899" s="2">
        <v>44577.788888888892</v>
      </c>
      <c r="E2899" s="2">
        <v>44577.913194444445</v>
      </c>
      <c r="F2899" s="23">
        <f t="shared" si="135"/>
        <v>0.12430555555329192</v>
      </c>
      <c r="G2899" s="24">
        <f t="shared" si="137"/>
        <v>100.55865921970828</v>
      </c>
      <c r="H2899" s="1" t="s">
        <v>1</v>
      </c>
      <c r="I2899" s="4" t="s">
        <v>3</v>
      </c>
      <c r="J2899" s="14">
        <v>0.78888888888888886</v>
      </c>
      <c r="K2899" s="20" t="str">
        <f t="shared" si="136"/>
        <v>2nd Shift</v>
      </c>
    </row>
    <row r="2900" spans="1:11" x14ac:dyDescent="0.25">
      <c r="A2900" s="1">
        <v>2899</v>
      </c>
      <c r="B2900" s="1">
        <v>3</v>
      </c>
      <c r="C2900" s="3">
        <v>3115270402400</v>
      </c>
      <c r="D2900" s="2">
        <v>44577.895833333336</v>
      </c>
      <c r="E2900" s="2">
        <v>44577.954861111109</v>
      </c>
      <c r="F2900" s="23">
        <f t="shared" si="135"/>
        <v>5.9027777773735579E-2</v>
      </c>
      <c r="G2900" s="24">
        <f t="shared" si="137"/>
        <v>211.76470589685451</v>
      </c>
      <c r="H2900" s="1" t="s">
        <v>1</v>
      </c>
      <c r="I2900" s="4" t="s">
        <v>3</v>
      </c>
      <c r="J2900" s="14">
        <v>0.89583333333333337</v>
      </c>
      <c r="K2900" s="20" t="str">
        <f t="shared" si="136"/>
        <v>2nd Shift</v>
      </c>
    </row>
    <row r="2901" spans="1:11" x14ac:dyDescent="0.25">
      <c r="A2901" s="1">
        <v>2900</v>
      </c>
      <c r="B2901" s="1">
        <v>3</v>
      </c>
      <c r="C2901" s="3">
        <v>3115270366501</v>
      </c>
      <c r="D2901" s="2">
        <v>44577.788888888892</v>
      </c>
      <c r="E2901" s="2">
        <v>44577.913194444445</v>
      </c>
      <c r="F2901" s="23">
        <f t="shared" si="135"/>
        <v>0.12430555555329192</v>
      </c>
      <c r="G2901" s="24">
        <f t="shared" si="137"/>
        <v>100.55865921970828</v>
      </c>
      <c r="H2901" s="1" t="s">
        <v>1</v>
      </c>
      <c r="I2901" s="4" t="s">
        <v>3</v>
      </c>
      <c r="J2901" s="14">
        <v>0.78888888888888886</v>
      </c>
      <c r="K2901" s="20" t="str">
        <f t="shared" si="136"/>
        <v>2nd Shift</v>
      </c>
    </row>
    <row r="2902" spans="1:11" x14ac:dyDescent="0.25">
      <c r="A2902" s="1">
        <v>2901</v>
      </c>
      <c r="B2902" s="1">
        <v>2</v>
      </c>
      <c r="C2902" s="3">
        <v>2115270225604</v>
      </c>
      <c r="D2902" s="2">
        <v>44577.788888888892</v>
      </c>
      <c r="E2902" s="2">
        <v>44577.913194444445</v>
      </c>
      <c r="F2902" s="23">
        <f t="shared" si="135"/>
        <v>0.12430555555329192</v>
      </c>
      <c r="G2902" s="24">
        <f t="shared" si="137"/>
        <v>100.55865921970828</v>
      </c>
      <c r="H2902" s="1" t="s">
        <v>1</v>
      </c>
      <c r="I2902" s="4" t="s">
        <v>2</v>
      </c>
      <c r="J2902" s="14">
        <v>0.78888888888888886</v>
      </c>
      <c r="K2902" s="20" t="str">
        <f t="shared" si="136"/>
        <v>2nd Shift</v>
      </c>
    </row>
    <row r="2903" spans="1:11" x14ac:dyDescent="0.25">
      <c r="A2903" s="1">
        <v>2902</v>
      </c>
      <c r="B2903" s="1">
        <v>2</v>
      </c>
      <c r="C2903" s="3">
        <v>2115270217600</v>
      </c>
      <c r="D2903" s="2">
        <v>44577.788888888892</v>
      </c>
      <c r="E2903" s="2">
        <v>44577.913194444445</v>
      </c>
      <c r="F2903" s="23">
        <f t="shared" si="135"/>
        <v>0.12430555555329192</v>
      </c>
      <c r="G2903" s="24">
        <f t="shared" si="137"/>
        <v>100.55865921970828</v>
      </c>
      <c r="H2903" s="1" t="s">
        <v>1</v>
      </c>
      <c r="I2903" s="4" t="s">
        <v>3</v>
      </c>
      <c r="J2903" s="14">
        <v>0.78888888888888886</v>
      </c>
      <c r="K2903" s="20" t="str">
        <f t="shared" si="136"/>
        <v>2nd Shift</v>
      </c>
    </row>
    <row r="2904" spans="1:11" x14ac:dyDescent="0.25">
      <c r="A2904" s="1">
        <v>2903</v>
      </c>
      <c r="B2904" s="1">
        <v>3</v>
      </c>
      <c r="C2904" s="3">
        <v>3115270306901</v>
      </c>
      <c r="D2904" s="2">
        <v>44577.96875</v>
      </c>
      <c r="E2904" s="2">
        <v>44578.006944444445</v>
      </c>
      <c r="F2904" s="23">
        <f t="shared" si="135"/>
        <v>3.8194444445252884E-2</v>
      </c>
      <c r="G2904" s="24">
        <f t="shared" si="137"/>
        <v>327.27272726580009</v>
      </c>
      <c r="H2904" s="1" t="s">
        <v>1</v>
      </c>
      <c r="I2904" s="4" t="s">
        <v>4</v>
      </c>
      <c r="J2904" s="14">
        <v>0.96875</v>
      </c>
      <c r="K2904" s="20" t="str">
        <f t="shared" si="136"/>
        <v>3rd Shift</v>
      </c>
    </row>
    <row r="2905" spans="1:11" x14ac:dyDescent="0.25">
      <c r="A2905" s="1">
        <v>2904</v>
      </c>
      <c r="B2905" s="1">
        <v>14</v>
      </c>
      <c r="C2905" s="3">
        <v>14115271674712</v>
      </c>
      <c r="D2905" s="2">
        <v>44578.041666666664</v>
      </c>
      <c r="E2905" s="2">
        <v>44578.111111111109</v>
      </c>
      <c r="F2905" s="23">
        <f t="shared" si="135"/>
        <v>6.9444444445252884E-2</v>
      </c>
      <c r="G2905" s="24">
        <f t="shared" si="137"/>
        <v>179.99999999790452</v>
      </c>
      <c r="H2905" s="1" t="s">
        <v>1</v>
      </c>
      <c r="I2905" s="4" t="s">
        <v>3</v>
      </c>
      <c r="J2905" s="14">
        <v>4.1666666666666664E-2</v>
      </c>
      <c r="K2905" s="20" t="str">
        <f t="shared" si="136"/>
        <v>3rd Shift</v>
      </c>
    </row>
    <row r="2906" spans="1:11" x14ac:dyDescent="0.25">
      <c r="A2906" s="1">
        <v>2905</v>
      </c>
      <c r="B2906" s="1">
        <v>12</v>
      </c>
      <c r="C2906" s="3">
        <v>12115271580500</v>
      </c>
      <c r="D2906" s="2">
        <v>44578.041666666664</v>
      </c>
      <c r="E2906" s="2">
        <v>44578.111111111109</v>
      </c>
      <c r="F2906" s="23">
        <f t="shared" si="135"/>
        <v>6.9444444445252884E-2</v>
      </c>
      <c r="G2906" s="24">
        <f t="shared" si="137"/>
        <v>179.99999999790452</v>
      </c>
      <c r="H2906" s="1" t="s">
        <v>1</v>
      </c>
      <c r="I2906" s="4" t="s">
        <v>2</v>
      </c>
      <c r="J2906" s="14">
        <v>4.1666666666666664E-2</v>
      </c>
      <c r="K2906" s="20" t="str">
        <f t="shared" si="136"/>
        <v>3rd Shift</v>
      </c>
    </row>
    <row r="2907" spans="1:11" x14ac:dyDescent="0.25">
      <c r="A2907" s="1">
        <v>2906</v>
      </c>
      <c r="B2907" s="1">
        <v>6</v>
      </c>
      <c r="C2907" s="3">
        <v>6115271698102</v>
      </c>
      <c r="D2907" s="2">
        <v>44578.125</v>
      </c>
      <c r="E2907" s="2">
        <v>44578.177083333336</v>
      </c>
      <c r="F2907" s="23">
        <f t="shared" si="135"/>
        <v>5.2083333335758653E-2</v>
      </c>
      <c r="G2907" s="24">
        <f t="shared" si="137"/>
        <v>239.99999998882413</v>
      </c>
      <c r="H2907" s="1" t="s">
        <v>1</v>
      </c>
      <c r="I2907" s="4" t="s">
        <v>2</v>
      </c>
      <c r="J2907" s="14">
        <v>0.125</v>
      </c>
      <c r="K2907" s="20" t="str">
        <f t="shared" si="136"/>
        <v>3rd Shift</v>
      </c>
    </row>
    <row r="2908" spans="1:11" x14ac:dyDescent="0.25">
      <c r="A2908" s="1">
        <v>2907</v>
      </c>
      <c r="B2908" s="1">
        <v>10</v>
      </c>
      <c r="C2908" s="3">
        <v>10115271964201</v>
      </c>
      <c r="D2908" s="2">
        <v>44578.4375</v>
      </c>
      <c r="E2908" s="2">
        <v>44578.5625</v>
      </c>
      <c r="F2908" s="23">
        <f t="shared" si="135"/>
        <v>0.125</v>
      </c>
      <c r="G2908" s="24">
        <f t="shared" si="137"/>
        <v>100</v>
      </c>
      <c r="H2908" s="1" t="s">
        <v>1</v>
      </c>
      <c r="I2908" s="4" t="s">
        <v>4</v>
      </c>
      <c r="J2908" s="14">
        <v>0.4375</v>
      </c>
      <c r="K2908" s="20" t="str">
        <f t="shared" si="136"/>
        <v>1st Shift</v>
      </c>
    </row>
    <row r="2909" spans="1:11" x14ac:dyDescent="0.25">
      <c r="A2909" s="1">
        <v>2908</v>
      </c>
      <c r="B2909" s="1">
        <v>6</v>
      </c>
      <c r="C2909" s="3">
        <v>6115271741400</v>
      </c>
      <c r="D2909" s="2">
        <v>44578.517361111109</v>
      </c>
      <c r="E2909" s="2">
        <v>44578.5625</v>
      </c>
      <c r="F2909" s="23">
        <f t="shared" si="135"/>
        <v>4.5138888890505768E-2</v>
      </c>
      <c r="G2909" s="24">
        <f t="shared" si="137"/>
        <v>276.9230769131575</v>
      </c>
      <c r="H2909" s="1" t="s">
        <v>1</v>
      </c>
      <c r="I2909" s="4" t="s">
        <v>2</v>
      </c>
      <c r="J2909" s="14">
        <v>0.51736111111111116</v>
      </c>
      <c r="K2909" s="20" t="str">
        <f t="shared" si="136"/>
        <v>1st Shift</v>
      </c>
    </row>
    <row r="2910" spans="1:11" x14ac:dyDescent="0.25">
      <c r="A2910" s="1">
        <v>2909</v>
      </c>
      <c r="B2910" s="1">
        <v>2</v>
      </c>
      <c r="C2910" s="3">
        <v>2115270250600</v>
      </c>
      <c r="D2910" s="2">
        <v>44578.4375</v>
      </c>
      <c r="E2910" s="2">
        <v>44578.5625</v>
      </c>
      <c r="F2910" s="23">
        <f t="shared" si="135"/>
        <v>0.125</v>
      </c>
      <c r="G2910" s="24">
        <f t="shared" si="137"/>
        <v>100</v>
      </c>
      <c r="H2910" s="1" t="s">
        <v>1</v>
      </c>
      <c r="I2910" s="4" t="s">
        <v>3</v>
      </c>
      <c r="J2910" s="14">
        <v>0.4375</v>
      </c>
      <c r="K2910" s="20" t="str">
        <f t="shared" si="136"/>
        <v>1st Shift</v>
      </c>
    </row>
    <row r="2911" spans="1:11" x14ac:dyDescent="0.25">
      <c r="A2911" s="1">
        <v>2910</v>
      </c>
      <c r="B2911" s="1">
        <v>2</v>
      </c>
      <c r="C2911" s="3">
        <v>2115270169300</v>
      </c>
      <c r="D2911" s="2">
        <v>44578.666666666664</v>
      </c>
      <c r="E2911" s="2">
        <v>44578.708333333336</v>
      </c>
      <c r="F2911" s="23">
        <f t="shared" si="135"/>
        <v>4.1666666671517305E-2</v>
      </c>
      <c r="G2911" s="24">
        <f t="shared" si="137"/>
        <v>299.9999999650754</v>
      </c>
      <c r="H2911" s="1" t="s">
        <v>1</v>
      </c>
      <c r="I2911" s="4" t="s">
        <v>3</v>
      </c>
      <c r="J2911" s="14">
        <v>0.66666666666666663</v>
      </c>
      <c r="K2911" s="20" t="str">
        <f t="shared" si="136"/>
        <v>2nd Shift</v>
      </c>
    </row>
    <row r="2912" spans="1:11" x14ac:dyDescent="0.25">
      <c r="A2912" s="1">
        <v>2911</v>
      </c>
      <c r="B2912" s="1">
        <v>14</v>
      </c>
      <c r="C2912" s="3">
        <v>14115271683811</v>
      </c>
      <c r="D2912" s="2">
        <v>44578.770833333336</v>
      </c>
      <c r="E2912" s="2">
        <v>44578.84375</v>
      </c>
      <c r="F2912" s="23">
        <f t="shared" si="135"/>
        <v>7.2916666664241347E-2</v>
      </c>
      <c r="G2912" s="24">
        <f t="shared" si="137"/>
        <v>171.42857143427341</v>
      </c>
      <c r="H2912" s="1" t="s">
        <v>1</v>
      </c>
      <c r="I2912" s="4" t="s">
        <v>8</v>
      </c>
      <c r="J2912" s="14">
        <v>0.77083333333333337</v>
      </c>
      <c r="K2912" s="20" t="str">
        <f t="shared" si="136"/>
        <v>2nd Shift</v>
      </c>
    </row>
    <row r="2913" spans="1:11" x14ac:dyDescent="0.25">
      <c r="A2913" s="1">
        <v>2912</v>
      </c>
      <c r="B2913" s="1">
        <v>10</v>
      </c>
      <c r="C2913" s="3">
        <v>10115271963700</v>
      </c>
      <c r="D2913" s="2">
        <v>44578.743055555555</v>
      </c>
      <c r="E2913" s="2">
        <v>44578.84375</v>
      </c>
      <c r="F2913" s="23">
        <f t="shared" si="135"/>
        <v>0.10069444444525288</v>
      </c>
      <c r="G2913" s="24">
        <f t="shared" si="137"/>
        <v>124.1379310334861</v>
      </c>
      <c r="H2913" s="1" t="s">
        <v>1</v>
      </c>
      <c r="I2913" s="4" t="s">
        <v>3</v>
      </c>
      <c r="J2913" s="14">
        <v>0.74305555555555558</v>
      </c>
      <c r="K2913" s="20" t="str">
        <f t="shared" si="136"/>
        <v>2nd Shift</v>
      </c>
    </row>
    <row r="2914" spans="1:11" x14ac:dyDescent="0.25">
      <c r="A2914" s="1">
        <v>2913</v>
      </c>
      <c r="B2914" s="1">
        <v>3</v>
      </c>
      <c r="C2914" s="3">
        <v>3115270341004</v>
      </c>
      <c r="D2914" s="2">
        <v>44578.743055555555</v>
      </c>
      <c r="E2914" s="2">
        <v>44578.84375</v>
      </c>
      <c r="F2914" s="23">
        <f t="shared" si="135"/>
        <v>0.10069444444525288</v>
      </c>
      <c r="G2914" s="24">
        <f t="shared" si="137"/>
        <v>124.1379310334861</v>
      </c>
      <c r="H2914" s="1" t="s">
        <v>1</v>
      </c>
      <c r="I2914" s="4" t="s">
        <v>3</v>
      </c>
      <c r="J2914" s="14">
        <v>0.74305555555555558</v>
      </c>
      <c r="K2914" s="20" t="str">
        <f t="shared" si="136"/>
        <v>2nd Shift</v>
      </c>
    </row>
    <row r="2915" spans="1:11" x14ac:dyDescent="0.25">
      <c r="A2915" s="1">
        <v>2914</v>
      </c>
      <c r="B2915" s="1">
        <v>1</v>
      </c>
      <c r="C2915" s="3">
        <v>1115270064002</v>
      </c>
      <c r="D2915" s="2">
        <v>44578.930555555555</v>
      </c>
      <c r="E2915" s="2">
        <v>44578.965277777781</v>
      </c>
      <c r="F2915" s="23">
        <f t="shared" si="135"/>
        <v>3.4722222226264421E-2</v>
      </c>
      <c r="G2915" s="24">
        <f t="shared" si="137"/>
        <v>359.99999995809048</v>
      </c>
      <c r="H2915" s="1" t="s">
        <v>1</v>
      </c>
      <c r="I2915" s="4" t="s">
        <v>3</v>
      </c>
      <c r="J2915" s="14">
        <v>0.93055555555555558</v>
      </c>
      <c r="K2915" s="20" t="str">
        <f t="shared" si="136"/>
        <v>3rd Shift</v>
      </c>
    </row>
    <row r="2916" spans="1:11" x14ac:dyDescent="0.25">
      <c r="A2916" s="1">
        <v>2915</v>
      </c>
      <c r="B2916" s="1">
        <v>15</v>
      </c>
      <c r="C2916" s="3">
        <v>15115271743901</v>
      </c>
      <c r="D2916" s="2">
        <v>44578.96875</v>
      </c>
      <c r="E2916" s="2">
        <v>44579.131944444445</v>
      </c>
      <c r="F2916" s="23">
        <f t="shared" si="135"/>
        <v>0.16319444444525288</v>
      </c>
      <c r="G2916" s="24">
        <f t="shared" si="137"/>
        <v>76.595744680471626</v>
      </c>
      <c r="H2916" s="1" t="s">
        <v>1</v>
      </c>
      <c r="I2916" s="4" t="s">
        <v>2</v>
      </c>
      <c r="J2916" s="14">
        <v>0.96875</v>
      </c>
      <c r="K2916" s="20" t="str">
        <f t="shared" si="136"/>
        <v>3rd Shift</v>
      </c>
    </row>
    <row r="2917" spans="1:11" x14ac:dyDescent="0.25">
      <c r="A2917" s="1">
        <v>2916</v>
      </c>
      <c r="B2917" s="1">
        <v>11</v>
      </c>
      <c r="C2917" s="3">
        <v>11115271542301</v>
      </c>
      <c r="D2917" s="2">
        <v>44578.96875</v>
      </c>
      <c r="E2917" s="2">
        <v>44579.131944444445</v>
      </c>
      <c r="F2917" s="23">
        <f t="shared" si="135"/>
        <v>0.16319444444525288</v>
      </c>
      <c r="G2917" s="24">
        <f t="shared" si="137"/>
        <v>76.595744680471626</v>
      </c>
      <c r="H2917" s="1" t="s">
        <v>1</v>
      </c>
      <c r="I2917" s="4" t="s">
        <v>3</v>
      </c>
      <c r="J2917" s="14">
        <v>0.96875</v>
      </c>
      <c r="K2917" s="20" t="str">
        <f t="shared" si="136"/>
        <v>3rd Shift</v>
      </c>
    </row>
    <row r="2918" spans="1:11" x14ac:dyDescent="0.25">
      <c r="A2918" s="1">
        <v>2917</v>
      </c>
      <c r="B2918" s="1">
        <v>12</v>
      </c>
      <c r="C2918" s="3">
        <v>12115271571049</v>
      </c>
      <c r="D2918" s="2">
        <v>44579.46875</v>
      </c>
      <c r="E2918" s="2">
        <v>44579.5</v>
      </c>
      <c r="F2918" s="23">
        <f t="shared" si="135"/>
        <v>3.125E-2</v>
      </c>
      <c r="G2918" s="24">
        <f t="shared" si="137"/>
        <v>400</v>
      </c>
      <c r="H2918" s="1" t="s">
        <v>1</v>
      </c>
      <c r="I2918" s="4" t="s">
        <v>2</v>
      </c>
      <c r="J2918" s="14">
        <v>0.46875</v>
      </c>
      <c r="K2918" s="20" t="str">
        <f t="shared" si="136"/>
        <v>1st Shift</v>
      </c>
    </row>
    <row r="2919" spans="1:11" x14ac:dyDescent="0.25">
      <c r="A2919" s="1">
        <v>2918</v>
      </c>
      <c r="B2919" s="1">
        <v>12</v>
      </c>
      <c r="C2919" s="3">
        <v>12115271569208</v>
      </c>
      <c r="D2919" s="2">
        <v>44579.427083333336</v>
      </c>
      <c r="E2919" s="2">
        <v>44579.5</v>
      </c>
      <c r="F2919" s="23">
        <f t="shared" si="135"/>
        <v>7.2916666664241347E-2</v>
      </c>
      <c r="G2919" s="24">
        <f t="shared" si="137"/>
        <v>171.42857143427341</v>
      </c>
      <c r="H2919" s="1" t="s">
        <v>1</v>
      </c>
      <c r="I2919" s="4" t="s">
        <v>3</v>
      </c>
      <c r="J2919" s="14">
        <v>0.42708333333333331</v>
      </c>
      <c r="K2919" s="20" t="str">
        <f t="shared" si="136"/>
        <v>1st Shift</v>
      </c>
    </row>
    <row r="2920" spans="1:11" x14ac:dyDescent="0.25">
      <c r="A2920" s="1">
        <v>2919</v>
      </c>
      <c r="B2920" s="1">
        <v>1</v>
      </c>
      <c r="C2920" s="3">
        <v>1115270088300</v>
      </c>
      <c r="D2920" s="2">
        <v>44579.427083333336</v>
      </c>
      <c r="E2920" s="2">
        <v>44579.5</v>
      </c>
      <c r="F2920" s="23">
        <f t="shared" si="135"/>
        <v>7.2916666664241347E-2</v>
      </c>
      <c r="G2920" s="24">
        <f t="shared" si="137"/>
        <v>171.42857143427341</v>
      </c>
      <c r="H2920" s="1" t="s">
        <v>1</v>
      </c>
      <c r="I2920" s="4" t="s">
        <v>3</v>
      </c>
      <c r="J2920" s="14">
        <v>0.42708333333333331</v>
      </c>
      <c r="K2920" s="20" t="str">
        <f t="shared" si="136"/>
        <v>1st Shift</v>
      </c>
    </row>
    <row r="2921" spans="1:11" x14ac:dyDescent="0.25">
      <c r="A2921" s="1">
        <v>2920</v>
      </c>
      <c r="B2921" s="1">
        <v>14</v>
      </c>
      <c r="C2921" s="3">
        <v>14115271690732</v>
      </c>
      <c r="D2921" s="2">
        <v>44579.701388888891</v>
      </c>
      <c r="E2921" s="2">
        <v>44579.875</v>
      </c>
      <c r="F2921" s="23">
        <f t="shared" si="135"/>
        <v>0.17361111110949423</v>
      </c>
      <c r="G2921" s="24">
        <f t="shared" si="137"/>
        <v>72.000000000670553</v>
      </c>
      <c r="H2921" s="1" t="s">
        <v>1</v>
      </c>
      <c r="I2921" s="4" t="s">
        <v>2</v>
      </c>
      <c r="J2921" s="14">
        <v>0.70138888888888884</v>
      </c>
      <c r="K2921" s="20" t="str">
        <f t="shared" si="136"/>
        <v>2nd Shift</v>
      </c>
    </row>
    <row r="2922" spans="1:11" x14ac:dyDescent="0.25">
      <c r="A2922" s="1">
        <v>2921</v>
      </c>
      <c r="B2922" s="1">
        <v>12</v>
      </c>
      <c r="C2922" s="3">
        <v>12115271565702</v>
      </c>
      <c r="D2922" s="2">
        <v>44579.701388888891</v>
      </c>
      <c r="E2922" s="2">
        <v>44579.875</v>
      </c>
      <c r="F2922" s="23">
        <f t="shared" si="135"/>
        <v>0.17361111110949423</v>
      </c>
      <c r="G2922" s="24">
        <f t="shared" si="137"/>
        <v>72.000000000670553</v>
      </c>
      <c r="H2922" s="1" t="s">
        <v>1</v>
      </c>
      <c r="I2922" s="4" t="s">
        <v>2</v>
      </c>
      <c r="J2922" s="14">
        <v>0.70138888888888884</v>
      </c>
      <c r="K2922" s="20" t="str">
        <f t="shared" si="136"/>
        <v>2nd Shift</v>
      </c>
    </row>
    <row r="2923" spans="1:11" x14ac:dyDescent="0.25">
      <c r="A2923" s="1">
        <v>2922</v>
      </c>
      <c r="B2923" s="1">
        <v>7</v>
      </c>
      <c r="C2923" s="3">
        <v>7115271754700</v>
      </c>
      <c r="D2923" s="2">
        <v>44579.701388888891</v>
      </c>
      <c r="E2923" s="2">
        <v>44579.875</v>
      </c>
      <c r="F2923" s="23">
        <f t="shared" si="135"/>
        <v>0.17361111110949423</v>
      </c>
      <c r="G2923" s="24">
        <f t="shared" si="137"/>
        <v>72.000000000670553</v>
      </c>
      <c r="H2923" s="1" t="s">
        <v>1</v>
      </c>
      <c r="I2923" s="4" t="s">
        <v>3</v>
      </c>
      <c r="J2923" s="14">
        <v>0.70138888888888884</v>
      </c>
      <c r="K2923" s="20" t="str">
        <f t="shared" si="136"/>
        <v>2nd Shift</v>
      </c>
    </row>
    <row r="2924" spans="1:11" x14ac:dyDescent="0.25">
      <c r="A2924" s="1">
        <v>2923</v>
      </c>
      <c r="B2924" s="1">
        <v>3</v>
      </c>
      <c r="C2924" s="3">
        <v>3115270321400</v>
      </c>
      <c r="D2924" s="2">
        <v>44579.784722222219</v>
      </c>
      <c r="E2924" s="2">
        <v>44579.875</v>
      </c>
      <c r="F2924" s="23">
        <f t="shared" si="135"/>
        <v>9.0277777781011537E-2</v>
      </c>
      <c r="G2924" s="24">
        <f t="shared" si="137"/>
        <v>138.46153845657875</v>
      </c>
      <c r="H2924" s="1" t="s">
        <v>1</v>
      </c>
      <c r="I2924" s="4" t="s">
        <v>3</v>
      </c>
      <c r="J2924" s="14">
        <v>0.78472222222222221</v>
      </c>
      <c r="K2924" s="20" t="str">
        <f t="shared" si="136"/>
        <v>2nd Shift</v>
      </c>
    </row>
    <row r="2925" spans="1:11" x14ac:dyDescent="0.25">
      <c r="A2925" s="1">
        <v>2924</v>
      </c>
      <c r="B2925" s="1">
        <v>13</v>
      </c>
      <c r="C2925" s="3">
        <v>13115271590500</v>
      </c>
      <c r="D2925" s="2">
        <v>44580.413194444445</v>
      </c>
      <c r="E2925" s="2">
        <v>44580.604166666664</v>
      </c>
      <c r="F2925" s="23">
        <f t="shared" si="135"/>
        <v>0.19097222221898846</v>
      </c>
      <c r="G2925" s="24">
        <f t="shared" si="137"/>
        <v>65.4545454556538</v>
      </c>
      <c r="H2925" s="1" t="s">
        <v>1</v>
      </c>
      <c r="I2925" s="4" t="s">
        <v>4</v>
      </c>
      <c r="J2925" s="14">
        <v>0.41319444444444442</v>
      </c>
      <c r="K2925" s="20" t="str">
        <f t="shared" si="136"/>
        <v>1st Shift</v>
      </c>
    </row>
    <row r="2926" spans="1:11" x14ac:dyDescent="0.25">
      <c r="A2926" s="1">
        <v>2925</v>
      </c>
      <c r="B2926" s="1">
        <v>11</v>
      </c>
      <c r="C2926" s="3">
        <v>11115271542511</v>
      </c>
      <c r="D2926" s="2">
        <v>44580.413194444445</v>
      </c>
      <c r="E2926" s="2">
        <v>44580.604166666664</v>
      </c>
      <c r="F2926" s="23">
        <f t="shared" si="135"/>
        <v>0.19097222221898846</v>
      </c>
      <c r="G2926" s="24">
        <f t="shared" si="137"/>
        <v>65.4545454556538</v>
      </c>
      <c r="H2926" s="1" t="s">
        <v>1</v>
      </c>
      <c r="I2926" s="4" t="s">
        <v>3</v>
      </c>
      <c r="J2926" s="14">
        <v>0.41319444444444442</v>
      </c>
      <c r="K2926" s="20" t="str">
        <f t="shared" si="136"/>
        <v>1st Shift</v>
      </c>
    </row>
    <row r="2927" spans="1:11" x14ac:dyDescent="0.25">
      <c r="A2927" s="1">
        <v>2926</v>
      </c>
      <c r="B2927" s="1">
        <v>7</v>
      </c>
      <c r="C2927" s="3">
        <v>7115271760800</v>
      </c>
      <c r="D2927" s="2">
        <v>44580.413194444445</v>
      </c>
      <c r="E2927" s="2">
        <v>44580.604166666664</v>
      </c>
      <c r="F2927" s="23">
        <f t="shared" si="135"/>
        <v>0.19097222221898846</v>
      </c>
      <c r="G2927" s="24">
        <f t="shared" si="137"/>
        <v>65.4545454556538</v>
      </c>
      <c r="H2927" s="1" t="s">
        <v>1</v>
      </c>
      <c r="I2927" s="4" t="s">
        <v>3</v>
      </c>
      <c r="J2927" s="14">
        <v>0.41319444444444442</v>
      </c>
      <c r="K2927" s="20" t="str">
        <f t="shared" si="136"/>
        <v>1st Shift</v>
      </c>
    </row>
    <row r="2928" spans="1:11" x14ac:dyDescent="0.25">
      <c r="A2928" s="1">
        <v>2927</v>
      </c>
      <c r="B2928" s="1">
        <v>5</v>
      </c>
      <c r="C2928" s="3">
        <v>5115271296304</v>
      </c>
      <c r="D2928" s="2">
        <v>44580.413194444445</v>
      </c>
      <c r="E2928" s="2">
        <v>44580.604166666664</v>
      </c>
      <c r="F2928" s="23">
        <f t="shared" si="135"/>
        <v>0.19097222221898846</v>
      </c>
      <c r="G2928" s="24">
        <f t="shared" si="137"/>
        <v>65.4545454556538</v>
      </c>
      <c r="H2928" s="1" t="s">
        <v>1</v>
      </c>
      <c r="I2928" s="4" t="s">
        <v>3</v>
      </c>
      <c r="J2928" s="14">
        <v>0.41319444444444442</v>
      </c>
      <c r="K2928" s="20" t="str">
        <f t="shared" si="136"/>
        <v>1st Shift</v>
      </c>
    </row>
    <row r="2929" spans="1:11" x14ac:dyDescent="0.25">
      <c r="A2929" s="1">
        <v>2928</v>
      </c>
      <c r="B2929" s="1">
        <v>1</v>
      </c>
      <c r="C2929" s="3">
        <v>1115270110700</v>
      </c>
      <c r="D2929" s="2">
        <v>44580.413194444445</v>
      </c>
      <c r="E2929" s="2">
        <v>44580.604166666664</v>
      </c>
      <c r="F2929" s="23">
        <f t="shared" si="135"/>
        <v>0.19097222221898846</v>
      </c>
      <c r="G2929" s="24">
        <f t="shared" si="137"/>
        <v>65.4545454556538</v>
      </c>
      <c r="H2929" s="1" t="s">
        <v>1</v>
      </c>
      <c r="I2929" s="4" t="s">
        <v>3</v>
      </c>
      <c r="J2929" s="14">
        <v>0.41319444444444442</v>
      </c>
      <c r="K2929" s="20" t="str">
        <f t="shared" si="136"/>
        <v>1st Shift</v>
      </c>
    </row>
    <row r="2930" spans="1:11" x14ac:dyDescent="0.25">
      <c r="A2930" s="1">
        <v>2929</v>
      </c>
      <c r="B2930" s="1">
        <v>13</v>
      </c>
      <c r="C2930" s="3">
        <v>13115271616604</v>
      </c>
      <c r="D2930" s="2">
        <v>44580.663194444445</v>
      </c>
      <c r="E2930" s="2">
        <v>44580.822916666664</v>
      </c>
      <c r="F2930" s="23">
        <f t="shared" si="135"/>
        <v>0.15972222221898846</v>
      </c>
      <c r="G2930" s="24">
        <f t="shared" si="137"/>
        <v>78.260869566801873</v>
      </c>
      <c r="H2930" s="1" t="s">
        <v>1</v>
      </c>
      <c r="I2930" s="4" t="s">
        <v>3</v>
      </c>
      <c r="J2930" s="14">
        <v>0.66319444444444442</v>
      </c>
      <c r="K2930" s="20" t="str">
        <f t="shared" si="136"/>
        <v>2nd Shift</v>
      </c>
    </row>
    <row r="2931" spans="1:11" x14ac:dyDescent="0.25">
      <c r="A2931" s="1">
        <v>2930</v>
      </c>
      <c r="B2931" s="1">
        <v>3</v>
      </c>
      <c r="C2931" s="3">
        <v>3115270421627</v>
      </c>
      <c r="D2931" s="2">
        <v>44580.75</v>
      </c>
      <c r="E2931" s="2">
        <v>44580.822916666664</v>
      </c>
      <c r="F2931" s="23">
        <f t="shared" si="135"/>
        <v>7.2916666664241347E-2</v>
      </c>
      <c r="G2931" s="24">
        <f t="shared" si="137"/>
        <v>171.42857143427341</v>
      </c>
      <c r="H2931" s="1" t="s">
        <v>1</v>
      </c>
      <c r="I2931" s="4" t="s">
        <v>3</v>
      </c>
      <c r="J2931" s="14">
        <v>0.75</v>
      </c>
      <c r="K2931" s="20" t="str">
        <f t="shared" si="136"/>
        <v>2nd Shift</v>
      </c>
    </row>
    <row r="2932" spans="1:11" x14ac:dyDescent="0.25">
      <c r="A2932" s="1">
        <v>2931</v>
      </c>
      <c r="B2932" s="1">
        <v>3</v>
      </c>
      <c r="C2932" s="3">
        <v>3115270340600</v>
      </c>
      <c r="D2932" s="2">
        <v>44580.663194444445</v>
      </c>
      <c r="E2932" s="2">
        <v>44580.822916666664</v>
      </c>
      <c r="F2932" s="23">
        <f t="shared" si="135"/>
        <v>0.15972222221898846</v>
      </c>
      <c r="G2932" s="24">
        <f t="shared" si="137"/>
        <v>78.260869566801873</v>
      </c>
      <c r="H2932" s="1" t="s">
        <v>1</v>
      </c>
      <c r="I2932" s="4" t="s">
        <v>3</v>
      </c>
      <c r="J2932" s="14">
        <v>0.66319444444444442</v>
      </c>
      <c r="K2932" s="20" t="str">
        <f t="shared" si="136"/>
        <v>2nd Shift</v>
      </c>
    </row>
    <row r="2933" spans="1:11" x14ac:dyDescent="0.25">
      <c r="A2933" s="1">
        <v>2932</v>
      </c>
      <c r="B2933" s="1">
        <v>3</v>
      </c>
      <c r="C2933" s="3">
        <v>3115270306605</v>
      </c>
      <c r="D2933" s="2">
        <v>44580.791666666664</v>
      </c>
      <c r="E2933" s="2">
        <v>44580.822916666664</v>
      </c>
      <c r="F2933" s="23">
        <f t="shared" si="135"/>
        <v>3.125E-2</v>
      </c>
      <c r="G2933" s="24">
        <f t="shared" si="137"/>
        <v>400</v>
      </c>
      <c r="H2933" s="1" t="s">
        <v>1</v>
      </c>
      <c r="I2933" s="4" t="s">
        <v>3</v>
      </c>
      <c r="J2933" s="14">
        <v>0.79166666666666663</v>
      </c>
      <c r="K2933" s="20" t="str">
        <f t="shared" si="136"/>
        <v>2nd Shift</v>
      </c>
    </row>
    <row r="2934" spans="1:11" x14ac:dyDescent="0.25">
      <c r="A2934" s="1">
        <v>2933</v>
      </c>
      <c r="B2934" s="1">
        <v>1</v>
      </c>
      <c r="C2934" s="3">
        <v>1115270092500</v>
      </c>
      <c r="D2934" s="2">
        <v>44580.84375</v>
      </c>
      <c r="E2934" s="2">
        <v>44580.895833333336</v>
      </c>
      <c r="F2934" s="23">
        <f t="shared" si="135"/>
        <v>5.2083333335758653E-2</v>
      </c>
      <c r="G2934" s="24">
        <f t="shared" si="137"/>
        <v>239.99999998882413</v>
      </c>
      <c r="H2934" s="1" t="s">
        <v>1</v>
      </c>
      <c r="I2934" s="4" t="s">
        <v>2</v>
      </c>
      <c r="J2934" s="14">
        <v>0.84375</v>
      </c>
      <c r="K2934" s="20" t="str">
        <f t="shared" si="136"/>
        <v>2nd Shift</v>
      </c>
    </row>
    <row r="2935" spans="1:11" x14ac:dyDescent="0.25">
      <c r="A2935" s="1">
        <v>2934</v>
      </c>
      <c r="B2935" s="1">
        <v>13</v>
      </c>
      <c r="C2935" s="3">
        <v>13115271604903</v>
      </c>
      <c r="D2935" s="2">
        <v>44581.388888888891</v>
      </c>
      <c r="E2935" s="2">
        <v>44581.43472222222</v>
      </c>
      <c r="F2935" s="23">
        <f t="shared" si="135"/>
        <v>4.5833333329937886E-2</v>
      </c>
      <c r="G2935" s="24">
        <f t="shared" si="137"/>
        <v>272.72727274747706</v>
      </c>
      <c r="H2935" s="1" t="s">
        <v>1</v>
      </c>
      <c r="I2935" s="4" t="s">
        <v>2</v>
      </c>
      <c r="J2935" s="14">
        <v>0.3888888888888889</v>
      </c>
      <c r="K2935" s="20" t="str">
        <f t="shared" si="136"/>
        <v>1st Shift</v>
      </c>
    </row>
    <row r="2936" spans="1:11" x14ac:dyDescent="0.25">
      <c r="A2936" s="1">
        <v>2935</v>
      </c>
      <c r="B2936" s="1">
        <v>11</v>
      </c>
      <c r="C2936" s="3">
        <v>11115271543503</v>
      </c>
      <c r="D2936" s="2">
        <v>44581.388888888891</v>
      </c>
      <c r="E2936" s="2">
        <v>44581.43472222222</v>
      </c>
      <c r="F2936" s="23">
        <f t="shared" si="135"/>
        <v>4.5833333329937886E-2</v>
      </c>
      <c r="G2936" s="24">
        <f t="shared" si="137"/>
        <v>272.72727274747706</v>
      </c>
      <c r="H2936" s="1" t="s">
        <v>1</v>
      </c>
      <c r="I2936" s="4" t="s">
        <v>2</v>
      </c>
      <c r="J2936" s="14">
        <v>0.3888888888888889</v>
      </c>
      <c r="K2936" s="20" t="str">
        <f t="shared" si="136"/>
        <v>1st Shift</v>
      </c>
    </row>
    <row r="2937" spans="1:11" x14ac:dyDescent="0.25">
      <c r="A2937" s="1">
        <v>2936</v>
      </c>
      <c r="B2937" s="1">
        <v>14</v>
      </c>
      <c r="C2937" s="3">
        <v>14115271672501</v>
      </c>
      <c r="D2937" s="2">
        <v>44581.486111111109</v>
      </c>
      <c r="E2937" s="2">
        <v>44581.586805555555</v>
      </c>
      <c r="F2937" s="23">
        <f t="shared" si="135"/>
        <v>0.10069444444525288</v>
      </c>
      <c r="G2937" s="24">
        <f t="shared" si="137"/>
        <v>124.1379310334861</v>
      </c>
      <c r="H2937" s="1" t="s">
        <v>1</v>
      </c>
      <c r="I2937" s="4" t="s">
        <v>3</v>
      </c>
      <c r="J2937" s="14">
        <v>0.4861111111111111</v>
      </c>
      <c r="K2937" s="20" t="str">
        <f t="shared" si="136"/>
        <v>1st Shift</v>
      </c>
    </row>
    <row r="2938" spans="1:11" x14ac:dyDescent="0.25">
      <c r="A2938" s="1">
        <v>2937</v>
      </c>
      <c r="B2938" s="1">
        <v>12</v>
      </c>
      <c r="C2938" s="3">
        <v>12115271565412</v>
      </c>
      <c r="D2938" s="2">
        <v>44581.486111111109</v>
      </c>
      <c r="E2938" s="2">
        <v>44581.586805555555</v>
      </c>
      <c r="F2938" s="23">
        <f t="shared" si="135"/>
        <v>0.10069444444525288</v>
      </c>
      <c r="G2938" s="24">
        <f t="shared" si="137"/>
        <v>124.1379310334861</v>
      </c>
      <c r="H2938" s="1" t="s">
        <v>1</v>
      </c>
      <c r="I2938" s="4" t="s">
        <v>2</v>
      </c>
      <c r="J2938" s="14">
        <v>0.4861111111111111</v>
      </c>
      <c r="K2938" s="20" t="str">
        <f t="shared" si="136"/>
        <v>1st Shift</v>
      </c>
    </row>
    <row r="2939" spans="1:11" x14ac:dyDescent="0.25">
      <c r="A2939" s="1">
        <v>2938</v>
      </c>
      <c r="B2939" s="1">
        <v>10</v>
      </c>
      <c r="C2939" s="3">
        <v>10115270954300</v>
      </c>
      <c r="D2939" s="2">
        <v>44581.486111111109</v>
      </c>
      <c r="E2939" s="2">
        <v>44581.586805555555</v>
      </c>
      <c r="F2939" s="23">
        <f t="shared" si="135"/>
        <v>0.10069444444525288</v>
      </c>
      <c r="G2939" s="24">
        <f t="shared" si="137"/>
        <v>124.1379310334861</v>
      </c>
      <c r="H2939" s="1" t="s">
        <v>1</v>
      </c>
      <c r="I2939" s="4" t="s">
        <v>2</v>
      </c>
      <c r="J2939" s="14">
        <v>0.4861111111111111</v>
      </c>
      <c r="K2939" s="20" t="str">
        <f t="shared" si="136"/>
        <v>1st Shift</v>
      </c>
    </row>
    <row r="2940" spans="1:11" x14ac:dyDescent="0.25">
      <c r="A2940" s="1">
        <v>2939</v>
      </c>
      <c r="B2940" s="1">
        <v>13</v>
      </c>
      <c r="C2940" s="3">
        <v>13115271625711</v>
      </c>
      <c r="D2940" s="2">
        <v>44581.645833333336</v>
      </c>
      <c r="E2940" s="2">
        <v>44581.75</v>
      </c>
      <c r="F2940" s="23">
        <f t="shared" si="135"/>
        <v>0.10416666666424135</v>
      </c>
      <c r="G2940" s="24">
        <f t="shared" si="137"/>
        <v>120.00000000279397</v>
      </c>
      <c r="H2940" s="1" t="s">
        <v>1</v>
      </c>
      <c r="I2940" s="4" t="s">
        <v>2</v>
      </c>
      <c r="J2940" s="14">
        <v>0.64583333333333337</v>
      </c>
      <c r="K2940" s="20" t="str">
        <f t="shared" si="136"/>
        <v>2nd Shift</v>
      </c>
    </row>
    <row r="2941" spans="1:11" x14ac:dyDescent="0.25">
      <c r="A2941" s="1">
        <v>2940</v>
      </c>
      <c r="B2941" s="1">
        <v>13</v>
      </c>
      <c r="C2941" s="3">
        <v>13115271590603</v>
      </c>
      <c r="D2941" s="2">
        <v>44581.625</v>
      </c>
      <c r="E2941" s="2">
        <v>44581.75</v>
      </c>
      <c r="F2941" s="23">
        <f t="shared" si="135"/>
        <v>0.125</v>
      </c>
      <c r="G2941" s="24">
        <f t="shared" si="137"/>
        <v>100</v>
      </c>
      <c r="H2941" s="1" t="s">
        <v>1</v>
      </c>
      <c r="I2941" s="4" t="s">
        <v>3</v>
      </c>
      <c r="J2941" s="14">
        <v>0.625</v>
      </c>
      <c r="K2941" s="20" t="str">
        <f t="shared" si="136"/>
        <v>2nd Shift</v>
      </c>
    </row>
    <row r="2942" spans="1:11" x14ac:dyDescent="0.25">
      <c r="A2942" s="1">
        <v>2941</v>
      </c>
      <c r="B2942" s="1">
        <v>7</v>
      </c>
      <c r="C2942" s="3">
        <v>7115271757264</v>
      </c>
      <c r="D2942" s="2">
        <v>44581.669444444444</v>
      </c>
      <c r="E2942" s="2">
        <v>44581.75</v>
      </c>
      <c r="F2942" s="23">
        <f t="shared" si="135"/>
        <v>8.0555555556202307E-2</v>
      </c>
      <c r="G2942" s="24">
        <f t="shared" si="137"/>
        <v>155.17241379185762</v>
      </c>
      <c r="H2942" s="1" t="s">
        <v>1</v>
      </c>
      <c r="I2942" s="4" t="s">
        <v>2</v>
      </c>
      <c r="J2942" s="14">
        <v>0.6694444444444444</v>
      </c>
      <c r="K2942" s="20" t="str">
        <f t="shared" si="136"/>
        <v>2nd Shift</v>
      </c>
    </row>
    <row r="2943" spans="1:11" x14ac:dyDescent="0.25">
      <c r="A2943" s="1">
        <v>2942</v>
      </c>
      <c r="B2943" s="1">
        <v>3</v>
      </c>
      <c r="C2943" s="3">
        <v>3115270366900</v>
      </c>
      <c r="D2943" s="2">
        <v>44582.972222222219</v>
      </c>
      <c r="E2943" s="2">
        <v>44583.118055555555</v>
      </c>
      <c r="F2943" s="23">
        <f t="shared" si="135"/>
        <v>0.14583333333575865</v>
      </c>
      <c r="G2943" s="24">
        <f t="shared" si="137"/>
        <v>85.714285712860217</v>
      </c>
      <c r="H2943" s="1" t="s">
        <v>1</v>
      </c>
      <c r="I2943" s="4" t="s">
        <v>2</v>
      </c>
      <c r="J2943" s="14">
        <v>0.97222222222222221</v>
      </c>
      <c r="K2943" s="20" t="str">
        <f t="shared" si="136"/>
        <v>3rd Shift</v>
      </c>
    </row>
    <row r="2944" spans="1:11" x14ac:dyDescent="0.25">
      <c r="A2944" s="1">
        <v>2943</v>
      </c>
      <c r="B2944" s="1">
        <v>10</v>
      </c>
      <c r="C2944" s="3">
        <v>10115271965001</v>
      </c>
      <c r="D2944" s="2">
        <v>44582.034722222219</v>
      </c>
      <c r="E2944" s="2">
        <v>44582.21875</v>
      </c>
      <c r="F2944" s="23">
        <f t="shared" si="135"/>
        <v>0.18402777778101154</v>
      </c>
      <c r="G2944" s="24">
        <f t="shared" si="137"/>
        <v>67.924528300693211</v>
      </c>
      <c r="H2944" s="1" t="s">
        <v>1</v>
      </c>
      <c r="I2944" s="4" t="s">
        <v>2</v>
      </c>
      <c r="J2944" s="14">
        <v>3.4722222222222224E-2</v>
      </c>
      <c r="K2944" s="20" t="str">
        <f t="shared" si="136"/>
        <v>3rd Shift</v>
      </c>
    </row>
    <row r="2945" spans="1:11" x14ac:dyDescent="0.25">
      <c r="A2945" s="1">
        <v>2944</v>
      </c>
      <c r="B2945" s="1">
        <v>2</v>
      </c>
      <c r="C2945" s="3">
        <v>2115270226500</v>
      </c>
      <c r="D2945" s="2">
        <v>44582.034722222219</v>
      </c>
      <c r="E2945" s="2">
        <v>44582.21875</v>
      </c>
      <c r="F2945" s="23">
        <f t="shared" si="135"/>
        <v>0.18402777778101154</v>
      </c>
      <c r="G2945" s="24">
        <f t="shared" si="137"/>
        <v>67.924528300693211</v>
      </c>
      <c r="H2945" s="1" t="s">
        <v>1</v>
      </c>
      <c r="I2945" s="4" t="s">
        <v>2</v>
      </c>
      <c r="J2945" s="14">
        <v>3.4722222222222224E-2</v>
      </c>
      <c r="K2945" s="20" t="str">
        <f t="shared" si="136"/>
        <v>3rd Shift</v>
      </c>
    </row>
    <row r="2946" spans="1:11" x14ac:dyDescent="0.25">
      <c r="A2946" s="1">
        <v>2945</v>
      </c>
      <c r="B2946" s="1">
        <v>10</v>
      </c>
      <c r="C2946" s="3">
        <v>10115271434101</v>
      </c>
      <c r="D2946" s="2">
        <v>44582.520833333336</v>
      </c>
      <c r="E2946" s="2">
        <v>44582.597222222219</v>
      </c>
      <c r="F2946" s="23">
        <f t="shared" ref="F2946:F3009" si="138">E2946-D2946</f>
        <v>7.6388888883229811E-2</v>
      </c>
      <c r="G2946" s="24">
        <f t="shared" si="137"/>
        <v>163.63636364848622</v>
      </c>
      <c r="H2946" s="1" t="s">
        <v>1</v>
      </c>
      <c r="I2946" s="4" t="s">
        <v>2</v>
      </c>
      <c r="J2946" s="14">
        <v>0.52083333333333337</v>
      </c>
      <c r="K2946" s="20" t="str">
        <f t="shared" ref="K2946:K3009" si="139">IF(AND(J2946&gt;=$M$3,J2946&lt;$M$4),"1st Shift",IF(AND(J2946&gt;=$M$4,J2946&lt;$M$5),"2nd Shift","3rd Shift"))</f>
        <v>1st Shift</v>
      </c>
    </row>
    <row r="2947" spans="1:11" x14ac:dyDescent="0.25">
      <c r="A2947" s="1">
        <v>2946</v>
      </c>
      <c r="B2947" s="1">
        <v>9</v>
      </c>
      <c r="C2947" s="3">
        <v>9115271945800</v>
      </c>
      <c r="D2947" s="2">
        <v>44582.520833333336</v>
      </c>
      <c r="E2947" s="2">
        <v>44582.597222222219</v>
      </c>
      <c r="F2947" s="23">
        <f t="shared" si="138"/>
        <v>7.6388888883229811E-2</v>
      </c>
      <c r="G2947" s="24">
        <f t="shared" ref="G2947:G3010" si="140">$M$9/F2947*100</f>
        <v>163.63636364848622</v>
      </c>
      <c r="H2947" s="1" t="s">
        <v>1</v>
      </c>
      <c r="I2947" s="4" t="s">
        <v>3</v>
      </c>
      <c r="J2947" s="14">
        <v>0.52083333333333337</v>
      </c>
      <c r="K2947" s="20" t="str">
        <f t="shared" si="139"/>
        <v>1st Shift</v>
      </c>
    </row>
    <row r="2948" spans="1:11" x14ac:dyDescent="0.25">
      <c r="A2948" s="1">
        <v>2947</v>
      </c>
      <c r="B2948" s="1">
        <v>7</v>
      </c>
      <c r="C2948" s="3">
        <v>7115271757800</v>
      </c>
      <c r="D2948" s="2">
        <v>44582.395833333336</v>
      </c>
      <c r="E2948" s="2">
        <v>44582.597222222219</v>
      </c>
      <c r="F2948" s="23">
        <f t="shared" si="138"/>
        <v>0.20138888888322981</v>
      </c>
      <c r="G2948" s="24">
        <f t="shared" si="140"/>
        <v>62.068965518985529</v>
      </c>
      <c r="H2948" s="1" t="s">
        <v>1</v>
      </c>
      <c r="I2948" s="4" t="s">
        <v>2</v>
      </c>
      <c r="J2948" s="14">
        <v>0.39583333333333331</v>
      </c>
      <c r="K2948" s="20" t="str">
        <f t="shared" si="139"/>
        <v>1st Shift</v>
      </c>
    </row>
    <row r="2949" spans="1:11" x14ac:dyDescent="0.25">
      <c r="A2949" s="1">
        <v>2948</v>
      </c>
      <c r="B2949" s="1">
        <v>7</v>
      </c>
      <c r="C2949" s="3">
        <v>7115271757506</v>
      </c>
      <c r="D2949" s="2">
        <v>44582.520833333336</v>
      </c>
      <c r="E2949" s="2">
        <v>44582.597222222219</v>
      </c>
      <c r="F2949" s="23">
        <f t="shared" si="138"/>
        <v>7.6388888883229811E-2</v>
      </c>
      <c r="G2949" s="24">
        <f t="shared" si="140"/>
        <v>163.63636364848622</v>
      </c>
      <c r="H2949" s="1" t="s">
        <v>1</v>
      </c>
      <c r="I2949" s="4" t="s">
        <v>3</v>
      </c>
      <c r="J2949" s="14">
        <v>0.52083333333333337</v>
      </c>
      <c r="K2949" s="20" t="str">
        <f t="shared" si="139"/>
        <v>1st Shift</v>
      </c>
    </row>
    <row r="2950" spans="1:11" x14ac:dyDescent="0.25">
      <c r="A2950" s="1">
        <v>2949</v>
      </c>
      <c r="B2950" s="1">
        <v>6</v>
      </c>
      <c r="C2950" s="3">
        <v>6115271733602</v>
      </c>
      <c r="D2950" s="2">
        <v>44582.395833333336</v>
      </c>
      <c r="E2950" s="2">
        <v>44582.597222222219</v>
      </c>
      <c r="F2950" s="23">
        <f t="shared" si="138"/>
        <v>0.20138888888322981</v>
      </c>
      <c r="G2950" s="24">
        <f t="shared" si="140"/>
        <v>62.068965518985529</v>
      </c>
      <c r="H2950" s="1" t="s">
        <v>1</v>
      </c>
      <c r="I2950" s="4" t="s">
        <v>2</v>
      </c>
      <c r="J2950" s="14">
        <v>0.39583333333333331</v>
      </c>
      <c r="K2950" s="20" t="str">
        <f t="shared" si="139"/>
        <v>1st Shift</v>
      </c>
    </row>
    <row r="2951" spans="1:11" x14ac:dyDescent="0.25">
      <c r="A2951" s="1">
        <v>2950</v>
      </c>
      <c r="B2951" s="1">
        <v>6</v>
      </c>
      <c r="C2951" s="3">
        <v>6115271698500</v>
      </c>
      <c r="D2951" s="2">
        <v>44582.520833333336</v>
      </c>
      <c r="E2951" s="2">
        <v>44582.597222222219</v>
      </c>
      <c r="F2951" s="23">
        <f t="shared" si="138"/>
        <v>7.6388888883229811E-2</v>
      </c>
      <c r="G2951" s="24">
        <f t="shared" si="140"/>
        <v>163.63636364848622</v>
      </c>
      <c r="H2951" s="1" t="s">
        <v>1</v>
      </c>
      <c r="I2951" s="4" t="s">
        <v>2</v>
      </c>
      <c r="J2951" s="14">
        <v>0.52083333333333337</v>
      </c>
      <c r="K2951" s="20" t="str">
        <f t="shared" si="139"/>
        <v>1st Shift</v>
      </c>
    </row>
    <row r="2952" spans="1:11" x14ac:dyDescent="0.25">
      <c r="A2952" s="1">
        <v>2951</v>
      </c>
      <c r="B2952" s="1">
        <v>4</v>
      </c>
      <c r="C2952" s="3">
        <v>4115270858900</v>
      </c>
      <c r="D2952" s="2">
        <v>44582.395833333336</v>
      </c>
      <c r="E2952" s="2">
        <v>44582.597222222219</v>
      </c>
      <c r="F2952" s="23">
        <f t="shared" si="138"/>
        <v>0.20138888888322981</v>
      </c>
      <c r="G2952" s="24">
        <f t="shared" si="140"/>
        <v>62.068965518985529</v>
      </c>
      <c r="H2952" s="1" t="s">
        <v>1</v>
      </c>
      <c r="I2952" s="4" t="s">
        <v>4</v>
      </c>
      <c r="J2952" s="14">
        <v>0.39583333333333331</v>
      </c>
      <c r="K2952" s="20" t="str">
        <f t="shared" si="139"/>
        <v>1st Shift</v>
      </c>
    </row>
    <row r="2953" spans="1:11" x14ac:dyDescent="0.25">
      <c r="A2953" s="1">
        <v>2952</v>
      </c>
      <c r="B2953" s="1">
        <v>3</v>
      </c>
      <c r="C2953" s="3">
        <v>3115270421800</v>
      </c>
      <c r="D2953" s="2">
        <v>44582.395833333336</v>
      </c>
      <c r="E2953" s="2">
        <v>44582.597222222219</v>
      </c>
      <c r="F2953" s="23">
        <f t="shared" si="138"/>
        <v>0.20138888888322981</v>
      </c>
      <c r="G2953" s="24">
        <f t="shared" si="140"/>
        <v>62.068965518985529</v>
      </c>
      <c r="H2953" s="1" t="s">
        <v>1</v>
      </c>
      <c r="I2953" s="4" t="s">
        <v>2</v>
      </c>
      <c r="J2953" s="14">
        <v>0.39583333333333331</v>
      </c>
      <c r="K2953" s="20" t="str">
        <f t="shared" si="139"/>
        <v>1st Shift</v>
      </c>
    </row>
    <row r="2954" spans="1:11" x14ac:dyDescent="0.25">
      <c r="A2954" s="1">
        <v>2953</v>
      </c>
      <c r="B2954" s="1">
        <v>3</v>
      </c>
      <c r="C2954" s="3">
        <v>3115270392600</v>
      </c>
      <c r="D2954" s="2">
        <v>44582.520833333336</v>
      </c>
      <c r="E2954" s="2">
        <v>44582.597222222219</v>
      </c>
      <c r="F2954" s="23">
        <f t="shared" si="138"/>
        <v>7.6388888883229811E-2</v>
      </c>
      <c r="G2954" s="24">
        <f t="shared" si="140"/>
        <v>163.63636364848622</v>
      </c>
      <c r="H2954" s="1" t="s">
        <v>1</v>
      </c>
      <c r="I2954" s="4" t="s">
        <v>2</v>
      </c>
      <c r="J2954" s="14">
        <v>0.52083333333333337</v>
      </c>
      <c r="K2954" s="20" t="str">
        <f t="shared" si="139"/>
        <v>1st Shift</v>
      </c>
    </row>
    <row r="2955" spans="1:11" x14ac:dyDescent="0.25">
      <c r="A2955" s="1">
        <v>2954</v>
      </c>
      <c r="B2955" s="1">
        <v>2</v>
      </c>
      <c r="C2955" s="3">
        <v>2115270229300</v>
      </c>
      <c r="D2955" s="2">
        <v>44582.395833333336</v>
      </c>
      <c r="E2955" s="2">
        <v>44582.597222222219</v>
      </c>
      <c r="F2955" s="23">
        <f t="shared" si="138"/>
        <v>0.20138888888322981</v>
      </c>
      <c r="G2955" s="24">
        <f t="shared" si="140"/>
        <v>62.068965518985529</v>
      </c>
      <c r="H2955" s="1" t="s">
        <v>1</v>
      </c>
      <c r="I2955" s="4" t="s">
        <v>2</v>
      </c>
      <c r="J2955" s="14">
        <v>0.39583333333333331</v>
      </c>
      <c r="K2955" s="20" t="str">
        <f t="shared" si="139"/>
        <v>1st Shift</v>
      </c>
    </row>
    <row r="2956" spans="1:11" x14ac:dyDescent="0.25">
      <c r="A2956" s="1">
        <v>2955</v>
      </c>
      <c r="B2956" s="1">
        <v>1</v>
      </c>
      <c r="C2956" s="3">
        <v>1115270122901</v>
      </c>
      <c r="D2956" s="2">
        <v>44582.458333333336</v>
      </c>
      <c r="E2956" s="2">
        <v>44582.597222222219</v>
      </c>
      <c r="F2956" s="23">
        <f t="shared" si="138"/>
        <v>0.13888888888322981</v>
      </c>
      <c r="G2956" s="24">
        <f t="shared" si="140"/>
        <v>90.000000003667083</v>
      </c>
      <c r="H2956" s="1" t="s">
        <v>1</v>
      </c>
      <c r="I2956" s="4" t="s">
        <v>2</v>
      </c>
      <c r="J2956" s="14">
        <v>0.45833333333333331</v>
      </c>
      <c r="K2956" s="20" t="str">
        <f t="shared" si="139"/>
        <v>1st Shift</v>
      </c>
    </row>
    <row r="2957" spans="1:11" x14ac:dyDescent="0.25">
      <c r="A2957" s="1">
        <v>2956</v>
      </c>
      <c r="B2957" s="1">
        <v>14</v>
      </c>
      <c r="C2957" s="3">
        <v>14115271679800</v>
      </c>
      <c r="D2957" s="2">
        <v>44582.697916666664</v>
      </c>
      <c r="E2957" s="2">
        <v>44582.847222222219</v>
      </c>
      <c r="F2957" s="23">
        <f t="shared" si="138"/>
        <v>0.14930555555474712</v>
      </c>
      <c r="G2957" s="24">
        <f t="shared" si="140"/>
        <v>83.720930233011458</v>
      </c>
      <c r="H2957" s="1" t="s">
        <v>1</v>
      </c>
      <c r="I2957" s="4" t="s">
        <v>2</v>
      </c>
      <c r="J2957" s="14">
        <v>0.69791666666666663</v>
      </c>
      <c r="K2957" s="20" t="str">
        <f t="shared" si="139"/>
        <v>2nd Shift</v>
      </c>
    </row>
    <row r="2958" spans="1:11" x14ac:dyDescent="0.25">
      <c r="A2958" s="1">
        <v>2957</v>
      </c>
      <c r="B2958" s="1">
        <v>13</v>
      </c>
      <c r="C2958" s="3">
        <v>13115271653100</v>
      </c>
      <c r="D2958" s="2">
        <v>44582.71875</v>
      </c>
      <c r="E2958" s="2">
        <v>44582.847222222219</v>
      </c>
      <c r="F2958" s="23">
        <f t="shared" si="138"/>
        <v>0.12847222221898846</v>
      </c>
      <c r="G2958" s="24">
        <f t="shared" si="140"/>
        <v>97.297297299746361</v>
      </c>
      <c r="H2958" s="1" t="s">
        <v>1</v>
      </c>
      <c r="I2958" s="4" t="s">
        <v>2</v>
      </c>
      <c r="J2958" s="14">
        <v>0.71875</v>
      </c>
      <c r="K2958" s="20" t="str">
        <f t="shared" si="139"/>
        <v>2nd Shift</v>
      </c>
    </row>
    <row r="2959" spans="1:11" x14ac:dyDescent="0.25">
      <c r="A2959" s="1">
        <v>2958</v>
      </c>
      <c r="B2959" s="1">
        <v>13</v>
      </c>
      <c r="C2959" s="3">
        <v>13115271653000</v>
      </c>
      <c r="D2959" s="2">
        <v>44582.71875</v>
      </c>
      <c r="E2959" s="2">
        <v>44582.847222222219</v>
      </c>
      <c r="F2959" s="23">
        <f t="shared" si="138"/>
        <v>0.12847222221898846</v>
      </c>
      <c r="G2959" s="24">
        <f t="shared" si="140"/>
        <v>97.297297299746361</v>
      </c>
      <c r="H2959" s="1" t="s">
        <v>1</v>
      </c>
      <c r="I2959" s="4" t="s">
        <v>2</v>
      </c>
      <c r="J2959" s="14">
        <v>0.71875</v>
      </c>
      <c r="K2959" s="20" t="str">
        <f t="shared" si="139"/>
        <v>2nd Shift</v>
      </c>
    </row>
    <row r="2960" spans="1:11" x14ac:dyDescent="0.25">
      <c r="A2960" s="1">
        <v>2959</v>
      </c>
      <c r="B2960" s="1">
        <v>13</v>
      </c>
      <c r="C2960" s="3">
        <v>13115271651702</v>
      </c>
      <c r="D2960" s="2">
        <v>44582.71875</v>
      </c>
      <c r="E2960" s="2">
        <v>44582.847222222219</v>
      </c>
      <c r="F2960" s="23">
        <f t="shared" si="138"/>
        <v>0.12847222221898846</v>
      </c>
      <c r="G2960" s="24">
        <f t="shared" si="140"/>
        <v>97.297297299746361</v>
      </c>
      <c r="H2960" s="1" t="s">
        <v>1</v>
      </c>
      <c r="I2960" s="4" t="s">
        <v>2</v>
      </c>
      <c r="J2960" s="14">
        <v>0.71875</v>
      </c>
      <c r="K2960" s="20" t="str">
        <f t="shared" si="139"/>
        <v>2nd Shift</v>
      </c>
    </row>
    <row r="2961" spans="1:11" x14ac:dyDescent="0.25">
      <c r="A2961" s="1">
        <v>2960</v>
      </c>
      <c r="B2961" s="1">
        <v>13</v>
      </c>
      <c r="C2961" s="3">
        <v>13115271625709</v>
      </c>
      <c r="D2961" s="2">
        <v>44582.71875</v>
      </c>
      <c r="E2961" s="2">
        <v>44582.847222222219</v>
      </c>
      <c r="F2961" s="23">
        <f t="shared" si="138"/>
        <v>0.12847222221898846</v>
      </c>
      <c r="G2961" s="24">
        <f t="shared" si="140"/>
        <v>97.297297299746361</v>
      </c>
      <c r="H2961" s="1" t="s">
        <v>1</v>
      </c>
      <c r="I2961" s="4" t="s">
        <v>2</v>
      </c>
      <c r="J2961" s="14">
        <v>0.71875</v>
      </c>
      <c r="K2961" s="20" t="str">
        <f t="shared" si="139"/>
        <v>2nd Shift</v>
      </c>
    </row>
    <row r="2962" spans="1:11" x14ac:dyDescent="0.25">
      <c r="A2962" s="1">
        <v>2961</v>
      </c>
      <c r="B2962" s="1">
        <v>12</v>
      </c>
      <c r="C2962" s="3">
        <v>12115271574504</v>
      </c>
      <c r="D2962" s="2">
        <v>44582.697916666664</v>
      </c>
      <c r="E2962" s="2">
        <v>44582.847222222219</v>
      </c>
      <c r="F2962" s="23">
        <f t="shared" si="138"/>
        <v>0.14930555555474712</v>
      </c>
      <c r="G2962" s="24">
        <f t="shared" si="140"/>
        <v>83.720930233011458</v>
      </c>
      <c r="H2962" s="1" t="s">
        <v>1</v>
      </c>
      <c r="I2962" s="4" t="s">
        <v>2</v>
      </c>
      <c r="J2962" s="14">
        <v>0.69791666666666663</v>
      </c>
      <c r="K2962" s="20" t="str">
        <f t="shared" si="139"/>
        <v>2nd Shift</v>
      </c>
    </row>
    <row r="2963" spans="1:11" x14ac:dyDescent="0.25">
      <c r="A2963" s="1">
        <v>2962</v>
      </c>
      <c r="B2963" s="1">
        <v>8</v>
      </c>
      <c r="C2963" s="3">
        <v>8115271809912</v>
      </c>
      <c r="D2963" s="2">
        <v>44582.697916666664</v>
      </c>
      <c r="E2963" s="2">
        <v>44582.847222222219</v>
      </c>
      <c r="F2963" s="23">
        <f t="shared" si="138"/>
        <v>0.14930555555474712</v>
      </c>
      <c r="G2963" s="24">
        <f t="shared" si="140"/>
        <v>83.720930233011458</v>
      </c>
      <c r="H2963" s="1" t="s">
        <v>1</v>
      </c>
      <c r="I2963" s="4" t="s">
        <v>2</v>
      </c>
      <c r="J2963" s="14">
        <v>0.69791666666666663</v>
      </c>
      <c r="K2963" s="20" t="str">
        <f t="shared" si="139"/>
        <v>2nd Shift</v>
      </c>
    </row>
    <row r="2964" spans="1:11" x14ac:dyDescent="0.25">
      <c r="A2964" s="1">
        <v>2963</v>
      </c>
      <c r="B2964" s="1">
        <v>1</v>
      </c>
      <c r="C2964" s="3">
        <v>1115270142504</v>
      </c>
      <c r="D2964" s="2">
        <v>44582.71875</v>
      </c>
      <c r="E2964" s="2">
        <v>44582.847222222219</v>
      </c>
      <c r="F2964" s="23">
        <f t="shared" si="138"/>
        <v>0.12847222221898846</v>
      </c>
      <c r="G2964" s="24">
        <f t="shared" si="140"/>
        <v>97.297297299746361</v>
      </c>
      <c r="H2964" s="1" t="s">
        <v>1</v>
      </c>
      <c r="I2964" s="4" t="s">
        <v>2</v>
      </c>
      <c r="J2964" s="14">
        <v>0.71875</v>
      </c>
      <c r="K2964" s="20" t="str">
        <f t="shared" si="139"/>
        <v>2nd Shift</v>
      </c>
    </row>
    <row r="2965" spans="1:11" x14ac:dyDescent="0.25">
      <c r="A2965" s="1">
        <v>2964</v>
      </c>
      <c r="B2965" s="1">
        <v>15</v>
      </c>
      <c r="C2965" s="3">
        <v>15115271775009</v>
      </c>
      <c r="D2965" s="2">
        <v>44582.854166666664</v>
      </c>
      <c r="E2965" s="2">
        <v>44582.916666666664</v>
      </c>
      <c r="F2965" s="23">
        <f t="shared" si="138"/>
        <v>6.25E-2</v>
      </c>
      <c r="G2965" s="24">
        <f t="shared" si="140"/>
        <v>200</v>
      </c>
      <c r="H2965" s="1" t="s">
        <v>1</v>
      </c>
      <c r="I2965" s="4" t="s">
        <v>2</v>
      </c>
      <c r="J2965" s="14">
        <v>0.85416666666666663</v>
      </c>
      <c r="K2965" s="20" t="str">
        <f t="shared" si="139"/>
        <v>2nd Shift</v>
      </c>
    </row>
    <row r="2966" spans="1:11" x14ac:dyDescent="0.25">
      <c r="A2966" s="1">
        <v>2965</v>
      </c>
      <c r="B2966" s="1">
        <v>4</v>
      </c>
      <c r="C2966" s="3">
        <v>4115270858500</v>
      </c>
      <c r="D2966" s="2">
        <v>44582.854166666664</v>
      </c>
      <c r="E2966" s="2">
        <v>44582.916666666664</v>
      </c>
      <c r="F2966" s="23">
        <f t="shared" si="138"/>
        <v>6.25E-2</v>
      </c>
      <c r="G2966" s="24">
        <f t="shared" si="140"/>
        <v>200</v>
      </c>
      <c r="H2966" s="1" t="s">
        <v>1</v>
      </c>
      <c r="I2966" s="4" t="s">
        <v>2</v>
      </c>
      <c r="J2966" s="14">
        <v>0.85416666666666663</v>
      </c>
      <c r="K2966" s="20" t="str">
        <f t="shared" si="139"/>
        <v>2nd Shift</v>
      </c>
    </row>
    <row r="2967" spans="1:11" x14ac:dyDescent="0.25">
      <c r="A2967" s="1">
        <v>2966</v>
      </c>
      <c r="B2967" s="1">
        <v>2</v>
      </c>
      <c r="C2967" s="3">
        <v>2115270229700</v>
      </c>
      <c r="D2967" s="2">
        <v>44582.854166666664</v>
      </c>
      <c r="E2967" s="2">
        <v>44582.916666666664</v>
      </c>
      <c r="F2967" s="23">
        <f t="shared" si="138"/>
        <v>6.25E-2</v>
      </c>
      <c r="G2967" s="24">
        <f t="shared" si="140"/>
        <v>200</v>
      </c>
      <c r="H2967" s="1" t="s">
        <v>1</v>
      </c>
      <c r="I2967" s="4" t="s">
        <v>2</v>
      </c>
      <c r="J2967" s="14">
        <v>0.85416666666666663</v>
      </c>
      <c r="K2967" s="20" t="str">
        <f t="shared" si="139"/>
        <v>2nd Shift</v>
      </c>
    </row>
    <row r="2968" spans="1:11" x14ac:dyDescent="0.25">
      <c r="A2968" s="1">
        <v>2967</v>
      </c>
      <c r="B2968" s="1">
        <v>1</v>
      </c>
      <c r="C2968" s="3">
        <v>1115270141700</v>
      </c>
      <c r="D2968" s="2">
        <v>44582.854166666664</v>
      </c>
      <c r="E2968" s="2">
        <v>44582.916666666664</v>
      </c>
      <c r="F2968" s="23">
        <f t="shared" si="138"/>
        <v>6.25E-2</v>
      </c>
      <c r="G2968" s="24">
        <f t="shared" si="140"/>
        <v>200</v>
      </c>
      <c r="H2968" s="1" t="s">
        <v>1</v>
      </c>
      <c r="I2968" s="4" t="s">
        <v>4</v>
      </c>
      <c r="J2968" s="14">
        <v>0.85416666666666663</v>
      </c>
      <c r="K2968" s="20" t="str">
        <f t="shared" si="139"/>
        <v>2nd Shift</v>
      </c>
    </row>
    <row r="2969" spans="1:11" x14ac:dyDescent="0.25">
      <c r="A2969" s="1">
        <v>2968</v>
      </c>
      <c r="B2969" s="1">
        <v>14</v>
      </c>
      <c r="C2969" s="3">
        <v>14115271672502</v>
      </c>
      <c r="D2969" s="2">
        <v>44583.052083333336</v>
      </c>
      <c r="E2969" s="2">
        <v>44583.118055555555</v>
      </c>
      <c r="F2969" s="23">
        <f t="shared" si="138"/>
        <v>6.5972222218988463E-2</v>
      </c>
      <c r="G2969" s="24">
        <f t="shared" si="140"/>
        <v>189.47368421981375</v>
      </c>
      <c r="H2969" s="1" t="s">
        <v>1</v>
      </c>
      <c r="I2969" s="4" t="s">
        <v>2</v>
      </c>
      <c r="J2969" s="14">
        <v>5.2083333333333336E-2</v>
      </c>
      <c r="K2969" s="20" t="str">
        <f t="shared" si="139"/>
        <v>3rd Shift</v>
      </c>
    </row>
    <row r="2970" spans="1:11" x14ac:dyDescent="0.25">
      <c r="A2970" s="1">
        <v>2969</v>
      </c>
      <c r="B2970" s="1">
        <v>11</v>
      </c>
      <c r="C2970" s="3">
        <v>11115271542700</v>
      </c>
      <c r="D2970" s="2">
        <v>44582.972222222219</v>
      </c>
      <c r="E2970" s="2">
        <v>44583.118055555555</v>
      </c>
      <c r="F2970" s="23">
        <f t="shared" si="138"/>
        <v>0.14583333333575865</v>
      </c>
      <c r="G2970" s="24">
        <f t="shared" si="140"/>
        <v>85.714285712860217</v>
      </c>
      <c r="H2970" s="1" t="s">
        <v>1</v>
      </c>
      <c r="I2970" s="4" t="s">
        <v>2</v>
      </c>
      <c r="J2970" s="14">
        <v>0.97222222222222221</v>
      </c>
      <c r="K2970" s="20" t="str">
        <f t="shared" si="139"/>
        <v>3rd Shift</v>
      </c>
    </row>
    <row r="2971" spans="1:11" x14ac:dyDescent="0.25">
      <c r="A2971" s="1">
        <v>2970</v>
      </c>
      <c r="B2971" s="1">
        <v>10</v>
      </c>
      <c r="C2971" s="3">
        <v>10115271606101</v>
      </c>
      <c r="D2971" s="2">
        <v>44582.972222222219</v>
      </c>
      <c r="E2971" s="2">
        <v>44583.118055555555</v>
      </c>
      <c r="F2971" s="23">
        <f t="shared" si="138"/>
        <v>0.14583333333575865</v>
      </c>
      <c r="G2971" s="24">
        <f t="shared" si="140"/>
        <v>85.714285712860217</v>
      </c>
      <c r="H2971" s="1" t="s">
        <v>1</v>
      </c>
      <c r="I2971" s="4" t="s">
        <v>2</v>
      </c>
      <c r="J2971" s="14">
        <v>0.97222222222222221</v>
      </c>
      <c r="K2971" s="20" t="str">
        <f t="shared" si="139"/>
        <v>3rd Shift</v>
      </c>
    </row>
    <row r="2972" spans="1:11" x14ac:dyDescent="0.25">
      <c r="A2972" s="1">
        <v>2971</v>
      </c>
      <c r="B2972" s="1">
        <v>10</v>
      </c>
      <c r="C2972" s="3">
        <v>10115271473900</v>
      </c>
      <c r="D2972" s="2">
        <v>44582.972222222219</v>
      </c>
      <c r="E2972" s="2">
        <v>44583.118055555555</v>
      </c>
      <c r="F2972" s="23">
        <f t="shared" si="138"/>
        <v>0.14583333333575865</v>
      </c>
      <c r="G2972" s="24">
        <f t="shared" si="140"/>
        <v>85.714285712860217</v>
      </c>
      <c r="H2972" s="1" t="s">
        <v>1</v>
      </c>
      <c r="I2972" s="4" t="s">
        <v>3</v>
      </c>
      <c r="J2972" s="14">
        <v>0.97222222222222221</v>
      </c>
      <c r="K2972" s="20" t="str">
        <f t="shared" si="139"/>
        <v>3rd Shift</v>
      </c>
    </row>
    <row r="2973" spans="1:11" x14ac:dyDescent="0.25">
      <c r="A2973" s="1">
        <v>2972</v>
      </c>
      <c r="B2973" s="1">
        <v>7</v>
      </c>
      <c r="C2973" s="3">
        <v>7115271757204</v>
      </c>
      <c r="D2973" s="2">
        <v>44582.972222222219</v>
      </c>
      <c r="E2973" s="2">
        <v>44583.118055555555</v>
      </c>
      <c r="F2973" s="23">
        <f t="shared" si="138"/>
        <v>0.14583333333575865</v>
      </c>
      <c r="G2973" s="24">
        <f t="shared" si="140"/>
        <v>85.714285712860217</v>
      </c>
      <c r="H2973" s="1" t="s">
        <v>1</v>
      </c>
      <c r="I2973" s="4" t="s">
        <v>2</v>
      </c>
      <c r="J2973" s="14">
        <v>0.97222222222222221</v>
      </c>
      <c r="K2973" s="20" t="str">
        <f t="shared" si="139"/>
        <v>3rd Shift</v>
      </c>
    </row>
    <row r="2974" spans="1:11" x14ac:dyDescent="0.25">
      <c r="A2974" s="1">
        <v>2973</v>
      </c>
      <c r="B2974" s="1">
        <v>4</v>
      </c>
      <c r="C2974" s="3">
        <v>4115270849405</v>
      </c>
      <c r="D2974" s="2">
        <v>44582.972222222219</v>
      </c>
      <c r="E2974" s="2">
        <v>44583.118055555555</v>
      </c>
      <c r="F2974" s="23">
        <f t="shared" si="138"/>
        <v>0.14583333333575865</v>
      </c>
      <c r="G2974" s="24">
        <f t="shared" si="140"/>
        <v>85.714285712860217</v>
      </c>
      <c r="H2974" s="1" t="s">
        <v>1</v>
      </c>
      <c r="I2974" s="4" t="s">
        <v>5</v>
      </c>
      <c r="J2974" s="14">
        <v>0.97222222222222221</v>
      </c>
      <c r="K2974" s="20" t="str">
        <f t="shared" si="139"/>
        <v>3rd Shift</v>
      </c>
    </row>
    <row r="2975" spans="1:11" x14ac:dyDescent="0.25">
      <c r="A2975" s="1">
        <v>2974</v>
      </c>
      <c r="B2975" s="1">
        <v>15</v>
      </c>
      <c r="C2975" s="3">
        <v>15115271798110</v>
      </c>
      <c r="D2975" s="2">
        <v>44583.402777777781</v>
      </c>
      <c r="E2975" s="2">
        <v>44583.666666666664</v>
      </c>
      <c r="F2975" s="23">
        <f t="shared" si="138"/>
        <v>0.26388888888322981</v>
      </c>
      <c r="G2975" s="24">
        <f t="shared" si="140"/>
        <v>47.368421053647388</v>
      </c>
      <c r="H2975" s="1" t="s">
        <v>1</v>
      </c>
      <c r="I2975" s="4" t="s">
        <v>8</v>
      </c>
      <c r="J2975" s="14">
        <v>0.40277777777777779</v>
      </c>
      <c r="K2975" s="20" t="str">
        <f t="shared" si="139"/>
        <v>1st Shift</v>
      </c>
    </row>
    <row r="2976" spans="1:11" x14ac:dyDescent="0.25">
      <c r="A2976" s="1">
        <v>2975</v>
      </c>
      <c r="B2976" s="1">
        <v>13</v>
      </c>
      <c r="C2976" s="3">
        <v>13115271591700</v>
      </c>
      <c r="D2976" s="2">
        <v>44583.534722222219</v>
      </c>
      <c r="E2976" s="2">
        <v>44583.666666666664</v>
      </c>
      <c r="F2976" s="23">
        <f t="shared" si="138"/>
        <v>0.13194444444525288</v>
      </c>
      <c r="G2976" s="24">
        <f t="shared" si="140"/>
        <v>94.736842104682694</v>
      </c>
      <c r="H2976" s="1" t="s">
        <v>1</v>
      </c>
      <c r="I2976" s="4" t="s">
        <v>3</v>
      </c>
      <c r="J2976" s="14">
        <v>0.53472222222222221</v>
      </c>
      <c r="K2976" s="20" t="str">
        <f t="shared" si="139"/>
        <v>1st Shift</v>
      </c>
    </row>
    <row r="2977" spans="1:11" x14ac:dyDescent="0.25">
      <c r="A2977" s="1">
        <v>2976</v>
      </c>
      <c r="B2977" s="1">
        <v>13</v>
      </c>
      <c r="C2977" s="3">
        <v>13115271591105</v>
      </c>
      <c r="D2977" s="2">
        <v>44583.402777777781</v>
      </c>
      <c r="E2977" s="2">
        <v>44583.666666666664</v>
      </c>
      <c r="F2977" s="23">
        <f t="shared" si="138"/>
        <v>0.26388888888322981</v>
      </c>
      <c r="G2977" s="24">
        <f t="shared" si="140"/>
        <v>47.368421053647388</v>
      </c>
      <c r="H2977" s="1" t="s">
        <v>1</v>
      </c>
      <c r="I2977" s="4" t="s">
        <v>2</v>
      </c>
      <c r="J2977" s="14">
        <v>0.40277777777777779</v>
      </c>
      <c r="K2977" s="20" t="str">
        <f t="shared" si="139"/>
        <v>1st Shift</v>
      </c>
    </row>
    <row r="2978" spans="1:11" x14ac:dyDescent="0.25">
      <c r="A2978" s="1">
        <v>2977</v>
      </c>
      <c r="B2978" s="1">
        <v>11</v>
      </c>
      <c r="C2978" s="3">
        <v>11115271053701</v>
      </c>
      <c r="D2978" s="2">
        <v>44583.402777777781</v>
      </c>
      <c r="E2978" s="2">
        <v>44583.666666666664</v>
      </c>
      <c r="F2978" s="23">
        <f t="shared" si="138"/>
        <v>0.26388888888322981</v>
      </c>
      <c r="G2978" s="24">
        <f t="shared" si="140"/>
        <v>47.368421053647388</v>
      </c>
      <c r="H2978" s="1" t="s">
        <v>1</v>
      </c>
      <c r="I2978" s="4" t="s">
        <v>2</v>
      </c>
      <c r="J2978" s="14">
        <v>0.40277777777777779</v>
      </c>
      <c r="K2978" s="20" t="str">
        <f t="shared" si="139"/>
        <v>1st Shift</v>
      </c>
    </row>
    <row r="2979" spans="1:11" x14ac:dyDescent="0.25">
      <c r="A2979" s="1">
        <v>2978</v>
      </c>
      <c r="B2979" s="1">
        <v>9</v>
      </c>
      <c r="C2979" s="3">
        <v>9115271945300</v>
      </c>
      <c r="D2979" s="2">
        <v>44583.402777777781</v>
      </c>
      <c r="E2979" s="2">
        <v>44583.666666666664</v>
      </c>
      <c r="F2979" s="23">
        <f t="shared" si="138"/>
        <v>0.26388888888322981</v>
      </c>
      <c r="G2979" s="24">
        <f t="shared" si="140"/>
        <v>47.368421053647388</v>
      </c>
      <c r="H2979" s="1" t="s">
        <v>1</v>
      </c>
      <c r="I2979" s="4" t="s">
        <v>2</v>
      </c>
      <c r="J2979" s="14">
        <v>0.40277777777777779</v>
      </c>
      <c r="K2979" s="20" t="str">
        <f t="shared" si="139"/>
        <v>1st Shift</v>
      </c>
    </row>
    <row r="2980" spans="1:11" x14ac:dyDescent="0.25">
      <c r="A2980" s="1">
        <v>2979</v>
      </c>
      <c r="B2980" s="1">
        <v>7</v>
      </c>
      <c r="C2980" s="3">
        <v>7115271805607</v>
      </c>
      <c r="D2980" s="2">
        <v>44583.402777777781</v>
      </c>
      <c r="E2980" s="2">
        <v>44583.666666666664</v>
      </c>
      <c r="F2980" s="23">
        <f t="shared" si="138"/>
        <v>0.26388888888322981</v>
      </c>
      <c r="G2980" s="24">
        <f t="shared" si="140"/>
        <v>47.368421053647388</v>
      </c>
      <c r="H2980" s="1" t="s">
        <v>1</v>
      </c>
      <c r="I2980" s="4" t="s">
        <v>2</v>
      </c>
      <c r="J2980" s="14">
        <v>0.40277777777777779</v>
      </c>
      <c r="K2980" s="20" t="str">
        <f t="shared" si="139"/>
        <v>1st Shift</v>
      </c>
    </row>
    <row r="2981" spans="1:11" x14ac:dyDescent="0.25">
      <c r="A2981" s="1">
        <v>2980</v>
      </c>
      <c r="B2981" s="1">
        <v>7</v>
      </c>
      <c r="C2981" s="3">
        <v>7115271760800</v>
      </c>
      <c r="D2981" s="2">
        <v>44583.402777777781</v>
      </c>
      <c r="E2981" s="2">
        <v>44583.666666666664</v>
      </c>
      <c r="F2981" s="23">
        <f t="shared" si="138"/>
        <v>0.26388888888322981</v>
      </c>
      <c r="G2981" s="24">
        <f t="shared" si="140"/>
        <v>47.368421053647388</v>
      </c>
      <c r="H2981" s="1" t="s">
        <v>1</v>
      </c>
      <c r="I2981" s="4" t="s">
        <v>3</v>
      </c>
      <c r="J2981" s="14">
        <v>0.40277777777777779</v>
      </c>
      <c r="K2981" s="20" t="str">
        <f t="shared" si="139"/>
        <v>1st Shift</v>
      </c>
    </row>
    <row r="2982" spans="1:11" x14ac:dyDescent="0.25">
      <c r="A2982" s="1">
        <v>2981</v>
      </c>
      <c r="B2982" s="1">
        <v>7</v>
      </c>
      <c r="C2982" s="3">
        <v>7115271760308</v>
      </c>
      <c r="D2982" s="2">
        <v>44583.402777777781</v>
      </c>
      <c r="E2982" s="2">
        <v>44583.666666666664</v>
      </c>
      <c r="F2982" s="23">
        <f t="shared" si="138"/>
        <v>0.26388888888322981</v>
      </c>
      <c r="G2982" s="24">
        <f t="shared" si="140"/>
        <v>47.368421053647388</v>
      </c>
      <c r="H2982" s="1" t="s">
        <v>1</v>
      </c>
      <c r="I2982" s="4" t="s">
        <v>2</v>
      </c>
      <c r="J2982" s="14">
        <v>0.40277777777777779</v>
      </c>
      <c r="K2982" s="20" t="str">
        <f t="shared" si="139"/>
        <v>1st Shift</v>
      </c>
    </row>
    <row r="2983" spans="1:11" x14ac:dyDescent="0.25">
      <c r="A2983" s="1">
        <v>2982</v>
      </c>
      <c r="B2983" s="1">
        <v>6</v>
      </c>
      <c r="C2983" s="3">
        <v>6115271691701</v>
      </c>
      <c r="D2983" s="2">
        <v>44583.402777777781</v>
      </c>
      <c r="E2983" s="2">
        <v>44583.666666666664</v>
      </c>
      <c r="F2983" s="23">
        <f t="shared" si="138"/>
        <v>0.26388888888322981</v>
      </c>
      <c r="G2983" s="24">
        <f t="shared" si="140"/>
        <v>47.368421053647388</v>
      </c>
      <c r="H2983" s="1" t="s">
        <v>1</v>
      </c>
      <c r="I2983" s="4" t="s">
        <v>2</v>
      </c>
      <c r="J2983" s="14">
        <v>0.40277777777777779</v>
      </c>
      <c r="K2983" s="20" t="str">
        <f t="shared" si="139"/>
        <v>1st Shift</v>
      </c>
    </row>
    <row r="2984" spans="1:11" x14ac:dyDescent="0.25">
      <c r="A2984" s="1">
        <v>2983</v>
      </c>
      <c r="B2984" s="1">
        <v>6</v>
      </c>
      <c r="C2984" s="3">
        <v>6115271691200</v>
      </c>
      <c r="D2984" s="2">
        <v>44583.402777777781</v>
      </c>
      <c r="E2984" s="2">
        <v>44583.666666666664</v>
      </c>
      <c r="F2984" s="23">
        <f t="shared" si="138"/>
        <v>0.26388888888322981</v>
      </c>
      <c r="G2984" s="24">
        <f t="shared" si="140"/>
        <v>47.368421053647388</v>
      </c>
      <c r="H2984" s="1" t="s">
        <v>1</v>
      </c>
      <c r="I2984" s="4" t="s">
        <v>3</v>
      </c>
      <c r="J2984" s="14">
        <v>0.40277777777777779</v>
      </c>
      <c r="K2984" s="20" t="str">
        <f t="shared" si="139"/>
        <v>1st Shift</v>
      </c>
    </row>
    <row r="2985" spans="1:11" x14ac:dyDescent="0.25">
      <c r="A2985" s="1">
        <v>2984</v>
      </c>
      <c r="B2985" s="1">
        <v>3</v>
      </c>
      <c r="C2985" s="3">
        <v>3115270308300</v>
      </c>
      <c r="D2985" s="2">
        <v>44583.402777777781</v>
      </c>
      <c r="E2985" s="2">
        <v>44583.666666666664</v>
      </c>
      <c r="F2985" s="23">
        <f t="shared" si="138"/>
        <v>0.26388888888322981</v>
      </c>
      <c r="G2985" s="24">
        <f t="shared" si="140"/>
        <v>47.368421053647388</v>
      </c>
      <c r="H2985" s="1" t="s">
        <v>1</v>
      </c>
      <c r="I2985" s="4" t="s">
        <v>5</v>
      </c>
      <c r="J2985" s="14">
        <v>0.40277777777777779</v>
      </c>
      <c r="K2985" s="20" t="str">
        <f t="shared" si="139"/>
        <v>1st Shift</v>
      </c>
    </row>
    <row r="2986" spans="1:11" x14ac:dyDescent="0.25">
      <c r="A2986" s="1">
        <v>2985</v>
      </c>
      <c r="B2986" s="1">
        <v>1</v>
      </c>
      <c r="C2986" s="3">
        <v>1115270127500</v>
      </c>
      <c r="D2986" s="2">
        <v>44583.402777777781</v>
      </c>
      <c r="E2986" s="2">
        <v>44583.666666666664</v>
      </c>
      <c r="F2986" s="23">
        <f t="shared" si="138"/>
        <v>0.26388888888322981</v>
      </c>
      <c r="G2986" s="24">
        <f t="shared" si="140"/>
        <v>47.368421053647388</v>
      </c>
      <c r="H2986" s="1" t="s">
        <v>1</v>
      </c>
      <c r="I2986" s="4" t="s">
        <v>8</v>
      </c>
      <c r="J2986" s="14">
        <v>0.40277777777777779</v>
      </c>
      <c r="K2986" s="20" t="str">
        <f t="shared" si="139"/>
        <v>1st Shift</v>
      </c>
    </row>
    <row r="2987" spans="1:11" x14ac:dyDescent="0.25">
      <c r="A2987" s="1">
        <v>2986</v>
      </c>
      <c r="B2987" s="1">
        <v>12</v>
      </c>
      <c r="C2987" s="3">
        <v>12115271574401</v>
      </c>
      <c r="D2987" s="2">
        <v>44583.743055555555</v>
      </c>
      <c r="E2987" s="2">
        <v>44583.916666666664</v>
      </c>
      <c r="F2987" s="23">
        <f t="shared" si="138"/>
        <v>0.17361111110949423</v>
      </c>
      <c r="G2987" s="24">
        <f t="shared" si="140"/>
        <v>72.000000000670553</v>
      </c>
      <c r="H2987" s="1" t="s">
        <v>1</v>
      </c>
      <c r="I2987" s="4" t="s">
        <v>2</v>
      </c>
      <c r="J2987" s="14">
        <v>0.74305555555555558</v>
      </c>
      <c r="K2987" s="20" t="str">
        <f t="shared" si="139"/>
        <v>2nd Shift</v>
      </c>
    </row>
    <row r="2988" spans="1:11" x14ac:dyDescent="0.25">
      <c r="A2988" s="1">
        <v>2987</v>
      </c>
      <c r="B2988" s="1">
        <v>12</v>
      </c>
      <c r="C2988" s="3">
        <v>12115271574400</v>
      </c>
      <c r="D2988" s="2">
        <v>44583.621527777781</v>
      </c>
      <c r="E2988" s="2">
        <v>44583.916666666664</v>
      </c>
      <c r="F2988" s="23">
        <f t="shared" si="138"/>
        <v>0.29513888888322981</v>
      </c>
      <c r="G2988" s="24">
        <f t="shared" si="140"/>
        <v>42.352941177282673</v>
      </c>
      <c r="H2988" s="1" t="s">
        <v>1</v>
      </c>
      <c r="I2988" s="4" t="s">
        <v>2</v>
      </c>
      <c r="J2988" s="14">
        <v>0.62152777777777779</v>
      </c>
      <c r="K2988" s="20" t="str">
        <f t="shared" si="139"/>
        <v>2nd Shift</v>
      </c>
    </row>
    <row r="2989" spans="1:11" x14ac:dyDescent="0.25">
      <c r="A2989" s="1">
        <v>2988</v>
      </c>
      <c r="B2989" s="1">
        <v>11</v>
      </c>
      <c r="C2989" s="3">
        <v>11115271519003</v>
      </c>
      <c r="D2989" s="2">
        <v>44583.621527777781</v>
      </c>
      <c r="E2989" s="2">
        <v>44583.916666666664</v>
      </c>
      <c r="F2989" s="23">
        <f t="shared" si="138"/>
        <v>0.29513888888322981</v>
      </c>
      <c r="G2989" s="24">
        <f t="shared" si="140"/>
        <v>42.352941177282673</v>
      </c>
      <c r="H2989" s="1" t="s">
        <v>1</v>
      </c>
      <c r="I2989" s="4" t="s">
        <v>2</v>
      </c>
      <c r="J2989" s="14">
        <v>0.62152777777777779</v>
      </c>
      <c r="K2989" s="20" t="str">
        <f t="shared" si="139"/>
        <v>2nd Shift</v>
      </c>
    </row>
    <row r="2990" spans="1:11" x14ac:dyDescent="0.25">
      <c r="A2990" s="1">
        <v>2989</v>
      </c>
      <c r="B2990" s="1">
        <v>10</v>
      </c>
      <c r="C2990" s="3">
        <v>10115271967700</v>
      </c>
      <c r="D2990" s="2">
        <v>44583.621527777781</v>
      </c>
      <c r="E2990" s="2">
        <v>44583.916666666664</v>
      </c>
      <c r="F2990" s="23">
        <f t="shared" si="138"/>
        <v>0.29513888888322981</v>
      </c>
      <c r="G2990" s="24">
        <f t="shared" si="140"/>
        <v>42.352941177282673</v>
      </c>
      <c r="H2990" s="1" t="s">
        <v>1</v>
      </c>
      <c r="I2990" s="4" t="s">
        <v>2</v>
      </c>
      <c r="J2990" s="14">
        <v>0.62152777777777779</v>
      </c>
      <c r="K2990" s="20" t="str">
        <f t="shared" si="139"/>
        <v>2nd Shift</v>
      </c>
    </row>
    <row r="2991" spans="1:11" x14ac:dyDescent="0.25">
      <c r="A2991" s="1">
        <v>2990</v>
      </c>
      <c r="B2991" s="1">
        <v>9</v>
      </c>
      <c r="C2991" s="3">
        <v>9115271952100</v>
      </c>
      <c r="D2991" s="2">
        <v>44583.621527777781</v>
      </c>
      <c r="E2991" s="2">
        <v>44583.916666666664</v>
      </c>
      <c r="F2991" s="23">
        <f t="shared" si="138"/>
        <v>0.29513888888322981</v>
      </c>
      <c r="G2991" s="24">
        <f t="shared" si="140"/>
        <v>42.352941177282673</v>
      </c>
      <c r="H2991" s="1" t="s">
        <v>1</v>
      </c>
      <c r="I2991" s="4" t="s">
        <v>3</v>
      </c>
      <c r="J2991" s="14">
        <v>0.62152777777777779</v>
      </c>
      <c r="K2991" s="20" t="str">
        <f t="shared" si="139"/>
        <v>2nd Shift</v>
      </c>
    </row>
    <row r="2992" spans="1:11" x14ac:dyDescent="0.25">
      <c r="A2992" s="1">
        <v>2991</v>
      </c>
      <c r="B2992" s="1">
        <v>8</v>
      </c>
      <c r="C2992" s="3">
        <v>8115271813103</v>
      </c>
      <c r="D2992" s="2">
        <v>44583.783333333333</v>
      </c>
      <c r="E2992" s="2">
        <v>44583.916666666664</v>
      </c>
      <c r="F2992" s="23">
        <f t="shared" si="138"/>
        <v>0.13333333333139308</v>
      </c>
      <c r="G2992" s="24">
        <f t="shared" si="140"/>
        <v>93.750000001364242</v>
      </c>
      <c r="H2992" s="1" t="s">
        <v>1</v>
      </c>
      <c r="I2992" s="4" t="s">
        <v>2</v>
      </c>
      <c r="J2992" s="14">
        <v>0.78333333333333333</v>
      </c>
      <c r="K2992" s="20" t="str">
        <f t="shared" si="139"/>
        <v>2nd Shift</v>
      </c>
    </row>
    <row r="2993" spans="1:11" x14ac:dyDescent="0.25">
      <c r="A2993" s="1">
        <v>2992</v>
      </c>
      <c r="B2993" s="1">
        <v>8</v>
      </c>
      <c r="C2993" s="3">
        <v>8115271809906</v>
      </c>
      <c r="D2993" s="2">
        <v>44583.621527777781</v>
      </c>
      <c r="E2993" s="2">
        <v>44583.916666666664</v>
      </c>
      <c r="F2993" s="23">
        <f t="shared" si="138"/>
        <v>0.29513888888322981</v>
      </c>
      <c r="G2993" s="24">
        <f t="shared" si="140"/>
        <v>42.352941177282673</v>
      </c>
      <c r="H2993" s="1" t="s">
        <v>1</v>
      </c>
      <c r="I2993" s="4" t="s">
        <v>3</v>
      </c>
      <c r="J2993" s="14">
        <v>0.62152777777777779</v>
      </c>
      <c r="K2993" s="20" t="str">
        <f t="shared" si="139"/>
        <v>2nd Shift</v>
      </c>
    </row>
    <row r="2994" spans="1:11" x14ac:dyDescent="0.25">
      <c r="A2994" s="1">
        <v>2993</v>
      </c>
      <c r="B2994" s="1">
        <v>7</v>
      </c>
      <c r="C2994" s="3">
        <v>7115271783001</v>
      </c>
      <c r="D2994" s="2">
        <v>44583.783333333333</v>
      </c>
      <c r="E2994" s="2">
        <v>44583.916666666664</v>
      </c>
      <c r="F2994" s="23">
        <f t="shared" si="138"/>
        <v>0.13333333333139308</v>
      </c>
      <c r="G2994" s="24">
        <f t="shared" si="140"/>
        <v>93.750000001364242</v>
      </c>
      <c r="H2994" s="1" t="s">
        <v>1</v>
      </c>
      <c r="I2994" s="4" t="s">
        <v>2</v>
      </c>
      <c r="J2994" s="14">
        <v>0.78333333333333333</v>
      </c>
      <c r="K2994" s="20" t="str">
        <f t="shared" si="139"/>
        <v>2nd Shift</v>
      </c>
    </row>
    <row r="2995" spans="1:11" x14ac:dyDescent="0.25">
      <c r="A2995" s="1">
        <v>2994</v>
      </c>
      <c r="B2995" s="1">
        <v>7</v>
      </c>
      <c r="C2995" s="3">
        <v>7115271757500</v>
      </c>
      <c r="D2995" s="2">
        <v>44583.621527777781</v>
      </c>
      <c r="E2995" s="2">
        <v>44583.916666666664</v>
      </c>
      <c r="F2995" s="23">
        <f t="shared" si="138"/>
        <v>0.29513888888322981</v>
      </c>
      <c r="G2995" s="24">
        <f t="shared" si="140"/>
        <v>42.352941177282673</v>
      </c>
      <c r="H2995" s="1" t="s">
        <v>1</v>
      </c>
      <c r="I2995" s="4" t="s">
        <v>3</v>
      </c>
      <c r="J2995" s="14">
        <v>0.62152777777777779</v>
      </c>
      <c r="K2995" s="20" t="str">
        <f t="shared" si="139"/>
        <v>2nd Shift</v>
      </c>
    </row>
    <row r="2996" spans="1:11" x14ac:dyDescent="0.25">
      <c r="A2996" s="1">
        <v>2995</v>
      </c>
      <c r="B2996" s="1">
        <v>7</v>
      </c>
      <c r="C2996" s="3">
        <v>7115271755002</v>
      </c>
      <c r="D2996" s="2">
        <v>44583.621527777781</v>
      </c>
      <c r="E2996" s="2">
        <v>44583.916666666664</v>
      </c>
      <c r="F2996" s="23">
        <f t="shared" si="138"/>
        <v>0.29513888888322981</v>
      </c>
      <c r="G2996" s="24">
        <f t="shared" si="140"/>
        <v>42.352941177282673</v>
      </c>
      <c r="H2996" s="1" t="s">
        <v>1</v>
      </c>
      <c r="I2996" s="4" t="s">
        <v>2</v>
      </c>
      <c r="J2996" s="14">
        <v>0.62152777777777779</v>
      </c>
      <c r="K2996" s="20" t="str">
        <f t="shared" si="139"/>
        <v>2nd Shift</v>
      </c>
    </row>
    <row r="2997" spans="1:11" x14ac:dyDescent="0.25">
      <c r="A2997" s="1">
        <v>2996</v>
      </c>
      <c r="B2997" s="1">
        <v>4</v>
      </c>
      <c r="C2997" s="3">
        <v>4115270858405</v>
      </c>
      <c r="D2997" s="2">
        <v>44583.621527777781</v>
      </c>
      <c r="E2997" s="2">
        <v>44583.916666666664</v>
      </c>
      <c r="F2997" s="23">
        <f t="shared" si="138"/>
        <v>0.29513888888322981</v>
      </c>
      <c r="G2997" s="24">
        <f t="shared" si="140"/>
        <v>42.352941177282673</v>
      </c>
      <c r="H2997" s="1" t="s">
        <v>1</v>
      </c>
      <c r="I2997" s="4" t="s">
        <v>3</v>
      </c>
      <c r="J2997" s="14">
        <v>0.62152777777777779</v>
      </c>
      <c r="K2997" s="20" t="str">
        <f t="shared" si="139"/>
        <v>2nd Shift</v>
      </c>
    </row>
    <row r="2998" spans="1:11" x14ac:dyDescent="0.25">
      <c r="A2998" s="1">
        <v>2997</v>
      </c>
      <c r="B2998" s="1">
        <v>3</v>
      </c>
      <c r="C2998" s="3">
        <v>3115270420900</v>
      </c>
      <c r="D2998" s="2">
        <v>44583.621527777781</v>
      </c>
      <c r="E2998" s="2">
        <v>44583.916666666664</v>
      </c>
      <c r="F2998" s="23">
        <f t="shared" si="138"/>
        <v>0.29513888888322981</v>
      </c>
      <c r="G2998" s="24">
        <f t="shared" si="140"/>
        <v>42.352941177282673</v>
      </c>
      <c r="H2998" s="1" t="s">
        <v>1</v>
      </c>
      <c r="I2998" s="4" t="s">
        <v>2</v>
      </c>
      <c r="J2998" s="14">
        <v>0.62152777777777779</v>
      </c>
      <c r="K2998" s="20" t="str">
        <f t="shared" si="139"/>
        <v>2nd Shift</v>
      </c>
    </row>
    <row r="2999" spans="1:11" x14ac:dyDescent="0.25">
      <c r="A2999" s="1">
        <v>2998</v>
      </c>
      <c r="B2999" s="1">
        <v>3</v>
      </c>
      <c r="C2999" s="3">
        <v>3115270385900</v>
      </c>
      <c r="D2999" s="2">
        <v>44583.621527777781</v>
      </c>
      <c r="E2999" s="2">
        <v>44583.916666666664</v>
      </c>
      <c r="F2999" s="23">
        <f t="shared" si="138"/>
        <v>0.29513888888322981</v>
      </c>
      <c r="G2999" s="24">
        <f t="shared" si="140"/>
        <v>42.352941177282673</v>
      </c>
      <c r="H2999" s="1" t="s">
        <v>1</v>
      </c>
      <c r="I2999" s="4" t="s">
        <v>2</v>
      </c>
      <c r="J2999" s="14">
        <v>0.62152777777777779</v>
      </c>
      <c r="K2999" s="20" t="str">
        <f t="shared" si="139"/>
        <v>2nd Shift</v>
      </c>
    </row>
    <row r="3000" spans="1:11" x14ac:dyDescent="0.25">
      <c r="A3000" s="1">
        <v>2999</v>
      </c>
      <c r="B3000" s="1">
        <v>2</v>
      </c>
      <c r="C3000" s="3">
        <v>2115270274300</v>
      </c>
      <c r="D3000" s="2">
        <v>44583.621527777781</v>
      </c>
      <c r="E3000" s="2">
        <v>44583.916666666664</v>
      </c>
      <c r="F3000" s="23">
        <f t="shared" si="138"/>
        <v>0.29513888888322981</v>
      </c>
      <c r="G3000" s="24">
        <f t="shared" si="140"/>
        <v>42.352941177282673</v>
      </c>
      <c r="H3000" s="1" t="s">
        <v>1</v>
      </c>
      <c r="I3000" s="4" t="s">
        <v>2</v>
      </c>
      <c r="J3000" s="14">
        <v>0.62152777777777779</v>
      </c>
      <c r="K3000" s="20" t="str">
        <f t="shared" si="139"/>
        <v>2nd Shift</v>
      </c>
    </row>
    <row r="3001" spans="1:11" x14ac:dyDescent="0.25">
      <c r="A3001" s="1">
        <v>3000</v>
      </c>
      <c r="B3001" s="1">
        <v>2</v>
      </c>
      <c r="C3001" s="3">
        <v>2115270274300</v>
      </c>
      <c r="D3001" s="2">
        <v>44583.743055555555</v>
      </c>
      <c r="E3001" s="2">
        <v>44583.916666666664</v>
      </c>
      <c r="F3001" s="23">
        <f t="shared" si="138"/>
        <v>0.17361111110949423</v>
      </c>
      <c r="G3001" s="24">
        <f t="shared" si="140"/>
        <v>72.000000000670553</v>
      </c>
      <c r="H3001" s="1" t="s">
        <v>1</v>
      </c>
      <c r="I3001" s="4" t="s">
        <v>2</v>
      </c>
      <c r="J3001" s="14">
        <v>0.74305555555555558</v>
      </c>
      <c r="K3001" s="20" t="str">
        <f t="shared" si="139"/>
        <v>2nd Shift</v>
      </c>
    </row>
    <row r="3002" spans="1:11" x14ac:dyDescent="0.25">
      <c r="A3002" s="1">
        <v>3001</v>
      </c>
      <c r="B3002" s="1">
        <v>2</v>
      </c>
      <c r="C3002" s="3">
        <v>2115270250000</v>
      </c>
      <c r="D3002" s="2">
        <v>44583.621527777781</v>
      </c>
      <c r="E3002" s="2">
        <v>44583.916666666664</v>
      </c>
      <c r="F3002" s="23">
        <f t="shared" si="138"/>
        <v>0.29513888888322981</v>
      </c>
      <c r="G3002" s="24">
        <f t="shared" si="140"/>
        <v>42.352941177282673</v>
      </c>
      <c r="H3002" s="1" t="s">
        <v>1</v>
      </c>
      <c r="I3002" s="4" t="s">
        <v>2</v>
      </c>
      <c r="J3002" s="14">
        <v>0.62152777777777779</v>
      </c>
      <c r="K3002" s="20" t="str">
        <f t="shared" si="139"/>
        <v>2nd Shift</v>
      </c>
    </row>
    <row r="3003" spans="1:11" x14ac:dyDescent="0.25">
      <c r="A3003" s="1">
        <v>3002</v>
      </c>
      <c r="B3003" s="1">
        <v>1</v>
      </c>
      <c r="C3003" s="3">
        <v>1115270091902</v>
      </c>
      <c r="D3003" s="2">
        <v>44583.621527777781</v>
      </c>
      <c r="E3003" s="2">
        <v>44583.916666666664</v>
      </c>
      <c r="F3003" s="23">
        <f t="shared" si="138"/>
        <v>0.29513888888322981</v>
      </c>
      <c r="G3003" s="24">
        <f t="shared" si="140"/>
        <v>42.352941177282673</v>
      </c>
      <c r="H3003" s="1" t="s">
        <v>1</v>
      </c>
      <c r="I3003" s="4" t="s">
        <v>2</v>
      </c>
      <c r="J3003" s="14">
        <v>0.62152777777777779</v>
      </c>
      <c r="K3003" s="20" t="str">
        <f t="shared" si="139"/>
        <v>2nd Shift</v>
      </c>
    </row>
    <row r="3004" spans="1:11" x14ac:dyDescent="0.25">
      <c r="A3004" s="1">
        <v>3003</v>
      </c>
      <c r="B3004" s="1">
        <v>1</v>
      </c>
      <c r="C3004" s="3">
        <v>1115270064001</v>
      </c>
      <c r="D3004" s="2">
        <v>44583.783333333333</v>
      </c>
      <c r="E3004" s="2">
        <v>44583.916666666664</v>
      </c>
      <c r="F3004" s="23">
        <f t="shared" si="138"/>
        <v>0.13333333333139308</v>
      </c>
      <c r="G3004" s="24">
        <f t="shared" si="140"/>
        <v>93.750000001364242</v>
      </c>
      <c r="H3004" s="1" t="s">
        <v>1</v>
      </c>
      <c r="I3004" s="4" t="s">
        <v>2</v>
      </c>
      <c r="J3004" s="14">
        <v>0.78333333333333333</v>
      </c>
      <c r="K3004" s="20" t="str">
        <f t="shared" si="139"/>
        <v>2nd Shift</v>
      </c>
    </row>
    <row r="3005" spans="1:11" x14ac:dyDescent="0.25">
      <c r="A3005" s="1">
        <v>3004</v>
      </c>
      <c r="B3005" s="1">
        <v>12</v>
      </c>
      <c r="C3005" s="3">
        <v>12115271574507</v>
      </c>
      <c r="D3005" s="2">
        <v>44584.006944444445</v>
      </c>
      <c r="E3005" s="2">
        <v>44584.15625</v>
      </c>
      <c r="F3005" s="23">
        <f t="shared" si="138"/>
        <v>0.14930555555474712</v>
      </c>
      <c r="G3005" s="24">
        <f t="shared" si="140"/>
        <v>83.720930233011458</v>
      </c>
      <c r="H3005" s="1" t="s">
        <v>1</v>
      </c>
      <c r="I3005" s="4" t="s">
        <v>3</v>
      </c>
      <c r="J3005" s="14">
        <v>6.9444444444444441E-3</v>
      </c>
      <c r="K3005" s="20" t="str">
        <f t="shared" si="139"/>
        <v>3rd Shift</v>
      </c>
    </row>
    <row r="3006" spans="1:11" x14ac:dyDescent="0.25">
      <c r="A3006" s="1">
        <v>3005</v>
      </c>
      <c r="B3006" s="1">
        <v>9</v>
      </c>
      <c r="C3006" s="3">
        <v>9115271952700</v>
      </c>
      <c r="D3006" s="2">
        <v>44584.03125</v>
      </c>
      <c r="E3006" s="2">
        <v>44584.15625</v>
      </c>
      <c r="F3006" s="23">
        <f t="shared" si="138"/>
        <v>0.125</v>
      </c>
      <c r="G3006" s="24">
        <f t="shared" si="140"/>
        <v>100</v>
      </c>
      <c r="H3006" s="1" t="s">
        <v>1</v>
      </c>
      <c r="I3006" s="4" t="s">
        <v>3</v>
      </c>
      <c r="J3006" s="14">
        <v>3.125E-2</v>
      </c>
      <c r="K3006" s="20" t="str">
        <f t="shared" si="139"/>
        <v>3rd Shift</v>
      </c>
    </row>
    <row r="3007" spans="1:11" x14ac:dyDescent="0.25">
      <c r="A3007" s="1">
        <v>3006</v>
      </c>
      <c r="B3007" s="1">
        <v>8</v>
      </c>
      <c r="C3007" s="3">
        <v>8115271814313</v>
      </c>
      <c r="D3007" s="2">
        <v>44583.96875</v>
      </c>
      <c r="E3007" s="2">
        <v>44584.15625</v>
      </c>
      <c r="F3007" s="23">
        <f t="shared" si="138"/>
        <v>0.1875</v>
      </c>
      <c r="G3007" s="24">
        <f t="shared" si="140"/>
        <v>66.666666666666657</v>
      </c>
      <c r="H3007" s="1" t="s">
        <v>1</v>
      </c>
      <c r="I3007" s="4" t="s">
        <v>3</v>
      </c>
      <c r="J3007" s="14">
        <v>0.96875</v>
      </c>
      <c r="K3007" s="20" t="str">
        <f t="shared" si="139"/>
        <v>3rd Shift</v>
      </c>
    </row>
    <row r="3008" spans="1:11" x14ac:dyDescent="0.25">
      <c r="A3008" s="1">
        <v>3007</v>
      </c>
      <c r="B3008" s="1">
        <v>7</v>
      </c>
      <c r="C3008" s="3">
        <v>7115271757200</v>
      </c>
      <c r="D3008" s="2">
        <v>44584.03125</v>
      </c>
      <c r="E3008" s="2">
        <v>44584.15625</v>
      </c>
      <c r="F3008" s="23">
        <f t="shared" si="138"/>
        <v>0.125</v>
      </c>
      <c r="G3008" s="24">
        <f t="shared" si="140"/>
        <v>100</v>
      </c>
      <c r="H3008" s="1" t="s">
        <v>1</v>
      </c>
      <c r="I3008" s="4" t="s">
        <v>3</v>
      </c>
      <c r="J3008" s="14">
        <v>3.125E-2</v>
      </c>
      <c r="K3008" s="20" t="str">
        <f t="shared" si="139"/>
        <v>3rd Shift</v>
      </c>
    </row>
    <row r="3009" spans="1:11" x14ac:dyDescent="0.25">
      <c r="A3009" s="1">
        <v>3008</v>
      </c>
      <c r="B3009" s="1">
        <v>5</v>
      </c>
      <c r="C3009" s="3">
        <v>5115271258000</v>
      </c>
      <c r="D3009" s="2">
        <v>44583.96875</v>
      </c>
      <c r="E3009" s="2">
        <v>44584.15625</v>
      </c>
      <c r="F3009" s="23">
        <f t="shared" si="138"/>
        <v>0.1875</v>
      </c>
      <c r="G3009" s="24">
        <f t="shared" si="140"/>
        <v>66.666666666666657</v>
      </c>
      <c r="H3009" s="1" t="s">
        <v>1</v>
      </c>
      <c r="I3009" s="4" t="s">
        <v>2</v>
      </c>
      <c r="J3009" s="14">
        <v>0.96875</v>
      </c>
      <c r="K3009" s="20" t="str">
        <f t="shared" si="139"/>
        <v>3rd Shift</v>
      </c>
    </row>
    <row r="3010" spans="1:11" x14ac:dyDescent="0.25">
      <c r="A3010" s="1">
        <v>3009</v>
      </c>
      <c r="B3010" s="1">
        <v>3</v>
      </c>
      <c r="C3010" s="3">
        <v>3115270340501</v>
      </c>
      <c r="D3010" s="2">
        <v>44583.96875</v>
      </c>
      <c r="E3010" s="2">
        <v>44584.15625</v>
      </c>
      <c r="F3010" s="23">
        <f t="shared" ref="F3010:F3073" si="141">E3010-D3010</f>
        <v>0.1875</v>
      </c>
      <c r="G3010" s="24">
        <f t="shared" si="140"/>
        <v>66.666666666666657</v>
      </c>
      <c r="H3010" s="1" t="s">
        <v>1</v>
      </c>
      <c r="I3010" s="4" t="s">
        <v>2</v>
      </c>
      <c r="J3010" s="14">
        <v>0.96875</v>
      </c>
      <c r="K3010" s="20" t="str">
        <f t="shared" ref="K3010:K3073" si="142">IF(AND(J3010&gt;=$M$3,J3010&lt;$M$4),"1st Shift",IF(AND(J3010&gt;=$M$4,J3010&lt;$M$5),"2nd Shift","3rd Shift"))</f>
        <v>3rd Shift</v>
      </c>
    </row>
    <row r="3011" spans="1:11" x14ac:dyDescent="0.25">
      <c r="A3011" s="1">
        <v>3010</v>
      </c>
      <c r="B3011" s="1">
        <v>1</v>
      </c>
      <c r="C3011" s="3">
        <v>1115270101200</v>
      </c>
      <c r="D3011" s="2">
        <v>44583.993055555555</v>
      </c>
      <c r="E3011" s="2">
        <v>44584.15625</v>
      </c>
      <c r="F3011" s="23">
        <f t="shared" si="141"/>
        <v>0.16319444444525288</v>
      </c>
      <c r="G3011" s="24">
        <f t="shared" ref="G3011:G3074" si="143">$M$9/F3011*100</f>
        <v>76.595744680471626</v>
      </c>
      <c r="H3011" s="1" t="s">
        <v>1</v>
      </c>
      <c r="I3011" s="4" t="s">
        <v>3</v>
      </c>
      <c r="J3011" s="14">
        <v>0.99305555555555558</v>
      </c>
      <c r="K3011" s="20" t="str">
        <f t="shared" si="142"/>
        <v>3rd Shift</v>
      </c>
    </row>
    <row r="3012" spans="1:11" x14ac:dyDescent="0.25">
      <c r="A3012" s="1">
        <v>3011</v>
      </c>
      <c r="B3012" s="1">
        <v>15</v>
      </c>
      <c r="C3012" s="3">
        <v>15115271775011</v>
      </c>
      <c r="D3012" s="2">
        <v>44584.520833333336</v>
      </c>
      <c r="E3012" s="2">
        <v>44584.604166666664</v>
      </c>
      <c r="F3012" s="23">
        <f t="shared" si="141"/>
        <v>8.3333333328482695E-2</v>
      </c>
      <c r="G3012" s="24">
        <f t="shared" si="143"/>
        <v>150.00000000873115</v>
      </c>
      <c r="H3012" s="1" t="s">
        <v>1</v>
      </c>
      <c r="I3012" s="4" t="s">
        <v>3</v>
      </c>
      <c r="J3012" s="14">
        <v>0.52083333333333337</v>
      </c>
      <c r="K3012" s="20" t="str">
        <f t="shared" si="142"/>
        <v>1st Shift</v>
      </c>
    </row>
    <row r="3013" spans="1:11" x14ac:dyDescent="0.25">
      <c r="A3013" s="1">
        <v>3012</v>
      </c>
      <c r="B3013" s="1">
        <v>13</v>
      </c>
      <c r="C3013" s="3">
        <v>13115271617702</v>
      </c>
      <c r="D3013" s="2">
        <v>44584.486111111109</v>
      </c>
      <c r="E3013" s="2">
        <v>44584.604166666664</v>
      </c>
      <c r="F3013" s="23">
        <f t="shared" si="141"/>
        <v>0.11805555555474712</v>
      </c>
      <c r="G3013" s="24">
        <f t="shared" si="143"/>
        <v>105.88235294190156</v>
      </c>
      <c r="H3013" s="1" t="s">
        <v>1</v>
      </c>
      <c r="I3013" s="4" t="s">
        <v>2</v>
      </c>
      <c r="J3013" s="14">
        <v>0.4861111111111111</v>
      </c>
      <c r="K3013" s="20" t="str">
        <f t="shared" si="142"/>
        <v>1st Shift</v>
      </c>
    </row>
    <row r="3014" spans="1:11" x14ac:dyDescent="0.25">
      <c r="A3014" s="1">
        <v>3013</v>
      </c>
      <c r="B3014" s="1">
        <v>13</v>
      </c>
      <c r="C3014" s="3">
        <v>13115271590500</v>
      </c>
      <c r="D3014" s="2">
        <v>44584.368055555555</v>
      </c>
      <c r="E3014" s="2">
        <v>44584.604166666664</v>
      </c>
      <c r="F3014" s="23">
        <f t="shared" si="141"/>
        <v>0.23611111110949423</v>
      </c>
      <c r="G3014" s="24">
        <f t="shared" si="143"/>
        <v>52.941176470950779</v>
      </c>
      <c r="H3014" s="1" t="s">
        <v>1</v>
      </c>
      <c r="I3014" s="4" t="s">
        <v>3</v>
      </c>
      <c r="J3014" s="14">
        <v>0.36805555555555558</v>
      </c>
      <c r="K3014" s="20" t="str">
        <f t="shared" si="142"/>
        <v>1st Shift</v>
      </c>
    </row>
    <row r="3015" spans="1:11" x14ac:dyDescent="0.25">
      <c r="A3015" s="1">
        <v>3014</v>
      </c>
      <c r="B3015" s="1">
        <v>12</v>
      </c>
      <c r="C3015" s="3">
        <v>12115271571041</v>
      </c>
      <c r="D3015" s="2">
        <v>44584.368055555555</v>
      </c>
      <c r="E3015" s="2">
        <v>44584.604166666664</v>
      </c>
      <c r="F3015" s="23">
        <f t="shared" si="141"/>
        <v>0.23611111110949423</v>
      </c>
      <c r="G3015" s="24">
        <f t="shared" si="143"/>
        <v>52.941176470950779</v>
      </c>
      <c r="H3015" s="1" t="s">
        <v>1</v>
      </c>
      <c r="I3015" s="4" t="s">
        <v>3</v>
      </c>
      <c r="J3015" s="14">
        <v>0.36805555555555558</v>
      </c>
      <c r="K3015" s="20" t="str">
        <f t="shared" si="142"/>
        <v>1st Shift</v>
      </c>
    </row>
    <row r="3016" spans="1:11" x14ac:dyDescent="0.25">
      <c r="A3016" s="1">
        <v>3015</v>
      </c>
      <c r="B3016" s="1">
        <v>9</v>
      </c>
      <c r="C3016" s="3">
        <v>9115271945600</v>
      </c>
      <c r="D3016" s="2">
        <v>44584.520833333336</v>
      </c>
      <c r="E3016" s="2">
        <v>44584.604166666664</v>
      </c>
      <c r="F3016" s="23">
        <f t="shared" si="141"/>
        <v>8.3333333328482695E-2</v>
      </c>
      <c r="G3016" s="24">
        <f t="shared" si="143"/>
        <v>150.00000000873115</v>
      </c>
      <c r="H3016" s="1" t="s">
        <v>1</v>
      </c>
      <c r="I3016" s="4" t="s">
        <v>3</v>
      </c>
      <c r="J3016" s="14">
        <v>0.52083333333333337</v>
      </c>
      <c r="K3016" s="20" t="str">
        <f t="shared" si="142"/>
        <v>1st Shift</v>
      </c>
    </row>
    <row r="3017" spans="1:11" x14ac:dyDescent="0.25">
      <c r="A3017" s="1">
        <v>3016</v>
      </c>
      <c r="B3017" s="1">
        <v>8</v>
      </c>
      <c r="C3017" s="3">
        <v>8115271877802</v>
      </c>
      <c r="D3017" s="2">
        <v>44584.368055555555</v>
      </c>
      <c r="E3017" s="2">
        <v>44584.604166666664</v>
      </c>
      <c r="F3017" s="23">
        <f t="shared" si="141"/>
        <v>0.23611111110949423</v>
      </c>
      <c r="G3017" s="24">
        <f t="shared" si="143"/>
        <v>52.941176470950779</v>
      </c>
      <c r="H3017" s="1" t="s">
        <v>1</v>
      </c>
      <c r="I3017" s="4" t="s">
        <v>3</v>
      </c>
      <c r="J3017" s="14">
        <v>0.36805555555555558</v>
      </c>
      <c r="K3017" s="20" t="str">
        <f t="shared" si="142"/>
        <v>1st Shift</v>
      </c>
    </row>
    <row r="3018" spans="1:11" x14ac:dyDescent="0.25">
      <c r="A3018" s="1">
        <v>3017</v>
      </c>
      <c r="B3018" s="1">
        <v>7</v>
      </c>
      <c r="C3018" s="3">
        <v>7115271807103</v>
      </c>
      <c r="D3018" s="2">
        <v>44584.368055555555</v>
      </c>
      <c r="E3018" s="2">
        <v>44584.604166666664</v>
      </c>
      <c r="F3018" s="23">
        <f t="shared" si="141"/>
        <v>0.23611111110949423</v>
      </c>
      <c r="G3018" s="24">
        <f t="shared" si="143"/>
        <v>52.941176470950779</v>
      </c>
      <c r="H3018" s="1" t="s">
        <v>1</v>
      </c>
      <c r="I3018" s="4" t="s">
        <v>3</v>
      </c>
      <c r="J3018" s="14">
        <v>0.36805555555555558</v>
      </c>
      <c r="K3018" s="20" t="str">
        <f t="shared" si="142"/>
        <v>1st Shift</v>
      </c>
    </row>
    <row r="3019" spans="1:11" x14ac:dyDescent="0.25">
      <c r="A3019" s="1">
        <v>3018</v>
      </c>
      <c r="B3019" s="1">
        <v>6</v>
      </c>
      <c r="C3019" s="3">
        <v>6115271741303</v>
      </c>
      <c r="D3019" s="2">
        <v>44584.520833333336</v>
      </c>
      <c r="E3019" s="2">
        <v>44584.604166666664</v>
      </c>
      <c r="F3019" s="23">
        <f t="shared" si="141"/>
        <v>8.3333333328482695E-2</v>
      </c>
      <c r="G3019" s="24">
        <f t="shared" si="143"/>
        <v>150.00000000873115</v>
      </c>
      <c r="H3019" s="1" t="s">
        <v>1</v>
      </c>
      <c r="I3019" s="4" t="s">
        <v>2</v>
      </c>
      <c r="J3019" s="14">
        <v>0.52083333333333337</v>
      </c>
      <c r="K3019" s="20" t="str">
        <f t="shared" si="142"/>
        <v>1st Shift</v>
      </c>
    </row>
    <row r="3020" spans="1:11" x14ac:dyDescent="0.25">
      <c r="A3020" s="1">
        <v>3019</v>
      </c>
      <c r="B3020" s="1">
        <v>6</v>
      </c>
      <c r="C3020" s="3">
        <v>6115271741214</v>
      </c>
      <c r="D3020" s="2">
        <v>44584.520833333336</v>
      </c>
      <c r="E3020" s="2">
        <v>44584.604166666664</v>
      </c>
      <c r="F3020" s="23">
        <f t="shared" si="141"/>
        <v>8.3333333328482695E-2</v>
      </c>
      <c r="G3020" s="24">
        <f t="shared" si="143"/>
        <v>150.00000000873115</v>
      </c>
      <c r="H3020" s="1" t="s">
        <v>1</v>
      </c>
      <c r="I3020" s="4" t="s">
        <v>2</v>
      </c>
      <c r="J3020" s="14">
        <v>0.52083333333333337</v>
      </c>
      <c r="K3020" s="20" t="str">
        <f t="shared" si="142"/>
        <v>1st Shift</v>
      </c>
    </row>
    <row r="3021" spans="1:11" x14ac:dyDescent="0.25">
      <c r="A3021" s="1">
        <v>3020</v>
      </c>
      <c r="B3021" s="1">
        <v>5</v>
      </c>
      <c r="C3021" s="3">
        <v>5115271676006</v>
      </c>
      <c r="D3021" s="2">
        <v>44584.368055555555</v>
      </c>
      <c r="E3021" s="2">
        <v>44584.604166666664</v>
      </c>
      <c r="F3021" s="23">
        <f t="shared" si="141"/>
        <v>0.23611111110949423</v>
      </c>
      <c r="G3021" s="24">
        <f t="shared" si="143"/>
        <v>52.941176470950779</v>
      </c>
      <c r="H3021" s="1" t="s">
        <v>1</v>
      </c>
      <c r="I3021" s="4" t="s">
        <v>2</v>
      </c>
      <c r="J3021" s="14">
        <v>0.36805555555555558</v>
      </c>
      <c r="K3021" s="20" t="str">
        <f t="shared" si="142"/>
        <v>1st Shift</v>
      </c>
    </row>
    <row r="3022" spans="1:11" x14ac:dyDescent="0.25">
      <c r="A3022" s="1">
        <v>3021</v>
      </c>
      <c r="B3022" s="1">
        <v>4</v>
      </c>
      <c r="C3022" s="3">
        <v>4115270826800</v>
      </c>
      <c r="D3022" s="2">
        <v>44584.520833333336</v>
      </c>
      <c r="E3022" s="2">
        <v>44584.604166666664</v>
      </c>
      <c r="F3022" s="23">
        <f t="shared" si="141"/>
        <v>8.3333333328482695E-2</v>
      </c>
      <c r="G3022" s="24">
        <f t="shared" si="143"/>
        <v>150.00000000873115</v>
      </c>
      <c r="H3022" s="1" t="s">
        <v>1</v>
      </c>
      <c r="I3022" s="4" t="s">
        <v>2</v>
      </c>
      <c r="J3022" s="14">
        <v>0.52083333333333337</v>
      </c>
      <c r="K3022" s="20" t="str">
        <f t="shared" si="142"/>
        <v>1st Shift</v>
      </c>
    </row>
    <row r="3023" spans="1:11" x14ac:dyDescent="0.25">
      <c r="A3023" s="1">
        <v>3022</v>
      </c>
      <c r="B3023" s="1">
        <v>1</v>
      </c>
      <c r="C3023" s="3">
        <v>1115270126700</v>
      </c>
      <c r="D3023" s="2">
        <v>44584.5</v>
      </c>
      <c r="E3023" s="2">
        <v>44584.604166666664</v>
      </c>
      <c r="F3023" s="23">
        <f t="shared" si="141"/>
        <v>0.10416666666424135</v>
      </c>
      <c r="G3023" s="24">
        <f t="shared" si="143"/>
        <v>120.00000000279397</v>
      </c>
      <c r="H3023" s="1" t="s">
        <v>1</v>
      </c>
      <c r="I3023" s="4" t="s">
        <v>2</v>
      </c>
      <c r="J3023" s="14">
        <v>0.5</v>
      </c>
      <c r="K3023" s="20" t="str">
        <f t="shared" si="142"/>
        <v>1st Shift</v>
      </c>
    </row>
    <row r="3024" spans="1:11" x14ac:dyDescent="0.25">
      <c r="A3024" s="1">
        <v>3023</v>
      </c>
      <c r="B3024" s="1">
        <v>15</v>
      </c>
      <c r="C3024" s="3">
        <v>15115271798402</v>
      </c>
      <c r="D3024" s="2">
        <v>44584.822916666664</v>
      </c>
      <c r="E3024" s="2">
        <v>44584.895833333336</v>
      </c>
      <c r="F3024" s="23">
        <f t="shared" si="141"/>
        <v>7.2916666671517305E-2</v>
      </c>
      <c r="G3024" s="24">
        <f t="shared" si="143"/>
        <v>171.42857141716746</v>
      </c>
      <c r="H3024" s="1" t="s">
        <v>1</v>
      </c>
      <c r="I3024" s="4" t="s">
        <v>2</v>
      </c>
      <c r="J3024" s="14">
        <v>0.82291666666666663</v>
      </c>
      <c r="K3024" s="20" t="str">
        <f t="shared" si="142"/>
        <v>2nd Shift</v>
      </c>
    </row>
    <row r="3025" spans="1:11" x14ac:dyDescent="0.25">
      <c r="A3025" s="1">
        <v>3024</v>
      </c>
      <c r="B3025" s="1">
        <v>11</v>
      </c>
      <c r="C3025" s="3">
        <v>11115271501702</v>
      </c>
      <c r="D3025" s="2">
        <v>44584.652777777781</v>
      </c>
      <c r="E3025" s="2">
        <v>44584.895833333336</v>
      </c>
      <c r="F3025" s="23">
        <f t="shared" si="141"/>
        <v>0.24305555555474712</v>
      </c>
      <c r="G3025" s="24">
        <f t="shared" si="143"/>
        <v>51.428571428742487</v>
      </c>
      <c r="H3025" s="1" t="s">
        <v>1</v>
      </c>
      <c r="I3025" s="4" t="s">
        <v>2</v>
      </c>
      <c r="J3025" s="14">
        <v>0.65277777777777779</v>
      </c>
      <c r="K3025" s="20" t="str">
        <f t="shared" si="142"/>
        <v>2nd Shift</v>
      </c>
    </row>
    <row r="3026" spans="1:11" x14ac:dyDescent="0.25">
      <c r="A3026" s="1">
        <v>3025</v>
      </c>
      <c r="B3026" s="1">
        <v>10</v>
      </c>
      <c r="C3026" s="3">
        <v>10115270952601</v>
      </c>
      <c r="D3026" s="2">
        <v>44584.652777777781</v>
      </c>
      <c r="E3026" s="2">
        <v>44584.895833333336</v>
      </c>
      <c r="F3026" s="23">
        <f t="shared" si="141"/>
        <v>0.24305555555474712</v>
      </c>
      <c r="G3026" s="24">
        <f t="shared" si="143"/>
        <v>51.428571428742487</v>
      </c>
      <c r="H3026" s="1" t="s">
        <v>1</v>
      </c>
      <c r="I3026" s="4" t="s">
        <v>3</v>
      </c>
      <c r="J3026" s="14">
        <v>0.65277777777777779</v>
      </c>
      <c r="K3026" s="20" t="str">
        <f t="shared" si="142"/>
        <v>2nd Shift</v>
      </c>
    </row>
    <row r="3027" spans="1:11" x14ac:dyDescent="0.25">
      <c r="A3027" s="1">
        <v>3026</v>
      </c>
      <c r="B3027" s="1">
        <v>10</v>
      </c>
      <c r="C3027" s="3">
        <v>10115270952400</v>
      </c>
      <c r="D3027" s="2">
        <v>44584.770833333336</v>
      </c>
      <c r="E3027" s="2">
        <v>44584.895833333336</v>
      </c>
      <c r="F3027" s="23">
        <f t="shared" si="141"/>
        <v>0.125</v>
      </c>
      <c r="G3027" s="24">
        <f t="shared" si="143"/>
        <v>100</v>
      </c>
      <c r="H3027" s="1" t="s">
        <v>1</v>
      </c>
      <c r="I3027" s="4" t="s">
        <v>2</v>
      </c>
      <c r="J3027" s="14">
        <v>0.77083333333333337</v>
      </c>
      <c r="K3027" s="20" t="str">
        <f t="shared" si="142"/>
        <v>2nd Shift</v>
      </c>
    </row>
    <row r="3028" spans="1:11" x14ac:dyDescent="0.25">
      <c r="A3028" s="1">
        <v>3027</v>
      </c>
      <c r="B3028" s="1">
        <v>9</v>
      </c>
      <c r="C3028" s="3">
        <v>9115270648300</v>
      </c>
      <c r="D3028" s="2">
        <v>44584.652777777781</v>
      </c>
      <c r="E3028" s="2">
        <v>44584.895833333336</v>
      </c>
      <c r="F3028" s="23">
        <f t="shared" si="141"/>
        <v>0.24305555555474712</v>
      </c>
      <c r="G3028" s="24">
        <f t="shared" si="143"/>
        <v>51.428571428742487</v>
      </c>
      <c r="H3028" s="1" t="s">
        <v>1</v>
      </c>
      <c r="I3028" s="4" t="s">
        <v>3</v>
      </c>
      <c r="J3028" s="14">
        <v>0.65277777777777779</v>
      </c>
      <c r="K3028" s="20" t="str">
        <f t="shared" si="142"/>
        <v>2nd Shift</v>
      </c>
    </row>
    <row r="3029" spans="1:11" x14ac:dyDescent="0.25">
      <c r="A3029" s="1">
        <v>3028</v>
      </c>
      <c r="B3029" s="1">
        <v>8</v>
      </c>
      <c r="C3029" s="3">
        <v>8115271810101</v>
      </c>
      <c r="D3029" s="2">
        <v>44584.652777777781</v>
      </c>
      <c r="E3029" s="2">
        <v>44584.895833333336</v>
      </c>
      <c r="F3029" s="23">
        <f t="shared" si="141"/>
        <v>0.24305555555474712</v>
      </c>
      <c r="G3029" s="24">
        <f t="shared" si="143"/>
        <v>51.428571428742487</v>
      </c>
      <c r="H3029" s="1" t="s">
        <v>1</v>
      </c>
      <c r="I3029" s="4" t="s">
        <v>3</v>
      </c>
      <c r="J3029" s="14">
        <v>0.65277777777777779</v>
      </c>
      <c r="K3029" s="20" t="str">
        <f t="shared" si="142"/>
        <v>2nd Shift</v>
      </c>
    </row>
    <row r="3030" spans="1:11" x14ac:dyDescent="0.25">
      <c r="A3030" s="1">
        <v>3029</v>
      </c>
      <c r="B3030" s="1">
        <v>7</v>
      </c>
      <c r="C3030" s="3">
        <v>7115271798202</v>
      </c>
      <c r="D3030" s="2">
        <v>44584.652777777781</v>
      </c>
      <c r="E3030" s="2">
        <v>44584.895833333336</v>
      </c>
      <c r="F3030" s="23">
        <f t="shared" si="141"/>
        <v>0.24305555555474712</v>
      </c>
      <c r="G3030" s="24">
        <f t="shared" si="143"/>
        <v>51.428571428742487</v>
      </c>
      <c r="H3030" s="1" t="s">
        <v>1</v>
      </c>
      <c r="I3030" s="4" t="s">
        <v>3</v>
      </c>
      <c r="J3030" s="14">
        <v>0.65277777777777779</v>
      </c>
      <c r="K3030" s="20" t="str">
        <f t="shared" si="142"/>
        <v>2nd Shift</v>
      </c>
    </row>
    <row r="3031" spans="1:11" x14ac:dyDescent="0.25">
      <c r="A3031" s="1">
        <v>3030</v>
      </c>
      <c r="B3031" s="1">
        <v>7</v>
      </c>
      <c r="C3031" s="3">
        <v>7115271797900</v>
      </c>
      <c r="D3031" s="2">
        <v>44584.822916666664</v>
      </c>
      <c r="E3031" s="2">
        <v>44584.895833333336</v>
      </c>
      <c r="F3031" s="23">
        <f t="shared" si="141"/>
        <v>7.2916666671517305E-2</v>
      </c>
      <c r="G3031" s="24">
        <f t="shared" si="143"/>
        <v>171.42857141716746</v>
      </c>
      <c r="H3031" s="1" t="s">
        <v>1</v>
      </c>
      <c r="I3031" s="4" t="s">
        <v>3</v>
      </c>
      <c r="J3031" s="14">
        <v>0.82291666666666663</v>
      </c>
      <c r="K3031" s="20" t="str">
        <f t="shared" si="142"/>
        <v>2nd Shift</v>
      </c>
    </row>
    <row r="3032" spans="1:11" x14ac:dyDescent="0.25">
      <c r="A3032" s="1">
        <v>3031</v>
      </c>
      <c r="B3032" s="1">
        <v>3</v>
      </c>
      <c r="C3032" s="3">
        <v>3115270396900</v>
      </c>
      <c r="D3032" s="2">
        <v>44584.652777777781</v>
      </c>
      <c r="E3032" s="2">
        <v>44584.895833333336</v>
      </c>
      <c r="F3032" s="23">
        <f t="shared" si="141"/>
        <v>0.24305555555474712</v>
      </c>
      <c r="G3032" s="24">
        <f t="shared" si="143"/>
        <v>51.428571428742487</v>
      </c>
      <c r="H3032" s="1" t="s">
        <v>1</v>
      </c>
      <c r="I3032" s="4" t="s">
        <v>3</v>
      </c>
      <c r="J3032" s="14">
        <v>0.65277777777777779</v>
      </c>
      <c r="K3032" s="20" t="str">
        <f t="shared" si="142"/>
        <v>2nd Shift</v>
      </c>
    </row>
    <row r="3033" spans="1:11" x14ac:dyDescent="0.25">
      <c r="A3033" s="1">
        <v>3032</v>
      </c>
      <c r="B3033" s="1">
        <v>3</v>
      </c>
      <c r="C3033" s="3">
        <v>3115270360450</v>
      </c>
      <c r="D3033" s="2">
        <v>44584.652777777781</v>
      </c>
      <c r="E3033" s="2">
        <v>44584.895833333336</v>
      </c>
      <c r="F3033" s="23">
        <f t="shared" si="141"/>
        <v>0.24305555555474712</v>
      </c>
      <c r="G3033" s="24">
        <f t="shared" si="143"/>
        <v>51.428571428742487</v>
      </c>
      <c r="H3033" s="1" t="s">
        <v>1</v>
      </c>
      <c r="I3033" s="4" t="s">
        <v>2</v>
      </c>
      <c r="J3033" s="14">
        <v>0.65277777777777779</v>
      </c>
      <c r="K3033" s="20" t="str">
        <f t="shared" si="142"/>
        <v>2nd Shift</v>
      </c>
    </row>
    <row r="3034" spans="1:11" x14ac:dyDescent="0.25">
      <c r="A3034" s="1">
        <v>3033</v>
      </c>
      <c r="B3034" s="1">
        <v>3</v>
      </c>
      <c r="C3034" s="3">
        <v>3115270340400</v>
      </c>
      <c r="D3034" s="2">
        <v>44584.652777777781</v>
      </c>
      <c r="E3034" s="2">
        <v>44584.895833333336</v>
      </c>
      <c r="F3034" s="23">
        <f t="shared" si="141"/>
        <v>0.24305555555474712</v>
      </c>
      <c r="G3034" s="24">
        <f t="shared" si="143"/>
        <v>51.428571428742487</v>
      </c>
      <c r="H3034" s="1" t="s">
        <v>1</v>
      </c>
      <c r="I3034" s="4" t="s">
        <v>2</v>
      </c>
      <c r="J3034" s="14">
        <v>0.65277777777777779</v>
      </c>
      <c r="K3034" s="20" t="str">
        <f t="shared" si="142"/>
        <v>2nd Shift</v>
      </c>
    </row>
    <row r="3035" spans="1:11" x14ac:dyDescent="0.25">
      <c r="A3035" s="1">
        <v>3034</v>
      </c>
      <c r="B3035" s="1">
        <v>2</v>
      </c>
      <c r="C3035" s="3">
        <v>2115270222500</v>
      </c>
      <c r="D3035" s="2">
        <v>44584.652777777781</v>
      </c>
      <c r="E3035" s="2">
        <v>44584.895833333336</v>
      </c>
      <c r="F3035" s="23">
        <f t="shared" si="141"/>
        <v>0.24305555555474712</v>
      </c>
      <c r="G3035" s="24">
        <f t="shared" si="143"/>
        <v>51.428571428742487</v>
      </c>
      <c r="H3035" s="1" t="s">
        <v>1</v>
      </c>
      <c r="I3035" s="4" t="s">
        <v>3</v>
      </c>
      <c r="J3035" s="14">
        <v>0.65277777777777779</v>
      </c>
      <c r="K3035" s="20" t="str">
        <f t="shared" si="142"/>
        <v>2nd Shift</v>
      </c>
    </row>
    <row r="3036" spans="1:11" x14ac:dyDescent="0.25">
      <c r="A3036" s="1">
        <v>3035</v>
      </c>
      <c r="B3036" s="1">
        <v>14</v>
      </c>
      <c r="C3036" s="3">
        <v>14115271672412</v>
      </c>
      <c r="D3036" s="2">
        <v>44585.006944444445</v>
      </c>
      <c r="E3036" s="2">
        <v>44585.107638888891</v>
      </c>
      <c r="F3036" s="23">
        <f t="shared" si="141"/>
        <v>0.10069444444525288</v>
      </c>
      <c r="G3036" s="24">
        <f t="shared" si="143"/>
        <v>124.1379310334861</v>
      </c>
      <c r="H3036" s="1" t="s">
        <v>1</v>
      </c>
      <c r="I3036" s="4" t="s">
        <v>2</v>
      </c>
      <c r="J3036" s="14">
        <v>6.9444444444444441E-3</v>
      </c>
      <c r="K3036" s="20" t="str">
        <f t="shared" si="142"/>
        <v>3rd Shift</v>
      </c>
    </row>
    <row r="3037" spans="1:11" x14ac:dyDescent="0.25">
      <c r="A3037" s="1">
        <v>3036</v>
      </c>
      <c r="B3037" s="1">
        <v>6</v>
      </c>
      <c r="C3037" s="3">
        <v>6115271768300</v>
      </c>
      <c r="D3037" s="2">
        <v>44585.006944444445</v>
      </c>
      <c r="E3037" s="2">
        <v>44585.107638888891</v>
      </c>
      <c r="F3037" s="23">
        <f t="shared" si="141"/>
        <v>0.10069444444525288</v>
      </c>
      <c r="G3037" s="24">
        <f t="shared" si="143"/>
        <v>124.1379310334861</v>
      </c>
      <c r="H3037" s="1" t="s">
        <v>1</v>
      </c>
      <c r="I3037" s="4" t="s">
        <v>2</v>
      </c>
      <c r="J3037" s="14">
        <v>6.9444444444444441E-3</v>
      </c>
      <c r="K3037" s="20" t="str">
        <f t="shared" si="142"/>
        <v>3rd Shift</v>
      </c>
    </row>
    <row r="3038" spans="1:11" x14ac:dyDescent="0.25">
      <c r="A3038" s="1">
        <v>3037</v>
      </c>
      <c r="B3038" s="1">
        <v>1</v>
      </c>
      <c r="C3038" s="3">
        <v>1115270097900</v>
      </c>
      <c r="D3038" s="2">
        <v>44585.006944444445</v>
      </c>
      <c r="E3038" s="2">
        <v>44585.107638888891</v>
      </c>
      <c r="F3038" s="23">
        <f t="shared" si="141"/>
        <v>0.10069444444525288</v>
      </c>
      <c r="G3038" s="24">
        <f t="shared" si="143"/>
        <v>124.1379310334861</v>
      </c>
      <c r="H3038" s="1" t="s">
        <v>1</v>
      </c>
      <c r="I3038" s="4" t="s">
        <v>2</v>
      </c>
      <c r="J3038" s="14">
        <v>6.9444444444444441E-3</v>
      </c>
      <c r="K3038" s="20" t="str">
        <f t="shared" si="142"/>
        <v>3rd Shift</v>
      </c>
    </row>
    <row r="3039" spans="1:11" x14ac:dyDescent="0.25">
      <c r="A3039" s="1">
        <v>3038</v>
      </c>
      <c r="B3039" s="1">
        <v>13</v>
      </c>
      <c r="C3039" s="3">
        <v>13115271634400</v>
      </c>
      <c r="D3039" s="2">
        <v>44585.479166666664</v>
      </c>
      <c r="E3039" s="2">
        <v>44585.600694444445</v>
      </c>
      <c r="F3039" s="23">
        <f t="shared" si="141"/>
        <v>0.12152777778101154</v>
      </c>
      <c r="G3039" s="24">
        <f t="shared" si="143"/>
        <v>102.85714285440591</v>
      </c>
      <c r="H3039" s="1" t="s">
        <v>1</v>
      </c>
      <c r="I3039" s="4" t="s">
        <v>2</v>
      </c>
      <c r="J3039" s="14">
        <v>0.47916666666666669</v>
      </c>
      <c r="K3039" s="20" t="str">
        <f t="shared" si="142"/>
        <v>1st Shift</v>
      </c>
    </row>
    <row r="3040" spans="1:11" x14ac:dyDescent="0.25">
      <c r="A3040" s="1">
        <v>3039</v>
      </c>
      <c r="B3040" s="1">
        <v>11</v>
      </c>
      <c r="C3040" s="3">
        <v>11115271559602</v>
      </c>
      <c r="D3040" s="2">
        <v>44585.409722222219</v>
      </c>
      <c r="E3040" s="2">
        <v>44585.600694444445</v>
      </c>
      <c r="F3040" s="23">
        <f t="shared" si="141"/>
        <v>0.19097222222626442</v>
      </c>
      <c r="G3040" s="24">
        <f t="shared" si="143"/>
        <v>65.454545453160023</v>
      </c>
      <c r="H3040" s="1" t="s">
        <v>1</v>
      </c>
      <c r="I3040" s="4" t="s">
        <v>2</v>
      </c>
      <c r="J3040" s="14">
        <v>0.40972222222222221</v>
      </c>
      <c r="K3040" s="20" t="str">
        <f t="shared" si="142"/>
        <v>1st Shift</v>
      </c>
    </row>
    <row r="3041" spans="1:11" x14ac:dyDescent="0.25">
      <c r="A3041" s="1">
        <v>3040</v>
      </c>
      <c r="B3041" s="1">
        <v>10</v>
      </c>
      <c r="C3041" s="3">
        <v>10115271967100</v>
      </c>
      <c r="D3041" s="2">
        <v>44585.479166666664</v>
      </c>
      <c r="E3041" s="2">
        <v>44585.600694444445</v>
      </c>
      <c r="F3041" s="23">
        <f t="shared" si="141"/>
        <v>0.12152777778101154</v>
      </c>
      <c r="G3041" s="24">
        <f t="shared" si="143"/>
        <v>102.85714285440591</v>
      </c>
      <c r="H3041" s="1" t="s">
        <v>1</v>
      </c>
      <c r="I3041" s="4" t="s">
        <v>3</v>
      </c>
      <c r="J3041" s="14">
        <v>0.47916666666666669</v>
      </c>
      <c r="K3041" s="20" t="str">
        <f t="shared" si="142"/>
        <v>1st Shift</v>
      </c>
    </row>
    <row r="3042" spans="1:11" x14ac:dyDescent="0.25">
      <c r="A3042" s="1">
        <v>3041</v>
      </c>
      <c r="B3042" s="1">
        <v>8</v>
      </c>
      <c r="C3042" s="3">
        <v>8115271810102</v>
      </c>
      <c r="D3042" s="2">
        <v>44585.409722222219</v>
      </c>
      <c r="E3042" s="2">
        <v>44585.600694444445</v>
      </c>
      <c r="F3042" s="23">
        <f t="shared" si="141"/>
        <v>0.19097222222626442</v>
      </c>
      <c r="G3042" s="24">
        <f t="shared" si="143"/>
        <v>65.454545453160023</v>
      </c>
      <c r="H3042" s="1" t="s">
        <v>1</v>
      </c>
      <c r="I3042" s="4" t="s">
        <v>3</v>
      </c>
      <c r="J3042" s="14">
        <v>0.40972222222222221</v>
      </c>
      <c r="K3042" s="20" t="str">
        <f t="shared" si="142"/>
        <v>1st Shift</v>
      </c>
    </row>
    <row r="3043" spans="1:11" x14ac:dyDescent="0.25">
      <c r="A3043" s="1">
        <v>3042</v>
      </c>
      <c r="B3043" s="1">
        <v>6</v>
      </c>
      <c r="C3043" s="3">
        <v>6115271741303</v>
      </c>
      <c r="D3043" s="2">
        <v>44585.409722222219</v>
      </c>
      <c r="E3043" s="2">
        <v>44585.600694444445</v>
      </c>
      <c r="F3043" s="23">
        <f t="shared" si="141"/>
        <v>0.19097222222626442</v>
      </c>
      <c r="G3043" s="24">
        <f t="shared" si="143"/>
        <v>65.454545453160023</v>
      </c>
      <c r="H3043" s="1" t="s">
        <v>1</v>
      </c>
      <c r="I3043" s="4" t="s">
        <v>3</v>
      </c>
      <c r="J3043" s="14">
        <v>0.40972222222222221</v>
      </c>
      <c r="K3043" s="20" t="str">
        <f t="shared" si="142"/>
        <v>1st Shift</v>
      </c>
    </row>
    <row r="3044" spans="1:11" x14ac:dyDescent="0.25">
      <c r="A3044" s="1">
        <v>3043</v>
      </c>
      <c r="B3044" s="1">
        <v>3</v>
      </c>
      <c r="C3044" s="3">
        <v>3115270366902</v>
      </c>
      <c r="D3044" s="2">
        <v>44585.409722222219</v>
      </c>
      <c r="E3044" s="2">
        <v>44585.600694444445</v>
      </c>
      <c r="F3044" s="23">
        <f t="shared" si="141"/>
        <v>0.19097222222626442</v>
      </c>
      <c r="G3044" s="24">
        <f t="shared" si="143"/>
        <v>65.454545453160023</v>
      </c>
      <c r="H3044" s="1" t="s">
        <v>1</v>
      </c>
      <c r="I3044" s="4" t="s">
        <v>2</v>
      </c>
      <c r="J3044" s="14">
        <v>0.40972222222222221</v>
      </c>
      <c r="K3044" s="20" t="str">
        <f t="shared" si="142"/>
        <v>1st Shift</v>
      </c>
    </row>
    <row r="3045" spans="1:11" x14ac:dyDescent="0.25">
      <c r="A3045" s="1">
        <v>3044</v>
      </c>
      <c r="B3045" s="1">
        <v>3</v>
      </c>
      <c r="C3045" s="3">
        <v>3115270338700</v>
      </c>
      <c r="D3045" s="2">
        <v>44585.479166666664</v>
      </c>
      <c r="E3045" s="2">
        <v>44585.600694444445</v>
      </c>
      <c r="F3045" s="23">
        <f t="shared" si="141"/>
        <v>0.12152777778101154</v>
      </c>
      <c r="G3045" s="24">
        <f t="shared" si="143"/>
        <v>102.85714285440591</v>
      </c>
      <c r="H3045" s="1" t="s">
        <v>1</v>
      </c>
      <c r="I3045" s="4" t="s">
        <v>3</v>
      </c>
      <c r="J3045" s="14">
        <v>0.47916666666666669</v>
      </c>
      <c r="K3045" s="20" t="str">
        <f t="shared" si="142"/>
        <v>1st Shift</v>
      </c>
    </row>
    <row r="3046" spans="1:11" x14ac:dyDescent="0.25">
      <c r="A3046" s="1">
        <v>3045</v>
      </c>
      <c r="B3046" s="1">
        <v>15</v>
      </c>
      <c r="C3046" s="3">
        <v>15115271788410</v>
      </c>
      <c r="D3046" s="2">
        <v>44585.673611111109</v>
      </c>
      <c r="E3046" s="2">
        <v>44585.840277777781</v>
      </c>
      <c r="F3046" s="23">
        <f t="shared" si="141"/>
        <v>0.16666666667151731</v>
      </c>
      <c r="G3046" s="24">
        <f t="shared" si="143"/>
        <v>74.999999997817213</v>
      </c>
      <c r="H3046" s="1" t="s">
        <v>1</v>
      </c>
      <c r="I3046" s="4" t="s">
        <v>3</v>
      </c>
      <c r="J3046" s="14">
        <v>0.67361111111111116</v>
      </c>
      <c r="K3046" s="20" t="str">
        <f t="shared" si="142"/>
        <v>2nd Shift</v>
      </c>
    </row>
    <row r="3047" spans="1:11" x14ac:dyDescent="0.25">
      <c r="A3047" s="1">
        <v>3046</v>
      </c>
      <c r="B3047" s="1">
        <v>14</v>
      </c>
      <c r="C3047" s="3">
        <v>14115271675184</v>
      </c>
      <c r="D3047" s="2">
        <v>44585.65625</v>
      </c>
      <c r="E3047" s="2">
        <v>44585.840277777781</v>
      </c>
      <c r="F3047" s="23">
        <f t="shared" si="141"/>
        <v>0.18402777778101154</v>
      </c>
      <c r="G3047" s="24">
        <f t="shared" si="143"/>
        <v>67.924528300693211</v>
      </c>
      <c r="H3047" s="1" t="s">
        <v>1</v>
      </c>
      <c r="I3047" s="4" t="s">
        <v>2</v>
      </c>
      <c r="J3047" s="14">
        <v>0.65625</v>
      </c>
      <c r="K3047" s="20" t="str">
        <f t="shared" si="142"/>
        <v>2nd Shift</v>
      </c>
    </row>
    <row r="3048" spans="1:11" x14ac:dyDescent="0.25">
      <c r="A3048" s="1">
        <v>3047</v>
      </c>
      <c r="B3048" s="1">
        <v>13</v>
      </c>
      <c r="C3048" s="3">
        <v>13115271590508</v>
      </c>
      <c r="D3048" s="2">
        <v>44585.65625</v>
      </c>
      <c r="E3048" s="2">
        <v>44585.840277777781</v>
      </c>
      <c r="F3048" s="23">
        <f t="shared" si="141"/>
        <v>0.18402777778101154</v>
      </c>
      <c r="G3048" s="24">
        <f t="shared" si="143"/>
        <v>67.924528300693211</v>
      </c>
      <c r="H3048" s="1" t="s">
        <v>1</v>
      </c>
      <c r="I3048" s="4" t="s">
        <v>2</v>
      </c>
      <c r="J3048" s="14">
        <v>0.65625</v>
      </c>
      <c r="K3048" s="20" t="str">
        <f t="shared" si="142"/>
        <v>2nd Shift</v>
      </c>
    </row>
    <row r="3049" spans="1:11" x14ac:dyDescent="0.25">
      <c r="A3049" s="1">
        <v>3048</v>
      </c>
      <c r="B3049" s="1">
        <v>12</v>
      </c>
      <c r="C3049" s="3">
        <v>12115271561705</v>
      </c>
      <c r="D3049" s="2">
        <v>44585.65625</v>
      </c>
      <c r="E3049" s="2">
        <v>44585.840277777781</v>
      </c>
      <c r="F3049" s="23">
        <f t="shared" si="141"/>
        <v>0.18402777778101154</v>
      </c>
      <c r="G3049" s="24">
        <f t="shared" si="143"/>
        <v>67.924528300693211</v>
      </c>
      <c r="H3049" s="1" t="s">
        <v>1</v>
      </c>
      <c r="I3049" s="4" t="s">
        <v>2</v>
      </c>
      <c r="J3049" s="14">
        <v>0.65625</v>
      </c>
      <c r="K3049" s="20" t="str">
        <f t="shared" si="142"/>
        <v>2nd Shift</v>
      </c>
    </row>
    <row r="3050" spans="1:11" x14ac:dyDescent="0.25">
      <c r="A3050" s="1">
        <v>3049</v>
      </c>
      <c r="B3050" s="1">
        <v>9</v>
      </c>
      <c r="C3050" s="3">
        <v>9115271948300</v>
      </c>
      <c r="D3050" s="2">
        <v>44585.65625</v>
      </c>
      <c r="E3050" s="2">
        <v>44585.840277777781</v>
      </c>
      <c r="F3050" s="23">
        <f t="shared" si="141"/>
        <v>0.18402777778101154</v>
      </c>
      <c r="G3050" s="24">
        <f t="shared" si="143"/>
        <v>67.924528300693211</v>
      </c>
      <c r="H3050" s="1" t="s">
        <v>1</v>
      </c>
      <c r="I3050" s="4" t="s">
        <v>2</v>
      </c>
      <c r="J3050" s="14">
        <v>0.65625</v>
      </c>
      <c r="K3050" s="20" t="str">
        <f t="shared" si="142"/>
        <v>2nd Shift</v>
      </c>
    </row>
    <row r="3051" spans="1:11" x14ac:dyDescent="0.25">
      <c r="A3051" s="1">
        <v>3050</v>
      </c>
      <c r="B3051" s="1">
        <v>9</v>
      </c>
      <c r="C3051" s="3">
        <v>9115271897808</v>
      </c>
      <c r="D3051" s="2">
        <v>44585.729166666664</v>
      </c>
      <c r="E3051" s="2">
        <v>44585.840277777781</v>
      </c>
      <c r="F3051" s="23">
        <f t="shared" si="141"/>
        <v>0.11111111111677019</v>
      </c>
      <c r="G3051" s="24">
        <f t="shared" si="143"/>
        <v>112.49999999427018</v>
      </c>
      <c r="H3051" s="1" t="s">
        <v>1</v>
      </c>
      <c r="I3051" s="4" t="s">
        <v>2</v>
      </c>
      <c r="J3051" s="14">
        <v>0.72916666666666663</v>
      </c>
      <c r="K3051" s="20" t="str">
        <f t="shared" si="142"/>
        <v>2nd Shift</v>
      </c>
    </row>
    <row r="3052" spans="1:11" x14ac:dyDescent="0.25">
      <c r="A3052" s="1">
        <v>3051</v>
      </c>
      <c r="B3052" s="1">
        <v>7</v>
      </c>
      <c r="C3052" s="3">
        <v>7115271793300</v>
      </c>
      <c r="D3052" s="2">
        <v>44585.65625</v>
      </c>
      <c r="E3052" s="2">
        <v>44585.840277777781</v>
      </c>
      <c r="F3052" s="23">
        <f t="shared" si="141"/>
        <v>0.18402777778101154</v>
      </c>
      <c r="G3052" s="24">
        <f t="shared" si="143"/>
        <v>67.924528300693211</v>
      </c>
      <c r="H3052" s="1" t="s">
        <v>1</v>
      </c>
      <c r="I3052" s="4" t="s">
        <v>3</v>
      </c>
      <c r="J3052" s="14">
        <v>0.65625</v>
      </c>
      <c r="K3052" s="20" t="str">
        <f t="shared" si="142"/>
        <v>2nd Shift</v>
      </c>
    </row>
    <row r="3053" spans="1:11" x14ac:dyDescent="0.25">
      <c r="A3053" s="1">
        <v>3052</v>
      </c>
      <c r="B3053" s="1">
        <v>7</v>
      </c>
      <c r="C3053" s="3">
        <v>7115271783100</v>
      </c>
      <c r="D3053" s="2">
        <v>44585.65625</v>
      </c>
      <c r="E3053" s="2">
        <v>44585.840277777781</v>
      </c>
      <c r="F3053" s="23">
        <f t="shared" si="141"/>
        <v>0.18402777778101154</v>
      </c>
      <c r="G3053" s="24">
        <f t="shared" si="143"/>
        <v>67.924528300693211</v>
      </c>
      <c r="H3053" s="1" t="s">
        <v>1</v>
      </c>
      <c r="I3053" s="4" t="s">
        <v>3</v>
      </c>
      <c r="J3053" s="14">
        <v>0.65625</v>
      </c>
      <c r="K3053" s="20" t="str">
        <f t="shared" si="142"/>
        <v>2nd Shift</v>
      </c>
    </row>
    <row r="3054" spans="1:11" x14ac:dyDescent="0.25">
      <c r="A3054" s="1">
        <v>3053</v>
      </c>
      <c r="B3054" s="1">
        <v>4</v>
      </c>
      <c r="C3054" s="3">
        <v>4115270826901</v>
      </c>
      <c r="D3054" s="2">
        <v>44585.65625</v>
      </c>
      <c r="E3054" s="2">
        <v>44585.840277777781</v>
      </c>
      <c r="F3054" s="23">
        <f t="shared" si="141"/>
        <v>0.18402777778101154</v>
      </c>
      <c r="G3054" s="24">
        <f t="shared" si="143"/>
        <v>67.924528300693211</v>
      </c>
      <c r="H3054" s="1" t="s">
        <v>1</v>
      </c>
      <c r="I3054" s="4" t="s">
        <v>4</v>
      </c>
      <c r="J3054" s="14">
        <v>0.65625</v>
      </c>
      <c r="K3054" s="20" t="str">
        <f t="shared" si="142"/>
        <v>2nd Shift</v>
      </c>
    </row>
    <row r="3055" spans="1:11" x14ac:dyDescent="0.25">
      <c r="A3055" s="1">
        <v>3054</v>
      </c>
      <c r="B3055" s="1">
        <v>2</v>
      </c>
      <c r="C3055" s="3">
        <v>2115270279400</v>
      </c>
      <c r="D3055" s="2">
        <v>44585.65625</v>
      </c>
      <c r="E3055" s="2">
        <v>44585.840277777781</v>
      </c>
      <c r="F3055" s="23">
        <f t="shared" si="141"/>
        <v>0.18402777778101154</v>
      </c>
      <c r="G3055" s="24">
        <f t="shared" si="143"/>
        <v>67.924528300693211</v>
      </c>
      <c r="H3055" s="1" t="s">
        <v>1</v>
      </c>
      <c r="I3055" s="4" t="s">
        <v>2</v>
      </c>
      <c r="J3055" s="14">
        <v>0.65625</v>
      </c>
      <c r="K3055" s="20" t="str">
        <f t="shared" si="142"/>
        <v>2nd Shift</v>
      </c>
    </row>
    <row r="3056" spans="1:11" x14ac:dyDescent="0.25">
      <c r="A3056" s="1">
        <v>3055</v>
      </c>
      <c r="B3056" s="1">
        <v>1</v>
      </c>
      <c r="C3056" s="3">
        <v>1115270019200</v>
      </c>
      <c r="D3056" s="2">
        <v>44585.78125</v>
      </c>
      <c r="E3056" s="2">
        <v>44585.840277777781</v>
      </c>
      <c r="F3056" s="23">
        <f t="shared" si="141"/>
        <v>5.9027777781011537E-2</v>
      </c>
      <c r="G3056" s="24">
        <f t="shared" si="143"/>
        <v>211.7647058707517</v>
      </c>
      <c r="H3056" s="1" t="s">
        <v>1</v>
      </c>
      <c r="I3056" s="4" t="s">
        <v>2</v>
      </c>
      <c r="J3056" s="14">
        <v>0.78125</v>
      </c>
      <c r="K3056" s="20" t="str">
        <f t="shared" si="142"/>
        <v>2nd Shift</v>
      </c>
    </row>
    <row r="3057" spans="1:11" x14ac:dyDescent="0.25">
      <c r="A3057" s="1">
        <v>3056</v>
      </c>
      <c r="B3057" s="1">
        <v>13</v>
      </c>
      <c r="C3057" s="3">
        <v>13115271590401</v>
      </c>
      <c r="D3057" s="2">
        <v>44585.96875</v>
      </c>
      <c r="E3057" s="2">
        <v>44586.006944444445</v>
      </c>
      <c r="F3057" s="23">
        <f t="shared" si="141"/>
        <v>3.8194444445252884E-2</v>
      </c>
      <c r="G3057" s="24">
        <f t="shared" si="143"/>
        <v>327.27272726580009</v>
      </c>
      <c r="H3057" s="1" t="s">
        <v>1</v>
      </c>
      <c r="I3057" s="4" t="s">
        <v>2</v>
      </c>
      <c r="J3057" s="14">
        <v>0.96875</v>
      </c>
      <c r="K3057" s="20" t="str">
        <f t="shared" si="142"/>
        <v>3rd Shift</v>
      </c>
    </row>
    <row r="3058" spans="1:11" x14ac:dyDescent="0.25">
      <c r="A3058" s="1">
        <v>3057</v>
      </c>
      <c r="B3058" s="1">
        <v>10</v>
      </c>
      <c r="C3058" s="3">
        <v>10115271964600</v>
      </c>
      <c r="D3058" s="2">
        <v>44585.96875</v>
      </c>
      <c r="E3058" s="2">
        <v>44586.006944444445</v>
      </c>
      <c r="F3058" s="23">
        <f t="shared" si="141"/>
        <v>3.8194444445252884E-2</v>
      </c>
      <c r="G3058" s="24">
        <f t="shared" si="143"/>
        <v>327.27272726580009</v>
      </c>
      <c r="H3058" s="1" t="s">
        <v>1</v>
      </c>
      <c r="I3058" s="4" t="s">
        <v>2</v>
      </c>
      <c r="J3058" s="14">
        <v>0.96875</v>
      </c>
      <c r="K3058" s="20" t="str">
        <f t="shared" si="142"/>
        <v>3rd Shift</v>
      </c>
    </row>
    <row r="3059" spans="1:11" x14ac:dyDescent="0.25">
      <c r="A3059" s="1">
        <v>3058</v>
      </c>
      <c r="B3059" s="1">
        <v>12</v>
      </c>
      <c r="C3059" s="3">
        <v>12115271567353</v>
      </c>
      <c r="D3059" s="2">
        <v>44586.041666666664</v>
      </c>
      <c r="E3059" s="2">
        <v>44586.159722222219</v>
      </c>
      <c r="F3059" s="23">
        <f t="shared" si="141"/>
        <v>0.11805555555474712</v>
      </c>
      <c r="G3059" s="24">
        <f t="shared" si="143"/>
        <v>105.88235294190156</v>
      </c>
      <c r="H3059" s="1" t="s">
        <v>1</v>
      </c>
      <c r="I3059" s="4" t="s">
        <v>3</v>
      </c>
      <c r="J3059" s="14">
        <v>4.1666666666666664E-2</v>
      </c>
      <c r="K3059" s="20" t="str">
        <f t="shared" si="142"/>
        <v>3rd Shift</v>
      </c>
    </row>
    <row r="3060" spans="1:11" x14ac:dyDescent="0.25">
      <c r="A3060" s="1">
        <v>3059</v>
      </c>
      <c r="B3060" s="1">
        <v>7</v>
      </c>
      <c r="C3060" s="3">
        <v>7115271787212</v>
      </c>
      <c r="D3060" s="2">
        <v>44586.069444444445</v>
      </c>
      <c r="E3060" s="2">
        <v>44586.159722222219</v>
      </c>
      <c r="F3060" s="23">
        <f t="shared" si="141"/>
        <v>9.0277777773735579E-2</v>
      </c>
      <c r="G3060" s="24">
        <f t="shared" si="143"/>
        <v>138.46153846773811</v>
      </c>
      <c r="H3060" s="1" t="s">
        <v>1</v>
      </c>
      <c r="I3060" s="4" t="s">
        <v>3</v>
      </c>
      <c r="J3060" s="14">
        <v>6.9444444444444448E-2</v>
      </c>
      <c r="K3060" s="20" t="str">
        <f t="shared" si="142"/>
        <v>3rd Shift</v>
      </c>
    </row>
    <row r="3061" spans="1:11" x14ac:dyDescent="0.25">
      <c r="A3061" s="1">
        <v>3060</v>
      </c>
      <c r="B3061" s="1">
        <v>6</v>
      </c>
      <c r="C3061" s="3">
        <v>6115271746800</v>
      </c>
      <c r="D3061" s="2">
        <v>44586.041666666664</v>
      </c>
      <c r="E3061" s="2">
        <v>44586.159722222219</v>
      </c>
      <c r="F3061" s="23">
        <f t="shared" si="141"/>
        <v>0.11805555555474712</v>
      </c>
      <c r="G3061" s="24">
        <f t="shared" si="143"/>
        <v>105.88235294190156</v>
      </c>
      <c r="H3061" s="1" t="s">
        <v>1</v>
      </c>
      <c r="I3061" s="4" t="s">
        <v>2</v>
      </c>
      <c r="J3061" s="14">
        <v>4.1666666666666664E-2</v>
      </c>
      <c r="K3061" s="20" t="str">
        <f t="shared" si="142"/>
        <v>3rd Shift</v>
      </c>
    </row>
    <row r="3062" spans="1:11" x14ac:dyDescent="0.25">
      <c r="A3062" s="1">
        <v>3061</v>
      </c>
      <c r="B3062" s="1">
        <v>7</v>
      </c>
      <c r="C3062" s="3">
        <v>7115271787400</v>
      </c>
      <c r="D3062" s="2">
        <v>44586.385416666664</v>
      </c>
      <c r="E3062" s="2">
        <v>44586.569444444445</v>
      </c>
      <c r="F3062" s="23">
        <f t="shared" si="141"/>
        <v>0.18402777778101154</v>
      </c>
      <c r="G3062" s="24">
        <f t="shared" si="143"/>
        <v>67.924528300693211</v>
      </c>
      <c r="H3062" s="1" t="s">
        <v>1</v>
      </c>
      <c r="I3062" s="4" t="s">
        <v>2</v>
      </c>
      <c r="J3062" s="14">
        <v>0.38541666666666669</v>
      </c>
      <c r="K3062" s="20" t="str">
        <f t="shared" si="142"/>
        <v>1st Shift</v>
      </c>
    </row>
    <row r="3063" spans="1:11" x14ac:dyDescent="0.25">
      <c r="A3063" s="1">
        <v>3062</v>
      </c>
      <c r="B3063" s="1">
        <v>5</v>
      </c>
      <c r="C3063" s="3">
        <v>5115271239302</v>
      </c>
      <c r="D3063" s="2">
        <v>44586.395833333336</v>
      </c>
      <c r="E3063" s="2">
        <v>44586.569444444445</v>
      </c>
      <c r="F3063" s="23">
        <f t="shared" si="141"/>
        <v>0.17361111110949423</v>
      </c>
      <c r="G3063" s="24">
        <f t="shared" si="143"/>
        <v>72.000000000670553</v>
      </c>
      <c r="H3063" s="1" t="s">
        <v>1</v>
      </c>
      <c r="I3063" s="4" t="s">
        <v>3</v>
      </c>
      <c r="J3063" s="14">
        <v>0.39583333333333331</v>
      </c>
      <c r="K3063" s="20" t="str">
        <f t="shared" si="142"/>
        <v>1st Shift</v>
      </c>
    </row>
    <row r="3064" spans="1:11" x14ac:dyDescent="0.25">
      <c r="A3064" s="1">
        <v>3063</v>
      </c>
      <c r="B3064" s="1">
        <v>3</v>
      </c>
      <c r="C3064" s="3">
        <v>3115270366904</v>
      </c>
      <c r="D3064" s="2">
        <v>44586.631944444445</v>
      </c>
      <c r="E3064" s="2">
        <v>44586.666666666664</v>
      </c>
      <c r="F3064" s="23">
        <f t="shared" si="141"/>
        <v>3.4722222218988463E-2</v>
      </c>
      <c r="G3064" s="24">
        <f t="shared" si="143"/>
        <v>360.00000003352761</v>
      </c>
      <c r="H3064" s="1" t="s">
        <v>1</v>
      </c>
      <c r="I3064" s="4" t="s">
        <v>3</v>
      </c>
      <c r="J3064" s="14">
        <v>0.63194444444444442</v>
      </c>
      <c r="K3064" s="20" t="str">
        <f t="shared" si="142"/>
        <v>2nd Shift</v>
      </c>
    </row>
    <row r="3065" spans="1:11" x14ac:dyDescent="0.25">
      <c r="A3065" s="1">
        <v>3064</v>
      </c>
      <c r="B3065" s="1">
        <v>4</v>
      </c>
      <c r="C3065" s="3">
        <v>4115270826800</v>
      </c>
      <c r="D3065" s="2">
        <v>44586.385416666664</v>
      </c>
      <c r="E3065" s="2">
        <v>44586.694444444445</v>
      </c>
      <c r="F3065" s="23">
        <f t="shared" si="141"/>
        <v>0.30902777778101154</v>
      </c>
      <c r="G3065" s="24">
        <f t="shared" si="143"/>
        <v>40.449438201823916</v>
      </c>
      <c r="H3065" s="1" t="s">
        <v>1</v>
      </c>
      <c r="I3065" s="4" t="s">
        <v>3</v>
      </c>
      <c r="J3065" s="14">
        <v>0.38541666666666669</v>
      </c>
      <c r="K3065" s="20" t="str">
        <f t="shared" si="142"/>
        <v>1st Shift</v>
      </c>
    </row>
    <row r="3066" spans="1:11" x14ac:dyDescent="0.25">
      <c r="A3066" s="1">
        <v>3065</v>
      </c>
      <c r="B3066" s="1">
        <v>12</v>
      </c>
      <c r="C3066" s="3">
        <v>12115271560118</v>
      </c>
      <c r="D3066" s="2">
        <v>44587.4375</v>
      </c>
      <c r="E3066" s="2">
        <v>44587.638888888891</v>
      </c>
      <c r="F3066" s="23">
        <f t="shared" si="141"/>
        <v>0.20138888889050577</v>
      </c>
      <c r="G3066" s="24">
        <f t="shared" si="143"/>
        <v>62.068965516743049</v>
      </c>
      <c r="H3066" s="1" t="s">
        <v>1</v>
      </c>
      <c r="I3066" s="4" t="s">
        <v>2</v>
      </c>
      <c r="J3066" s="14">
        <v>0.4375</v>
      </c>
      <c r="K3066" s="20" t="str">
        <f t="shared" si="142"/>
        <v>1st Shift</v>
      </c>
    </row>
    <row r="3067" spans="1:11" x14ac:dyDescent="0.25">
      <c r="A3067" s="1">
        <v>3066</v>
      </c>
      <c r="B3067" s="1">
        <v>10</v>
      </c>
      <c r="C3067" s="3">
        <v>10115271959100</v>
      </c>
      <c r="D3067" s="2">
        <v>44587.4375</v>
      </c>
      <c r="E3067" s="2">
        <v>44587.638888888891</v>
      </c>
      <c r="F3067" s="23">
        <f t="shared" si="141"/>
        <v>0.20138888889050577</v>
      </c>
      <c r="G3067" s="24">
        <f t="shared" si="143"/>
        <v>62.068965516743049</v>
      </c>
      <c r="H3067" s="1" t="s">
        <v>1</v>
      </c>
      <c r="I3067" s="4" t="s">
        <v>3</v>
      </c>
      <c r="J3067" s="14">
        <v>0.4375</v>
      </c>
      <c r="K3067" s="20" t="str">
        <f t="shared" si="142"/>
        <v>1st Shift</v>
      </c>
    </row>
    <row r="3068" spans="1:11" x14ac:dyDescent="0.25">
      <c r="A3068" s="1">
        <v>3067</v>
      </c>
      <c r="B3068" s="1">
        <v>8</v>
      </c>
      <c r="C3068" s="3">
        <v>8115271839300</v>
      </c>
      <c r="D3068" s="2">
        <v>44587.4375</v>
      </c>
      <c r="E3068" s="2">
        <v>44587.638888888891</v>
      </c>
      <c r="F3068" s="23">
        <f t="shared" si="141"/>
        <v>0.20138888889050577</v>
      </c>
      <c r="G3068" s="24">
        <f t="shared" si="143"/>
        <v>62.068965516743049</v>
      </c>
      <c r="H3068" s="1" t="s">
        <v>1</v>
      </c>
      <c r="I3068" s="4" t="s">
        <v>2</v>
      </c>
      <c r="J3068" s="14">
        <v>0.4375</v>
      </c>
      <c r="K3068" s="20" t="str">
        <f t="shared" si="142"/>
        <v>1st Shift</v>
      </c>
    </row>
    <row r="3069" spans="1:11" x14ac:dyDescent="0.25">
      <c r="A3069" s="1">
        <v>3068</v>
      </c>
      <c r="B3069" s="1">
        <v>7</v>
      </c>
      <c r="C3069" s="3">
        <v>7115271768104</v>
      </c>
      <c r="D3069" s="2">
        <v>44587.4375</v>
      </c>
      <c r="E3069" s="2">
        <v>44587.638888888891</v>
      </c>
      <c r="F3069" s="23">
        <f t="shared" si="141"/>
        <v>0.20138888889050577</v>
      </c>
      <c r="G3069" s="24">
        <f t="shared" si="143"/>
        <v>62.068965516743049</v>
      </c>
      <c r="H3069" s="1" t="s">
        <v>1</v>
      </c>
      <c r="I3069" s="4" t="s">
        <v>3</v>
      </c>
      <c r="J3069" s="14">
        <v>0.4375</v>
      </c>
      <c r="K3069" s="20" t="str">
        <f t="shared" si="142"/>
        <v>1st Shift</v>
      </c>
    </row>
    <row r="3070" spans="1:11" x14ac:dyDescent="0.25">
      <c r="A3070" s="1">
        <v>3069</v>
      </c>
      <c r="B3070" s="1">
        <v>3</v>
      </c>
      <c r="C3070" s="3">
        <v>3115270421700</v>
      </c>
      <c r="D3070" s="2">
        <v>44587.4375</v>
      </c>
      <c r="E3070" s="2">
        <v>44587.638888888891</v>
      </c>
      <c r="F3070" s="23">
        <f t="shared" si="141"/>
        <v>0.20138888889050577</v>
      </c>
      <c r="G3070" s="24">
        <f t="shared" si="143"/>
        <v>62.068965516743049</v>
      </c>
      <c r="H3070" s="1" t="s">
        <v>1</v>
      </c>
      <c r="I3070" s="4" t="s">
        <v>3</v>
      </c>
      <c r="J3070" s="14">
        <v>0.4375</v>
      </c>
      <c r="K3070" s="20" t="str">
        <f t="shared" si="142"/>
        <v>1st Shift</v>
      </c>
    </row>
    <row r="3071" spans="1:11" x14ac:dyDescent="0.25">
      <c r="A3071" s="1">
        <v>3070</v>
      </c>
      <c r="B3071" s="1">
        <v>7</v>
      </c>
      <c r="C3071" s="3">
        <v>7115271768106</v>
      </c>
      <c r="D3071" s="2">
        <v>44587.652777777781</v>
      </c>
      <c r="E3071" s="2">
        <v>44587.763888888891</v>
      </c>
      <c r="F3071" s="23">
        <f t="shared" si="141"/>
        <v>0.11111111110949423</v>
      </c>
      <c r="G3071" s="24">
        <f t="shared" si="143"/>
        <v>112.50000000163709</v>
      </c>
      <c r="H3071" s="1" t="s">
        <v>1</v>
      </c>
      <c r="I3071" s="4" t="s">
        <v>3</v>
      </c>
      <c r="J3071" s="14">
        <v>0.65277777777777779</v>
      </c>
      <c r="K3071" s="20" t="str">
        <f t="shared" si="142"/>
        <v>2nd Shift</v>
      </c>
    </row>
    <row r="3072" spans="1:11" x14ac:dyDescent="0.25">
      <c r="A3072" s="1">
        <v>3071</v>
      </c>
      <c r="B3072" s="1">
        <v>3</v>
      </c>
      <c r="C3072" s="3">
        <v>3115270308700</v>
      </c>
      <c r="D3072" s="2">
        <v>44587.652777777781</v>
      </c>
      <c r="E3072" s="2">
        <v>44587.763888888891</v>
      </c>
      <c r="F3072" s="23">
        <f t="shared" si="141"/>
        <v>0.11111111110949423</v>
      </c>
      <c r="G3072" s="24">
        <f t="shared" si="143"/>
        <v>112.50000000163709</v>
      </c>
      <c r="H3072" s="1" t="s">
        <v>1</v>
      </c>
      <c r="I3072" s="4" t="s">
        <v>3</v>
      </c>
      <c r="J3072" s="14">
        <v>0.65277777777777779</v>
      </c>
      <c r="K3072" s="20" t="str">
        <f t="shared" si="142"/>
        <v>2nd Shift</v>
      </c>
    </row>
    <row r="3073" spans="1:11" x14ac:dyDescent="0.25">
      <c r="A3073" s="1">
        <v>3072</v>
      </c>
      <c r="B3073" s="1">
        <v>2</v>
      </c>
      <c r="C3073" s="3">
        <v>2115270274600</v>
      </c>
      <c r="D3073" s="2">
        <v>44587.652777777781</v>
      </c>
      <c r="E3073" s="2">
        <v>44587.763888888891</v>
      </c>
      <c r="F3073" s="23">
        <f t="shared" si="141"/>
        <v>0.11111111110949423</v>
      </c>
      <c r="G3073" s="24">
        <f t="shared" si="143"/>
        <v>112.50000000163709</v>
      </c>
      <c r="H3073" s="1" t="s">
        <v>1</v>
      </c>
      <c r="I3073" s="4" t="s">
        <v>2</v>
      </c>
      <c r="J3073" s="14">
        <v>0.65277777777777779</v>
      </c>
      <c r="K3073" s="20" t="str">
        <f t="shared" si="142"/>
        <v>2nd Shift</v>
      </c>
    </row>
    <row r="3074" spans="1:11" x14ac:dyDescent="0.25">
      <c r="A3074" s="1">
        <v>3073</v>
      </c>
      <c r="B3074" s="1">
        <v>14</v>
      </c>
      <c r="C3074" s="3">
        <v>14115271672502</v>
      </c>
      <c r="D3074" s="2">
        <v>44587.770833333336</v>
      </c>
      <c r="E3074" s="2">
        <v>44587.913194444445</v>
      </c>
      <c r="F3074" s="23">
        <f t="shared" ref="F3074:F3137" si="144">E3074-D3074</f>
        <v>0.14236111110949423</v>
      </c>
      <c r="G3074" s="24">
        <f t="shared" si="143"/>
        <v>87.804878049777741</v>
      </c>
      <c r="H3074" s="1" t="s">
        <v>1</v>
      </c>
      <c r="I3074" s="4" t="s">
        <v>2</v>
      </c>
      <c r="J3074" s="14">
        <v>0.77083333333333337</v>
      </c>
      <c r="K3074" s="20" t="str">
        <f t="shared" ref="K3074:K3137" si="145">IF(AND(J3074&gt;=$M$3,J3074&lt;$M$4),"1st Shift",IF(AND(J3074&gt;=$M$4,J3074&lt;$M$5),"2nd Shift","3rd Shift"))</f>
        <v>2nd Shift</v>
      </c>
    </row>
    <row r="3075" spans="1:11" x14ac:dyDescent="0.25">
      <c r="A3075" s="1">
        <v>3074</v>
      </c>
      <c r="B3075" s="1">
        <v>13</v>
      </c>
      <c r="C3075" s="3">
        <v>13115271617700</v>
      </c>
      <c r="D3075" s="2">
        <v>44587.770833333336</v>
      </c>
      <c r="E3075" s="2">
        <v>44587.913194444445</v>
      </c>
      <c r="F3075" s="23">
        <f t="shared" si="144"/>
        <v>0.14236111110949423</v>
      </c>
      <c r="G3075" s="24">
        <f t="shared" ref="G3075:G3138" si="146">$M$9/F3075*100</f>
        <v>87.804878049777741</v>
      </c>
      <c r="H3075" s="1" t="s">
        <v>1</v>
      </c>
      <c r="I3075" s="4" t="s">
        <v>3</v>
      </c>
      <c r="J3075" s="14">
        <v>0.77083333333333337</v>
      </c>
      <c r="K3075" s="20" t="str">
        <f t="shared" si="145"/>
        <v>2nd Shift</v>
      </c>
    </row>
    <row r="3076" spans="1:11" x14ac:dyDescent="0.25">
      <c r="A3076" s="1">
        <v>3075</v>
      </c>
      <c r="B3076" s="1">
        <v>12</v>
      </c>
      <c r="C3076" s="3">
        <v>12115271581914</v>
      </c>
      <c r="D3076" s="2">
        <v>44587.770833333336</v>
      </c>
      <c r="E3076" s="2">
        <v>44587.913194444445</v>
      </c>
      <c r="F3076" s="23">
        <f t="shared" si="144"/>
        <v>0.14236111110949423</v>
      </c>
      <c r="G3076" s="24">
        <f t="shared" si="146"/>
        <v>87.804878049777741</v>
      </c>
      <c r="H3076" s="1" t="s">
        <v>1</v>
      </c>
      <c r="I3076" s="4" t="s">
        <v>3</v>
      </c>
      <c r="J3076" s="14">
        <v>0.77083333333333337</v>
      </c>
      <c r="K3076" s="20" t="str">
        <f t="shared" si="145"/>
        <v>2nd Shift</v>
      </c>
    </row>
    <row r="3077" spans="1:11" x14ac:dyDescent="0.25">
      <c r="A3077" s="1">
        <v>3076</v>
      </c>
      <c r="B3077" s="1">
        <v>4</v>
      </c>
      <c r="C3077" s="3">
        <v>4115270868706</v>
      </c>
      <c r="D3077" s="2">
        <v>44587.770833333336</v>
      </c>
      <c r="E3077" s="2">
        <v>44587.913194444445</v>
      </c>
      <c r="F3077" s="23">
        <f t="shared" si="144"/>
        <v>0.14236111110949423</v>
      </c>
      <c r="G3077" s="24">
        <f t="shared" si="146"/>
        <v>87.804878049777741</v>
      </c>
      <c r="H3077" s="1" t="s">
        <v>1</v>
      </c>
      <c r="I3077" s="4" t="s">
        <v>3</v>
      </c>
      <c r="J3077" s="14">
        <v>0.77083333333333337</v>
      </c>
      <c r="K3077" s="20" t="str">
        <f t="shared" si="145"/>
        <v>2nd Shift</v>
      </c>
    </row>
    <row r="3078" spans="1:11" x14ac:dyDescent="0.25">
      <c r="A3078" s="1">
        <v>3077</v>
      </c>
      <c r="B3078" s="1">
        <v>6</v>
      </c>
      <c r="C3078" s="3">
        <v>6115271733700</v>
      </c>
      <c r="D3078" s="2">
        <v>44587.947916666664</v>
      </c>
      <c r="E3078" s="2">
        <v>44588.055555555555</v>
      </c>
      <c r="F3078" s="23">
        <f t="shared" si="144"/>
        <v>0.10763888889050577</v>
      </c>
      <c r="G3078" s="24">
        <f t="shared" si="146"/>
        <v>116.1290322563201</v>
      </c>
      <c r="H3078" s="1" t="s">
        <v>1</v>
      </c>
      <c r="I3078" s="4" t="s">
        <v>2</v>
      </c>
      <c r="J3078" s="14">
        <v>0.94791666666666663</v>
      </c>
      <c r="K3078" s="20" t="str">
        <f t="shared" si="145"/>
        <v>3rd Shift</v>
      </c>
    </row>
    <row r="3079" spans="1:11" x14ac:dyDescent="0.25">
      <c r="A3079" s="1">
        <v>3078</v>
      </c>
      <c r="B3079" s="1">
        <v>14</v>
      </c>
      <c r="C3079" s="3">
        <v>14115271673111</v>
      </c>
      <c r="D3079" s="2">
        <v>44588.434027777781</v>
      </c>
      <c r="E3079" s="2">
        <v>44588.541666666664</v>
      </c>
      <c r="F3079" s="23">
        <f t="shared" si="144"/>
        <v>0.10763888888322981</v>
      </c>
      <c r="G3079" s="24">
        <f t="shared" si="146"/>
        <v>116.12903226416995</v>
      </c>
      <c r="H3079" s="1" t="s">
        <v>1</v>
      </c>
      <c r="I3079" s="4" t="s">
        <v>2</v>
      </c>
      <c r="J3079" s="14">
        <v>0.43402777777777779</v>
      </c>
      <c r="K3079" s="20" t="str">
        <f t="shared" si="145"/>
        <v>1st Shift</v>
      </c>
    </row>
    <row r="3080" spans="1:11" x14ac:dyDescent="0.25">
      <c r="A3080" s="1">
        <v>3079</v>
      </c>
      <c r="B3080" s="1">
        <v>13</v>
      </c>
      <c r="C3080" s="3">
        <v>13115271606107</v>
      </c>
      <c r="D3080" s="2">
        <v>44588.40625</v>
      </c>
      <c r="E3080" s="2">
        <v>44588.541666666664</v>
      </c>
      <c r="F3080" s="23">
        <f t="shared" si="144"/>
        <v>0.13541666666424135</v>
      </c>
      <c r="G3080" s="24">
        <f t="shared" si="146"/>
        <v>92.307692309345541</v>
      </c>
      <c r="H3080" s="1" t="s">
        <v>1</v>
      </c>
      <c r="I3080" s="4" t="s">
        <v>3</v>
      </c>
      <c r="J3080" s="14">
        <v>0.40625</v>
      </c>
      <c r="K3080" s="20" t="str">
        <f t="shared" si="145"/>
        <v>1st Shift</v>
      </c>
    </row>
    <row r="3081" spans="1:11" x14ac:dyDescent="0.25">
      <c r="A3081" s="1">
        <v>3080</v>
      </c>
      <c r="B3081" s="1">
        <v>10</v>
      </c>
      <c r="C3081" s="3">
        <v>10115271967801</v>
      </c>
      <c r="D3081" s="2">
        <v>44588.454861111109</v>
      </c>
      <c r="E3081" s="2">
        <v>44588.541666666664</v>
      </c>
      <c r="F3081" s="23">
        <f t="shared" si="144"/>
        <v>8.6805555554747116E-2</v>
      </c>
      <c r="G3081" s="24">
        <f t="shared" si="146"/>
        <v>144.00000000134111</v>
      </c>
      <c r="H3081" s="1" t="s">
        <v>1</v>
      </c>
      <c r="I3081" s="4" t="s">
        <v>2</v>
      </c>
      <c r="J3081" s="14">
        <v>0.4548611111111111</v>
      </c>
      <c r="K3081" s="20" t="str">
        <f t="shared" si="145"/>
        <v>1st Shift</v>
      </c>
    </row>
    <row r="3082" spans="1:11" x14ac:dyDescent="0.25">
      <c r="A3082" s="1">
        <v>3081</v>
      </c>
      <c r="B3082" s="1">
        <v>9</v>
      </c>
      <c r="C3082" s="3">
        <v>9115270628000</v>
      </c>
      <c r="D3082" s="2">
        <v>44588.40625</v>
      </c>
      <c r="E3082" s="2">
        <v>44588.541666666664</v>
      </c>
      <c r="F3082" s="23">
        <f t="shared" si="144"/>
        <v>0.13541666666424135</v>
      </c>
      <c r="G3082" s="24">
        <f t="shared" si="146"/>
        <v>92.307692309345541</v>
      </c>
      <c r="H3082" s="1" t="s">
        <v>1</v>
      </c>
      <c r="I3082" s="4" t="s">
        <v>2</v>
      </c>
      <c r="J3082" s="14">
        <v>0.40625</v>
      </c>
      <c r="K3082" s="20" t="str">
        <f t="shared" si="145"/>
        <v>1st Shift</v>
      </c>
    </row>
    <row r="3083" spans="1:11" x14ac:dyDescent="0.25">
      <c r="A3083" s="1">
        <v>3082</v>
      </c>
      <c r="B3083" s="1">
        <v>2</v>
      </c>
      <c r="C3083" s="3">
        <v>2115270229700</v>
      </c>
      <c r="D3083" s="2">
        <v>44588.548611111109</v>
      </c>
      <c r="E3083" s="2">
        <v>44588.572916666664</v>
      </c>
      <c r="F3083" s="23">
        <f t="shared" si="144"/>
        <v>2.4305555554747116E-2</v>
      </c>
      <c r="G3083" s="24">
        <f t="shared" si="146"/>
        <v>514.28571430282022</v>
      </c>
      <c r="H3083" s="1" t="s">
        <v>1</v>
      </c>
      <c r="I3083" s="4" t="s">
        <v>2</v>
      </c>
      <c r="J3083" s="14">
        <v>0.54861111111111116</v>
      </c>
      <c r="K3083" s="20" t="str">
        <f t="shared" si="145"/>
        <v>1st Shift</v>
      </c>
    </row>
    <row r="3084" spans="1:11" x14ac:dyDescent="0.25">
      <c r="A3084" s="1">
        <v>3083</v>
      </c>
      <c r="B3084" s="1">
        <v>8</v>
      </c>
      <c r="C3084" s="3">
        <v>8115271810105</v>
      </c>
      <c r="D3084" s="2">
        <v>44588.666666666664</v>
      </c>
      <c r="E3084" s="2">
        <v>44588.739583333336</v>
      </c>
      <c r="F3084" s="23">
        <f t="shared" si="144"/>
        <v>7.2916666671517305E-2</v>
      </c>
      <c r="G3084" s="24">
        <f t="shared" si="146"/>
        <v>171.42857141716746</v>
      </c>
      <c r="H3084" s="1" t="s">
        <v>1</v>
      </c>
      <c r="I3084" s="4" t="s">
        <v>2</v>
      </c>
      <c r="J3084" s="14">
        <v>0.66666666666666663</v>
      </c>
      <c r="K3084" s="20" t="str">
        <f t="shared" si="145"/>
        <v>2nd Shift</v>
      </c>
    </row>
    <row r="3085" spans="1:11" x14ac:dyDescent="0.25">
      <c r="A3085" s="1">
        <v>3084</v>
      </c>
      <c r="B3085" s="1">
        <v>3</v>
      </c>
      <c r="C3085" s="3">
        <v>3115270309004</v>
      </c>
      <c r="D3085" s="2">
        <v>44588.669444444444</v>
      </c>
      <c r="E3085" s="2">
        <v>44588.739583333336</v>
      </c>
      <c r="F3085" s="23">
        <f t="shared" si="144"/>
        <v>7.013888889196096E-2</v>
      </c>
      <c r="G3085" s="24">
        <f t="shared" si="146"/>
        <v>178.21782177437231</v>
      </c>
      <c r="H3085" s="1" t="s">
        <v>1</v>
      </c>
      <c r="I3085" s="4" t="s">
        <v>2</v>
      </c>
      <c r="J3085" s="14">
        <v>0.6694444444444444</v>
      </c>
      <c r="K3085" s="20" t="str">
        <f t="shared" si="145"/>
        <v>2nd Shift</v>
      </c>
    </row>
    <row r="3086" spans="1:11" x14ac:dyDescent="0.25">
      <c r="A3086" s="1">
        <v>3085</v>
      </c>
      <c r="B3086" s="1">
        <v>3</v>
      </c>
      <c r="C3086" s="3">
        <v>3115270347300</v>
      </c>
      <c r="D3086" s="2">
        <v>44588.638888888891</v>
      </c>
      <c r="E3086" s="2">
        <v>44588.739583333336</v>
      </c>
      <c r="F3086" s="23">
        <f t="shared" si="144"/>
        <v>0.10069444444525288</v>
      </c>
      <c r="G3086" s="24">
        <f t="shared" si="146"/>
        <v>124.1379310334861</v>
      </c>
      <c r="H3086" s="1" t="s">
        <v>1</v>
      </c>
      <c r="I3086" s="4" t="s">
        <v>2</v>
      </c>
      <c r="J3086" s="14">
        <v>0.63888888888888884</v>
      </c>
      <c r="K3086" s="20" t="str">
        <f t="shared" si="145"/>
        <v>2nd Shift</v>
      </c>
    </row>
    <row r="3087" spans="1:11" x14ac:dyDescent="0.25">
      <c r="A3087" s="1">
        <v>3086</v>
      </c>
      <c r="B3087" s="1">
        <v>3</v>
      </c>
      <c r="C3087" s="3">
        <v>3115270421800</v>
      </c>
      <c r="D3087" s="2">
        <v>44588.777777777781</v>
      </c>
      <c r="E3087" s="2">
        <v>44588.8125</v>
      </c>
      <c r="F3087" s="23">
        <f t="shared" si="144"/>
        <v>3.4722222218988463E-2</v>
      </c>
      <c r="G3087" s="24">
        <f t="shared" si="146"/>
        <v>360.00000003352761</v>
      </c>
      <c r="H3087" s="1" t="s">
        <v>1</v>
      </c>
      <c r="I3087" s="4" t="s">
        <v>2</v>
      </c>
      <c r="J3087" s="14">
        <v>0.77777777777777779</v>
      </c>
      <c r="K3087" s="20" t="str">
        <f t="shared" si="145"/>
        <v>2nd Shift</v>
      </c>
    </row>
    <row r="3088" spans="1:11" x14ac:dyDescent="0.25">
      <c r="A3088" s="1">
        <v>3087</v>
      </c>
      <c r="B3088" s="1">
        <v>3</v>
      </c>
      <c r="C3088" s="3">
        <v>3115270350500</v>
      </c>
      <c r="D3088" s="2">
        <v>44588.777777777781</v>
      </c>
      <c r="E3088" s="2">
        <v>44588.8125</v>
      </c>
      <c r="F3088" s="23">
        <f t="shared" si="144"/>
        <v>3.4722222218988463E-2</v>
      </c>
      <c r="G3088" s="24">
        <f t="shared" si="146"/>
        <v>360.00000003352761</v>
      </c>
      <c r="H3088" s="1" t="s">
        <v>1</v>
      </c>
      <c r="I3088" s="4" t="s">
        <v>2</v>
      </c>
      <c r="J3088" s="14">
        <v>0.77777777777777779</v>
      </c>
      <c r="K3088" s="20" t="str">
        <f t="shared" si="145"/>
        <v>2nd Shift</v>
      </c>
    </row>
    <row r="3089" spans="1:11" x14ac:dyDescent="0.25">
      <c r="A3089" s="1">
        <v>3088</v>
      </c>
      <c r="B3089" s="1">
        <v>10</v>
      </c>
      <c r="C3089" s="3">
        <v>10115271469200</v>
      </c>
      <c r="D3089" s="2">
        <v>44588.868055555555</v>
      </c>
      <c r="E3089" s="2">
        <v>44588.895833333336</v>
      </c>
      <c r="F3089" s="23">
        <f t="shared" si="144"/>
        <v>2.7777777781011537E-2</v>
      </c>
      <c r="G3089" s="24">
        <f t="shared" si="146"/>
        <v>449.99999994761311</v>
      </c>
      <c r="H3089" s="1" t="s">
        <v>1</v>
      </c>
      <c r="I3089" s="4" t="s">
        <v>2</v>
      </c>
      <c r="J3089" s="14">
        <v>0.86805555555555558</v>
      </c>
      <c r="K3089" s="20" t="str">
        <f t="shared" si="145"/>
        <v>2nd Shift</v>
      </c>
    </row>
    <row r="3090" spans="1:11" x14ac:dyDescent="0.25">
      <c r="A3090" s="1">
        <v>3089</v>
      </c>
      <c r="B3090" s="1">
        <v>1</v>
      </c>
      <c r="C3090" s="3">
        <v>1115270097400</v>
      </c>
      <c r="D3090" s="2">
        <v>44588.972222222219</v>
      </c>
      <c r="E3090" s="2">
        <v>44589.000011574077</v>
      </c>
      <c r="F3090" s="23">
        <f t="shared" si="144"/>
        <v>2.7789351857791189E-2</v>
      </c>
      <c r="G3090" s="24">
        <f t="shared" si="146"/>
        <v>449.81257799632431</v>
      </c>
      <c r="H3090" s="1" t="s">
        <v>1</v>
      </c>
      <c r="I3090" s="4" t="s">
        <v>2</v>
      </c>
      <c r="J3090" s="14">
        <v>0.97222222222222221</v>
      </c>
      <c r="K3090" s="20" t="str">
        <f t="shared" si="145"/>
        <v>3rd Shift</v>
      </c>
    </row>
    <row r="3091" spans="1:11" x14ac:dyDescent="0.25">
      <c r="A3091" s="1">
        <v>3090</v>
      </c>
      <c r="B3091" s="1">
        <v>9</v>
      </c>
      <c r="C3091" s="3">
        <v>9115270649000</v>
      </c>
      <c r="D3091" s="2">
        <v>44589.034722222219</v>
      </c>
      <c r="E3091" s="2">
        <v>44589.114583333336</v>
      </c>
      <c r="F3091" s="23">
        <f t="shared" si="144"/>
        <v>7.9861111116770189E-2</v>
      </c>
      <c r="G3091" s="24">
        <f t="shared" si="146"/>
        <v>156.52173911934341</v>
      </c>
      <c r="H3091" s="1" t="s">
        <v>1</v>
      </c>
      <c r="I3091" s="4" t="s">
        <v>3</v>
      </c>
      <c r="J3091" s="14">
        <v>3.4722222222222224E-2</v>
      </c>
      <c r="K3091" s="20" t="str">
        <f t="shared" si="145"/>
        <v>3rd Shift</v>
      </c>
    </row>
    <row r="3092" spans="1:11" x14ac:dyDescent="0.25">
      <c r="A3092" s="1">
        <v>3091</v>
      </c>
      <c r="B3092" s="1">
        <v>5</v>
      </c>
      <c r="C3092" s="3">
        <v>5115271685040</v>
      </c>
      <c r="D3092" s="2">
        <v>44589.034722222219</v>
      </c>
      <c r="E3092" s="2">
        <v>44589.114583333336</v>
      </c>
      <c r="F3092" s="23">
        <f t="shared" si="144"/>
        <v>7.9861111116770189E-2</v>
      </c>
      <c r="G3092" s="24">
        <f t="shared" si="146"/>
        <v>156.52173911934341</v>
      </c>
      <c r="H3092" s="1" t="s">
        <v>1</v>
      </c>
      <c r="I3092" s="4" t="s">
        <v>3</v>
      </c>
      <c r="J3092" s="14">
        <v>3.4722222222222224E-2</v>
      </c>
      <c r="K3092" s="20" t="str">
        <f t="shared" si="145"/>
        <v>3rd Shift</v>
      </c>
    </row>
    <row r="3093" spans="1:11" x14ac:dyDescent="0.25">
      <c r="A3093" s="1">
        <v>3092</v>
      </c>
      <c r="B3093" s="1">
        <v>14</v>
      </c>
      <c r="C3093" s="3">
        <v>14115271680301</v>
      </c>
      <c r="D3093" s="2">
        <v>44589.517361111109</v>
      </c>
      <c r="E3093" s="2">
        <v>44589.583333333336</v>
      </c>
      <c r="F3093" s="23">
        <f t="shared" si="144"/>
        <v>6.5972222226264421E-2</v>
      </c>
      <c r="G3093" s="24">
        <f t="shared" si="146"/>
        <v>189.47368419891703</v>
      </c>
      <c r="H3093" s="1" t="s">
        <v>1</v>
      </c>
      <c r="I3093" s="4" t="s">
        <v>2</v>
      </c>
      <c r="J3093" s="14">
        <v>0.51736111111111116</v>
      </c>
      <c r="K3093" s="20" t="str">
        <f t="shared" si="145"/>
        <v>1st Shift</v>
      </c>
    </row>
    <row r="3094" spans="1:11" x14ac:dyDescent="0.25">
      <c r="A3094" s="1">
        <v>3093</v>
      </c>
      <c r="B3094" s="1">
        <v>14</v>
      </c>
      <c r="C3094" s="3">
        <v>14115271672402</v>
      </c>
      <c r="D3094" s="2">
        <v>44589.451388888891</v>
      </c>
      <c r="E3094" s="2">
        <v>44589.583333333336</v>
      </c>
      <c r="F3094" s="23">
        <f t="shared" si="144"/>
        <v>0.13194444444525288</v>
      </c>
      <c r="G3094" s="24">
        <f t="shared" si="146"/>
        <v>94.736842104682694</v>
      </c>
      <c r="H3094" s="1" t="s">
        <v>1</v>
      </c>
      <c r="I3094" s="4" t="s">
        <v>2</v>
      </c>
      <c r="J3094" s="14">
        <v>0.4513888888888889</v>
      </c>
      <c r="K3094" s="20" t="str">
        <f t="shared" si="145"/>
        <v>1st Shift</v>
      </c>
    </row>
    <row r="3095" spans="1:11" x14ac:dyDescent="0.25">
      <c r="A3095" s="1">
        <v>3094</v>
      </c>
      <c r="B3095" s="1">
        <v>12</v>
      </c>
      <c r="C3095" s="3">
        <v>12115271589004</v>
      </c>
      <c r="D3095" s="2">
        <v>44589.451388888891</v>
      </c>
      <c r="E3095" s="2">
        <v>44589.583333333336</v>
      </c>
      <c r="F3095" s="23">
        <f t="shared" si="144"/>
        <v>0.13194444444525288</v>
      </c>
      <c r="G3095" s="24">
        <f t="shared" si="146"/>
        <v>94.736842104682694</v>
      </c>
      <c r="H3095" s="1" t="s">
        <v>1</v>
      </c>
      <c r="I3095" s="4" t="s">
        <v>4</v>
      </c>
      <c r="J3095" s="14">
        <v>0.4513888888888889</v>
      </c>
      <c r="K3095" s="20" t="str">
        <f t="shared" si="145"/>
        <v>1st Shift</v>
      </c>
    </row>
    <row r="3096" spans="1:11" x14ac:dyDescent="0.25">
      <c r="A3096" s="1">
        <v>3095</v>
      </c>
      <c r="B3096" s="1">
        <v>12</v>
      </c>
      <c r="C3096" s="3">
        <v>12115271581100</v>
      </c>
      <c r="D3096" s="2">
        <v>44589.541666666664</v>
      </c>
      <c r="E3096" s="2">
        <v>44589.583333333336</v>
      </c>
      <c r="F3096" s="23">
        <f t="shared" si="144"/>
        <v>4.1666666671517305E-2</v>
      </c>
      <c r="G3096" s="24">
        <f t="shared" si="146"/>
        <v>299.9999999650754</v>
      </c>
      <c r="H3096" s="1" t="s">
        <v>1</v>
      </c>
      <c r="I3096" s="4" t="s">
        <v>4</v>
      </c>
      <c r="J3096" s="14">
        <v>0.54166666666666663</v>
      </c>
      <c r="K3096" s="20" t="str">
        <f t="shared" si="145"/>
        <v>1st Shift</v>
      </c>
    </row>
    <row r="3097" spans="1:11" x14ac:dyDescent="0.25">
      <c r="A3097" s="1">
        <v>3096</v>
      </c>
      <c r="B3097" s="1">
        <v>11</v>
      </c>
      <c r="C3097" s="3">
        <v>11115271542703</v>
      </c>
      <c r="D3097" s="2">
        <v>44589.451388888891</v>
      </c>
      <c r="E3097" s="2">
        <v>44589.583333333336</v>
      </c>
      <c r="F3097" s="23">
        <f t="shared" si="144"/>
        <v>0.13194444444525288</v>
      </c>
      <c r="G3097" s="24">
        <f t="shared" si="146"/>
        <v>94.736842104682694</v>
      </c>
      <c r="H3097" s="1" t="s">
        <v>1</v>
      </c>
      <c r="I3097" s="4" t="s">
        <v>2</v>
      </c>
      <c r="J3097" s="14">
        <v>0.4513888888888889</v>
      </c>
      <c r="K3097" s="20" t="str">
        <f t="shared" si="145"/>
        <v>1st Shift</v>
      </c>
    </row>
    <row r="3098" spans="1:11" x14ac:dyDescent="0.25">
      <c r="A3098" s="1">
        <v>3097</v>
      </c>
      <c r="B3098" s="1">
        <v>6</v>
      </c>
      <c r="C3098" s="3">
        <v>6115271699100</v>
      </c>
      <c r="D3098" s="2">
        <v>44589.541666666664</v>
      </c>
      <c r="E3098" s="2">
        <v>44589.583333333336</v>
      </c>
      <c r="F3098" s="23">
        <f t="shared" si="144"/>
        <v>4.1666666671517305E-2</v>
      </c>
      <c r="G3098" s="24">
        <f t="shared" si="146"/>
        <v>299.9999999650754</v>
      </c>
      <c r="H3098" s="1" t="s">
        <v>1</v>
      </c>
      <c r="I3098" s="4" t="s">
        <v>3</v>
      </c>
      <c r="J3098" s="14">
        <v>0.54166666666666663</v>
      </c>
      <c r="K3098" s="20" t="str">
        <f t="shared" si="145"/>
        <v>1st Shift</v>
      </c>
    </row>
    <row r="3099" spans="1:11" x14ac:dyDescent="0.25">
      <c r="A3099" s="1">
        <v>3098</v>
      </c>
      <c r="B3099" s="1">
        <v>3</v>
      </c>
      <c r="C3099" s="3">
        <v>3115270341005</v>
      </c>
      <c r="D3099" s="2">
        <v>44589.451388888891</v>
      </c>
      <c r="E3099" s="2">
        <v>44589.583333333336</v>
      </c>
      <c r="F3099" s="23">
        <f t="shared" si="144"/>
        <v>0.13194444444525288</v>
      </c>
      <c r="G3099" s="24">
        <f t="shared" si="146"/>
        <v>94.736842104682694</v>
      </c>
      <c r="H3099" s="1" t="s">
        <v>1</v>
      </c>
      <c r="I3099" s="4" t="s">
        <v>3</v>
      </c>
      <c r="J3099" s="14">
        <v>0.4513888888888889</v>
      </c>
      <c r="K3099" s="20" t="str">
        <f t="shared" si="145"/>
        <v>1st Shift</v>
      </c>
    </row>
    <row r="3100" spans="1:11" x14ac:dyDescent="0.25">
      <c r="A3100" s="1">
        <v>3099</v>
      </c>
      <c r="B3100" s="1">
        <v>3</v>
      </c>
      <c r="C3100" s="3">
        <v>3115270321600</v>
      </c>
      <c r="D3100" s="2">
        <v>44589.517361111109</v>
      </c>
      <c r="E3100" s="2">
        <v>44589.583333333336</v>
      </c>
      <c r="F3100" s="23">
        <f t="shared" si="144"/>
        <v>6.5972222226264421E-2</v>
      </c>
      <c r="G3100" s="24">
        <f t="shared" si="146"/>
        <v>189.47368419891703</v>
      </c>
      <c r="H3100" s="1" t="s">
        <v>1</v>
      </c>
      <c r="I3100" s="4" t="s">
        <v>2</v>
      </c>
      <c r="J3100" s="14">
        <v>0.51736111111111116</v>
      </c>
      <c r="K3100" s="20" t="str">
        <f t="shared" si="145"/>
        <v>1st Shift</v>
      </c>
    </row>
    <row r="3101" spans="1:11" x14ac:dyDescent="0.25">
      <c r="A3101" s="1">
        <v>3100</v>
      </c>
      <c r="B3101" s="1">
        <v>14</v>
      </c>
      <c r="C3101" s="3">
        <v>14115271672607</v>
      </c>
      <c r="D3101" s="2">
        <v>44589.763888888891</v>
      </c>
      <c r="E3101" s="2">
        <v>44589.888888888891</v>
      </c>
      <c r="F3101" s="23">
        <f t="shared" si="144"/>
        <v>0.125</v>
      </c>
      <c r="G3101" s="24">
        <f t="shared" si="146"/>
        <v>100</v>
      </c>
      <c r="H3101" s="1" t="s">
        <v>1</v>
      </c>
      <c r="I3101" s="4" t="s">
        <v>3</v>
      </c>
      <c r="J3101" s="14">
        <v>0.76388888888888884</v>
      </c>
      <c r="K3101" s="20" t="str">
        <f t="shared" si="145"/>
        <v>2nd Shift</v>
      </c>
    </row>
    <row r="3102" spans="1:11" x14ac:dyDescent="0.25">
      <c r="A3102" s="1">
        <v>3101</v>
      </c>
      <c r="B3102" s="1">
        <v>13</v>
      </c>
      <c r="C3102" s="3">
        <v>13115271591904</v>
      </c>
      <c r="D3102" s="2">
        <v>44589.763888888891</v>
      </c>
      <c r="E3102" s="2">
        <v>44589.888888888891</v>
      </c>
      <c r="F3102" s="23">
        <f t="shared" si="144"/>
        <v>0.125</v>
      </c>
      <c r="G3102" s="24">
        <f t="shared" si="146"/>
        <v>100</v>
      </c>
      <c r="H3102" s="1" t="s">
        <v>1</v>
      </c>
      <c r="I3102" s="4" t="s">
        <v>2</v>
      </c>
      <c r="J3102" s="14">
        <v>0.76388888888888884</v>
      </c>
      <c r="K3102" s="20" t="str">
        <f t="shared" si="145"/>
        <v>2nd Shift</v>
      </c>
    </row>
    <row r="3103" spans="1:11" x14ac:dyDescent="0.25">
      <c r="A3103" s="1">
        <v>3102</v>
      </c>
      <c r="B3103" s="1">
        <v>9</v>
      </c>
      <c r="C3103" s="3">
        <v>9115271903601</v>
      </c>
      <c r="D3103" s="2">
        <v>44589.725694444445</v>
      </c>
      <c r="E3103" s="2">
        <v>44589.888888888891</v>
      </c>
      <c r="F3103" s="23">
        <f t="shared" si="144"/>
        <v>0.16319444444525288</v>
      </c>
      <c r="G3103" s="24">
        <f t="shared" si="146"/>
        <v>76.595744680471626</v>
      </c>
      <c r="H3103" s="1" t="s">
        <v>1</v>
      </c>
      <c r="I3103" s="4" t="s">
        <v>3</v>
      </c>
      <c r="J3103" s="14">
        <v>0.72569444444444442</v>
      </c>
      <c r="K3103" s="20" t="str">
        <f t="shared" si="145"/>
        <v>2nd Shift</v>
      </c>
    </row>
    <row r="3104" spans="1:11" x14ac:dyDescent="0.25">
      <c r="A3104" s="1">
        <v>3103</v>
      </c>
      <c r="B3104" s="1">
        <v>4</v>
      </c>
      <c r="C3104" s="3">
        <v>4115270827000</v>
      </c>
      <c r="D3104" s="2">
        <v>44589.6875</v>
      </c>
      <c r="E3104" s="2">
        <v>44589.888888888891</v>
      </c>
      <c r="F3104" s="23">
        <f t="shared" si="144"/>
        <v>0.20138888889050577</v>
      </c>
      <c r="G3104" s="24">
        <f t="shared" si="146"/>
        <v>62.068965516743049</v>
      </c>
      <c r="H3104" s="1" t="s">
        <v>1</v>
      </c>
      <c r="I3104" s="4" t="s">
        <v>3</v>
      </c>
      <c r="J3104" s="14">
        <v>0.6875</v>
      </c>
      <c r="K3104" s="20" t="str">
        <f t="shared" si="145"/>
        <v>2nd Shift</v>
      </c>
    </row>
    <row r="3105" spans="1:11" x14ac:dyDescent="0.25">
      <c r="A3105" s="1">
        <v>3104</v>
      </c>
      <c r="B3105" s="1">
        <v>3</v>
      </c>
      <c r="C3105" s="3">
        <v>3115270421800</v>
      </c>
      <c r="D3105" s="2">
        <v>44589.6875</v>
      </c>
      <c r="E3105" s="2">
        <v>44589.888888888891</v>
      </c>
      <c r="F3105" s="23">
        <f t="shared" si="144"/>
        <v>0.20138888889050577</v>
      </c>
      <c r="G3105" s="24">
        <f t="shared" si="146"/>
        <v>62.068965516743049</v>
      </c>
      <c r="H3105" s="1" t="s">
        <v>1</v>
      </c>
      <c r="I3105" s="4" t="s">
        <v>3</v>
      </c>
      <c r="J3105" s="14">
        <v>0.6875</v>
      </c>
      <c r="K3105" s="20" t="str">
        <f t="shared" si="145"/>
        <v>2nd Shift</v>
      </c>
    </row>
    <row r="3106" spans="1:11" x14ac:dyDescent="0.25">
      <c r="A3106" s="1">
        <v>3105</v>
      </c>
      <c r="B3106" s="1">
        <v>2</v>
      </c>
      <c r="C3106" s="3">
        <v>2115270250700</v>
      </c>
      <c r="D3106" s="2">
        <v>44589.6875</v>
      </c>
      <c r="E3106" s="2">
        <v>44589.888888888891</v>
      </c>
      <c r="F3106" s="23">
        <f t="shared" si="144"/>
        <v>0.20138888889050577</v>
      </c>
      <c r="G3106" s="24">
        <f t="shared" si="146"/>
        <v>62.068965516743049</v>
      </c>
      <c r="H3106" s="1" t="s">
        <v>1</v>
      </c>
      <c r="I3106" s="4" t="s">
        <v>3</v>
      </c>
      <c r="J3106" s="14">
        <v>0.6875</v>
      </c>
      <c r="K3106" s="20" t="str">
        <f t="shared" si="145"/>
        <v>2nd Shift</v>
      </c>
    </row>
    <row r="3107" spans="1:11" x14ac:dyDescent="0.25">
      <c r="A3107" s="1">
        <v>3106</v>
      </c>
      <c r="B3107" s="1">
        <v>2</v>
      </c>
      <c r="C3107" s="3">
        <v>2115270218301</v>
      </c>
      <c r="D3107" s="2">
        <v>44589.6875</v>
      </c>
      <c r="E3107" s="2">
        <v>44589.888888888891</v>
      </c>
      <c r="F3107" s="23">
        <f t="shared" si="144"/>
        <v>0.20138888889050577</v>
      </c>
      <c r="G3107" s="24">
        <f t="shared" si="146"/>
        <v>62.068965516743049</v>
      </c>
      <c r="H3107" s="1" t="s">
        <v>1</v>
      </c>
      <c r="I3107" s="4" t="s">
        <v>8</v>
      </c>
      <c r="J3107" s="14">
        <v>0.6875</v>
      </c>
      <c r="K3107" s="20" t="str">
        <f t="shared" si="145"/>
        <v>2nd Shift</v>
      </c>
    </row>
    <row r="3108" spans="1:11" x14ac:dyDescent="0.25">
      <c r="A3108" s="1">
        <v>3107</v>
      </c>
      <c r="B3108" s="1">
        <v>13</v>
      </c>
      <c r="C3108" s="3">
        <v>13115271635100</v>
      </c>
      <c r="D3108" s="2">
        <v>44589.972222222219</v>
      </c>
      <c r="E3108" s="2">
        <v>44590.006944444445</v>
      </c>
      <c r="F3108" s="23">
        <f t="shared" si="144"/>
        <v>3.4722222226264421E-2</v>
      </c>
      <c r="G3108" s="24">
        <f t="shared" si="146"/>
        <v>359.99999995809048</v>
      </c>
      <c r="H3108" s="1" t="s">
        <v>1</v>
      </c>
      <c r="I3108" s="4" t="s">
        <v>2</v>
      </c>
      <c r="J3108" s="14">
        <v>0.97222222222222221</v>
      </c>
      <c r="K3108" s="20" t="str">
        <f t="shared" si="145"/>
        <v>3rd Shift</v>
      </c>
    </row>
    <row r="3109" spans="1:11" x14ac:dyDescent="0.25">
      <c r="A3109" s="1">
        <v>3108</v>
      </c>
      <c r="B3109" s="1">
        <v>7</v>
      </c>
      <c r="C3109" s="3">
        <v>7115271757200</v>
      </c>
      <c r="D3109" s="2">
        <v>44590.024305555555</v>
      </c>
      <c r="E3109" s="2">
        <v>44590.052083333336</v>
      </c>
      <c r="F3109" s="23">
        <f t="shared" si="144"/>
        <v>2.7777777781011537E-2</v>
      </c>
      <c r="G3109" s="24">
        <f t="shared" si="146"/>
        <v>449.99999994761311</v>
      </c>
      <c r="H3109" s="1" t="s">
        <v>1</v>
      </c>
      <c r="I3109" s="4" t="s">
        <v>2</v>
      </c>
      <c r="J3109" s="14">
        <v>2.4305555555555556E-2</v>
      </c>
      <c r="K3109" s="20" t="str">
        <f t="shared" si="145"/>
        <v>3rd Shift</v>
      </c>
    </row>
    <row r="3110" spans="1:11" x14ac:dyDescent="0.25">
      <c r="A3110" s="1">
        <v>3109</v>
      </c>
      <c r="B3110" s="1">
        <v>2</v>
      </c>
      <c r="C3110" s="3">
        <v>2115270211500</v>
      </c>
      <c r="D3110" s="2">
        <v>44590.100694444445</v>
      </c>
      <c r="E3110" s="2">
        <v>44590.145833333336</v>
      </c>
      <c r="F3110" s="23">
        <f t="shared" si="144"/>
        <v>4.5138888890505768E-2</v>
      </c>
      <c r="G3110" s="24">
        <f t="shared" si="146"/>
        <v>276.9230769131575</v>
      </c>
      <c r="H3110" s="1" t="s">
        <v>1</v>
      </c>
      <c r="I3110" s="4" t="s">
        <v>3</v>
      </c>
      <c r="J3110" s="14">
        <v>0.10069444444444445</v>
      </c>
      <c r="K3110" s="20" t="str">
        <f t="shared" si="145"/>
        <v>3rd Shift</v>
      </c>
    </row>
    <row r="3111" spans="1:11" x14ac:dyDescent="0.25">
      <c r="A3111" s="1">
        <v>3110</v>
      </c>
      <c r="B3111" s="1">
        <v>10</v>
      </c>
      <c r="C3111" s="3">
        <v>10115271967900</v>
      </c>
      <c r="D3111" s="2">
        <v>44590.520833333336</v>
      </c>
      <c r="E3111" s="2">
        <v>44590.631944444445</v>
      </c>
      <c r="F3111" s="23">
        <f t="shared" si="144"/>
        <v>0.11111111110949423</v>
      </c>
      <c r="G3111" s="24">
        <f t="shared" si="146"/>
        <v>112.50000000163709</v>
      </c>
      <c r="H3111" s="1" t="s">
        <v>1</v>
      </c>
      <c r="I3111" s="4" t="s">
        <v>3</v>
      </c>
      <c r="J3111" s="14">
        <v>0.52083333333333337</v>
      </c>
      <c r="K3111" s="20" t="str">
        <f t="shared" si="145"/>
        <v>1st Shift</v>
      </c>
    </row>
    <row r="3112" spans="1:11" x14ac:dyDescent="0.25">
      <c r="A3112" s="1">
        <v>3111</v>
      </c>
      <c r="B3112" s="1">
        <v>9</v>
      </c>
      <c r="C3112" s="3">
        <v>9115271909403</v>
      </c>
      <c r="D3112" s="2">
        <v>44590.447916666664</v>
      </c>
      <c r="E3112" s="2">
        <v>44590.631944444445</v>
      </c>
      <c r="F3112" s="23">
        <f t="shared" si="144"/>
        <v>0.18402777778101154</v>
      </c>
      <c r="G3112" s="24">
        <f t="shared" si="146"/>
        <v>67.924528300693211</v>
      </c>
      <c r="H3112" s="1" t="s">
        <v>1</v>
      </c>
      <c r="I3112" s="4" t="s">
        <v>4</v>
      </c>
      <c r="J3112" s="14">
        <v>0.44791666666666669</v>
      </c>
      <c r="K3112" s="20" t="str">
        <f t="shared" si="145"/>
        <v>1st Shift</v>
      </c>
    </row>
    <row r="3113" spans="1:11" x14ac:dyDescent="0.25">
      <c r="A3113" s="1">
        <v>3112</v>
      </c>
      <c r="B3113" s="1">
        <v>6</v>
      </c>
      <c r="C3113" s="3">
        <v>6115271737813</v>
      </c>
      <c r="D3113" s="2">
        <v>44590.447916666664</v>
      </c>
      <c r="E3113" s="2">
        <v>44590.631944444445</v>
      </c>
      <c r="F3113" s="23">
        <f t="shared" si="144"/>
        <v>0.18402777778101154</v>
      </c>
      <c r="G3113" s="24">
        <f t="shared" si="146"/>
        <v>67.924528300693211</v>
      </c>
      <c r="H3113" s="1" t="s">
        <v>1</v>
      </c>
      <c r="I3113" s="4" t="s">
        <v>3</v>
      </c>
      <c r="J3113" s="14">
        <v>0.44791666666666669</v>
      </c>
      <c r="K3113" s="20" t="str">
        <f t="shared" si="145"/>
        <v>1st Shift</v>
      </c>
    </row>
    <row r="3114" spans="1:11" x14ac:dyDescent="0.25">
      <c r="A3114" s="1">
        <v>3113</v>
      </c>
      <c r="B3114" s="1">
        <v>4</v>
      </c>
      <c r="C3114" s="3">
        <v>4115270858601</v>
      </c>
      <c r="D3114" s="2">
        <v>44590.520833333336</v>
      </c>
      <c r="E3114" s="2">
        <v>44590.631944444445</v>
      </c>
      <c r="F3114" s="23">
        <f t="shared" si="144"/>
        <v>0.11111111110949423</v>
      </c>
      <c r="G3114" s="24">
        <f t="shared" si="146"/>
        <v>112.50000000163709</v>
      </c>
      <c r="H3114" s="1" t="s">
        <v>1</v>
      </c>
      <c r="I3114" s="4" t="s">
        <v>3</v>
      </c>
      <c r="J3114" s="14">
        <v>0.52083333333333337</v>
      </c>
      <c r="K3114" s="20" t="str">
        <f t="shared" si="145"/>
        <v>1st Shift</v>
      </c>
    </row>
    <row r="3115" spans="1:11" x14ac:dyDescent="0.25">
      <c r="A3115" s="1">
        <v>3114</v>
      </c>
      <c r="B3115" s="1">
        <v>2</v>
      </c>
      <c r="C3115" s="3">
        <v>2115270303900</v>
      </c>
      <c r="D3115" s="2">
        <v>44590.447916666664</v>
      </c>
      <c r="E3115" s="2">
        <v>44590.631944444445</v>
      </c>
      <c r="F3115" s="23">
        <f t="shared" si="144"/>
        <v>0.18402777778101154</v>
      </c>
      <c r="G3115" s="24">
        <f t="shared" si="146"/>
        <v>67.924528300693211</v>
      </c>
      <c r="H3115" s="1" t="s">
        <v>1</v>
      </c>
      <c r="I3115" s="4" t="s">
        <v>2</v>
      </c>
      <c r="J3115" s="14">
        <v>0.44791666666666669</v>
      </c>
      <c r="K3115" s="20" t="str">
        <f t="shared" si="145"/>
        <v>1st Shift</v>
      </c>
    </row>
    <row r="3116" spans="1:11" x14ac:dyDescent="0.25">
      <c r="A3116" s="1">
        <v>3115</v>
      </c>
      <c r="B3116" s="1">
        <v>2</v>
      </c>
      <c r="C3116" s="3">
        <v>2115270249501</v>
      </c>
      <c r="D3116" s="2">
        <v>44590.447916666664</v>
      </c>
      <c r="E3116" s="2">
        <v>44590.631944444445</v>
      </c>
      <c r="F3116" s="23">
        <f t="shared" si="144"/>
        <v>0.18402777778101154</v>
      </c>
      <c r="G3116" s="24">
        <f t="shared" si="146"/>
        <v>67.924528300693211</v>
      </c>
      <c r="H3116" s="1" t="s">
        <v>1</v>
      </c>
      <c r="I3116" s="4" t="s">
        <v>3</v>
      </c>
      <c r="J3116" s="14">
        <v>0.44791666666666669</v>
      </c>
      <c r="K3116" s="20" t="str">
        <f t="shared" si="145"/>
        <v>1st Shift</v>
      </c>
    </row>
    <row r="3117" spans="1:11" x14ac:dyDescent="0.25">
      <c r="A3117" s="1">
        <v>3116</v>
      </c>
      <c r="B3117" s="1">
        <v>1</v>
      </c>
      <c r="C3117" s="3">
        <v>1115270029200</v>
      </c>
      <c r="D3117" s="2">
        <v>44590.520833333336</v>
      </c>
      <c r="E3117" s="2">
        <v>44590.631944444445</v>
      </c>
      <c r="F3117" s="23">
        <f t="shared" si="144"/>
        <v>0.11111111110949423</v>
      </c>
      <c r="G3117" s="24">
        <f t="shared" si="146"/>
        <v>112.50000000163709</v>
      </c>
      <c r="H3117" s="1" t="s">
        <v>1</v>
      </c>
      <c r="I3117" s="4" t="s">
        <v>3</v>
      </c>
      <c r="J3117" s="14">
        <v>0.52083333333333337</v>
      </c>
      <c r="K3117" s="20" t="str">
        <f t="shared" si="145"/>
        <v>1st Shift</v>
      </c>
    </row>
    <row r="3118" spans="1:11" x14ac:dyDescent="0.25">
      <c r="A3118" s="1">
        <v>3117</v>
      </c>
      <c r="B3118" s="1">
        <v>10</v>
      </c>
      <c r="C3118" s="3">
        <v>10115271468907</v>
      </c>
      <c r="D3118" s="2">
        <v>44590.729166666664</v>
      </c>
      <c r="E3118" s="2">
        <v>44590.927083333336</v>
      </c>
      <c r="F3118" s="23">
        <f t="shared" si="144"/>
        <v>0.19791666667151731</v>
      </c>
      <c r="G3118" s="24">
        <f t="shared" si="146"/>
        <v>63.157894735294192</v>
      </c>
      <c r="H3118" s="1" t="s">
        <v>1</v>
      </c>
      <c r="I3118" s="4" t="s">
        <v>2</v>
      </c>
      <c r="J3118" s="14">
        <v>0.72916666666666663</v>
      </c>
      <c r="K3118" s="20" t="str">
        <f t="shared" si="145"/>
        <v>2nd Shift</v>
      </c>
    </row>
    <row r="3119" spans="1:11" x14ac:dyDescent="0.25">
      <c r="A3119" s="1">
        <v>3118</v>
      </c>
      <c r="B3119" s="1">
        <v>7</v>
      </c>
      <c r="C3119" s="3">
        <v>7115271757200</v>
      </c>
      <c r="D3119" s="2">
        <v>44590.729166666664</v>
      </c>
      <c r="E3119" s="2">
        <v>44590.927083333336</v>
      </c>
      <c r="F3119" s="23">
        <f t="shared" si="144"/>
        <v>0.19791666667151731</v>
      </c>
      <c r="G3119" s="24">
        <f t="shared" si="146"/>
        <v>63.157894735294192</v>
      </c>
      <c r="H3119" s="1" t="s">
        <v>1</v>
      </c>
      <c r="I3119" s="4" t="s">
        <v>2</v>
      </c>
      <c r="J3119" s="14">
        <v>0.72916666666666663</v>
      </c>
      <c r="K3119" s="20" t="str">
        <f t="shared" si="145"/>
        <v>2nd Shift</v>
      </c>
    </row>
    <row r="3120" spans="1:11" x14ac:dyDescent="0.25">
      <c r="A3120" s="1">
        <v>3119</v>
      </c>
      <c r="B3120" s="1">
        <v>6</v>
      </c>
      <c r="C3120" s="3">
        <v>6115271729700</v>
      </c>
      <c r="D3120" s="2">
        <v>44590.729166666664</v>
      </c>
      <c r="E3120" s="2">
        <v>44590.927083333336</v>
      </c>
      <c r="F3120" s="23">
        <f t="shared" si="144"/>
        <v>0.19791666667151731</v>
      </c>
      <c r="G3120" s="24">
        <f t="shared" si="146"/>
        <v>63.157894735294192</v>
      </c>
      <c r="H3120" s="1" t="s">
        <v>1</v>
      </c>
      <c r="I3120" s="4" t="s">
        <v>2</v>
      </c>
      <c r="J3120" s="14">
        <v>0.72916666666666663</v>
      </c>
      <c r="K3120" s="20" t="str">
        <f t="shared" si="145"/>
        <v>2nd Shift</v>
      </c>
    </row>
    <row r="3121" spans="1:11" x14ac:dyDescent="0.25">
      <c r="A3121" s="1">
        <v>3120</v>
      </c>
      <c r="B3121" s="1">
        <v>6</v>
      </c>
      <c r="C3121" s="3">
        <v>6115271698503</v>
      </c>
      <c r="D3121" s="2">
        <v>44590.729166666664</v>
      </c>
      <c r="E3121" s="2">
        <v>44590.927083333336</v>
      </c>
      <c r="F3121" s="23">
        <f t="shared" si="144"/>
        <v>0.19791666667151731</v>
      </c>
      <c r="G3121" s="24">
        <f t="shared" si="146"/>
        <v>63.157894735294192</v>
      </c>
      <c r="H3121" s="1" t="s">
        <v>1</v>
      </c>
      <c r="I3121" s="4" t="s">
        <v>2</v>
      </c>
      <c r="J3121" s="14">
        <v>0.72916666666666663</v>
      </c>
      <c r="K3121" s="20" t="str">
        <f t="shared" si="145"/>
        <v>2nd Shift</v>
      </c>
    </row>
    <row r="3122" spans="1:11" x14ac:dyDescent="0.25">
      <c r="A3122" s="1">
        <v>3121</v>
      </c>
      <c r="B3122" s="1">
        <v>3</v>
      </c>
      <c r="C3122" s="3">
        <v>3115270306700</v>
      </c>
      <c r="D3122" s="2">
        <v>44590.729166666664</v>
      </c>
      <c r="E3122" s="2">
        <v>44590.927083333336</v>
      </c>
      <c r="F3122" s="23">
        <f t="shared" si="144"/>
        <v>0.19791666667151731</v>
      </c>
      <c r="G3122" s="24">
        <f t="shared" si="146"/>
        <v>63.157894735294192</v>
      </c>
      <c r="H3122" s="1" t="s">
        <v>1</v>
      </c>
      <c r="I3122" s="4" t="s">
        <v>3</v>
      </c>
      <c r="J3122" s="14">
        <v>0.72916666666666663</v>
      </c>
      <c r="K3122" s="20" t="str">
        <f t="shared" si="145"/>
        <v>2nd Shift</v>
      </c>
    </row>
    <row r="3123" spans="1:11" x14ac:dyDescent="0.25">
      <c r="A3123" s="1">
        <v>3122</v>
      </c>
      <c r="B3123" s="1">
        <v>1</v>
      </c>
      <c r="C3123" s="3">
        <v>1115270060200</v>
      </c>
      <c r="D3123" s="2">
        <v>44590.784722222219</v>
      </c>
      <c r="E3123" s="2">
        <v>44590.927083333336</v>
      </c>
      <c r="F3123" s="23">
        <f t="shared" si="144"/>
        <v>0.14236111111677019</v>
      </c>
      <c r="G3123" s="24">
        <f t="shared" si="146"/>
        <v>87.804878045290096</v>
      </c>
      <c r="H3123" s="1" t="s">
        <v>1</v>
      </c>
      <c r="I3123" s="4" t="s">
        <v>2</v>
      </c>
      <c r="J3123" s="14">
        <v>0.78472222222222221</v>
      </c>
      <c r="K3123" s="20" t="str">
        <f t="shared" si="145"/>
        <v>2nd Shift</v>
      </c>
    </row>
    <row r="3124" spans="1:11" x14ac:dyDescent="0.25">
      <c r="A3124" s="1">
        <v>3123</v>
      </c>
      <c r="B3124" s="1">
        <v>1</v>
      </c>
      <c r="C3124" s="3">
        <v>1115270017300</v>
      </c>
      <c r="D3124" s="2">
        <v>44590.729166666664</v>
      </c>
      <c r="E3124" s="2">
        <v>44590.927083333336</v>
      </c>
      <c r="F3124" s="23">
        <f t="shared" si="144"/>
        <v>0.19791666667151731</v>
      </c>
      <c r="G3124" s="24">
        <f t="shared" si="146"/>
        <v>63.157894735294192</v>
      </c>
      <c r="H3124" s="1" t="s">
        <v>1</v>
      </c>
      <c r="I3124" s="4" t="s">
        <v>3</v>
      </c>
      <c r="J3124" s="14">
        <v>0.72916666666666663</v>
      </c>
      <c r="K3124" s="20" t="str">
        <f t="shared" si="145"/>
        <v>2nd Shift</v>
      </c>
    </row>
    <row r="3125" spans="1:11" x14ac:dyDescent="0.25">
      <c r="A3125" s="1">
        <v>3124</v>
      </c>
      <c r="B3125" s="1">
        <v>1</v>
      </c>
      <c r="C3125" s="3">
        <v>1115270009700</v>
      </c>
      <c r="D3125" s="2">
        <v>44590.784722222219</v>
      </c>
      <c r="E3125" s="2">
        <v>44590.927083333336</v>
      </c>
      <c r="F3125" s="23">
        <f t="shared" si="144"/>
        <v>0.14236111111677019</v>
      </c>
      <c r="G3125" s="24">
        <f t="shared" si="146"/>
        <v>87.804878045290096</v>
      </c>
      <c r="H3125" s="1" t="s">
        <v>1</v>
      </c>
      <c r="I3125" s="4" t="s">
        <v>3</v>
      </c>
      <c r="J3125" s="14">
        <v>0.78472222222222221</v>
      </c>
      <c r="K3125" s="20" t="str">
        <f t="shared" si="145"/>
        <v>2nd Shift</v>
      </c>
    </row>
    <row r="3126" spans="1:11" x14ac:dyDescent="0.25">
      <c r="A3126" s="1">
        <v>3125</v>
      </c>
      <c r="B3126" s="1">
        <v>1</v>
      </c>
      <c r="C3126" s="3">
        <v>1115270143400</v>
      </c>
      <c r="D3126" s="2">
        <v>44590.944444444445</v>
      </c>
      <c r="E3126" s="2">
        <v>44590.982638888891</v>
      </c>
      <c r="F3126" s="23">
        <f t="shared" si="144"/>
        <v>3.8194444445252884E-2</v>
      </c>
      <c r="G3126" s="24">
        <f t="shared" si="146"/>
        <v>327.27272726580009</v>
      </c>
      <c r="H3126" s="1" t="s">
        <v>1</v>
      </c>
      <c r="I3126" s="4" t="s">
        <v>4</v>
      </c>
      <c r="J3126" s="14">
        <v>0.94444444444444442</v>
      </c>
      <c r="K3126" s="20" t="str">
        <f t="shared" si="145"/>
        <v>3rd Shift</v>
      </c>
    </row>
    <row r="3127" spans="1:11" x14ac:dyDescent="0.25">
      <c r="A3127" s="1">
        <v>3126</v>
      </c>
      <c r="B3127" s="1">
        <v>7</v>
      </c>
      <c r="C3127" s="3">
        <v>7115271757602</v>
      </c>
      <c r="D3127" s="2">
        <v>44591.000011574077</v>
      </c>
      <c r="E3127" s="2">
        <v>44591.048611111109</v>
      </c>
      <c r="F3127" s="23">
        <f t="shared" si="144"/>
        <v>4.8599537032714579E-2</v>
      </c>
      <c r="G3127" s="24">
        <f t="shared" si="146"/>
        <v>257.20409623625994</v>
      </c>
      <c r="H3127" s="1" t="s">
        <v>1</v>
      </c>
      <c r="I3127" s="4" t="s">
        <v>2</v>
      </c>
      <c r="J3127" s="14">
        <v>1.1574074074074073E-5</v>
      </c>
      <c r="K3127" s="20" t="str">
        <f t="shared" si="145"/>
        <v>3rd Shift</v>
      </c>
    </row>
    <row r="3128" spans="1:11" x14ac:dyDescent="0.25">
      <c r="A3128" s="1">
        <v>3127</v>
      </c>
      <c r="B3128" s="1">
        <v>2</v>
      </c>
      <c r="C3128" s="3">
        <v>2115270250500</v>
      </c>
      <c r="D3128" s="2">
        <v>44591.076388888891</v>
      </c>
      <c r="E3128" s="2">
        <v>44591.142361111109</v>
      </c>
      <c r="F3128" s="23">
        <f t="shared" si="144"/>
        <v>6.5972222218988463E-2</v>
      </c>
      <c r="G3128" s="24">
        <f t="shared" si="146"/>
        <v>189.47368421981375</v>
      </c>
      <c r="H3128" s="1" t="s">
        <v>1</v>
      </c>
      <c r="I3128" s="4" t="s">
        <v>2</v>
      </c>
      <c r="J3128" s="14">
        <v>7.6388888888888895E-2</v>
      </c>
      <c r="K3128" s="20" t="str">
        <f t="shared" si="145"/>
        <v>3rd Shift</v>
      </c>
    </row>
    <row r="3129" spans="1:11" x14ac:dyDescent="0.25">
      <c r="A3129" s="1">
        <v>3128</v>
      </c>
      <c r="B3129" s="1">
        <v>2</v>
      </c>
      <c r="C3129" s="3">
        <v>2115270234600</v>
      </c>
      <c r="D3129" s="2">
        <v>44591.076388888891</v>
      </c>
      <c r="E3129" s="2">
        <v>44591.142361111109</v>
      </c>
      <c r="F3129" s="23">
        <f t="shared" si="144"/>
        <v>6.5972222218988463E-2</v>
      </c>
      <c r="G3129" s="24">
        <f t="shared" si="146"/>
        <v>189.47368421981375</v>
      </c>
      <c r="H3129" s="1" t="s">
        <v>1</v>
      </c>
      <c r="I3129" s="4" t="s">
        <v>4</v>
      </c>
      <c r="J3129" s="14">
        <v>7.6388888888888895E-2</v>
      </c>
      <c r="K3129" s="20" t="str">
        <f t="shared" si="145"/>
        <v>3rd Shift</v>
      </c>
    </row>
    <row r="3130" spans="1:11" x14ac:dyDescent="0.25">
      <c r="A3130" s="1">
        <v>3129</v>
      </c>
      <c r="B3130" s="1">
        <v>15</v>
      </c>
      <c r="C3130" s="3">
        <v>15115271748409</v>
      </c>
      <c r="D3130" s="2">
        <v>44591.506944444445</v>
      </c>
      <c r="E3130" s="2">
        <v>44591.579861111109</v>
      </c>
      <c r="F3130" s="23">
        <f t="shared" si="144"/>
        <v>7.2916666664241347E-2</v>
      </c>
      <c r="G3130" s="24">
        <f t="shared" si="146"/>
        <v>171.42857143427341</v>
      </c>
      <c r="H3130" s="1" t="s">
        <v>1</v>
      </c>
      <c r="I3130" s="4" t="s">
        <v>3</v>
      </c>
      <c r="J3130" s="14">
        <v>0.50694444444444442</v>
      </c>
      <c r="K3130" s="20" t="str">
        <f t="shared" si="145"/>
        <v>1st Shift</v>
      </c>
    </row>
    <row r="3131" spans="1:11" x14ac:dyDescent="0.25">
      <c r="A3131" s="1">
        <v>3130</v>
      </c>
      <c r="B3131" s="1">
        <v>13</v>
      </c>
      <c r="C3131" s="3">
        <v>13115271626000</v>
      </c>
      <c r="D3131" s="2">
        <v>44591.506944444445</v>
      </c>
      <c r="E3131" s="2">
        <v>44591.579861111109</v>
      </c>
      <c r="F3131" s="23">
        <f t="shared" si="144"/>
        <v>7.2916666664241347E-2</v>
      </c>
      <c r="G3131" s="24">
        <f t="shared" si="146"/>
        <v>171.42857143427341</v>
      </c>
      <c r="H3131" s="1" t="s">
        <v>1</v>
      </c>
      <c r="I3131" s="4" t="s">
        <v>3</v>
      </c>
      <c r="J3131" s="14">
        <v>0.50694444444444442</v>
      </c>
      <c r="K3131" s="20" t="str">
        <f t="shared" si="145"/>
        <v>1st Shift</v>
      </c>
    </row>
    <row r="3132" spans="1:11" x14ac:dyDescent="0.25">
      <c r="A3132" s="1">
        <v>3131</v>
      </c>
      <c r="B3132" s="1">
        <v>8</v>
      </c>
      <c r="C3132" s="3">
        <v>8115271810102</v>
      </c>
      <c r="D3132" s="2">
        <v>44591.416666666664</v>
      </c>
      <c r="E3132" s="2">
        <v>44591.579861111109</v>
      </c>
      <c r="F3132" s="23">
        <f t="shared" si="144"/>
        <v>0.16319444444525288</v>
      </c>
      <c r="G3132" s="24">
        <f t="shared" si="146"/>
        <v>76.595744680471626</v>
      </c>
      <c r="H3132" s="1" t="s">
        <v>1</v>
      </c>
      <c r="I3132" s="4" t="s">
        <v>3</v>
      </c>
      <c r="J3132" s="14">
        <v>0.41666666666666669</v>
      </c>
      <c r="K3132" s="20" t="str">
        <f t="shared" si="145"/>
        <v>1st Shift</v>
      </c>
    </row>
    <row r="3133" spans="1:11" x14ac:dyDescent="0.25">
      <c r="A3133" s="1">
        <v>3132</v>
      </c>
      <c r="B3133" s="1">
        <v>5</v>
      </c>
      <c r="C3133" s="3">
        <v>5115271258900</v>
      </c>
      <c r="D3133" s="2">
        <v>44591.416666666664</v>
      </c>
      <c r="E3133" s="2">
        <v>44591.579861111109</v>
      </c>
      <c r="F3133" s="23">
        <f t="shared" si="144"/>
        <v>0.16319444444525288</v>
      </c>
      <c r="G3133" s="24">
        <f t="shared" si="146"/>
        <v>76.595744680471626</v>
      </c>
      <c r="H3133" s="1" t="s">
        <v>1</v>
      </c>
      <c r="I3133" s="4" t="s">
        <v>2</v>
      </c>
      <c r="J3133" s="14">
        <v>0.41666666666666669</v>
      </c>
      <c r="K3133" s="20" t="str">
        <f t="shared" si="145"/>
        <v>1st Shift</v>
      </c>
    </row>
    <row r="3134" spans="1:11" x14ac:dyDescent="0.25">
      <c r="A3134" s="1">
        <v>3133</v>
      </c>
      <c r="B3134" s="1">
        <v>3</v>
      </c>
      <c r="C3134" s="3">
        <v>3115270386301</v>
      </c>
      <c r="D3134" s="2">
        <v>44591.416666666664</v>
      </c>
      <c r="E3134" s="2">
        <v>44591.579861111109</v>
      </c>
      <c r="F3134" s="23">
        <f t="shared" si="144"/>
        <v>0.16319444444525288</v>
      </c>
      <c r="G3134" s="24">
        <f t="shared" si="146"/>
        <v>76.595744680471626</v>
      </c>
      <c r="H3134" s="1" t="s">
        <v>1</v>
      </c>
      <c r="I3134" s="4" t="s">
        <v>4</v>
      </c>
      <c r="J3134" s="14">
        <v>0.41666666666666669</v>
      </c>
      <c r="K3134" s="20" t="str">
        <f t="shared" si="145"/>
        <v>1st Shift</v>
      </c>
    </row>
    <row r="3135" spans="1:11" x14ac:dyDescent="0.25">
      <c r="A3135" s="1">
        <v>3134</v>
      </c>
      <c r="B3135" s="1">
        <v>3</v>
      </c>
      <c r="C3135" s="3">
        <v>3115270309200</v>
      </c>
      <c r="D3135" s="2">
        <v>44591.416666666664</v>
      </c>
      <c r="E3135" s="2">
        <v>44591.579861111109</v>
      </c>
      <c r="F3135" s="23">
        <f t="shared" si="144"/>
        <v>0.16319444444525288</v>
      </c>
      <c r="G3135" s="24">
        <f t="shared" si="146"/>
        <v>76.595744680471626</v>
      </c>
      <c r="H3135" s="1" t="s">
        <v>1</v>
      </c>
      <c r="I3135" s="4" t="s">
        <v>2</v>
      </c>
      <c r="J3135" s="14">
        <v>0.41666666666666669</v>
      </c>
      <c r="K3135" s="20" t="str">
        <f t="shared" si="145"/>
        <v>1st Shift</v>
      </c>
    </row>
    <row r="3136" spans="1:11" x14ac:dyDescent="0.25">
      <c r="A3136" s="1">
        <v>3135</v>
      </c>
      <c r="B3136" s="1">
        <v>1</v>
      </c>
      <c r="C3136" s="3">
        <v>1115270151300</v>
      </c>
      <c r="D3136" s="2">
        <v>44591.506944444445</v>
      </c>
      <c r="E3136" s="2">
        <v>44591.579861111109</v>
      </c>
      <c r="F3136" s="23">
        <f t="shared" si="144"/>
        <v>7.2916666664241347E-2</v>
      </c>
      <c r="G3136" s="24">
        <f t="shared" si="146"/>
        <v>171.42857143427341</v>
      </c>
      <c r="H3136" s="1" t="s">
        <v>1</v>
      </c>
      <c r="I3136" s="4" t="s">
        <v>3</v>
      </c>
      <c r="J3136" s="14">
        <v>0.50694444444444442</v>
      </c>
      <c r="K3136" s="20" t="str">
        <f t="shared" si="145"/>
        <v>1st Shift</v>
      </c>
    </row>
    <row r="3137" spans="1:11" x14ac:dyDescent="0.25">
      <c r="A3137" s="1">
        <v>3136</v>
      </c>
      <c r="B3137" s="1">
        <v>7</v>
      </c>
      <c r="C3137" s="3">
        <v>7115271762506</v>
      </c>
      <c r="D3137" s="2">
        <v>44591.75</v>
      </c>
      <c r="E3137" s="2">
        <v>44591.838194444441</v>
      </c>
      <c r="F3137" s="23">
        <f t="shared" si="144"/>
        <v>8.819444444088731E-2</v>
      </c>
      <c r="G3137" s="24">
        <f t="shared" si="146"/>
        <v>141.73228347028339</v>
      </c>
      <c r="H3137" s="1" t="s">
        <v>1</v>
      </c>
      <c r="I3137" s="4" t="s">
        <v>4</v>
      </c>
      <c r="J3137" s="14">
        <v>0.75</v>
      </c>
      <c r="K3137" s="20" t="str">
        <f t="shared" si="145"/>
        <v>2nd Shift</v>
      </c>
    </row>
    <row r="3138" spans="1:11" x14ac:dyDescent="0.25">
      <c r="A3138" s="1">
        <v>3137</v>
      </c>
      <c r="B3138" s="1">
        <v>6</v>
      </c>
      <c r="C3138" s="3">
        <v>6115271699100</v>
      </c>
      <c r="D3138" s="2">
        <v>44591.638888888891</v>
      </c>
      <c r="E3138" s="2">
        <v>44591.838194444441</v>
      </c>
      <c r="F3138" s="23">
        <f t="shared" ref="F3138:F3201" si="147">E3138-D3138</f>
        <v>0.19930555555038154</v>
      </c>
      <c r="G3138" s="24">
        <f t="shared" si="146"/>
        <v>62.717770036471379</v>
      </c>
      <c r="H3138" s="1" t="s">
        <v>1</v>
      </c>
      <c r="I3138" s="4" t="s">
        <v>3</v>
      </c>
      <c r="J3138" s="14">
        <v>0.63888888888888884</v>
      </c>
      <c r="K3138" s="20" t="str">
        <f t="shared" ref="K3138:K3201" si="148">IF(AND(J3138&gt;=$M$3,J3138&lt;$M$4),"1st Shift",IF(AND(J3138&gt;=$M$4,J3138&lt;$M$5),"2nd Shift","3rd Shift"))</f>
        <v>2nd Shift</v>
      </c>
    </row>
    <row r="3139" spans="1:11" x14ac:dyDescent="0.25">
      <c r="A3139" s="1">
        <v>3138</v>
      </c>
      <c r="B3139" s="1">
        <v>2</v>
      </c>
      <c r="C3139" s="3">
        <v>2115270233800</v>
      </c>
      <c r="D3139" s="2">
        <v>44591.647916666669</v>
      </c>
      <c r="E3139" s="2">
        <v>44591.838194444441</v>
      </c>
      <c r="F3139" s="23">
        <f t="shared" si="147"/>
        <v>0.19027777777228039</v>
      </c>
      <c r="G3139" s="24">
        <f t="shared" ref="G3139:G3202" si="149">$M$9/F3139*100</f>
        <v>65.693430658832284</v>
      </c>
      <c r="H3139" s="1" t="s">
        <v>1</v>
      </c>
      <c r="I3139" s="4" t="s">
        <v>2</v>
      </c>
      <c r="J3139" s="14">
        <v>0.6479166666666667</v>
      </c>
      <c r="K3139" s="20" t="str">
        <f t="shared" si="148"/>
        <v>2nd Shift</v>
      </c>
    </row>
    <row r="3140" spans="1:11" x14ac:dyDescent="0.25">
      <c r="A3140" s="1">
        <v>3139</v>
      </c>
      <c r="B3140" s="1">
        <v>2</v>
      </c>
      <c r="C3140" s="3">
        <v>2115270218303</v>
      </c>
      <c r="D3140" s="2">
        <v>44591.638888888891</v>
      </c>
      <c r="E3140" s="2">
        <v>44591.838194444441</v>
      </c>
      <c r="F3140" s="23">
        <f t="shared" si="147"/>
        <v>0.19930555555038154</v>
      </c>
      <c r="G3140" s="24">
        <f t="shared" si="149"/>
        <v>62.717770036471379</v>
      </c>
      <c r="H3140" s="1" t="s">
        <v>1</v>
      </c>
      <c r="I3140" s="4" t="s">
        <v>2</v>
      </c>
      <c r="J3140" s="14">
        <v>0.63888888888888884</v>
      </c>
      <c r="K3140" s="20" t="str">
        <f t="shared" si="148"/>
        <v>2nd Shift</v>
      </c>
    </row>
    <row r="3141" spans="1:11" x14ac:dyDescent="0.25">
      <c r="A3141" s="1">
        <v>3140</v>
      </c>
      <c r="B3141" s="1">
        <v>1</v>
      </c>
      <c r="C3141" s="3">
        <v>1115270143500</v>
      </c>
      <c r="D3141" s="2">
        <v>44591.638888888891</v>
      </c>
      <c r="E3141" s="2">
        <v>44591.838194444441</v>
      </c>
      <c r="F3141" s="23">
        <f t="shared" si="147"/>
        <v>0.19930555555038154</v>
      </c>
      <c r="G3141" s="24">
        <f t="shared" si="149"/>
        <v>62.717770036471379</v>
      </c>
      <c r="H3141" s="1" t="s">
        <v>1</v>
      </c>
      <c r="I3141" s="4" t="s">
        <v>2</v>
      </c>
      <c r="J3141" s="14">
        <v>0.63888888888888884</v>
      </c>
      <c r="K3141" s="20" t="str">
        <f t="shared" si="148"/>
        <v>2nd Shift</v>
      </c>
    </row>
    <row r="3142" spans="1:11" x14ac:dyDescent="0.25">
      <c r="A3142" s="1">
        <v>3141</v>
      </c>
      <c r="B3142" s="1">
        <v>1</v>
      </c>
      <c r="C3142" s="3">
        <v>1115270101700</v>
      </c>
      <c r="D3142" s="2">
        <v>44591.647916666669</v>
      </c>
      <c r="E3142" s="2">
        <v>44591.838194444441</v>
      </c>
      <c r="F3142" s="23">
        <f t="shared" si="147"/>
        <v>0.19027777777228039</v>
      </c>
      <c r="G3142" s="24">
        <f t="shared" si="149"/>
        <v>65.693430658832284</v>
      </c>
      <c r="H3142" s="1" t="s">
        <v>1</v>
      </c>
      <c r="I3142" s="4" t="s">
        <v>3</v>
      </c>
      <c r="J3142" s="14">
        <v>0.6479166666666667</v>
      </c>
      <c r="K3142" s="20" t="str">
        <f t="shared" si="148"/>
        <v>2nd Shift</v>
      </c>
    </row>
    <row r="3143" spans="1:11" x14ac:dyDescent="0.25">
      <c r="A3143" s="1">
        <v>3142</v>
      </c>
      <c r="B3143" s="1">
        <v>6</v>
      </c>
      <c r="C3143" s="3">
        <v>6115271727500</v>
      </c>
      <c r="D3143" s="2">
        <v>44591.972222222219</v>
      </c>
      <c r="E3143" s="2">
        <v>44592.010416666664</v>
      </c>
      <c r="F3143" s="23">
        <f t="shared" si="147"/>
        <v>3.8194444445252884E-2</v>
      </c>
      <c r="G3143" s="24">
        <f t="shared" si="149"/>
        <v>327.27272726580009</v>
      </c>
      <c r="H3143" s="1" t="s">
        <v>1</v>
      </c>
      <c r="I3143" s="4" t="s">
        <v>4</v>
      </c>
      <c r="J3143" s="14">
        <v>0.97222222222222221</v>
      </c>
      <c r="K3143" s="20" t="str">
        <f t="shared" si="148"/>
        <v>3rd Shift</v>
      </c>
    </row>
    <row r="3144" spans="1:11" x14ac:dyDescent="0.25">
      <c r="A3144" s="1">
        <v>3143</v>
      </c>
      <c r="B3144" s="1">
        <v>12</v>
      </c>
      <c r="C3144" s="3">
        <v>12115271582101</v>
      </c>
      <c r="D3144" s="2">
        <v>44592.059027777781</v>
      </c>
      <c r="E3144" s="2">
        <v>44592.125</v>
      </c>
      <c r="F3144" s="23">
        <f t="shared" si="147"/>
        <v>6.5972222218988463E-2</v>
      </c>
      <c r="G3144" s="24">
        <f t="shared" si="149"/>
        <v>189.47368421981375</v>
      </c>
      <c r="H3144" s="1" t="s">
        <v>1</v>
      </c>
      <c r="I3144" s="4" t="s">
        <v>4</v>
      </c>
      <c r="J3144" s="14">
        <v>5.9027777777777776E-2</v>
      </c>
      <c r="K3144" s="20" t="str">
        <f t="shared" si="148"/>
        <v>3rd Shift</v>
      </c>
    </row>
    <row r="3145" spans="1:11" x14ac:dyDescent="0.25">
      <c r="A3145" s="1">
        <v>3144</v>
      </c>
      <c r="B3145" s="1">
        <v>11</v>
      </c>
      <c r="C3145" s="3">
        <v>11115271526104</v>
      </c>
      <c r="D3145" s="2">
        <v>44592.059027777781</v>
      </c>
      <c r="E3145" s="2">
        <v>44592.125</v>
      </c>
      <c r="F3145" s="23">
        <f t="shared" si="147"/>
        <v>6.5972222218988463E-2</v>
      </c>
      <c r="G3145" s="24">
        <f t="shared" si="149"/>
        <v>189.47368421981375</v>
      </c>
      <c r="H3145" s="1" t="s">
        <v>1</v>
      </c>
      <c r="I3145" s="4" t="s">
        <v>2</v>
      </c>
      <c r="J3145" s="14">
        <v>5.9027777777777776E-2</v>
      </c>
      <c r="K3145" s="20" t="str">
        <f t="shared" si="148"/>
        <v>3rd Shift</v>
      </c>
    </row>
    <row r="3146" spans="1:11" x14ac:dyDescent="0.25">
      <c r="A3146" s="1">
        <v>3145</v>
      </c>
      <c r="B3146" s="1">
        <v>7</v>
      </c>
      <c r="C3146" s="3">
        <v>7115271762506</v>
      </c>
      <c r="D3146" s="2">
        <v>44592.059027777781</v>
      </c>
      <c r="E3146" s="2">
        <v>44592.125</v>
      </c>
      <c r="F3146" s="23">
        <f t="shared" si="147"/>
        <v>6.5972222218988463E-2</v>
      </c>
      <c r="G3146" s="24">
        <f t="shared" si="149"/>
        <v>189.47368421981375</v>
      </c>
      <c r="H3146" s="1" t="s">
        <v>1</v>
      </c>
      <c r="I3146" s="4" t="s">
        <v>4</v>
      </c>
      <c r="J3146" s="14">
        <v>5.9027777777777776E-2</v>
      </c>
      <c r="K3146" s="20" t="str">
        <f t="shared" si="148"/>
        <v>3rd Shift</v>
      </c>
    </row>
    <row r="3147" spans="1:11" x14ac:dyDescent="0.25">
      <c r="A3147" s="1">
        <v>3146</v>
      </c>
      <c r="B3147" s="1">
        <v>15</v>
      </c>
      <c r="C3147" s="3">
        <v>15115271775012</v>
      </c>
      <c r="D3147" s="2">
        <v>44592.447916666664</v>
      </c>
      <c r="E3147" s="2">
        <v>44592.607638888891</v>
      </c>
      <c r="F3147" s="23">
        <f t="shared" si="147"/>
        <v>0.15972222222626442</v>
      </c>
      <c r="G3147" s="24">
        <f t="shared" si="149"/>
        <v>78.260869563236795</v>
      </c>
      <c r="H3147" s="1" t="s">
        <v>1</v>
      </c>
      <c r="I3147" s="4" t="s">
        <v>2</v>
      </c>
      <c r="J3147" s="14">
        <v>0.44791666666666669</v>
      </c>
      <c r="K3147" s="20" t="str">
        <f t="shared" si="148"/>
        <v>1st Shift</v>
      </c>
    </row>
    <row r="3148" spans="1:11" x14ac:dyDescent="0.25">
      <c r="A3148" s="1">
        <v>3147</v>
      </c>
      <c r="B3148" s="1">
        <v>14</v>
      </c>
      <c r="C3148" s="3">
        <v>14115271672500</v>
      </c>
      <c r="D3148" s="2">
        <v>44592.447916666664</v>
      </c>
      <c r="E3148" s="2">
        <v>44592.607638888891</v>
      </c>
      <c r="F3148" s="23">
        <f t="shared" si="147"/>
        <v>0.15972222222626442</v>
      </c>
      <c r="G3148" s="24">
        <f t="shared" si="149"/>
        <v>78.260869563236795</v>
      </c>
      <c r="H3148" s="1" t="s">
        <v>1</v>
      </c>
      <c r="I3148" s="4" t="s">
        <v>2</v>
      </c>
      <c r="J3148" s="14">
        <v>0.44791666666666669</v>
      </c>
      <c r="K3148" s="20" t="str">
        <f t="shared" si="148"/>
        <v>1st Shift</v>
      </c>
    </row>
    <row r="3149" spans="1:11" x14ac:dyDescent="0.25">
      <c r="A3149" s="1">
        <v>3148</v>
      </c>
      <c r="B3149" s="1">
        <v>11</v>
      </c>
      <c r="C3149" s="3">
        <v>11115271547700</v>
      </c>
      <c r="D3149" s="2">
        <v>44592.447916666664</v>
      </c>
      <c r="E3149" s="2">
        <v>44592.607638888891</v>
      </c>
      <c r="F3149" s="23">
        <f t="shared" si="147"/>
        <v>0.15972222222626442</v>
      </c>
      <c r="G3149" s="24">
        <f t="shared" si="149"/>
        <v>78.260869563236795</v>
      </c>
      <c r="H3149" s="1" t="s">
        <v>1</v>
      </c>
      <c r="I3149" s="4" t="s">
        <v>2</v>
      </c>
      <c r="J3149" s="14">
        <v>0.44791666666666669</v>
      </c>
      <c r="K3149" s="20" t="str">
        <f t="shared" si="148"/>
        <v>1st Shift</v>
      </c>
    </row>
    <row r="3150" spans="1:11" x14ac:dyDescent="0.25">
      <c r="A3150" s="1">
        <v>3149</v>
      </c>
      <c r="B3150" s="1">
        <v>11</v>
      </c>
      <c r="C3150" s="3">
        <v>11115271538500</v>
      </c>
      <c r="D3150" s="2">
        <v>44592.447916666664</v>
      </c>
      <c r="E3150" s="2">
        <v>44592.607638888891</v>
      </c>
      <c r="F3150" s="23">
        <f t="shared" si="147"/>
        <v>0.15972222222626442</v>
      </c>
      <c r="G3150" s="24">
        <f t="shared" si="149"/>
        <v>78.260869563236795</v>
      </c>
      <c r="H3150" s="1" t="s">
        <v>1</v>
      </c>
      <c r="I3150" s="4" t="s">
        <v>2</v>
      </c>
      <c r="J3150" s="14">
        <v>0.44791666666666669</v>
      </c>
      <c r="K3150" s="20" t="str">
        <f t="shared" si="148"/>
        <v>1st Shift</v>
      </c>
    </row>
    <row r="3151" spans="1:11" x14ac:dyDescent="0.25">
      <c r="A3151" s="1">
        <v>3150</v>
      </c>
      <c r="B3151" s="1">
        <v>10</v>
      </c>
      <c r="C3151" s="3">
        <v>10115271965200</v>
      </c>
      <c r="D3151" s="2">
        <v>44592.447916666664</v>
      </c>
      <c r="E3151" s="2">
        <v>44592.607638888891</v>
      </c>
      <c r="F3151" s="23">
        <f t="shared" si="147"/>
        <v>0.15972222222626442</v>
      </c>
      <c r="G3151" s="24">
        <f t="shared" si="149"/>
        <v>78.260869563236795</v>
      </c>
      <c r="H3151" s="1" t="s">
        <v>1</v>
      </c>
      <c r="I3151" s="4" t="s">
        <v>2</v>
      </c>
      <c r="J3151" s="14">
        <v>0.44791666666666669</v>
      </c>
      <c r="K3151" s="20" t="str">
        <f t="shared" si="148"/>
        <v>1st Shift</v>
      </c>
    </row>
    <row r="3152" spans="1:11" x14ac:dyDescent="0.25">
      <c r="A3152" s="1">
        <v>3151</v>
      </c>
      <c r="B3152" s="1">
        <v>10</v>
      </c>
      <c r="C3152" s="3">
        <v>10115271468700</v>
      </c>
      <c r="D3152" s="2">
        <v>44592.447916666664</v>
      </c>
      <c r="E3152" s="2">
        <v>44592.607638888891</v>
      </c>
      <c r="F3152" s="23">
        <f t="shared" si="147"/>
        <v>0.15972222222626442</v>
      </c>
      <c r="G3152" s="24">
        <f t="shared" si="149"/>
        <v>78.260869563236795</v>
      </c>
      <c r="H3152" s="1" t="s">
        <v>1</v>
      </c>
      <c r="I3152" s="4" t="s">
        <v>3</v>
      </c>
      <c r="J3152" s="14">
        <v>0.44791666666666669</v>
      </c>
      <c r="K3152" s="20" t="str">
        <f t="shared" si="148"/>
        <v>1st Shift</v>
      </c>
    </row>
    <row r="3153" spans="1:11" x14ac:dyDescent="0.25">
      <c r="A3153" s="1">
        <v>3152</v>
      </c>
      <c r="B3153" s="1">
        <v>11</v>
      </c>
      <c r="C3153" s="3">
        <v>11115271542606</v>
      </c>
      <c r="D3153" s="2">
        <v>44592.774305555555</v>
      </c>
      <c r="E3153" s="2">
        <v>44592.829861111109</v>
      </c>
      <c r="F3153" s="23">
        <f t="shared" si="147"/>
        <v>5.5555555554747116E-2</v>
      </c>
      <c r="G3153" s="24">
        <f t="shared" si="149"/>
        <v>225.00000000327418</v>
      </c>
      <c r="H3153" s="1" t="s">
        <v>1</v>
      </c>
      <c r="I3153" s="4" t="s">
        <v>3</v>
      </c>
      <c r="J3153" s="14">
        <v>0.77430555555555558</v>
      </c>
      <c r="K3153" s="20" t="str">
        <f t="shared" si="148"/>
        <v>2nd Shift</v>
      </c>
    </row>
    <row r="3154" spans="1:11" x14ac:dyDescent="0.25">
      <c r="A3154" s="1">
        <v>3153</v>
      </c>
      <c r="B3154" s="1">
        <v>7</v>
      </c>
      <c r="C3154" s="3">
        <v>7115271762200</v>
      </c>
      <c r="D3154" s="2">
        <v>44592.774305555555</v>
      </c>
      <c r="E3154" s="2">
        <v>44592.829861111109</v>
      </c>
      <c r="F3154" s="23">
        <f t="shared" si="147"/>
        <v>5.5555555554747116E-2</v>
      </c>
      <c r="G3154" s="24">
        <f t="shared" si="149"/>
        <v>225.00000000327418</v>
      </c>
      <c r="H3154" s="1" t="s">
        <v>1</v>
      </c>
      <c r="I3154" s="4" t="s">
        <v>8</v>
      </c>
      <c r="J3154" s="14">
        <v>0.77430555555555558</v>
      </c>
      <c r="K3154" s="20" t="str">
        <f t="shared" si="148"/>
        <v>2nd Shift</v>
      </c>
    </row>
    <row r="3155" spans="1:11" x14ac:dyDescent="0.25">
      <c r="A3155" s="1">
        <v>3154</v>
      </c>
      <c r="B3155" s="1">
        <v>2</v>
      </c>
      <c r="C3155" s="3">
        <v>2115270229200</v>
      </c>
      <c r="D3155" s="2">
        <v>44592.774305555555</v>
      </c>
      <c r="E3155" s="2">
        <v>44592.829861111109</v>
      </c>
      <c r="F3155" s="23">
        <f t="shared" si="147"/>
        <v>5.5555555554747116E-2</v>
      </c>
      <c r="G3155" s="24">
        <f t="shared" si="149"/>
        <v>225.00000000327418</v>
      </c>
      <c r="H3155" s="1" t="s">
        <v>1</v>
      </c>
      <c r="I3155" s="4" t="s">
        <v>2</v>
      </c>
      <c r="J3155" s="14">
        <v>0.77430555555555558</v>
      </c>
      <c r="K3155" s="20" t="str">
        <f t="shared" si="148"/>
        <v>2nd Shift</v>
      </c>
    </row>
    <row r="3156" spans="1:11" x14ac:dyDescent="0.25">
      <c r="A3156" s="1">
        <v>3155</v>
      </c>
      <c r="B3156" s="1">
        <v>7</v>
      </c>
      <c r="C3156" s="3">
        <v>7115271768202</v>
      </c>
      <c r="D3156" s="2">
        <v>44592.864583333336</v>
      </c>
      <c r="E3156" s="2">
        <v>44592.899305555555</v>
      </c>
      <c r="F3156" s="23">
        <f t="shared" si="147"/>
        <v>3.4722222218988463E-2</v>
      </c>
      <c r="G3156" s="24">
        <f t="shared" si="149"/>
        <v>360.00000003352761</v>
      </c>
      <c r="H3156" s="1" t="s">
        <v>1</v>
      </c>
      <c r="I3156" s="4" t="s">
        <v>3</v>
      </c>
      <c r="J3156" s="14">
        <v>0.86458333333333337</v>
      </c>
      <c r="K3156" s="20" t="str">
        <f t="shared" si="148"/>
        <v>2nd Shift</v>
      </c>
    </row>
    <row r="3157" spans="1:11" x14ac:dyDescent="0.25">
      <c r="A3157" s="1">
        <v>3156</v>
      </c>
      <c r="B3157" s="1">
        <v>8</v>
      </c>
      <c r="C3157" s="3">
        <v>8115271809902</v>
      </c>
      <c r="D3157" s="2">
        <v>44592.944444444445</v>
      </c>
      <c r="E3157" s="2">
        <v>44593.013888888891</v>
      </c>
      <c r="F3157" s="23">
        <f t="shared" si="147"/>
        <v>6.9444444445252884E-2</v>
      </c>
      <c r="G3157" s="24">
        <f t="shared" si="149"/>
        <v>179.99999999790452</v>
      </c>
      <c r="H3157" s="1" t="s">
        <v>1</v>
      </c>
      <c r="I3157" s="4" t="s">
        <v>2</v>
      </c>
      <c r="J3157" s="14">
        <v>0.94444444444444442</v>
      </c>
      <c r="K3157" s="20" t="str">
        <f t="shared" si="148"/>
        <v>3rd Shift</v>
      </c>
    </row>
    <row r="3158" spans="1:11" x14ac:dyDescent="0.25">
      <c r="A3158" s="1">
        <v>3157</v>
      </c>
      <c r="B3158" s="1">
        <v>3</v>
      </c>
      <c r="C3158" s="3">
        <v>3115270367100</v>
      </c>
      <c r="D3158" s="2">
        <v>44592.944444444445</v>
      </c>
      <c r="E3158" s="2">
        <v>44593.013888888891</v>
      </c>
      <c r="F3158" s="23">
        <f t="shared" si="147"/>
        <v>6.9444444445252884E-2</v>
      </c>
      <c r="G3158" s="24">
        <f t="shared" si="149"/>
        <v>179.99999999790452</v>
      </c>
      <c r="H3158" s="1" t="s">
        <v>1</v>
      </c>
      <c r="I3158" s="4" t="s">
        <v>2</v>
      </c>
      <c r="J3158" s="14">
        <v>0.94444444444444442</v>
      </c>
      <c r="K3158" s="20" t="str">
        <f t="shared" si="148"/>
        <v>3rd Shift</v>
      </c>
    </row>
    <row r="3159" spans="1:11" x14ac:dyDescent="0.25">
      <c r="A3159" s="1">
        <v>3158</v>
      </c>
      <c r="B3159" s="1">
        <v>3</v>
      </c>
      <c r="C3159" s="3">
        <v>3115270316805</v>
      </c>
      <c r="D3159" s="2">
        <v>44592.944444444445</v>
      </c>
      <c r="E3159" s="2">
        <v>44593.013888888891</v>
      </c>
      <c r="F3159" s="23">
        <f t="shared" si="147"/>
        <v>6.9444444445252884E-2</v>
      </c>
      <c r="G3159" s="24">
        <f t="shared" si="149"/>
        <v>179.99999999790452</v>
      </c>
      <c r="H3159" s="1" t="s">
        <v>1</v>
      </c>
      <c r="I3159" s="4" t="s">
        <v>3</v>
      </c>
      <c r="J3159" s="14">
        <v>0.94444444444444442</v>
      </c>
      <c r="K3159" s="20" t="str">
        <f t="shared" si="148"/>
        <v>3rd Shift</v>
      </c>
    </row>
    <row r="3160" spans="1:11" x14ac:dyDescent="0.25">
      <c r="A3160" s="1">
        <v>3159</v>
      </c>
      <c r="B3160" s="1">
        <v>12</v>
      </c>
      <c r="C3160" s="3">
        <v>12115271560117</v>
      </c>
      <c r="D3160" s="2">
        <v>44593.048611111109</v>
      </c>
      <c r="E3160" s="2">
        <v>44593.15625</v>
      </c>
      <c r="F3160" s="23">
        <f t="shared" si="147"/>
        <v>0.10763888889050577</v>
      </c>
      <c r="G3160" s="24">
        <f t="shared" si="149"/>
        <v>116.1290322563201</v>
      </c>
      <c r="H3160" s="1" t="s">
        <v>1</v>
      </c>
      <c r="I3160" s="4" t="s">
        <v>3</v>
      </c>
      <c r="J3160" s="14">
        <v>4.8611111111111112E-2</v>
      </c>
      <c r="K3160" s="20" t="str">
        <f t="shared" si="148"/>
        <v>3rd Shift</v>
      </c>
    </row>
    <row r="3161" spans="1:11" x14ac:dyDescent="0.25">
      <c r="A3161" s="1">
        <v>3160</v>
      </c>
      <c r="B3161" s="1">
        <v>3</v>
      </c>
      <c r="C3161" s="3">
        <v>3115270366706</v>
      </c>
      <c r="D3161" s="2">
        <v>44593.048611111109</v>
      </c>
      <c r="E3161" s="2">
        <v>44593.15625</v>
      </c>
      <c r="F3161" s="23">
        <f t="shared" si="147"/>
        <v>0.10763888889050577</v>
      </c>
      <c r="G3161" s="24">
        <f t="shared" si="149"/>
        <v>116.1290322563201</v>
      </c>
      <c r="H3161" s="1" t="s">
        <v>1</v>
      </c>
      <c r="I3161" s="4" t="s">
        <v>3</v>
      </c>
      <c r="J3161" s="14">
        <v>4.8611111111111112E-2</v>
      </c>
      <c r="K3161" s="20" t="str">
        <f t="shared" si="148"/>
        <v>3rd Shift</v>
      </c>
    </row>
    <row r="3162" spans="1:11" x14ac:dyDescent="0.25">
      <c r="A3162" s="1">
        <v>3161</v>
      </c>
      <c r="B3162" s="1">
        <v>2</v>
      </c>
      <c r="C3162" s="3">
        <v>2115270218303</v>
      </c>
      <c r="D3162" s="2">
        <v>44593.048611111109</v>
      </c>
      <c r="E3162" s="2">
        <v>44593.15625</v>
      </c>
      <c r="F3162" s="23">
        <f t="shared" si="147"/>
        <v>0.10763888889050577</v>
      </c>
      <c r="G3162" s="24">
        <f t="shared" si="149"/>
        <v>116.1290322563201</v>
      </c>
      <c r="H3162" s="1" t="s">
        <v>1</v>
      </c>
      <c r="I3162" s="4" t="s">
        <v>3</v>
      </c>
      <c r="J3162" s="14">
        <v>4.8611111111111112E-2</v>
      </c>
      <c r="K3162" s="20" t="str">
        <f t="shared" si="148"/>
        <v>3rd Shift</v>
      </c>
    </row>
    <row r="3163" spans="1:11" x14ac:dyDescent="0.25">
      <c r="A3163" s="1">
        <v>3162</v>
      </c>
      <c r="B3163" s="1">
        <v>13</v>
      </c>
      <c r="C3163" s="3">
        <v>13115271590508</v>
      </c>
      <c r="D3163" s="2">
        <v>44593.4375</v>
      </c>
      <c r="E3163" s="2">
        <v>44593.5625</v>
      </c>
      <c r="F3163" s="23">
        <f t="shared" si="147"/>
        <v>0.125</v>
      </c>
      <c r="G3163" s="24">
        <f t="shared" si="149"/>
        <v>100</v>
      </c>
      <c r="H3163" s="1" t="s">
        <v>1</v>
      </c>
      <c r="I3163" s="4" t="s">
        <v>3</v>
      </c>
      <c r="J3163" s="14">
        <v>0.4375</v>
      </c>
      <c r="K3163" s="20" t="str">
        <f t="shared" si="148"/>
        <v>1st Shift</v>
      </c>
    </row>
    <row r="3164" spans="1:11" x14ac:dyDescent="0.25">
      <c r="A3164" s="1">
        <v>3163</v>
      </c>
      <c r="B3164" s="1">
        <v>12</v>
      </c>
      <c r="C3164" s="3">
        <v>12115271562908</v>
      </c>
      <c r="D3164" s="2">
        <v>44593.4375</v>
      </c>
      <c r="E3164" s="2">
        <v>44593.5625</v>
      </c>
      <c r="F3164" s="23">
        <f t="shared" si="147"/>
        <v>0.125</v>
      </c>
      <c r="G3164" s="24">
        <f t="shared" si="149"/>
        <v>100</v>
      </c>
      <c r="H3164" s="1" t="s">
        <v>1</v>
      </c>
      <c r="I3164" s="4" t="s">
        <v>4</v>
      </c>
      <c r="J3164" s="14">
        <v>0.4375</v>
      </c>
      <c r="K3164" s="20" t="str">
        <f t="shared" si="148"/>
        <v>1st Shift</v>
      </c>
    </row>
    <row r="3165" spans="1:11" x14ac:dyDescent="0.25">
      <c r="A3165" s="1">
        <v>3164</v>
      </c>
      <c r="B3165" s="1">
        <v>7</v>
      </c>
      <c r="C3165" s="3">
        <v>7115271757500</v>
      </c>
      <c r="D3165" s="2">
        <v>44593.4375</v>
      </c>
      <c r="E3165" s="2">
        <v>44593.5625</v>
      </c>
      <c r="F3165" s="23">
        <f t="shared" si="147"/>
        <v>0.125</v>
      </c>
      <c r="G3165" s="24">
        <f t="shared" si="149"/>
        <v>100</v>
      </c>
      <c r="H3165" s="1" t="s">
        <v>1</v>
      </c>
      <c r="I3165" s="4" t="s">
        <v>3</v>
      </c>
      <c r="J3165" s="14">
        <v>0.4375</v>
      </c>
      <c r="K3165" s="20" t="str">
        <f t="shared" si="148"/>
        <v>1st Shift</v>
      </c>
    </row>
    <row r="3166" spans="1:11" x14ac:dyDescent="0.25">
      <c r="A3166" s="1">
        <v>3165</v>
      </c>
      <c r="B3166" s="1">
        <v>7</v>
      </c>
      <c r="C3166" s="3">
        <v>7115271757204</v>
      </c>
      <c r="D3166" s="2">
        <v>44593.4375</v>
      </c>
      <c r="E3166" s="2">
        <v>44593.5625</v>
      </c>
      <c r="F3166" s="23">
        <f t="shared" si="147"/>
        <v>0.125</v>
      </c>
      <c r="G3166" s="24">
        <f t="shared" si="149"/>
        <v>100</v>
      </c>
      <c r="H3166" s="1" t="s">
        <v>1</v>
      </c>
      <c r="I3166" s="4" t="s">
        <v>3</v>
      </c>
      <c r="J3166" s="14">
        <v>0.4375</v>
      </c>
      <c r="K3166" s="20" t="str">
        <f t="shared" si="148"/>
        <v>1st Shift</v>
      </c>
    </row>
    <row r="3167" spans="1:11" x14ac:dyDescent="0.25">
      <c r="A3167" s="1">
        <v>3166</v>
      </c>
      <c r="B3167" s="1">
        <v>3</v>
      </c>
      <c r="C3167" s="3">
        <v>3115270393300</v>
      </c>
      <c r="D3167" s="2">
        <v>44593.4375</v>
      </c>
      <c r="E3167" s="2">
        <v>44593.5625</v>
      </c>
      <c r="F3167" s="23">
        <f t="shared" si="147"/>
        <v>0.125</v>
      </c>
      <c r="G3167" s="24">
        <f t="shared" si="149"/>
        <v>100</v>
      </c>
      <c r="H3167" s="1" t="s">
        <v>1</v>
      </c>
      <c r="I3167" s="4" t="s">
        <v>3</v>
      </c>
      <c r="J3167" s="14">
        <v>0.4375</v>
      </c>
      <c r="K3167" s="20" t="str">
        <f t="shared" si="148"/>
        <v>1st Shift</v>
      </c>
    </row>
    <row r="3168" spans="1:11" x14ac:dyDescent="0.25">
      <c r="A3168" s="1">
        <v>3167</v>
      </c>
      <c r="B3168" s="1">
        <v>3</v>
      </c>
      <c r="C3168" s="3">
        <v>3115270306702</v>
      </c>
      <c r="D3168" s="2">
        <v>44593.4375</v>
      </c>
      <c r="E3168" s="2">
        <v>44593.5625</v>
      </c>
      <c r="F3168" s="23">
        <f t="shared" si="147"/>
        <v>0.125</v>
      </c>
      <c r="G3168" s="24">
        <f t="shared" si="149"/>
        <v>100</v>
      </c>
      <c r="H3168" s="1" t="s">
        <v>1</v>
      </c>
      <c r="I3168" s="4" t="s">
        <v>8</v>
      </c>
      <c r="J3168" s="14">
        <v>0.4375</v>
      </c>
      <c r="K3168" s="20" t="str">
        <f t="shared" si="148"/>
        <v>1st Shift</v>
      </c>
    </row>
    <row r="3169" spans="1:11" x14ac:dyDescent="0.25">
      <c r="A3169" s="1">
        <v>3168</v>
      </c>
      <c r="B3169" s="1">
        <v>2</v>
      </c>
      <c r="C3169" s="3">
        <v>2115270232500</v>
      </c>
      <c r="D3169" s="2">
        <v>44593.4375</v>
      </c>
      <c r="E3169" s="2">
        <v>44593.5625</v>
      </c>
      <c r="F3169" s="23">
        <f t="shared" si="147"/>
        <v>0.125</v>
      </c>
      <c r="G3169" s="24">
        <f t="shared" si="149"/>
        <v>100</v>
      </c>
      <c r="H3169" s="1" t="s">
        <v>1</v>
      </c>
      <c r="I3169" s="4" t="s">
        <v>8</v>
      </c>
      <c r="J3169" s="14">
        <v>0.4375</v>
      </c>
      <c r="K3169" s="20" t="str">
        <f t="shared" si="148"/>
        <v>1st Shift</v>
      </c>
    </row>
    <row r="3170" spans="1:11" x14ac:dyDescent="0.25">
      <c r="A3170" s="1">
        <v>3169</v>
      </c>
      <c r="B3170" s="1">
        <v>8</v>
      </c>
      <c r="C3170" s="3">
        <v>8115270614200</v>
      </c>
      <c r="D3170" s="2">
        <v>44593.9375</v>
      </c>
      <c r="E3170" s="2">
        <v>44593.986111111109</v>
      </c>
      <c r="F3170" s="23">
        <f t="shared" si="147"/>
        <v>4.8611111109494232E-2</v>
      </c>
      <c r="G3170" s="24">
        <f t="shared" si="149"/>
        <v>257.14285715141011</v>
      </c>
      <c r="H3170" s="1" t="s">
        <v>1</v>
      </c>
      <c r="I3170" s="4" t="s">
        <v>3</v>
      </c>
      <c r="J3170" s="14">
        <v>0.9375</v>
      </c>
      <c r="K3170" s="20" t="str">
        <f t="shared" si="148"/>
        <v>3rd Shift</v>
      </c>
    </row>
    <row r="3171" spans="1:11" x14ac:dyDescent="0.25">
      <c r="A3171" s="1">
        <v>3170</v>
      </c>
      <c r="B3171" s="1">
        <v>12</v>
      </c>
      <c r="C3171" s="3">
        <v>12115271573215</v>
      </c>
      <c r="D3171" s="2">
        <v>44594.368055555555</v>
      </c>
      <c r="E3171" s="2">
        <v>44594.520833333336</v>
      </c>
      <c r="F3171" s="23">
        <f t="shared" si="147"/>
        <v>0.15277777778101154</v>
      </c>
      <c r="G3171" s="24">
        <f t="shared" si="149"/>
        <v>81.818181816450021</v>
      </c>
      <c r="H3171" s="1" t="s">
        <v>1</v>
      </c>
      <c r="I3171" s="4" t="s">
        <v>2</v>
      </c>
      <c r="J3171" s="14">
        <v>0.36805555555555558</v>
      </c>
      <c r="K3171" s="20" t="str">
        <f t="shared" si="148"/>
        <v>1st Shift</v>
      </c>
    </row>
    <row r="3172" spans="1:11" x14ac:dyDescent="0.25">
      <c r="A3172" s="1">
        <v>3171</v>
      </c>
      <c r="B3172" s="1">
        <v>7</v>
      </c>
      <c r="C3172" s="3">
        <v>7115271757204</v>
      </c>
      <c r="D3172" s="2">
        <v>44594.420138888891</v>
      </c>
      <c r="E3172" s="2">
        <v>44594.520833333336</v>
      </c>
      <c r="F3172" s="23">
        <f t="shared" si="147"/>
        <v>0.10069444444525288</v>
      </c>
      <c r="G3172" s="24">
        <f t="shared" si="149"/>
        <v>124.1379310334861</v>
      </c>
      <c r="H3172" s="1" t="s">
        <v>1</v>
      </c>
      <c r="I3172" s="4" t="s">
        <v>2</v>
      </c>
      <c r="J3172" s="14">
        <v>0.4201388888888889</v>
      </c>
      <c r="K3172" s="20" t="str">
        <f t="shared" si="148"/>
        <v>1st Shift</v>
      </c>
    </row>
    <row r="3173" spans="1:11" x14ac:dyDescent="0.25">
      <c r="A3173" s="1">
        <v>3172</v>
      </c>
      <c r="B3173" s="1">
        <v>6</v>
      </c>
      <c r="C3173" s="3">
        <v>6115271717215</v>
      </c>
      <c r="D3173" s="2">
        <v>44594.368055555555</v>
      </c>
      <c r="E3173" s="2">
        <v>44594.520833333336</v>
      </c>
      <c r="F3173" s="23">
        <f t="shared" si="147"/>
        <v>0.15277777778101154</v>
      </c>
      <c r="G3173" s="24">
        <f t="shared" si="149"/>
        <v>81.818181816450021</v>
      </c>
      <c r="H3173" s="1" t="s">
        <v>1</v>
      </c>
      <c r="I3173" s="4" t="s">
        <v>3</v>
      </c>
      <c r="J3173" s="14">
        <v>0.36805555555555558</v>
      </c>
      <c r="K3173" s="20" t="str">
        <f t="shared" si="148"/>
        <v>1st Shift</v>
      </c>
    </row>
    <row r="3174" spans="1:11" x14ac:dyDescent="0.25">
      <c r="A3174" s="1">
        <v>3173</v>
      </c>
      <c r="B3174" s="1">
        <v>5</v>
      </c>
      <c r="C3174" s="3">
        <v>5115270974805</v>
      </c>
      <c r="D3174" s="2">
        <v>44594.385416666664</v>
      </c>
      <c r="E3174" s="2">
        <v>44594.520833333336</v>
      </c>
      <c r="F3174" s="23">
        <f t="shared" si="147"/>
        <v>0.13541666667151731</v>
      </c>
      <c r="G3174" s="24">
        <f t="shared" si="149"/>
        <v>92.307692304385839</v>
      </c>
      <c r="H3174" s="1" t="s">
        <v>1</v>
      </c>
      <c r="I3174" s="4" t="s">
        <v>3</v>
      </c>
      <c r="J3174" s="14">
        <v>0.38541666666666669</v>
      </c>
      <c r="K3174" s="20" t="str">
        <f t="shared" si="148"/>
        <v>1st Shift</v>
      </c>
    </row>
    <row r="3175" spans="1:11" x14ac:dyDescent="0.25">
      <c r="A3175" s="1">
        <v>3174</v>
      </c>
      <c r="B3175" s="1">
        <v>12</v>
      </c>
      <c r="C3175" s="3">
        <v>12115271573210</v>
      </c>
      <c r="D3175" s="2">
        <v>44594.53125</v>
      </c>
      <c r="E3175" s="2">
        <v>44594.611111111109</v>
      </c>
      <c r="F3175" s="23">
        <f t="shared" si="147"/>
        <v>7.9861111109494232E-2</v>
      </c>
      <c r="G3175" s="24">
        <f t="shared" si="149"/>
        <v>156.52173913360375</v>
      </c>
      <c r="H3175" s="1" t="s">
        <v>1</v>
      </c>
      <c r="I3175" s="4" t="s">
        <v>2</v>
      </c>
      <c r="J3175" s="14">
        <v>0.53125</v>
      </c>
      <c r="K3175" s="20" t="str">
        <f t="shared" si="148"/>
        <v>1st Shift</v>
      </c>
    </row>
    <row r="3176" spans="1:11" x14ac:dyDescent="0.25">
      <c r="A3176" s="1">
        <v>3175</v>
      </c>
      <c r="B3176" s="1">
        <v>1</v>
      </c>
      <c r="C3176" s="3">
        <v>1115270067700</v>
      </c>
      <c r="D3176" s="2">
        <v>44594.527777777781</v>
      </c>
      <c r="E3176" s="2">
        <v>44594.611111111109</v>
      </c>
      <c r="F3176" s="23">
        <f t="shared" si="147"/>
        <v>8.3333333328482695E-2</v>
      </c>
      <c r="G3176" s="24">
        <f t="shared" si="149"/>
        <v>150.00000000873115</v>
      </c>
      <c r="H3176" s="1" t="s">
        <v>1</v>
      </c>
      <c r="I3176" s="4" t="s">
        <v>2</v>
      </c>
      <c r="J3176" s="14">
        <v>0.52777777777777779</v>
      </c>
      <c r="K3176" s="20" t="str">
        <f t="shared" si="148"/>
        <v>1st Shift</v>
      </c>
    </row>
    <row r="3177" spans="1:11" x14ac:dyDescent="0.25">
      <c r="A3177" s="1">
        <v>3176</v>
      </c>
      <c r="B3177" s="1">
        <v>12</v>
      </c>
      <c r="C3177" s="3">
        <v>12115271580313</v>
      </c>
      <c r="D3177" s="2">
        <v>44594.75</v>
      </c>
      <c r="E3177" s="2">
        <v>44594.913194444445</v>
      </c>
      <c r="F3177" s="23">
        <f t="shared" si="147"/>
        <v>0.16319444444525288</v>
      </c>
      <c r="G3177" s="24">
        <f t="shared" si="149"/>
        <v>76.595744680471626</v>
      </c>
      <c r="H3177" s="1" t="s">
        <v>1</v>
      </c>
      <c r="I3177" s="4" t="s">
        <v>2</v>
      </c>
      <c r="J3177" s="14">
        <v>0.75</v>
      </c>
      <c r="K3177" s="20" t="str">
        <f t="shared" si="148"/>
        <v>2nd Shift</v>
      </c>
    </row>
    <row r="3178" spans="1:11" x14ac:dyDescent="0.25">
      <c r="A3178" s="1">
        <v>3177</v>
      </c>
      <c r="B3178" s="1">
        <v>12</v>
      </c>
      <c r="C3178" s="3">
        <v>12115271572401</v>
      </c>
      <c r="D3178" s="2">
        <v>44594.645833333336</v>
      </c>
      <c r="E3178" s="2">
        <v>44594.913194444445</v>
      </c>
      <c r="F3178" s="23">
        <f t="shared" si="147"/>
        <v>0.26736111110949423</v>
      </c>
      <c r="G3178" s="24">
        <f t="shared" si="149"/>
        <v>46.753246753529496</v>
      </c>
      <c r="H3178" s="1" t="s">
        <v>1</v>
      </c>
      <c r="I3178" s="4" t="s">
        <v>3</v>
      </c>
      <c r="J3178" s="14">
        <v>0.64583333333333337</v>
      </c>
      <c r="K3178" s="20" t="str">
        <f t="shared" si="148"/>
        <v>2nd Shift</v>
      </c>
    </row>
    <row r="3179" spans="1:11" x14ac:dyDescent="0.25">
      <c r="A3179" s="1">
        <v>3178</v>
      </c>
      <c r="B3179" s="1">
        <v>12</v>
      </c>
      <c r="C3179" s="3">
        <v>12115271572401</v>
      </c>
      <c r="D3179" s="2">
        <v>44594.75</v>
      </c>
      <c r="E3179" s="2">
        <v>44594.913194444445</v>
      </c>
      <c r="F3179" s="23">
        <f t="shared" si="147"/>
        <v>0.16319444444525288</v>
      </c>
      <c r="G3179" s="24">
        <f t="shared" si="149"/>
        <v>76.595744680471626</v>
      </c>
      <c r="H3179" s="1" t="s">
        <v>1</v>
      </c>
      <c r="I3179" s="4" t="s">
        <v>8</v>
      </c>
      <c r="J3179" s="14">
        <v>0.75</v>
      </c>
      <c r="K3179" s="20" t="str">
        <f t="shared" si="148"/>
        <v>2nd Shift</v>
      </c>
    </row>
    <row r="3180" spans="1:11" x14ac:dyDescent="0.25">
      <c r="A3180" s="1">
        <v>3179</v>
      </c>
      <c r="B3180" s="1">
        <v>11</v>
      </c>
      <c r="C3180" s="3">
        <v>11115271552301</v>
      </c>
      <c r="D3180" s="2">
        <v>44594.75</v>
      </c>
      <c r="E3180" s="2">
        <v>44594.913194444445</v>
      </c>
      <c r="F3180" s="23">
        <f t="shared" si="147"/>
        <v>0.16319444444525288</v>
      </c>
      <c r="G3180" s="24">
        <f t="shared" si="149"/>
        <v>76.595744680471626</v>
      </c>
      <c r="H3180" s="1" t="s">
        <v>1</v>
      </c>
      <c r="I3180" s="4" t="s">
        <v>2</v>
      </c>
      <c r="J3180" s="14">
        <v>0.75</v>
      </c>
      <c r="K3180" s="20" t="str">
        <f t="shared" si="148"/>
        <v>2nd Shift</v>
      </c>
    </row>
    <row r="3181" spans="1:11" x14ac:dyDescent="0.25">
      <c r="A3181" s="1">
        <v>3180</v>
      </c>
      <c r="B3181" s="1">
        <v>11</v>
      </c>
      <c r="C3181" s="3">
        <v>11115271551400</v>
      </c>
      <c r="D3181" s="2">
        <v>44594.75</v>
      </c>
      <c r="E3181" s="2">
        <v>44594.913194444445</v>
      </c>
      <c r="F3181" s="23">
        <f t="shared" si="147"/>
        <v>0.16319444444525288</v>
      </c>
      <c r="G3181" s="24">
        <f t="shared" si="149"/>
        <v>76.595744680471626</v>
      </c>
      <c r="H3181" s="1" t="s">
        <v>1</v>
      </c>
      <c r="I3181" s="4" t="s">
        <v>2</v>
      </c>
      <c r="J3181" s="14">
        <v>0.75</v>
      </c>
      <c r="K3181" s="20" t="str">
        <f t="shared" si="148"/>
        <v>2nd Shift</v>
      </c>
    </row>
    <row r="3182" spans="1:11" x14ac:dyDescent="0.25">
      <c r="A3182" s="1">
        <v>3181</v>
      </c>
      <c r="B3182" s="1">
        <v>9</v>
      </c>
      <c r="C3182" s="3">
        <v>9115271913407</v>
      </c>
      <c r="D3182" s="2">
        <v>44594.75</v>
      </c>
      <c r="E3182" s="2">
        <v>44594.913194444445</v>
      </c>
      <c r="F3182" s="23">
        <f t="shared" si="147"/>
        <v>0.16319444444525288</v>
      </c>
      <c r="G3182" s="24">
        <f t="shared" si="149"/>
        <v>76.595744680471626</v>
      </c>
      <c r="H3182" s="1" t="s">
        <v>1</v>
      </c>
      <c r="I3182" s="4" t="s">
        <v>2</v>
      </c>
      <c r="J3182" s="14">
        <v>0.75</v>
      </c>
      <c r="K3182" s="20" t="str">
        <f t="shared" si="148"/>
        <v>2nd Shift</v>
      </c>
    </row>
    <row r="3183" spans="1:11" x14ac:dyDescent="0.25">
      <c r="A3183" s="1">
        <v>3182</v>
      </c>
      <c r="B3183" s="1">
        <v>8</v>
      </c>
      <c r="C3183" s="3">
        <v>8115271809910</v>
      </c>
      <c r="D3183" s="2">
        <v>44594.645833333336</v>
      </c>
      <c r="E3183" s="2">
        <v>44594.913194444445</v>
      </c>
      <c r="F3183" s="23">
        <f t="shared" si="147"/>
        <v>0.26736111110949423</v>
      </c>
      <c r="G3183" s="24">
        <f t="shared" si="149"/>
        <v>46.753246753529496</v>
      </c>
      <c r="H3183" s="1" t="s">
        <v>1</v>
      </c>
      <c r="I3183" s="4" t="s">
        <v>3</v>
      </c>
      <c r="J3183" s="14">
        <v>0.64583333333333337</v>
      </c>
      <c r="K3183" s="20" t="str">
        <f t="shared" si="148"/>
        <v>2nd Shift</v>
      </c>
    </row>
    <row r="3184" spans="1:11" x14ac:dyDescent="0.25">
      <c r="A3184" s="1">
        <v>3183</v>
      </c>
      <c r="B3184" s="1">
        <v>7</v>
      </c>
      <c r="C3184" s="3">
        <v>7115271768104</v>
      </c>
      <c r="D3184" s="2">
        <v>44594.645833333336</v>
      </c>
      <c r="E3184" s="2">
        <v>44594.913194444445</v>
      </c>
      <c r="F3184" s="23">
        <f t="shared" si="147"/>
        <v>0.26736111110949423</v>
      </c>
      <c r="G3184" s="24">
        <f t="shared" si="149"/>
        <v>46.753246753529496</v>
      </c>
      <c r="H3184" s="1" t="s">
        <v>1</v>
      </c>
      <c r="I3184" s="4" t="s">
        <v>2</v>
      </c>
      <c r="J3184" s="14">
        <v>0.64583333333333337</v>
      </c>
      <c r="K3184" s="20" t="str">
        <f t="shared" si="148"/>
        <v>2nd Shift</v>
      </c>
    </row>
    <row r="3185" spans="1:11" x14ac:dyDescent="0.25">
      <c r="A3185" s="1">
        <v>3184</v>
      </c>
      <c r="B3185" s="1">
        <v>5</v>
      </c>
      <c r="C3185" s="3">
        <v>5115271244800</v>
      </c>
      <c r="D3185" s="2">
        <v>44594.75</v>
      </c>
      <c r="E3185" s="2">
        <v>44594.913194444445</v>
      </c>
      <c r="F3185" s="23">
        <f t="shared" si="147"/>
        <v>0.16319444444525288</v>
      </c>
      <c r="G3185" s="24">
        <f t="shared" si="149"/>
        <v>76.595744680471626</v>
      </c>
      <c r="H3185" s="1" t="s">
        <v>1</v>
      </c>
      <c r="I3185" s="4" t="s">
        <v>2</v>
      </c>
      <c r="J3185" s="14">
        <v>0.75</v>
      </c>
      <c r="K3185" s="20" t="str">
        <f t="shared" si="148"/>
        <v>2nd Shift</v>
      </c>
    </row>
    <row r="3186" spans="1:11" x14ac:dyDescent="0.25">
      <c r="A3186" s="1">
        <v>3185</v>
      </c>
      <c r="B3186" s="1">
        <v>1</v>
      </c>
      <c r="C3186" s="3">
        <v>1115270127500</v>
      </c>
      <c r="D3186" s="2">
        <v>44594.6875</v>
      </c>
      <c r="E3186" s="2">
        <v>44594.913194444445</v>
      </c>
      <c r="F3186" s="23">
        <f t="shared" si="147"/>
        <v>0.22569444444525288</v>
      </c>
      <c r="G3186" s="24">
        <f t="shared" si="149"/>
        <v>55.384615384416989</v>
      </c>
      <c r="H3186" s="1" t="s">
        <v>1</v>
      </c>
      <c r="I3186" s="4" t="s">
        <v>2</v>
      </c>
      <c r="J3186" s="14">
        <v>0.6875</v>
      </c>
      <c r="K3186" s="20" t="str">
        <f t="shared" si="148"/>
        <v>2nd Shift</v>
      </c>
    </row>
    <row r="3187" spans="1:11" x14ac:dyDescent="0.25">
      <c r="A3187" s="1">
        <v>3186</v>
      </c>
      <c r="B3187" s="1">
        <v>1</v>
      </c>
      <c r="C3187" s="3">
        <v>1115270074200</v>
      </c>
      <c r="D3187" s="2">
        <v>44594.75</v>
      </c>
      <c r="E3187" s="2">
        <v>44594.913194444445</v>
      </c>
      <c r="F3187" s="23">
        <f t="shared" si="147"/>
        <v>0.16319444444525288</v>
      </c>
      <c r="G3187" s="24">
        <f t="shared" si="149"/>
        <v>76.595744680471626</v>
      </c>
      <c r="H3187" s="1" t="s">
        <v>1</v>
      </c>
      <c r="I3187" s="4" t="s">
        <v>2</v>
      </c>
      <c r="J3187" s="14">
        <v>0.75</v>
      </c>
      <c r="K3187" s="20" t="str">
        <f t="shared" si="148"/>
        <v>2nd Shift</v>
      </c>
    </row>
    <row r="3188" spans="1:11" x14ac:dyDescent="0.25">
      <c r="A3188" s="1">
        <v>3187</v>
      </c>
      <c r="B3188" s="1">
        <v>8</v>
      </c>
      <c r="C3188" s="3">
        <v>8115271810106</v>
      </c>
      <c r="D3188" s="2">
        <v>44594.947916666664</v>
      </c>
      <c r="E3188" s="2">
        <v>44594.986111111109</v>
      </c>
      <c r="F3188" s="23">
        <f t="shared" si="147"/>
        <v>3.8194444445252884E-2</v>
      </c>
      <c r="G3188" s="24">
        <f t="shared" si="149"/>
        <v>327.27272726580009</v>
      </c>
      <c r="H3188" s="1" t="s">
        <v>1</v>
      </c>
      <c r="I3188" s="4" t="s">
        <v>2</v>
      </c>
      <c r="J3188" s="14">
        <v>0.94791666666666663</v>
      </c>
      <c r="K3188" s="20" t="str">
        <f t="shared" si="148"/>
        <v>3rd Shift</v>
      </c>
    </row>
    <row r="3189" spans="1:11" x14ac:dyDescent="0.25">
      <c r="A3189" s="1">
        <v>3188</v>
      </c>
      <c r="B3189" s="1">
        <v>7</v>
      </c>
      <c r="C3189" s="3">
        <v>7115271793809</v>
      </c>
      <c r="D3189" s="2">
        <v>44595.000011574077</v>
      </c>
      <c r="E3189" s="2">
        <v>44595.020833333336</v>
      </c>
      <c r="F3189" s="23">
        <f t="shared" si="147"/>
        <v>2.0821759258979E-2</v>
      </c>
      <c r="G3189" s="24">
        <f t="shared" si="149"/>
        <v>600.3335186295368</v>
      </c>
      <c r="H3189" s="1" t="s">
        <v>1</v>
      </c>
      <c r="I3189" s="4" t="s">
        <v>3</v>
      </c>
      <c r="J3189" s="14">
        <v>1.1574074074074073E-5</v>
      </c>
      <c r="K3189" s="20" t="str">
        <f t="shared" si="148"/>
        <v>3rd Shift</v>
      </c>
    </row>
    <row r="3190" spans="1:11" x14ac:dyDescent="0.25">
      <c r="A3190" s="1">
        <v>3189</v>
      </c>
      <c r="B3190" s="1">
        <v>8</v>
      </c>
      <c r="C3190" s="3">
        <v>8115271820902</v>
      </c>
      <c r="D3190" s="2">
        <v>44595.052083333336</v>
      </c>
      <c r="E3190" s="2">
        <v>44595.097222222219</v>
      </c>
      <c r="F3190" s="23">
        <f t="shared" si="147"/>
        <v>4.5138888883229811E-2</v>
      </c>
      <c r="G3190" s="24">
        <f t="shared" si="149"/>
        <v>276.92307695779488</v>
      </c>
      <c r="H3190" s="1" t="s">
        <v>1</v>
      </c>
      <c r="I3190" s="4" t="s">
        <v>3</v>
      </c>
      <c r="J3190" s="14">
        <v>5.2083333333333336E-2</v>
      </c>
      <c r="K3190" s="20" t="str">
        <f t="shared" si="148"/>
        <v>3rd Shift</v>
      </c>
    </row>
    <row r="3191" spans="1:11" x14ac:dyDescent="0.25">
      <c r="A3191" s="1">
        <v>3190</v>
      </c>
      <c r="B3191" s="1">
        <v>14</v>
      </c>
      <c r="C3191" s="3">
        <v>14115271742100</v>
      </c>
      <c r="D3191" s="2">
        <v>44595.513888888891</v>
      </c>
      <c r="E3191" s="2">
        <v>44595.579861111109</v>
      </c>
      <c r="F3191" s="23">
        <f t="shared" si="147"/>
        <v>6.5972222218988463E-2</v>
      </c>
      <c r="G3191" s="24">
        <f t="shared" si="149"/>
        <v>189.47368421981375</v>
      </c>
      <c r="H3191" s="1" t="s">
        <v>1</v>
      </c>
      <c r="I3191" s="4" t="s">
        <v>2</v>
      </c>
      <c r="J3191" s="14">
        <v>0.51388888888888884</v>
      </c>
      <c r="K3191" s="20" t="str">
        <f t="shared" si="148"/>
        <v>1st Shift</v>
      </c>
    </row>
    <row r="3192" spans="1:11" x14ac:dyDescent="0.25">
      <c r="A3192" s="1">
        <v>3191</v>
      </c>
      <c r="B3192" s="1">
        <v>14</v>
      </c>
      <c r="C3192" s="3">
        <v>14115271715600</v>
      </c>
      <c r="D3192" s="2">
        <v>44595.395833333336</v>
      </c>
      <c r="E3192" s="2">
        <v>44595.579861111109</v>
      </c>
      <c r="F3192" s="23">
        <f t="shared" si="147"/>
        <v>0.18402777777373558</v>
      </c>
      <c r="G3192" s="24">
        <f t="shared" si="149"/>
        <v>67.924528303378764</v>
      </c>
      <c r="H3192" s="1" t="s">
        <v>1</v>
      </c>
      <c r="I3192" s="4" t="s">
        <v>2</v>
      </c>
      <c r="J3192" s="14">
        <v>0.39583333333333331</v>
      </c>
      <c r="K3192" s="20" t="str">
        <f t="shared" si="148"/>
        <v>1st Shift</v>
      </c>
    </row>
    <row r="3193" spans="1:11" x14ac:dyDescent="0.25">
      <c r="A3193" s="1">
        <v>3192</v>
      </c>
      <c r="B3193" s="1">
        <v>12</v>
      </c>
      <c r="C3193" s="3">
        <v>12115271579500</v>
      </c>
      <c r="D3193" s="2">
        <v>44595.395833333336</v>
      </c>
      <c r="E3193" s="2">
        <v>44595.579861111109</v>
      </c>
      <c r="F3193" s="23">
        <f t="shared" si="147"/>
        <v>0.18402777777373558</v>
      </c>
      <c r="G3193" s="24">
        <f t="shared" si="149"/>
        <v>67.924528303378764</v>
      </c>
      <c r="H3193" s="1" t="s">
        <v>1</v>
      </c>
      <c r="I3193" s="4" t="s">
        <v>3</v>
      </c>
      <c r="J3193" s="14">
        <v>0.39583333333333331</v>
      </c>
      <c r="K3193" s="20" t="str">
        <f t="shared" si="148"/>
        <v>1st Shift</v>
      </c>
    </row>
    <row r="3194" spans="1:11" x14ac:dyDescent="0.25">
      <c r="A3194" s="1">
        <v>3193</v>
      </c>
      <c r="B3194" s="1">
        <v>11</v>
      </c>
      <c r="C3194" s="3">
        <v>11115271508400</v>
      </c>
      <c r="D3194" s="2">
        <v>44595.434027777781</v>
      </c>
      <c r="E3194" s="2">
        <v>44595.579861111109</v>
      </c>
      <c r="F3194" s="23">
        <f t="shared" si="147"/>
        <v>0.14583333332848269</v>
      </c>
      <c r="G3194" s="24">
        <f t="shared" si="149"/>
        <v>85.714285717136704</v>
      </c>
      <c r="H3194" s="1" t="s">
        <v>1</v>
      </c>
      <c r="I3194" s="4" t="s">
        <v>2</v>
      </c>
      <c r="J3194" s="14">
        <v>0.43402777777777779</v>
      </c>
      <c r="K3194" s="20" t="str">
        <f t="shared" si="148"/>
        <v>1st Shift</v>
      </c>
    </row>
    <row r="3195" spans="1:11" x14ac:dyDescent="0.25">
      <c r="A3195" s="1">
        <v>3194</v>
      </c>
      <c r="B3195" s="1">
        <v>7</v>
      </c>
      <c r="C3195" s="3">
        <v>7115271757605</v>
      </c>
      <c r="D3195" s="2">
        <v>44595.434027777781</v>
      </c>
      <c r="E3195" s="2">
        <v>44595.579861111109</v>
      </c>
      <c r="F3195" s="23">
        <f t="shared" si="147"/>
        <v>0.14583333332848269</v>
      </c>
      <c r="G3195" s="24">
        <f t="shared" si="149"/>
        <v>85.714285717136704</v>
      </c>
      <c r="H3195" s="1" t="s">
        <v>1</v>
      </c>
      <c r="I3195" s="4" t="s">
        <v>2</v>
      </c>
      <c r="J3195" s="14">
        <v>0.43402777777777779</v>
      </c>
      <c r="K3195" s="20" t="str">
        <f t="shared" si="148"/>
        <v>1st Shift</v>
      </c>
    </row>
    <row r="3196" spans="1:11" x14ac:dyDescent="0.25">
      <c r="A3196" s="1">
        <v>3195</v>
      </c>
      <c r="B3196" s="1">
        <v>6</v>
      </c>
      <c r="C3196" s="3">
        <v>6115271729603</v>
      </c>
      <c r="D3196" s="2">
        <v>44595.395833333336</v>
      </c>
      <c r="E3196" s="2">
        <v>44595.579861111109</v>
      </c>
      <c r="F3196" s="23">
        <f t="shared" si="147"/>
        <v>0.18402777777373558</v>
      </c>
      <c r="G3196" s="24">
        <f t="shared" si="149"/>
        <v>67.924528303378764</v>
      </c>
      <c r="H3196" s="1" t="s">
        <v>1</v>
      </c>
      <c r="I3196" s="4" t="s">
        <v>2</v>
      </c>
      <c r="J3196" s="14">
        <v>0.39583333333333331</v>
      </c>
      <c r="K3196" s="20" t="str">
        <f t="shared" si="148"/>
        <v>1st Shift</v>
      </c>
    </row>
    <row r="3197" spans="1:11" x14ac:dyDescent="0.25">
      <c r="A3197" s="1">
        <v>3196</v>
      </c>
      <c r="B3197" s="1">
        <v>3</v>
      </c>
      <c r="C3197" s="3">
        <v>3115270333600</v>
      </c>
      <c r="D3197" s="2">
        <v>44595.395833333336</v>
      </c>
      <c r="E3197" s="2">
        <v>44595.579861111109</v>
      </c>
      <c r="F3197" s="23">
        <f t="shared" si="147"/>
        <v>0.18402777777373558</v>
      </c>
      <c r="G3197" s="24">
        <f t="shared" si="149"/>
        <v>67.924528303378764</v>
      </c>
      <c r="H3197" s="1" t="s">
        <v>1</v>
      </c>
      <c r="I3197" s="4" t="s">
        <v>3</v>
      </c>
      <c r="J3197" s="14">
        <v>0.39583333333333331</v>
      </c>
      <c r="K3197" s="20" t="str">
        <f t="shared" si="148"/>
        <v>1st Shift</v>
      </c>
    </row>
    <row r="3198" spans="1:11" x14ac:dyDescent="0.25">
      <c r="A3198" s="1">
        <v>3197</v>
      </c>
      <c r="B3198" s="1">
        <v>13</v>
      </c>
      <c r="C3198" s="3">
        <v>13115271590701</v>
      </c>
      <c r="D3198" s="2">
        <v>44595.715277777781</v>
      </c>
      <c r="E3198" s="2">
        <v>44595.806944444441</v>
      </c>
      <c r="F3198" s="23">
        <f t="shared" si="147"/>
        <v>9.1666666659875773E-2</v>
      </c>
      <c r="G3198" s="24">
        <f t="shared" si="149"/>
        <v>136.36363637373853</v>
      </c>
      <c r="H3198" s="1" t="s">
        <v>1</v>
      </c>
      <c r="I3198" s="4" t="s">
        <v>2</v>
      </c>
      <c r="J3198" s="14">
        <v>0.71527777777777779</v>
      </c>
      <c r="K3198" s="20" t="str">
        <f t="shared" si="148"/>
        <v>2nd Shift</v>
      </c>
    </row>
    <row r="3199" spans="1:11" x14ac:dyDescent="0.25">
      <c r="A3199" s="1">
        <v>3198</v>
      </c>
      <c r="B3199" s="1">
        <v>12</v>
      </c>
      <c r="C3199" s="3">
        <v>12115271566801</v>
      </c>
      <c r="D3199" s="2">
        <v>44595.715277777781</v>
      </c>
      <c r="E3199" s="2">
        <v>44595.806944444441</v>
      </c>
      <c r="F3199" s="23">
        <f t="shared" si="147"/>
        <v>9.1666666659875773E-2</v>
      </c>
      <c r="G3199" s="24">
        <f t="shared" si="149"/>
        <v>136.36363637373853</v>
      </c>
      <c r="H3199" s="1" t="s">
        <v>1</v>
      </c>
      <c r="I3199" s="4" t="s">
        <v>2</v>
      </c>
      <c r="J3199" s="14">
        <v>0.71527777777777779</v>
      </c>
      <c r="K3199" s="20" t="str">
        <f t="shared" si="148"/>
        <v>2nd Shift</v>
      </c>
    </row>
    <row r="3200" spans="1:11" x14ac:dyDescent="0.25">
      <c r="A3200" s="1">
        <v>3199</v>
      </c>
      <c r="B3200" s="1">
        <v>7</v>
      </c>
      <c r="C3200" s="3">
        <v>7115271768107</v>
      </c>
      <c r="D3200" s="2">
        <v>44595.715277777781</v>
      </c>
      <c r="E3200" s="2">
        <v>44595.806944444441</v>
      </c>
      <c r="F3200" s="23">
        <f t="shared" si="147"/>
        <v>9.1666666659875773E-2</v>
      </c>
      <c r="G3200" s="24">
        <f t="shared" si="149"/>
        <v>136.36363637373853</v>
      </c>
      <c r="H3200" s="1" t="s">
        <v>1</v>
      </c>
      <c r="I3200" s="4" t="s">
        <v>2</v>
      </c>
      <c r="J3200" s="14">
        <v>0.71527777777777779</v>
      </c>
      <c r="K3200" s="20" t="str">
        <f t="shared" si="148"/>
        <v>2nd Shift</v>
      </c>
    </row>
    <row r="3201" spans="1:11" x14ac:dyDescent="0.25">
      <c r="A3201" s="1">
        <v>3200</v>
      </c>
      <c r="B3201" s="1">
        <v>5</v>
      </c>
      <c r="C3201" s="3">
        <v>5115271285900</v>
      </c>
      <c r="D3201" s="2">
        <v>44595.715277777781</v>
      </c>
      <c r="E3201" s="2">
        <v>44595.806944444441</v>
      </c>
      <c r="F3201" s="23">
        <f t="shared" si="147"/>
        <v>9.1666666659875773E-2</v>
      </c>
      <c r="G3201" s="24">
        <f t="shared" si="149"/>
        <v>136.36363637373853</v>
      </c>
      <c r="H3201" s="1" t="s">
        <v>1</v>
      </c>
      <c r="I3201" s="4" t="s">
        <v>2</v>
      </c>
      <c r="J3201" s="14">
        <v>0.71527777777777779</v>
      </c>
      <c r="K3201" s="20" t="str">
        <f t="shared" si="148"/>
        <v>2nd Shift</v>
      </c>
    </row>
    <row r="3202" spans="1:11" x14ac:dyDescent="0.25">
      <c r="A3202" s="1">
        <v>3201</v>
      </c>
      <c r="B3202" s="1">
        <v>1</v>
      </c>
      <c r="C3202" s="3">
        <v>1115270067501</v>
      </c>
      <c r="D3202" s="2">
        <v>44595.715277777781</v>
      </c>
      <c r="E3202" s="2">
        <v>44595.806944444441</v>
      </c>
      <c r="F3202" s="23">
        <f t="shared" ref="F3202:F3265" si="150">E3202-D3202</f>
        <v>9.1666666659875773E-2</v>
      </c>
      <c r="G3202" s="24">
        <f t="shared" si="149"/>
        <v>136.36363637373853</v>
      </c>
      <c r="H3202" s="1" t="s">
        <v>1</v>
      </c>
      <c r="I3202" s="4" t="s">
        <v>2</v>
      </c>
      <c r="J3202" s="14">
        <v>0.71527777777777779</v>
      </c>
      <c r="K3202" s="20" t="str">
        <f t="shared" ref="K3202:K3265" si="151">IF(AND(J3202&gt;=$M$3,J3202&lt;$M$4),"1st Shift",IF(AND(J3202&gt;=$M$4,J3202&lt;$M$5),"2nd Shift","3rd Shift"))</f>
        <v>2nd Shift</v>
      </c>
    </row>
    <row r="3203" spans="1:11" x14ac:dyDescent="0.25">
      <c r="A3203" s="1">
        <v>3202</v>
      </c>
      <c r="B3203" s="1">
        <v>14</v>
      </c>
      <c r="C3203" s="3">
        <v>14115271672700</v>
      </c>
      <c r="D3203" s="2">
        <v>44595.819444444445</v>
      </c>
      <c r="E3203" s="2">
        <v>44595.875</v>
      </c>
      <c r="F3203" s="23">
        <f t="shared" si="150"/>
        <v>5.5555555554747116E-2</v>
      </c>
      <c r="G3203" s="24">
        <f t="shared" ref="G3203:G3266" si="152">$M$9/F3203*100</f>
        <v>225.00000000327418</v>
      </c>
      <c r="H3203" s="1" t="s">
        <v>1</v>
      </c>
      <c r="I3203" s="4" t="s">
        <v>2</v>
      </c>
      <c r="J3203" s="14">
        <v>0.81944444444444442</v>
      </c>
      <c r="K3203" s="20" t="str">
        <f t="shared" si="151"/>
        <v>2nd Shift</v>
      </c>
    </row>
    <row r="3204" spans="1:11" x14ac:dyDescent="0.25">
      <c r="A3204" s="1">
        <v>3203</v>
      </c>
      <c r="B3204" s="1">
        <v>3</v>
      </c>
      <c r="C3204" s="3">
        <v>3115270347400</v>
      </c>
      <c r="D3204" s="2">
        <v>44595.819444444445</v>
      </c>
      <c r="E3204" s="2">
        <v>44595.875</v>
      </c>
      <c r="F3204" s="23">
        <f t="shared" si="150"/>
        <v>5.5555555554747116E-2</v>
      </c>
      <c r="G3204" s="24">
        <f t="shared" si="152"/>
        <v>225.00000000327418</v>
      </c>
      <c r="H3204" s="1" t="s">
        <v>1</v>
      </c>
      <c r="I3204" s="4" t="s">
        <v>3</v>
      </c>
      <c r="J3204" s="14">
        <v>0.81944444444444442</v>
      </c>
      <c r="K3204" s="20" t="str">
        <f t="shared" si="151"/>
        <v>2nd Shift</v>
      </c>
    </row>
    <row r="3205" spans="1:11" x14ac:dyDescent="0.25">
      <c r="A3205" s="1">
        <v>3204</v>
      </c>
      <c r="B3205" s="1">
        <v>4</v>
      </c>
      <c r="C3205" s="3">
        <v>4115270858900</v>
      </c>
      <c r="D3205" s="2">
        <v>44595.989583333336</v>
      </c>
      <c r="E3205" s="2">
        <v>44596.024305555555</v>
      </c>
      <c r="F3205" s="23">
        <f t="shared" si="150"/>
        <v>3.4722222218988463E-2</v>
      </c>
      <c r="G3205" s="24">
        <f t="shared" si="152"/>
        <v>360.00000003352761</v>
      </c>
      <c r="H3205" s="1" t="s">
        <v>1</v>
      </c>
      <c r="I3205" s="4" t="s">
        <v>3</v>
      </c>
      <c r="J3205" s="14">
        <v>0.98958333333333337</v>
      </c>
      <c r="K3205" s="20" t="str">
        <f t="shared" si="151"/>
        <v>3rd Shift</v>
      </c>
    </row>
    <row r="3206" spans="1:11" x14ac:dyDescent="0.25">
      <c r="A3206" s="1">
        <v>3205</v>
      </c>
      <c r="B3206" s="1">
        <v>7</v>
      </c>
      <c r="C3206" s="3">
        <v>7115271768201</v>
      </c>
      <c r="D3206" s="2">
        <v>44596.059027777781</v>
      </c>
      <c r="E3206" s="2">
        <v>44596.09375</v>
      </c>
      <c r="F3206" s="23">
        <f t="shared" si="150"/>
        <v>3.4722222218988463E-2</v>
      </c>
      <c r="G3206" s="24">
        <f t="shared" si="152"/>
        <v>360.00000003352761</v>
      </c>
      <c r="H3206" s="1" t="s">
        <v>1</v>
      </c>
      <c r="I3206" s="4" t="s">
        <v>2</v>
      </c>
      <c r="J3206" s="14">
        <v>5.9027777777777776E-2</v>
      </c>
      <c r="K3206" s="20" t="str">
        <f t="shared" si="151"/>
        <v>3rd Shift</v>
      </c>
    </row>
    <row r="3207" spans="1:11" x14ac:dyDescent="0.25">
      <c r="A3207" s="1">
        <v>3206</v>
      </c>
      <c r="B3207" s="1">
        <v>7</v>
      </c>
      <c r="C3207" s="3">
        <v>7115271783900</v>
      </c>
      <c r="D3207" s="2">
        <v>44596.107638888891</v>
      </c>
      <c r="E3207" s="2">
        <v>44596.138888888891</v>
      </c>
      <c r="F3207" s="23">
        <f t="shared" si="150"/>
        <v>3.125E-2</v>
      </c>
      <c r="G3207" s="24">
        <f t="shared" si="152"/>
        <v>400</v>
      </c>
      <c r="H3207" s="1" t="s">
        <v>1</v>
      </c>
      <c r="I3207" s="4" t="s">
        <v>2</v>
      </c>
      <c r="J3207" s="14">
        <v>0.1076388888888889</v>
      </c>
      <c r="K3207" s="20" t="str">
        <f t="shared" si="151"/>
        <v>3rd Shift</v>
      </c>
    </row>
    <row r="3208" spans="1:11" x14ac:dyDescent="0.25">
      <c r="A3208" s="1">
        <v>3207</v>
      </c>
      <c r="B3208" s="1">
        <v>14</v>
      </c>
      <c r="C3208" s="3">
        <v>14115271685300</v>
      </c>
      <c r="D3208" s="2">
        <v>44596.472222222219</v>
      </c>
      <c r="E3208" s="2">
        <v>44596.587500000001</v>
      </c>
      <c r="F3208" s="23">
        <f t="shared" si="150"/>
        <v>0.11527777778246673</v>
      </c>
      <c r="G3208" s="24">
        <f t="shared" si="152"/>
        <v>108.43373493534847</v>
      </c>
      <c r="H3208" s="1" t="s">
        <v>1</v>
      </c>
      <c r="I3208" s="4" t="s">
        <v>2</v>
      </c>
      <c r="J3208" s="14">
        <v>0.47222222222222221</v>
      </c>
      <c r="K3208" s="20" t="str">
        <f t="shared" si="151"/>
        <v>1st Shift</v>
      </c>
    </row>
    <row r="3209" spans="1:11" x14ac:dyDescent="0.25">
      <c r="A3209" s="1">
        <v>3208</v>
      </c>
      <c r="B3209" s="1">
        <v>14</v>
      </c>
      <c r="C3209" s="3">
        <v>14115271679800</v>
      </c>
      <c r="D3209" s="2">
        <v>44596.472222222219</v>
      </c>
      <c r="E3209" s="2">
        <v>44596.587500000001</v>
      </c>
      <c r="F3209" s="23">
        <f t="shared" si="150"/>
        <v>0.11527777778246673</v>
      </c>
      <c r="G3209" s="24">
        <f t="shared" si="152"/>
        <v>108.43373493534847</v>
      </c>
      <c r="H3209" s="1" t="s">
        <v>1</v>
      </c>
      <c r="I3209" s="4" t="s">
        <v>2</v>
      </c>
      <c r="J3209" s="14">
        <v>0.47222222222222221</v>
      </c>
      <c r="K3209" s="20" t="str">
        <f t="shared" si="151"/>
        <v>1st Shift</v>
      </c>
    </row>
    <row r="3210" spans="1:11" x14ac:dyDescent="0.25">
      <c r="A3210" s="1">
        <v>3209</v>
      </c>
      <c r="B3210" s="1">
        <v>13</v>
      </c>
      <c r="C3210" s="3">
        <v>13115271625702</v>
      </c>
      <c r="D3210" s="2">
        <v>44596.472222222219</v>
      </c>
      <c r="E3210" s="2">
        <v>44596.587500000001</v>
      </c>
      <c r="F3210" s="23">
        <f t="shared" si="150"/>
        <v>0.11527777778246673</v>
      </c>
      <c r="G3210" s="24">
        <f t="shared" si="152"/>
        <v>108.43373493534847</v>
      </c>
      <c r="H3210" s="1" t="s">
        <v>1</v>
      </c>
      <c r="I3210" s="4" t="s">
        <v>3</v>
      </c>
      <c r="J3210" s="14">
        <v>0.47222222222222221</v>
      </c>
      <c r="K3210" s="20" t="str">
        <f t="shared" si="151"/>
        <v>1st Shift</v>
      </c>
    </row>
    <row r="3211" spans="1:11" x14ac:dyDescent="0.25">
      <c r="A3211" s="1">
        <v>3210</v>
      </c>
      <c r="B3211" s="1">
        <v>12</v>
      </c>
      <c r="C3211" s="3">
        <v>12115271574505</v>
      </c>
      <c r="D3211" s="2">
        <v>44596.472222222219</v>
      </c>
      <c r="E3211" s="2">
        <v>44596.587500000001</v>
      </c>
      <c r="F3211" s="23">
        <f t="shared" si="150"/>
        <v>0.11527777778246673</v>
      </c>
      <c r="G3211" s="24">
        <f t="shared" si="152"/>
        <v>108.43373493534847</v>
      </c>
      <c r="H3211" s="1" t="s">
        <v>1</v>
      </c>
      <c r="I3211" s="4" t="s">
        <v>2</v>
      </c>
      <c r="J3211" s="14">
        <v>0.47222222222222221</v>
      </c>
      <c r="K3211" s="20" t="str">
        <f t="shared" si="151"/>
        <v>1st Shift</v>
      </c>
    </row>
    <row r="3212" spans="1:11" x14ac:dyDescent="0.25">
      <c r="A3212" s="1">
        <v>3211</v>
      </c>
      <c r="B3212" s="1">
        <v>8</v>
      </c>
      <c r="C3212" s="3">
        <v>8115271810105</v>
      </c>
      <c r="D3212" s="2">
        <v>44596.472222222219</v>
      </c>
      <c r="E3212" s="2">
        <v>44596.587500000001</v>
      </c>
      <c r="F3212" s="23">
        <f t="shared" si="150"/>
        <v>0.11527777778246673</v>
      </c>
      <c r="G3212" s="24">
        <f t="shared" si="152"/>
        <v>108.43373493534847</v>
      </c>
      <c r="H3212" s="1" t="s">
        <v>1</v>
      </c>
      <c r="I3212" s="4" t="s">
        <v>4</v>
      </c>
      <c r="J3212" s="14">
        <v>0.47222222222222221</v>
      </c>
      <c r="K3212" s="20" t="str">
        <f t="shared" si="151"/>
        <v>1st Shift</v>
      </c>
    </row>
    <row r="3213" spans="1:11" x14ac:dyDescent="0.25">
      <c r="A3213" s="1">
        <v>3212</v>
      </c>
      <c r="B3213" s="1">
        <v>1</v>
      </c>
      <c r="C3213" s="3">
        <v>1115270088900</v>
      </c>
      <c r="D3213" s="2">
        <v>44596.472222222219</v>
      </c>
      <c r="E3213" s="2">
        <v>44596.587500000001</v>
      </c>
      <c r="F3213" s="23">
        <f t="shared" si="150"/>
        <v>0.11527777778246673</v>
      </c>
      <c r="G3213" s="24">
        <f t="shared" si="152"/>
        <v>108.43373493534847</v>
      </c>
      <c r="H3213" s="1" t="s">
        <v>1</v>
      </c>
      <c r="I3213" s="4" t="s">
        <v>2</v>
      </c>
      <c r="J3213" s="14">
        <v>0.47222222222222221</v>
      </c>
      <c r="K3213" s="20" t="str">
        <f t="shared" si="151"/>
        <v>1st Shift</v>
      </c>
    </row>
    <row r="3214" spans="1:11" x14ac:dyDescent="0.25">
      <c r="A3214" s="1">
        <v>3213</v>
      </c>
      <c r="B3214" s="1">
        <v>13</v>
      </c>
      <c r="C3214" s="3">
        <v>13115271626900</v>
      </c>
      <c r="D3214" s="2">
        <v>44596.65625</v>
      </c>
      <c r="E3214" s="2">
        <v>44596.770833333336</v>
      </c>
      <c r="F3214" s="23">
        <f t="shared" si="150"/>
        <v>0.11458333333575865</v>
      </c>
      <c r="G3214" s="24">
        <f t="shared" si="152"/>
        <v>109.09090908860001</v>
      </c>
      <c r="H3214" s="1" t="s">
        <v>1</v>
      </c>
      <c r="I3214" s="4" t="s">
        <v>2</v>
      </c>
      <c r="J3214" s="14">
        <v>0.65625</v>
      </c>
      <c r="K3214" s="20" t="str">
        <f t="shared" si="151"/>
        <v>2nd Shift</v>
      </c>
    </row>
    <row r="3215" spans="1:11" x14ac:dyDescent="0.25">
      <c r="A3215" s="1">
        <v>3214</v>
      </c>
      <c r="B3215" s="1">
        <v>6</v>
      </c>
      <c r="C3215" s="3">
        <v>6115271733602</v>
      </c>
      <c r="D3215" s="2">
        <v>44596.65625</v>
      </c>
      <c r="E3215" s="2">
        <v>44596.770833333336</v>
      </c>
      <c r="F3215" s="23">
        <f t="shared" si="150"/>
        <v>0.11458333333575865</v>
      </c>
      <c r="G3215" s="24">
        <f t="shared" si="152"/>
        <v>109.09090908860001</v>
      </c>
      <c r="H3215" s="1" t="s">
        <v>1</v>
      </c>
      <c r="I3215" s="4" t="s">
        <v>2</v>
      </c>
      <c r="J3215" s="14">
        <v>0.65625</v>
      </c>
      <c r="K3215" s="20" t="str">
        <f t="shared" si="151"/>
        <v>2nd Shift</v>
      </c>
    </row>
    <row r="3216" spans="1:11" x14ac:dyDescent="0.25">
      <c r="A3216" s="1">
        <v>3215</v>
      </c>
      <c r="B3216" s="1">
        <v>4</v>
      </c>
      <c r="C3216" s="3">
        <v>4115270826907</v>
      </c>
      <c r="D3216" s="2">
        <v>44596.65625</v>
      </c>
      <c r="E3216" s="2">
        <v>44596.770833333336</v>
      </c>
      <c r="F3216" s="23">
        <f t="shared" si="150"/>
        <v>0.11458333333575865</v>
      </c>
      <c r="G3216" s="24">
        <f t="shared" si="152"/>
        <v>109.09090908860001</v>
      </c>
      <c r="H3216" s="1" t="s">
        <v>1</v>
      </c>
      <c r="I3216" s="4" t="s">
        <v>2</v>
      </c>
      <c r="J3216" s="14">
        <v>0.65625</v>
      </c>
      <c r="K3216" s="20" t="str">
        <f t="shared" si="151"/>
        <v>2nd Shift</v>
      </c>
    </row>
    <row r="3217" spans="1:11" x14ac:dyDescent="0.25">
      <c r="A3217" s="1">
        <v>3216</v>
      </c>
      <c r="B3217" s="1">
        <v>10</v>
      </c>
      <c r="C3217" s="3">
        <v>10115271454015</v>
      </c>
      <c r="D3217" s="2">
        <v>44596.951388888891</v>
      </c>
      <c r="E3217" s="2">
        <v>44597.006944444445</v>
      </c>
      <c r="F3217" s="23">
        <f t="shared" si="150"/>
        <v>5.5555555554747116E-2</v>
      </c>
      <c r="G3217" s="24">
        <f t="shared" si="152"/>
        <v>225.00000000327418</v>
      </c>
      <c r="H3217" s="1" t="s">
        <v>1</v>
      </c>
      <c r="I3217" s="4" t="s">
        <v>4</v>
      </c>
      <c r="J3217" s="14">
        <v>0.95138888888888884</v>
      </c>
      <c r="K3217" s="20" t="str">
        <f t="shared" si="151"/>
        <v>3rd Shift</v>
      </c>
    </row>
    <row r="3218" spans="1:11" x14ac:dyDescent="0.25">
      <c r="A3218" s="1">
        <v>3217</v>
      </c>
      <c r="B3218" s="1">
        <v>1</v>
      </c>
      <c r="C3218" s="3">
        <v>1115270059400</v>
      </c>
      <c r="D3218" s="2">
        <v>44596.951388888891</v>
      </c>
      <c r="E3218" s="2">
        <v>44597.006944444445</v>
      </c>
      <c r="F3218" s="23">
        <f t="shared" si="150"/>
        <v>5.5555555554747116E-2</v>
      </c>
      <c r="G3218" s="24">
        <f t="shared" si="152"/>
        <v>225.00000000327418</v>
      </c>
      <c r="H3218" s="1" t="s">
        <v>1</v>
      </c>
      <c r="I3218" s="4" t="s">
        <v>3</v>
      </c>
      <c r="J3218" s="14">
        <v>0.95138888888888884</v>
      </c>
      <c r="K3218" s="20" t="str">
        <f t="shared" si="151"/>
        <v>3rd Shift</v>
      </c>
    </row>
    <row r="3219" spans="1:11" x14ac:dyDescent="0.25">
      <c r="A3219" s="1">
        <v>3218</v>
      </c>
      <c r="B3219" s="1">
        <v>14</v>
      </c>
      <c r="C3219" s="3">
        <v>14115271701504</v>
      </c>
      <c r="D3219" s="2">
        <v>44597.020833333336</v>
      </c>
      <c r="E3219" s="2">
        <v>44597.069444444445</v>
      </c>
      <c r="F3219" s="23">
        <f t="shared" si="150"/>
        <v>4.8611111109494232E-2</v>
      </c>
      <c r="G3219" s="24">
        <f t="shared" si="152"/>
        <v>257.14285715141011</v>
      </c>
      <c r="H3219" s="1" t="s">
        <v>1</v>
      </c>
      <c r="I3219" s="4" t="s">
        <v>2</v>
      </c>
      <c r="J3219" s="14">
        <v>2.0833333333333332E-2</v>
      </c>
      <c r="K3219" s="20" t="str">
        <f t="shared" si="151"/>
        <v>3rd Shift</v>
      </c>
    </row>
    <row r="3220" spans="1:11" x14ac:dyDescent="0.25">
      <c r="A3220" s="1">
        <v>3219</v>
      </c>
      <c r="B3220" s="1">
        <v>14</v>
      </c>
      <c r="C3220" s="3">
        <v>14115271690737</v>
      </c>
      <c r="D3220" s="2">
        <v>44597.020833333336</v>
      </c>
      <c r="E3220" s="2">
        <v>44597.069444444445</v>
      </c>
      <c r="F3220" s="23">
        <f t="shared" si="150"/>
        <v>4.8611111109494232E-2</v>
      </c>
      <c r="G3220" s="24">
        <f t="shared" si="152"/>
        <v>257.14285715141011</v>
      </c>
      <c r="H3220" s="1" t="s">
        <v>1</v>
      </c>
      <c r="I3220" s="4" t="s">
        <v>3</v>
      </c>
      <c r="J3220" s="14">
        <v>2.0833333333333332E-2</v>
      </c>
      <c r="K3220" s="20" t="str">
        <f t="shared" si="151"/>
        <v>3rd Shift</v>
      </c>
    </row>
    <row r="3221" spans="1:11" x14ac:dyDescent="0.25">
      <c r="A3221" s="1">
        <v>3220</v>
      </c>
      <c r="B3221" s="1">
        <v>6</v>
      </c>
      <c r="C3221" s="3">
        <v>6115271704002</v>
      </c>
      <c r="D3221" s="2">
        <v>44597.479166666664</v>
      </c>
      <c r="E3221" s="2">
        <v>44597.517361111109</v>
      </c>
      <c r="F3221" s="23">
        <f t="shared" si="150"/>
        <v>3.8194444445252884E-2</v>
      </c>
      <c r="G3221" s="24">
        <f t="shared" si="152"/>
        <v>327.27272726580009</v>
      </c>
      <c r="H3221" s="1" t="s">
        <v>1</v>
      </c>
      <c r="I3221" s="4" t="s">
        <v>2</v>
      </c>
      <c r="J3221" s="14">
        <v>0.47916666666666669</v>
      </c>
      <c r="K3221" s="20" t="str">
        <f t="shared" si="151"/>
        <v>1st Shift</v>
      </c>
    </row>
    <row r="3222" spans="1:11" x14ac:dyDescent="0.25">
      <c r="A3222" s="1">
        <v>3221</v>
      </c>
      <c r="B3222" s="1">
        <v>12</v>
      </c>
      <c r="C3222" s="3">
        <v>12115271567321</v>
      </c>
      <c r="D3222" s="2">
        <v>44597.784722222219</v>
      </c>
      <c r="E3222" s="2">
        <v>44597.826388888891</v>
      </c>
      <c r="F3222" s="23">
        <f t="shared" si="150"/>
        <v>4.1666666671517305E-2</v>
      </c>
      <c r="G3222" s="24">
        <f t="shared" si="152"/>
        <v>299.9999999650754</v>
      </c>
      <c r="H3222" s="1" t="s">
        <v>1</v>
      </c>
      <c r="I3222" s="4" t="s">
        <v>2</v>
      </c>
      <c r="J3222" s="14">
        <v>0.78472222222222221</v>
      </c>
      <c r="K3222" s="20" t="str">
        <f t="shared" si="151"/>
        <v>2nd Shift</v>
      </c>
    </row>
    <row r="3223" spans="1:11" x14ac:dyDescent="0.25">
      <c r="A3223" s="1">
        <v>3222</v>
      </c>
      <c r="B3223" s="1">
        <v>8</v>
      </c>
      <c r="C3223" s="3">
        <v>8115271820900</v>
      </c>
      <c r="D3223" s="2">
        <v>44597.666666666664</v>
      </c>
      <c r="E3223" s="2">
        <v>44597.826388888891</v>
      </c>
      <c r="F3223" s="23">
        <f t="shared" si="150"/>
        <v>0.15972222222626442</v>
      </c>
      <c r="G3223" s="24">
        <f t="shared" si="152"/>
        <v>78.260869563236795</v>
      </c>
      <c r="H3223" s="1" t="s">
        <v>1</v>
      </c>
      <c r="I3223" s="4" t="s">
        <v>4</v>
      </c>
      <c r="J3223" s="14">
        <v>0.66666666666666663</v>
      </c>
      <c r="K3223" s="20" t="str">
        <f t="shared" si="151"/>
        <v>2nd Shift</v>
      </c>
    </row>
    <row r="3224" spans="1:11" x14ac:dyDescent="0.25">
      <c r="A3224" s="1">
        <v>3223</v>
      </c>
      <c r="B3224" s="1">
        <v>7</v>
      </c>
      <c r="C3224" s="3">
        <v>7115271787211</v>
      </c>
      <c r="D3224" s="2">
        <v>44597.666666666664</v>
      </c>
      <c r="E3224" s="2">
        <v>44597.826388888891</v>
      </c>
      <c r="F3224" s="23">
        <f t="shared" si="150"/>
        <v>0.15972222222626442</v>
      </c>
      <c r="G3224" s="24">
        <f t="shared" si="152"/>
        <v>78.260869563236795</v>
      </c>
      <c r="H3224" s="1" t="s">
        <v>1</v>
      </c>
      <c r="I3224" s="4" t="s">
        <v>2</v>
      </c>
      <c r="J3224" s="14">
        <v>0.66666666666666663</v>
      </c>
      <c r="K3224" s="20" t="str">
        <f t="shared" si="151"/>
        <v>2nd Shift</v>
      </c>
    </row>
    <row r="3225" spans="1:11" x14ac:dyDescent="0.25">
      <c r="A3225" s="1">
        <v>3224</v>
      </c>
      <c r="B3225" s="1">
        <v>13</v>
      </c>
      <c r="C3225" s="3">
        <v>13115271590905</v>
      </c>
      <c r="D3225" s="2">
        <v>44598.447916666664</v>
      </c>
      <c r="E3225" s="2">
        <v>44598.584722222222</v>
      </c>
      <c r="F3225" s="23">
        <f t="shared" si="150"/>
        <v>0.1368055555576575</v>
      </c>
      <c r="G3225" s="24">
        <f t="shared" si="152"/>
        <v>91.370558374230654</v>
      </c>
      <c r="H3225" s="1" t="s">
        <v>1</v>
      </c>
      <c r="I3225" s="4" t="s">
        <v>2</v>
      </c>
      <c r="J3225" s="14">
        <v>0.44791666666666669</v>
      </c>
      <c r="K3225" s="20" t="str">
        <f t="shared" si="151"/>
        <v>1st Shift</v>
      </c>
    </row>
    <row r="3226" spans="1:11" x14ac:dyDescent="0.25">
      <c r="A3226" s="1">
        <v>3225</v>
      </c>
      <c r="B3226" s="1">
        <v>12</v>
      </c>
      <c r="C3226" s="3">
        <v>12115271560120</v>
      </c>
      <c r="D3226" s="2">
        <v>44598.447916666664</v>
      </c>
      <c r="E3226" s="2">
        <v>44598.584722222222</v>
      </c>
      <c r="F3226" s="23">
        <f t="shared" si="150"/>
        <v>0.1368055555576575</v>
      </c>
      <c r="G3226" s="24">
        <f t="shared" si="152"/>
        <v>91.370558374230654</v>
      </c>
      <c r="H3226" s="1" t="s">
        <v>1</v>
      </c>
      <c r="I3226" s="4" t="s">
        <v>2</v>
      </c>
      <c r="J3226" s="14">
        <v>0.44791666666666669</v>
      </c>
      <c r="K3226" s="20" t="str">
        <f t="shared" si="151"/>
        <v>1st Shift</v>
      </c>
    </row>
    <row r="3227" spans="1:11" x14ac:dyDescent="0.25">
      <c r="A3227" s="1">
        <v>3226</v>
      </c>
      <c r="B3227" s="1">
        <v>11</v>
      </c>
      <c r="C3227" s="3">
        <v>11115271052300</v>
      </c>
      <c r="D3227" s="2">
        <v>44598.447916666664</v>
      </c>
      <c r="E3227" s="2">
        <v>44598.584722222222</v>
      </c>
      <c r="F3227" s="23">
        <f t="shared" si="150"/>
        <v>0.1368055555576575</v>
      </c>
      <c r="G3227" s="24">
        <f t="shared" si="152"/>
        <v>91.370558374230654</v>
      </c>
      <c r="H3227" s="1" t="s">
        <v>1</v>
      </c>
      <c r="I3227" s="4" t="s">
        <v>3</v>
      </c>
      <c r="J3227" s="14">
        <v>0.44791666666666669</v>
      </c>
      <c r="K3227" s="20" t="str">
        <f t="shared" si="151"/>
        <v>1st Shift</v>
      </c>
    </row>
    <row r="3228" spans="1:11" x14ac:dyDescent="0.25">
      <c r="A3228" s="1">
        <v>3227</v>
      </c>
      <c r="B3228" s="1">
        <v>10</v>
      </c>
      <c r="C3228" s="3">
        <v>10115271468700</v>
      </c>
      <c r="D3228" s="2">
        <v>44598.447916666664</v>
      </c>
      <c r="E3228" s="2">
        <v>44598.584722222222</v>
      </c>
      <c r="F3228" s="23">
        <f t="shared" si="150"/>
        <v>0.1368055555576575</v>
      </c>
      <c r="G3228" s="24">
        <f t="shared" si="152"/>
        <v>91.370558374230654</v>
      </c>
      <c r="H3228" s="1" t="s">
        <v>1</v>
      </c>
      <c r="I3228" s="4" t="s">
        <v>2</v>
      </c>
      <c r="J3228" s="14">
        <v>0.44791666666666669</v>
      </c>
      <c r="K3228" s="20" t="str">
        <f t="shared" si="151"/>
        <v>1st Shift</v>
      </c>
    </row>
    <row r="3229" spans="1:11" x14ac:dyDescent="0.25">
      <c r="A3229" s="1">
        <v>3228</v>
      </c>
      <c r="B3229" s="1">
        <v>8</v>
      </c>
      <c r="C3229" s="3">
        <v>8115271809912</v>
      </c>
      <c r="D3229" s="2">
        <v>44598.447916666664</v>
      </c>
      <c r="E3229" s="2">
        <v>44598.584722222222</v>
      </c>
      <c r="F3229" s="23">
        <f t="shared" si="150"/>
        <v>0.1368055555576575</v>
      </c>
      <c r="G3229" s="24">
        <f t="shared" si="152"/>
        <v>91.370558374230654</v>
      </c>
      <c r="H3229" s="1" t="s">
        <v>1</v>
      </c>
      <c r="I3229" s="4" t="s">
        <v>2</v>
      </c>
      <c r="J3229" s="14">
        <v>0.44791666666666669</v>
      </c>
      <c r="K3229" s="20" t="str">
        <f t="shared" si="151"/>
        <v>1st Shift</v>
      </c>
    </row>
    <row r="3230" spans="1:11" x14ac:dyDescent="0.25">
      <c r="A3230" s="1">
        <v>3229</v>
      </c>
      <c r="B3230" s="1">
        <v>7</v>
      </c>
      <c r="C3230" s="3">
        <v>7115271787300</v>
      </c>
      <c r="D3230" s="2">
        <v>44598.447916666664</v>
      </c>
      <c r="E3230" s="2">
        <v>44598.584722222222</v>
      </c>
      <c r="F3230" s="23">
        <f t="shared" si="150"/>
        <v>0.1368055555576575</v>
      </c>
      <c r="G3230" s="24">
        <f t="shared" si="152"/>
        <v>91.370558374230654</v>
      </c>
      <c r="H3230" s="1" t="s">
        <v>1</v>
      </c>
      <c r="I3230" s="4" t="s">
        <v>2</v>
      </c>
      <c r="J3230" s="14">
        <v>0.44791666666666669</v>
      </c>
      <c r="K3230" s="20" t="str">
        <f t="shared" si="151"/>
        <v>1st Shift</v>
      </c>
    </row>
    <row r="3231" spans="1:11" x14ac:dyDescent="0.25">
      <c r="A3231" s="1">
        <v>3230</v>
      </c>
      <c r="B3231" s="1">
        <v>2</v>
      </c>
      <c r="C3231" s="3">
        <v>2115270250600</v>
      </c>
      <c r="D3231" s="2">
        <v>44598.447916666664</v>
      </c>
      <c r="E3231" s="2">
        <v>44598.584722222222</v>
      </c>
      <c r="F3231" s="23">
        <f t="shared" si="150"/>
        <v>0.1368055555576575</v>
      </c>
      <c r="G3231" s="24">
        <f t="shared" si="152"/>
        <v>91.370558374230654</v>
      </c>
      <c r="H3231" s="1" t="s">
        <v>1</v>
      </c>
      <c r="I3231" s="4" t="s">
        <v>2</v>
      </c>
      <c r="J3231" s="14">
        <v>0.44791666666666669</v>
      </c>
      <c r="K3231" s="20" t="str">
        <f t="shared" si="151"/>
        <v>1st Shift</v>
      </c>
    </row>
    <row r="3232" spans="1:11" x14ac:dyDescent="0.25">
      <c r="A3232" s="1">
        <v>3231</v>
      </c>
      <c r="B3232" s="1">
        <v>13</v>
      </c>
      <c r="C3232" s="3">
        <v>13115271591100</v>
      </c>
      <c r="D3232" s="2">
        <v>44598.753472222219</v>
      </c>
      <c r="E3232" s="2">
        <v>44598.836805555555</v>
      </c>
      <c r="F3232" s="23">
        <f t="shared" si="150"/>
        <v>8.3333333335758653E-2</v>
      </c>
      <c r="G3232" s="24">
        <f t="shared" si="152"/>
        <v>149.99999999563443</v>
      </c>
      <c r="H3232" s="1" t="s">
        <v>1</v>
      </c>
      <c r="I3232" s="4" t="s">
        <v>2</v>
      </c>
      <c r="J3232" s="14">
        <v>0.75347222222222221</v>
      </c>
      <c r="K3232" s="20" t="str">
        <f t="shared" si="151"/>
        <v>2nd Shift</v>
      </c>
    </row>
    <row r="3233" spans="1:11" x14ac:dyDescent="0.25">
      <c r="A3233" s="1">
        <v>3232</v>
      </c>
      <c r="B3233" s="1">
        <v>13</v>
      </c>
      <c r="C3233" s="3">
        <v>13115271590800</v>
      </c>
      <c r="D3233" s="2">
        <v>44598.753472222219</v>
      </c>
      <c r="E3233" s="2">
        <v>44598.836805555555</v>
      </c>
      <c r="F3233" s="23">
        <f t="shared" si="150"/>
        <v>8.3333333335758653E-2</v>
      </c>
      <c r="G3233" s="24">
        <f t="shared" si="152"/>
        <v>149.99999999563443</v>
      </c>
      <c r="H3233" s="1" t="s">
        <v>1</v>
      </c>
      <c r="I3233" s="4" t="s">
        <v>4</v>
      </c>
      <c r="J3233" s="14">
        <v>0.75347222222222221</v>
      </c>
      <c r="K3233" s="20" t="str">
        <f t="shared" si="151"/>
        <v>2nd Shift</v>
      </c>
    </row>
    <row r="3234" spans="1:11" x14ac:dyDescent="0.25">
      <c r="A3234" s="1">
        <v>3233</v>
      </c>
      <c r="B3234" s="1">
        <v>1</v>
      </c>
      <c r="C3234" s="3">
        <v>1115270143100</v>
      </c>
      <c r="D3234" s="2">
        <v>44598.753472222219</v>
      </c>
      <c r="E3234" s="2">
        <v>44598.836805555555</v>
      </c>
      <c r="F3234" s="23">
        <f t="shared" si="150"/>
        <v>8.3333333335758653E-2</v>
      </c>
      <c r="G3234" s="24">
        <f t="shared" si="152"/>
        <v>149.99999999563443</v>
      </c>
      <c r="H3234" s="1" t="s">
        <v>1</v>
      </c>
      <c r="I3234" s="4" t="s">
        <v>3</v>
      </c>
      <c r="J3234" s="14">
        <v>0.75347222222222221</v>
      </c>
      <c r="K3234" s="20" t="str">
        <f t="shared" si="151"/>
        <v>2nd Shift</v>
      </c>
    </row>
    <row r="3235" spans="1:11" x14ac:dyDescent="0.25">
      <c r="A3235" s="1">
        <v>3234</v>
      </c>
      <c r="B3235" s="1">
        <v>1</v>
      </c>
      <c r="C3235" s="3">
        <v>1115270075100</v>
      </c>
      <c r="D3235" s="2">
        <v>44598.753472222219</v>
      </c>
      <c r="E3235" s="2">
        <v>44598.836805555555</v>
      </c>
      <c r="F3235" s="23">
        <f t="shared" si="150"/>
        <v>8.3333333335758653E-2</v>
      </c>
      <c r="G3235" s="24">
        <f t="shared" si="152"/>
        <v>149.99999999563443</v>
      </c>
      <c r="H3235" s="1" t="s">
        <v>1</v>
      </c>
      <c r="I3235" s="4" t="s">
        <v>2</v>
      </c>
      <c r="J3235" s="14">
        <v>0.75347222222222221</v>
      </c>
      <c r="K3235" s="20" t="str">
        <f t="shared" si="151"/>
        <v>2nd Shift</v>
      </c>
    </row>
    <row r="3236" spans="1:11" x14ac:dyDescent="0.25">
      <c r="A3236" s="1">
        <v>3235</v>
      </c>
      <c r="B3236" s="1">
        <v>1</v>
      </c>
      <c r="C3236" s="3">
        <v>1115270088300</v>
      </c>
      <c r="D3236" s="2">
        <v>44598.871527777781</v>
      </c>
      <c r="E3236" s="2">
        <v>44598.892361111109</v>
      </c>
      <c r="F3236" s="23">
        <f t="shared" si="150"/>
        <v>2.0833333328482695E-2</v>
      </c>
      <c r="G3236" s="24">
        <f t="shared" si="152"/>
        <v>600.00000013969839</v>
      </c>
      <c r="H3236" s="1" t="s">
        <v>1</v>
      </c>
      <c r="I3236" s="4" t="s">
        <v>2</v>
      </c>
      <c r="J3236" s="14">
        <v>0.87152777777777779</v>
      </c>
      <c r="K3236" s="20" t="str">
        <f t="shared" si="151"/>
        <v>2nd Shift</v>
      </c>
    </row>
    <row r="3237" spans="1:11" x14ac:dyDescent="0.25">
      <c r="A3237" s="1">
        <v>3236</v>
      </c>
      <c r="B3237" s="1">
        <v>12</v>
      </c>
      <c r="C3237" s="3">
        <v>12115271565404</v>
      </c>
      <c r="D3237" s="2">
        <v>44599.934027777781</v>
      </c>
      <c r="E3237" s="2">
        <v>44600.010416666664</v>
      </c>
      <c r="F3237" s="23">
        <f t="shared" si="150"/>
        <v>7.6388888883229811E-2</v>
      </c>
      <c r="G3237" s="24">
        <f t="shared" si="152"/>
        <v>163.63636364848622</v>
      </c>
      <c r="H3237" s="1" t="s">
        <v>1</v>
      </c>
      <c r="I3237" s="4" t="s">
        <v>2</v>
      </c>
      <c r="J3237" s="14">
        <v>0.93402777777777779</v>
      </c>
      <c r="K3237" s="20" t="str">
        <f t="shared" si="151"/>
        <v>3rd Shift</v>
      </c>
    </row>
    <row r="3238" spans="1:11" x14ac:dyDescent="0.25">
      <c r="A3238" s="1">
        <v>3237</v>
      </c>
      <c r="B3238" s="1">
        <v>1</v>
      </c>
      <c r="C3238" s="3">
        <v>1115270142700</v>
      </c>
      <c r="D3238" s="2">
        <v>44598.989583333336</v>
      </c>
      <c r="E3238" s="2">
        <v>44599.027777777781</v>
      </c>
      <c r="F3238" s="23">
        <f t="shared" si="150"/>
        <v>3.8194444445252884E-2</v>
      </c>
      <c r="G3238" s="24">
        <f t="shared" si="152"/>
        <v>327.27272726580009</v>
      </c>
      <c r="H3238" s="1" t="s">
        <v>1</v>
      </c>
      <c r="I3238" s="4" t="s">
        <v>5</v>
      </c>
      <c r="J3238" s="14">
        <v>0.98958333333333337</v>
      </c>
      <c r="K3238" s="20" t="str">
        <f t="shared" si="151"/>
        <v>3rd Shift</v>
      </c>
    </row>
    <row r="3239" spans="1:11" x14ac:dyDescent="0.25">
      <c r="A3239" s="1">
        <v>3238</v>
      </c>
      <c r="B3239" s="1">
        <v>7</v>
      </c>
      <c r="C3239" s="3">
        <v>7115271783718</v>
      </c>
      <c r="D3239" s="2">
        <v>44599.0625</v>
      </c>
      <c r="E3239" s="2">
        <v>44599.114583333336</v>
      </c>
      <c r="F3239" s="23">
        <f t="shared" si="150"/>
        <v>5.2083333335758653E-2</v>
      </c>
      <c r="G3239" s="24">
        <f t="shared" si="152"/>
        <v>239.99999998882413</v>
      </c>
      <c r="H3239" s="1" t="s">
        <v>1</v>
      </c>
      <c r="I3239" s="4" t="s">
        <v>2</v>
      </c>
      <c r="J3239" s="14">
        <v>6.25E-2</v>
      </c>
      <c r="K3239" s="20" t="str">
        <f t="shared" si="151"/>
        <v>3rd Shift</v>
      </c>
    </row>
    <row r="3240" spans="1:11" x14ac:dyDescent="0.25">
      <c r="A3240" s="1">
        <v>3239</v>
      </c>
      <c r="B3240" s="1">
        <v>12</v>
      </c>
      <c r="C3240" s="3">
        <v>12115271560816</v>
      </c>
      <c r="D3240" s="2">
        <v>44599.447916666664</v>
      </c>
      <c r="E3240" s="2">
        <v>44599.583333333336</v>
      </c>
      <c r="F3240" s="23">
        <f t="shared" si="150"/>
        <v>0.13541666667151731</v>
      </c>
      <c r="G3240" s="24">
        <f t="shared" si="152"/>
        <v>92.307692304385839</v>
      </c>
      <c r="H3240" s="1" t="s">
        <v>1</v>
      </c>
      <c r="I3240" s="4" t="s">
        <v>2</v>
      </c>
      <c r="J3240" s="14">
        <v>0.44791666666666669</v>
      </c>
      <c r="K3240" s="20" t="str">
        <f t="shared" si="151"/>
        <v>1st Shift</v>
      </c>
    </row>
    <row r="3241" spans="1:11" x14ac:dyDescent="0.25">
      <c r="A3241" s="1">
        <v>3240</v>
      </c>
      <c r="B3241" s="1">
        <v>11</v>
      </c>
      <c r="C3241" s="3">
        <v>11115271542605</v>
      </c>
      <c r="D3241" s="2">
        <v>44599.447916666664</v>
      </c>
      <c r="E3241" s="2">
        <v>44599.583333333336</v>
      </c>
      <c r="F3241" s="23">
        <f t="shared" si="150"/>
        <v>0.13541666667151731</v>
      </c>
      <c r="G3241" s="24">
        <f t="shared" si="152"/>
        <v>92.307692304385839</v>
      </c>
      <c r="H3241" s="1" t="s">
        <v>1</v>
      </c>
      <c r="I3241" s="4" t="s">
        <v>2</v>
      </c>
      <c r="J3241" s="14">
        <v>0.44791666666666669</v>
      </c>
      <c r="K3241" s="20" t="str">
        <f t="shared" si="151"/>
        <v>1st Shift</v>
      </c>
    </row>
    <row r="3242" spans="1:11" x14ac:dyDescent="0.25">
      <c r="A3242" s="1">
        <v>3241</v>
      </c>
      <c r="B3242" s="1">
        <v>10</v>
      </c>
      <c r="C3242" s="3">
        <v>10115271959502</v>
      </c>
      <c r="D3242" s="2">
        <v>44599.447916666664</v>
      </c>
      <c r="E3242" s="2">
        <v>44599.583333333336</v>
      </c>
      <c r="F3242" s="23">
        <f t="shared" si="150"/>
        <v>0.13541666667151731</v>
      </c>
      <c r="G3242" s="24">
        <f t="shared" si="152"/>
        <v>92.307692304385839</v>
      </c>
      <c r="H3242" s="1" t="s">
        <v>1</v>
      </c>
      <c r="I3242" s="4" t="s">
        <v>2</v>
      </c>
      <c r="J3242" s="14">
        <v>0.44791666666666669</v>
      </c>
      <c r="K3242" s="20" t="str">
        <f t="shared" si="151"/>
        <v>1st Shift</v>
      </c>
    </row>
    <row r="3243" spans="1:11" x14ac:dyDescent="0.25">
      <c r="A3243" s="1">
        <v>3242</v>
      </c>
      <c r="B3243" s="1">
        <v>8</v>
      </c>
      <c r="C3243" s="3">
        <v>8115271809912</v>
      </c>
      <c r="D3243" s="2">
        <v>44599.447916666664</v>
      </c>
      <c r="E3243" s="2">
        <v>44599.583333333336</v>
      </c>
      <c r="F3243" s="23">
        <f t="shared" si="150"/>
        <v>0.13541666667151731</v>
      </c>
      <c r="G3243" s="24">
        <f t="shared" si="152"/>
        <v>92.307692304385839</v>
      </c>
      <c r="H3243" s="1" t="s">
        <v>1</v>
      </c>
      <c r="I3243" s="4" t="s">
        <v>2</v>
      </c>
      <c r="J3243" s="14">
        <v>0.44791666666666669</v>
      </c>
      <c r="K3243" s="20" t="str">
        <f t="shared" si="151"/>
        <v>1st Shift</v>
      </c>
    </row>
    <row r="3244" spans="1:11" x14ac:dyDescent="0.25">
      <c r="A3244" s="1">
        <v>3243</v>
      </c>
      <c r="B3244" s="1">
        <v>5</v>
      </c>
      <c r="C3244" s="3">
        <v>5115271672400</v>
      </c>
      <c r="D3244" s="2">
        <v>44599.479166666664</v>
      </c>
      <c r="E3244" s="2">
        <v>44599.583333333336</v>
      </c>
      <c r="F3244" s="23">
        <f t="shared" si="150"/>
        <v>0.10416666667151731</v>
      </c>
      <c r="G3244" s="24">
        <f t="shared" si="152"/>
        <v>119.99999999441206</v>
      </c>
      <c r="H3244" s="1" t="s">
        <v>1</v>
      </c>
      <c r="I3244" s="4" t="s">
        <v>2</v>
      </c>
      <c r="J3244" s="14">
        <v>0.47916666666666669</v>
      </c>
      <c r="K3244" s="20" t="str">
        <f t="shared" si="151"/>
        <v>1st Shift</v>
      </c>
    </row>
    <row r="3245" spans="1:11" x14ac:dyDescent="0.25">
      <c r="A3245" s="1">
        <v>3244</v>
      </c>
      <c r="B3245" s="1">
        <v>4</v>
      </c>
      <c r="C3245" s="3">
        <v>4115270868800</v>
      </c>
      <c r="D3245" s="2">
        <v>44599.447916666664</v>
      </c>
      <c r="E3245" s="2">
        <v>44599.583333333336</v>
      </c>
      <c r="F3245" s="23">
        <f t="shared" si="150"/>
        <v>0.13541666667151731</v>
      </c>
      <c r="G3245" s="24">
        <f t="shared" si="152"/>
        <v>92.307692304385839</v>
      </c>
      <c r="H3245" s="1" t="s">
        <v>1</v>
      </c>
      <c r="I3245" s="4" t="s">
        <v>2</v>
      </c>
      <c r="J3245" s="14">
        <v>0.44791666666666669</v>
      </c>
      <c r="K3245" s="20" t="str">
        <f t="shared" si="151"/>
        <v>1st Shift</v>
      </c>
    </row>
    <row r="3246" spans="1:11" x14ac:dyDescent="0.25">
      <c r="A3246" s="1">
        <v>3245</v>
      </c>
      <c r="B3246" s="1">
        <v>3</v>
      </c>
      <c r="C3246" s="3">
        <v>3115270341000</v>
      </c>
      <c r="D3246" s="2">
        <v>44599.479166666664</v>
      </c>
      <c r="E3246" s="2">
        <v>44599.583333333336</v>
      </c>
      <c r="F3246" s="23">
        <f t="shared" si="150"/>
        <v>0.10416666667151731</v>
      </c>
      <c r="G3246" s="24">
        <f t="shared" si="152"/>
        <v>119.99999999441206</v>
      </c>
      <c r="H3246" s="1" t="s">
        <v>1</v>
      </c>
      <c r="I3246" s="4" t="s">
        <v>2</v>
      </c>
      <c r="J3246" s="14">
        <v>0.47916666666666669</v>
      </c>
      <c r="K3246" s="20" t="str">
        <f t="shared" si="151"/>
        <v>1st Shift</v>
      </c>
    </row>
    <row r="3247" spans="1:11" x14ac:dyDescent="0.25">
      <c r="A3247" s="1">
        <v>3246</v>
      </c>
      <c r="B3247" s="1">
        <v>3</v>
      </c>
      <c r="C3247" s="3">
        <v>3115270310702</v>
      </c>
      <c r="D3247" s="2">
        <v>44599.447916666664</v>
      </c>
      <c r="E3247" s="2">
        <v>44599.583333333336</v>
      </c>
      <c r="F3247" s="23">
        <f t="shared" si="150"/>
        <v>0.13541666667151731</v>
      </c>
      <c r="G3247" s="24">
        <f t="shared" si="152"/>
        <v>92.307692304385839</v>
      </c>
      <c r="H3247" s="1" t="s">
        <v>1</v>
      </c>
      <c r="I3247" s="4" t="s">
        <v>2</v>
      </c>
      <c r="J3247" s="14">
        <v>0.44791666666666669</v>
      </c>
      <c r="K3247" s="20" t="str">
        <f t="shared" si="151"/>
        <v>1st Shift</v>
      </c>
    </row>
    <row r="3248" spans="1:11" x14ac:dyDescent="0.25">
      <c r="A3248" s="1">
        <v>3247</v>
      </c>
      <c r="B3248" s="1">
        <v>2</v>
      </c>
      <c r="C3248" s="3">
        <v>2115270169700</v>
      </c>
      <c r="D3248" s="2">
        <v>44599.447916666664</v>
      </c>
      <c r="E3248" s="2">
        <v>44599.583333333336</v>
      </c>
      <c r="F3248" s="23">
        <f t="shared" si="150"/>
        <v>0.13541666667151731</v>
      </c>
      <c r="G3248" s="24">
        <f t="shared" si="152"/>
        <v>92.307692304385839</v>
      </c>
      <c r="H3248" s="1" t="s">
        <v>1</v>
      </c>
      <c r="I3248" s="4" t="s">
        <v>5</v>
      </c>
      <c r="J3248" s="14">
        <v>0.44791666666666669</v>
      </c>
      <c r="K3248" s="20" t="str">
        <f t="shared" si="151"/>
        <v>1st Shift</v>
      </c>
    </row>
    <row r="3249" spans="1:11" x14ac:dyDescent="0.25">
      <c r="A3249" s="1">
        <v>3248</v>
      </c>
      <c r="B3249" s="1">
        <v>1</v>
      </c>
      <c r="C3249" s="3">
        <v>1115270068000</v>
      </c>
      <c r="D3249" s="2">
        <v>44599.447916666664</v>
      </c>
      <c r="E3249" s="2">
        <v>44599.583333333336</v>
      </c>
      <c r="F3249" s="23">
        <f t="shared" si="150"/>
        <v>0.13541666667151731</v>
      </c>
      <c r="G3249" s="24">
        <f t="shared" si="152"/>
        <v>92.307692304385839</v>
      </c>
      <c r="H3249" s="1" t="s">
        <v>1</v>
      </c>
      <c r="I3249" s="4" t="s">
        <v>3</v>
      </c>
      <c r="J3249" s="14">
        <v>0.44791666666666669</v>
      </c>
      <c r="K3249" s="20" t="str">
        <f t="shared" si="151"/>
        <v>1st Shift</v>
      </c>
    </row>
    <row r="3250" spans="1:11" x14ac:dyDescent="0.25">
      <c r="A3250" s="1">
        <v>3249</v>
      </c>
      <c r="B3250" s="1">
        <v>14</v>
      </c>
      <c r="C3250" s="3">
        <v>14115271672501</v>
      </c>
      <c r="D3250" s="2">
        <v>44599.618055555555</v>
      </c>
      <c r="E3250" s="2">
        <v>44599.753472222219</v>
      </c>
      <c r="F3250" s="23">
        <f t="shared" si="150"/>
        <v>0.13541666666424135</v>
      </c>
      <c r="G3250" s="24">
        <f t="shared" si="152"/>
        <v>92.307692309345541</v>
      </c>
      <c r="H3250" s="1" t="s">
        <v>1</v>
      </c>
      <c r="I3250" s="4" t="s">
        <v>4</v>
      </c>
      <c r="J3250" s="14">
        <v>0.61805555555555558</v>
      </c>
      <c r="K3250" s="20" t="str">
        <f t="shared" si="151"/>
        <v>2nd Shift</v>
      </c>
    </row>
    <row r="3251" spans="1:11" x14ac:dyDescent="0.25">
      <c r="A3251" s="1">
        <v>3250</v>
      </c>
      <c r="B3251" s="1">
        <v>11</v>
      </c>
      <c r="C3251" s="3">
        <v>11115271542900</v>
      </c>
      <c r="D3251" s="2">
        <v>44599.618055555555</v>
      </c>
      <c r="E3251" s="2">
        <v>44599.753472222219</v>
      </c>
      <c r="F3251" s="23">
        <f t="shared" si="150"/>
        <v>0.13541666666424135</v>
      </c>
      <c r="G3251" s="24">
        <f t="shared" si="152"/>
        <v>92.307692309345541</v>
      </c>
      <c r="H3251" s="1" t="s">
        <v>1</v>
      </c>
      <c r="I3251" s="4" t="s">
        <v>2</v>
      </c>
      <c r="J3251" s="14">
        <v>0.61805555555555558</v>
      </c>
      <c r="K3251" s="20" t="str">
        <f t="shared" si="151"/>
        <v>2nd Shift</v>
      </c>
    </row>
    <row r="3252" spans="1:11" x14ac:dyDescent="0.25">
      <c r="A3252" s="1">
        <v>3251</v>
      </c>
      <c r="B3252" s="1">
        <v>6</v>
      </c>
      <c r="C3252" s="3">
        <v>6115271731700</v>
      </c>
      <c r="D3252" s="2">
        <v>44599.65625</v>
      </c>
      <c r="E3252" s="2">
        <v>44599.753472222219</v>
      </c>
      <c r="F3252" s="23">
        <f t="shared" si="150"/>
        <v>9.7222222218988463E-2</v>
      </c>
      <c r="G3252" s="24">
        <f t="shared" si="152"/>
        <v>128.57142857570506</v>
      </c>
      <c r="H3252" s="1" t="s">
        <v>1</v>
      </c>
      <c r="I3252" s="4" t="s">
        <v>8</v>
      </c>
      <c r="J3252" s="14">
        <v>0.65625</v>
      </c>
      <c r="K3252" s="20" t="str">
        <f t="shared" si="151"/>
        <v>2nd Shift</v>
      </c>
    </row>
    <row r="3253" spans="1:11" x14ac:dyDescent="0.25">
      <c r="A3253" s="1">
        <v>3252</v>
      </c>
      <c r="B3253" s="1">
        <v>6</v>
      </c>
      <c r="C3253" s="3">
        <v>6115271720801</v>
      </c>
      <c r="D3253" s="2">
        <v>44599.65625</v>
      </c>
      <c r="E3253" s="2">
        <v>44599.753472222219</v>
      </c>
      <c r="F3253" s="23">
        <f t="shared" si="150"/>
        <v>9.7222222218988463E-2</v>
      </c>
      <c r="G3253" s="24">
        <f t="shared" si="152"/>
        <v>128.57142857570506</v>
      </c>
      <c r="H3253" s="1" t="s">
        <v>1</v>
      </c>
      <c r="I3253" s="4" t="s">
        <v>4</v>
      </c>
      <c r="J3253" s="14">
        <v>0.65625</v>
      </c>
      <c r="K3253" s="20" t="str">
        <f t="shared" si="151"/>
        <v>2nd Shift</v>
      </c>
    </row>
    <row r="3254" spans="1:11" x14ac:dyDescent="0.25">
      <c r="A3254" s="1">
        <v>3253</v>
      </c>
      <c r="B3254" s="1">
        <v>5</v>
      </c>
      <c r="C3254" s="3">
        <v>5115271256400</v>
      </c>
      <c r="D3254" s="2">
        <v>44599.618055555555</v>
      </c>
      <c r="E3254" s="2">
        <v>44599.753472222219</v>
      </c>
      <c r="F3254" s="23">
        <f t="shared" si="150"/>
        <v>0.13541666666424135</v>
      </c>
      <c r="G3254" s="24">
        <f t="shared" si="152"/>
        <v>92.307692309345541</v>
      </c>
      <c r="H3254" s="1" t="s">
        <v>1</v>
      </c>
      <c r="I3254" s="4" t="s">
        <v>3</v>
      </c>
      <c r="J3254" s="14">
        <v>0.61805555555555558</v>
      </c>
      <c r="K3254" s="20" t="str">
        <f t="shared" si="151"/>
        <v>2nd Shift</v>
      </c>
    </row>
    <row r="3255" spans="1:11" x14ac:dyDescent="0.25">
      <c r="A3255" s="1">
        <v>3254</v>
      </c>
      <c r="B3255" s="1">
        <v>3</v>
      </c>
      <c r="C3255" s="3">
        <v>3115270306701</v>
      </c>
      <c r="D3255" s="2">
        <v>44599.65625</v>
      </c>
      <c r="E3255" s="2">
        <v>44599.753472222219</v>
      </c>
      <c r="F3255" s="23">
        <f t="shared" si="150"/>
        <v>9.7222222218988463E-2</v>
      </c>
      <c r="G3255" s="24">
        <f t="shared" si="152"/>
        <v>128.57142857570506</v>
      </c>
      <c r="H3255" s="1" t="s">
        <v>1</v>
      </c>
      <c r="I3255" s="4" t="s">
        <v>3</v>
      </c>
      <c r="J3255" s="14">
        <v>0.65625</v>
      </c>
      <c r="K3255" s="20" t="str">
        <f t="shared" si="151"/>
        <v>2nd Shift</v>
      </c>
    </row>
    <row r="3256" spans="1:11" x14ac:dyDescent="0.25">
      <c r="A3256" s="1">
        <v>3255</v>
      </c>
      <c r="B3256" s="1">
        <v>2</v>
      </c>
      <c r="C3256" s="3">
        <v>2115270218300</v>
      </c>
      <c r="D3256" s="2">
        <v>44599.65625</v>
      </c>
      <c r="E3256" s="2">
        <v>44599.753472222219</v>
      </c>
      <c r="F3256" s="23">
        <f t="shared" si="150"/>
        <v>9.7222222218988463E-2</v>
      </c>
      <c r="G3256" s="24">
        <f t="shared" si="152"/>
        <v>128.57142857570506</v>
      </c>
      <c r="H3256" s="1" t="s">
        <v>1</v>
      </c>
      <c r="I3256" s="4" t="s">
        <v>3</v>
      </c>
      <c r="J3256" s="14">
        <v>0.65625</v>
      </c>
      <c r="K3256" s="20" t="str">
        <f t="shared" si="151"/>
        <v>2nd Shift</v>
      </c>
    </row>
    <row r="3257" spans="1:11" x14ac:dyDescent="0.25">
      <c r="A3257" s="1">
        <v>3256</v>
      </c>
      <c r="B3257" s="1">
        <v>10</v>
      </c>
      <c r="C3257" s="3">
        <v>10115271958500</v>
      </c>
      <c r="D3257" s="2">
        <v>44599.770833333336</v>
      </c>
      <c r="E3257" s="2">
        <v>44599.881944444445</v>
      </c>
      <c r="F3257" s="23">
        <f t="shared" si="150"/>
        <v>0.11111111110949423</v>
      </c>
      <c r="G3257" s="24">
        <f t="shared" si="152"/>
        <v>112.50000000163709</v>
      </c>
      <c r="H3257" s="1" t="s">
        <v>1</v>
      </c>
      <c r="I3257" s="4" t="s">
        <v>4</v>
      </c>
      <c r="J3257" s="14">
        <v>0.77083333333333337</v>
      </c>
      <c r="K3257" s="20" t="str">
        <f t="shared" si="151"/>
        <v>2nd Shift</v>
      </c>
    </row>
    <row r="3258" spans="1:11" x14ac:dyDescent="0.25">
      <c r="A3258" s="1">
        <v>3257</v>
      </c>
      <c r="B3258" s="1">
        <v>7</v>
      </c>
      <c r="C3258" s="3">
        <v>7115271787211</v>
      </c>
      <c r="D3258" s="2">
        <v>44599.805555555555</v>
      </c>
      <c r="E3258" s="2">
        <v>44599.881944444445</v>
      </c>
      <c r="F3258" s="23">
        <f t="shared" si="150"/>
        <v>7.6388888890505768E-2</v>
      </c>
      <c r="G3258" s="24">
        <f t="shared" si="152"/>
        <v>163.63636363290004</v>
      </c>
      <c r="H3258" s="1" t="s">
        <v>1</v>
      </c>
      <c r="I3258" s="4" t="s">
        <v>2</v>
      </c>
      <c r="J3258" s="14">
        <v>0.80555555555555558</v>
      </c>
      <c r="K3258" s="20" t="str">
        <f t="shared" si="151"/>
        <v>2nd Shift</v>
      </c>
    </row>
    <row r="3259" spans="1:11" x14ac:dyDescent="0.25">
      <c r="A3259" s="1">
        <v>3258</v>
      </c>
      <c r="B3259" s="1">
        <v>7</v>
      </c>
      <c r="C3259" s="3">
        <v>7115271783750</v>
      </c>
      <c r="D3259" s="2">
        <v>44599.770833333336</v>
      </c>
      <c r="E3259" s="2">
        <v>44599.881944444445</v>
      </c>
      <c r="F3259" s="23">
        <f t="shared" si="150"/>
        <v>0.11111111110949423</v>
      </c>
      <c r="G3259" s="24">
        <f t="shared" si="152"/>
        <v>112.50000000163709</v>
      </c>
      <c r="H3259" s="1" t="s">
        <v>1</v>
      </c>
      <c r="I3259" s="4" t="s">
        <v>4</v>
      </c>
      <c r="J3259" s="14">
        <v>0.77083333333333337</v>
      </c>
      <c r="K3259" s="20" t="str">
        <f t="shared" si="151"/>
        <v>2nd Shift</v>
      </c>
    </row>
    <row r="3260" spans="1:11" x14ac:dyDescent="0.25">
      <c r="A3260" s="1">
        <v>3259</v>
      </c>
      <c r="B3260" s="1">
        <v>3</v>
      </c>
      <c r="C3260" s="3">
        <v>3115270421800</v>
      </c>
      <c r="D3260" s="2">
        <v>44599.805555555555</v>
      </c>
      <c r="E3260" s="2">
        <v>44599.881944444445</v>
      </c>
      <c r="F3260" s="23">
        <f t="shared" si="150"/>
        <v>7.6388888890505768E-2</v>
      </c>
      <c r="G3260" s="24">
        <f t="shared" si="152"/>
        <v>163.63636363290004</v>
      </c>
      <c r="H3260" s="1" t="s">
        <v>1</v>
      </c>
      <c r="I3260" s="4" t="s">
        <v>5</v>
      </c>
      <c r="J3260" s="14">
        <v>0.80555555555555558</v>
      </c>
      <c r="K3260" s="20" t="str">
        <f t="shared" si="151"/>
        <v>2nd Shift</v>
      </c>
    </row>
    <row r="3261" spans="1:11" x14ac:dyDescent="0.25">
      <c r="A3261" s="1">
        <v>3260</v>
      </c>
      <c r="B3261" s="1">
        <v>3</v>
      </c>
      <c r="C3261" s="3">
        <v>3115270340200</v>
      </c>
      <c r="D3261" s="2">
        <v>44599.805555555555</v>
      </c>
      <c r="E3261" s="2">
        <v>44599.881944444445</v>
      </c>
      <c r="F3261" s="23">
        <f t="shared" si="150"/>
        <v>7.6388888890505768E-2</v>
      </c>
      <c r="G3261" s="24">
        <f t="shared" si="152"/>
        <v>163.63636363290004</v>
      </c>
      <c r="H3261" s="1" t="s">
        <v>1</v>
      </c>
      <c r="I3261" s="4" t="s">
        <v>3</v>
      </c>
      <c r="J3261" s="14">
        <v>0.80555555555555558</v>
      </c>
      <c r="K3261" s="20" t="str">
        <f t="shared" si="151"/>
        <v>2nd Shift</v>
      </c>
    </row>
    <row r="3262" spans="1:11" x14ac:dyDescent="0.25">
      <c r="A3262" s="1">
        <v>3261</v>
      </c>
      <c r="B3262" s="1">
        <v>2</v>
      </c>
      <c r="C3262" s="3">
        <v>2115270274700</v>
      </c>
      <c r="D3262" s="2">
        <v>44599.770833333336</v>
      </c>
      <c r="E3262" s="2">
        <v>44599.881944444445</v>
      </c>
      <c r="F3262" s="23">
        <f t="shared" si="150"/>
        <v>0.11111111110949423</v>
      </c>
      <c r="G3262" s="24">
        <f t="shared" si="152"/>
        <v>112.50000000163709</v>
      </c>
      <c r="H3262" s="1" t="s">
        <v>1</v>
      </c>
      <c r="I3262" s="4" t="s">
        <v>3</v>
      </c>
      <c r="J3262" s="14">
        <v>0.77083333333333337</v>
      </c>
      <c r="K3262" s="20" t="str">
        <f t="shared" si="151"/>
        <v>2nd Shift</v>
      </c>
    </row>
    <row r="3263" spans="1:11" x14ac:dyDescent="0.25">
      <c r="A3263" s="1">
        <v>3262</v>
      </c>
      <c r="B3263" s="1">
        <v>2</v>
      </c>
      <c r="C3263" s="3">
        <v>2115270250401</v>
      </c>
      <c r="D3263" s="2">
        <v>44599.770833333336</v>
      </c>
      <c r="E3263" s="2">
        <v>44599.881944444445</v>
      </c>
      <c r="F3263" s="23">
        <f t="shared" si="150"/>
        <v>0.11111111110949423</v>
      </c>
      <c r="G3263" s="24">
        <f t="shared" si="152"/>
        <v>112.50000000163709</v>
      </c>
      <c r="H3263" s="1" t="s">
        <v>1</v>
      </c>
      <c r="I3263" s="4" t="s">
        <v>3</v>
      </c>
      <c r="J3263" s="14">
        <v>0.77083333333333337</v>
      </c>
      <c r="K3263" s="20" t="str">
        <f t="shared" si="151"/>
        <v>2nd Shift</v>
      </c>
    </row>
    <row r="3264" spans="1:11" x14ac:dyDescent="0.25">
      <c r="A3264" s="1">
        <v>3263</v>
      </c>
      <c r="B3264" s="1">
        <v>9</v>
      </c>
      <c r="C3264" s="3">
        <v>9115270649100</v>
      </c>
      <c r="D3264" s="2">
        <v>44599.934027777781</v>
      </c>
      <c r="E3264" s="2">
        <v>44600.010416666664</v>
      </c>
      <c r="F3264" s="23">
        <f t="shared" si="150"/>
        <v>7.6388888883229811E-2</v>
      </c>
      <c r="G3264" s="24">
        <f t="shared" si="152"/>
        <v>163.63636364848622</v>
      </c>
      <c r="H3264" s="1" t="s">
        <v>1</v>
      </c>
      <c r="I3264" s="4" t="s">
        <v>4</v>
      </c>
      <c r="J3264" s="14">
        <v>0.93402777777777779</v>
      </c>
      <c r="K3264" s="20" t="str">
        <f t="shared" si="151"/>
        <v>3rd Shift</v>
      </c>
    </row>
    <row r="3265" spans="1:11" x14ac:dyDescent="0.25">
      <c r="A3265" s="1">
        <v>3264</v>
      </c>
      <c r="B3265" s="1">
        <v>1</v>
      </c>
      <c r="C3265" s="3">
        <v>1115270067600</v>
      </c>
      <c r="D3265" s="2">
        <v>44599.934027777781</v>
      </c>
      <c r="E3265" s="2">
        <v>44600.010416666664</v>
      </c>
      <c r="F3265" s="23">
        <f t="shared" si="150"/>
        <v>7.6388888883229811E-2</v>
      </c>
      <c r="G3265" s="24">
        <f t="shared" si="152"/>
        <v>163.63636364848622</v>
      </c>
      <c r="H3265" s="1" t="s">
        <v>1</v>
      </c>
      <c r="I3265" s="4" t="s">
        <v>2</v>
      </c>
      <c r="J3265" s="14">
        <v>0.93402777777777779</v>
      </c>
      <c r="K3265" s="20" t="str">
        <f t="shared" si="151"/>
        <v>3rd Shift</v>
      </c>
    </row>
    <row r="3266" spans="1:11" x14ac:dyDescent="0.25">
      <c r="A3266" s="1">
        <v>3265</v>
      </c>
      <c r="B3266" s="1">
        <v>7</v>
      </c>
      <c r="C3266" s="3">
        <v>7115271759002</v>
      </c>
      <c r="D3266" s="2">
        <v>44600.076388888891</v>
      </c>
      <c r="E3266" s="2">
        <v>44600.152777777781</v>
      </c>
      <c r="F3266" s="23">
        <f t="shared" ref="F3266:F3329" si="153">E3266-D3266</f>
        <v>7.6388888890505768E-2</v>
      </c>
      <c r="G3266" s="24">
        <f t="shared" si="152"/>
        <v>163.63636363290004</v>
      </c>
      <c r="H3266" s="1" t="s">
        <v>1</v>
      </c>
      <c r="I3266" s="4" t="s">
        <v>4</v>
      </c>
      <c r="J3266" s="14">
        <v>7.6388888888888895E-2</v>
      </c>
      <c r="K3266" s="20" t="str">
        <f t="shared" ref="K3266:K3329" si="154">IF(AND(J3266&gt;=$M$3,J3266&lt;$M$4),"1st Shift",IF(AND(J3266&gt;=$M$4,J3266&lt;$M$5),"2nd Shift","3rd Shift"))</f>
        <v>3rd Shift</v>
      </c>
    </row>
    <row r="3267" spans="1:11" x14ac:dyDescent="0.25">
      <c r="A3267" s="1">
        <v>3266</v>
      </c>
      <c r="B3267" s="1">
        <v>6</v>
      </c>
      <c r="C3267" s="3">
        <v>6115271733601</v>
      </c>
      <c r="D3267" s="2">
        <v>44600.076388888891</v>
      </c>
      <c r="E3267" s="2">
        <v>44600.152777777781</v>
      </c>
      <c r="F3267" s="23">
        <f t="shared" si="153"/>
        <v>7.6388888890505768E-2</v>
      </c>
      <c r="G3267" s="24">
        <f t="shared" ref="G3267:G3330" si="155">$M$9/F3267*100</f>
        <v>163.63636363290004</v>
      </c>
      <c r="H3267" s="1" t="s">
        <v>1</v>
      </c>
      <c r="I3267" s="4" t="s">
        <v>3</v>
      </c>
      <c r="J3267" s="14">
        <v>7.6388888888888895E-2</v>
      </c>
      <c r="K3267" s="20" t="str">
        <f t="shared" si="154"/>
        <v>3rd Shift</v>
      </c>
    </row>
    <row r="3268" spans="1:11" x14ac:dyDescent="0.25">
      <c r="A3268" s="1">
        <v>3267</v>
      </c>
      <c r="B3268" s="1">
        <v>14</v>
      </c>
      <c r="C3268" s="3">
        <v>14115271672905</v>
      </c>
      <c r="D3268" s="2">
        <v>44600.375</v>
      </c>
      <c r="E3268" s="2">
        <v>44600.545138888891</v>
      </c>
      <c r="F3268" s="23">
        <f t="shared" si="153"/>
        <v>0.17013888889050577</v>
      </c>
      <c r="G3268" s="24">
        <f t="shared" si="155"/>
        <v>73.46938775440384</v>
      </c>
      <c r="H3268" s="1" t="s">
        <v>1</v>
      </c>
      <c r="I3268" s="4" t="s">
        <v>2</v>
      </c>
      <c r="J3268" s="14">
        <v>0.375</v>
      </c>
      <c r="K3268" s="20" t="str">
        <f t="shared" si="154"/>
        <v>1st Shift</v>
      </c>
    </row>
    <row r="3269" spans="1:11" x14ac:dyDescent="0.25">
      <c r="A3269" s="1">
        <v>3268</v>
      </c>
      <c r="B3269" s="1">
        <v>7</v>
      </c>
      <c r="C3269" s="3">
        <v>7115271783717</v>
      </c>
      <c r="D3269" s="2">
        <v>44600.465277777781</v>
      </c>
      <c r="E3269" s="2">
        <v>44600.545138888891</v>
      </c>
      <c r="F3269" s="23">
        <f t="shared" si="153"/>
        <v>7.9861111109494232E-2</v>
      </c>
      <c r="G3269" s="24">
        <f t="shared" si="155"/>
        <v>156.52173913360375</v>
      </c>
      <c r="H3269" s="1" t="s">
        <v>1</v>
      </c>
      <c r="I3269" s="4" t="s">
        <v>2</v>
      </c>
      <c r="J3269" s="14">
        <v>0.46527777777777779</v>
      </c>
      <c r="K3269" s="20" t="str">
        <f t="shared" si="154"/>
        <v>1st Shift</v>
      </c>
    </row>
    <row r="3270" spans="1:11" x14ac:dyDescent="0.25">
      <c r="A3270" s="1">
        <v>3269</v>
      </c>
      <c r="B3270" s="1">
        <v>6</v>
      </c>
      <c r="C3270" s="3">
        <v>6115271704100</v>
      </c>
      <c r="D3270" s="2">
        <v>44600.447916666664</v>
      </c>
      <c r="E3270" s="2">
        <v>44600.545138888891</v>
      </c>
      <c r="F3270" s="23">
        <f t="shared" si="153"/>
        <v>9.7222222226264421E-2</v>
      </c>
      <c r="G3270" s="24">
        <f t="shared" si="155"/>
        <v>128.57142856608297</v>
      </c>
      <c r="H3270" s="1" t="s">
        <v>1</v>
      </c>
      <c r="I3270" s="4" t="s">
        <v>2</v>
      </c>
      <c r="J3270" s="14">
        <v>0.44791666666666669</v>
      </c>
      <c r="K3270" s="20" t="str">
        <f t="shared" si="154"/>
        <v>1st Shift</v>
      </c>
    </row>
    <row r="3271" spans="1:11" x14ac:dyDescent="0.25">
      <c r="A3271" s="1">
        <v>3270</v>
      </c>
      <c r="B3271" s="1">
        <v>3</v>
      </c>
      <c r="C3271" s="3">
        <v>3115270386303</v>
      </c>
      <c r="D3271" s="2">
        <v>44600.40625</v>
      </c>
      <c r="E3271" s="2">
        <v>44600.545138888891</v>
      </c>
      <c r="F3271" s="23">
        <f t="shared" si="153"/>
        <v>0.13888888889050577</v>
      </c>
      <c r="G3271" s="24">
        <f t="shared" si="155"/>
        <v>89.999999998952262</v>
      </c>
      <c r="H3271" s="1" t="s">
        <v>1</v>
      </c>
      <c r="I3271" s="4" t="s">
        <v>2</v>
      </c>
      <c r="J3271" s="14">
        <v>0.40625</v>
      </c>
      <c r="K3271" s="20" t="str">
        <f t="shared" si="154"/>
        <v>1st Shift</v>
      </c>
    </row>
    <row r="3272" spans="1:11" x14ac:dyDescent="0.25">
      <c r="A3272" s="1">
        <v>3271</v>
      </c>
      <c r="B3272" s="1">
        <v>3</v>
      </c>
      <c r="C3272" s="3">
        <v>3115270350600</v>
      </c>
      <c r="D3272" s="2">
        <v>44600.625</v>
      </c>
      <c r="E3272" s="2">
        <v>44600.666666666664</v>
      </c>
      <c r="F3272" s="23">
        <f t="shared" si="153"/>
        <v>4.1666666664241347E-2</v>
      </c>
      <c r="G3272" s="24">
        <f t="shared" si="155"/>
        <v>300.0000000174623</v>
      </c>
      <c r="H3272" s="1" t="s">
        <v>1</v>
      </c>
      <c r="I3272" s="4" t="s">
        <v>2</v>
      </c>
      <c r="J3272" s="14">
        <v>0.625</v>
      </c>
      <c r="K3272" s="20" t="str">
        <f t="shared" si="154"/>
        <v>2nd Shift</v>
      </c>
    </row>
    <row r="3273" spans="1:11" x14ac:dyDescent="0.25">
      <c r="A3273" s="1">
        <v>3272</v>
      </c>
      <c r="B3273" s="1">
        <v>12</v>
      </c>
      <c r="C3273" s="3">
        <v>12115271565704</v>
      </c>
      <c r="D3273" s="2">
        <v>44600.729166666664</v>
      </c>
      <c r="E3273" s="2">
        <v>44600.774305555555</v>
      </c>
      <c r="F3273" s="23">
        <f t="shared" si="153"/>
        <v>4.5138888890505768E-2</v>
      </c>
      <c r="G3273" s="24">
        <f t="shared" si="155"/>
        <v>276.9230769131575</v>
      </c>
      <c r="H3273" s="1" t="s">
        <v>1</v>
      </c>
      <c r="I3273" s="4" t="s">
        <v>2</v>
      </c>
      <c r="J3273" s="14">
        <v>0.72916666666666663</v>
      </c>
      <c r="K3273" s="20" t="str">
        <f t="shared" si="154"/>
        <v>2nd Shift</v>
      </c>
    </row>
    <row r="3274" spans="1:11" x14ac:dyDescent="0.25">
      <c r="A3274" s="1">
        <v>3273</v>
      </c>
      <c r="B3274" s="1">
        <v>1</v>
      </c>
      <c r="C3274" s="3">
        <v>1115270064900</v>
      </c>
      <c r="D3274" s="2">
        <v>44600.951388888891</v>
      </c>
      <c r="E3274" s="2">
        <v>44601.000011574077</v>
      </c>
      <c r="F3274" s="23">
        <f t="shared" si="153"/>
        <v>4.8622685186273884E-2</v>
      </c>
      <c r="G3274" s="24">
        <f t="shared" si="155"/>
        <v>257.0816472210945</v>
      </c>
      <c r="H3274" s="1" t="s">
        <v>1</v>
      </c>
      <c r="I3274" s="4" t="s">
        <v>2</v>
      </c>
      <c r="J3274" s="14">
        <v>0.95138888888888884</v>
      </c>
      <c r="K3274" s="20" t="str">
        <f t="shared" si="154"/>
        <v>3rd Shift</v>
      </c>
    </row>
    <row r="3275" spans="1:11" x14ac:dyDescent="0.25">
      <c r="A3275" s="1">
        <v>3274</v>
      </c>
      <c r="B3275" s="1">
        <v>15</v>
      </c>
      <c r="C3275" s="3">
        <v>15115271775014</v>
      </c>
      <c r="D3275" s="2">
        <v>44601.354166666664</v>
      </c>
      <c r="E3275" s="2">
        <v>44601.614583333336</v>
      </c>
      <c r="F3275" s="23">
        <f t="shared" si="153"/>
        <v>0.26041666667151731</v>
      </c>
      <c r="G3275" s="24">
        <f t="shared" si="155"/>
        <v>47.999999999105931</v>
      </c>
      <c r="H3275" s="1" t="s">
        <v>1</v>
      </c>
      <c r="I3275" s="4" t="s">
        <v>2</v>
      </c>
      <c r="J3275" s="14">
        <v>0.35416666666666669</v>
      </c>
      <c r="K3275" s="20" t="str">
        <f t="shared" si="154"/>
        <v>1st Shift</v>
      </c>
    </row>
    <row r="3276" spans="1:11" x14ac:dyDescent="0.25">
      <c r="A3276" s="1">
        <v>3275</v>
      </c>
      <c r="B3276" s="1">
        <v>13</v>
      </c>
      <c r="C3276" s="3">
        <v>13115271591204</v>
      </c>
      <c r="D3276" s="2">
        <v>44601.538194444445</v>
      </c>
      <c r="E3276" s="2">
        <v>44601.614583333336</v>
      </c>
      <c r="F3276" s="23">
        <f t="shared" si="153"/>
        <v>7.6388888890505768E-2</v>
      </c>
      <c r="G3276" s="24">
        <f t="shared" si="155"/>
        <v>163.63636363290004</v>
      </c>
      <c r="H3276" s="1" t="s">
        <v>1</v>
      </c>
      <c r="I3276" s="4" t="s">
        <v>3</v>
      </c>
      <c r="J3276" s="14">
        <v>0.53819444444444442</v>
      </c>
      <c r="K3276" s="20" t="str">
        <f t="shared" si="154"/>
        <v>1st Shift</v>
      </c>
    </row>
    <row r="3277" spans="1:11" x14ac:dyDescent="0.25">
      <c r="A3277" s="1">
        <v>3276</v>
      </c>
      <c r="B3277" s="1">
        <v>12</v>
      </c>
      <c r="C3277" s="3">
        <v>12115271571050</v>
      </c>
      <c r="D3277" s="2">
        <v>44601.354166666664</v>
      </c>
      <c r="E3277" s="2">
        <v>44601.614583333336</v>
      </c>
      <c r="F3277" s="23">
        <f t="shared" si="153"/>
        <v>0.26041666667151731</v>
      </c>
      <c r="G3277" s="24">
        <f t="shared" si="155"/>
        <v>47.999999999105931</v>
      </c>
      <c r="H3277" s="1" t="s">
        <v>1</v>
      </c>
      <c r="I3277" s="4" t="s">
        <v>2</v>
      </c>
      <c r="J3277" s="14">
        <v>0.35416666666666669</v>
      </c>
      <c r="K3277" s="20" t="str">
        <f t="shared" si="154"/>
        <v>1st Shift</v>
      </c>
    </row>
    <row r="3278" spans="1:11" x14ac:dyDescent="0.25">
      <c r="A3278" s="1">
        <v>3277</v>
      </c>
      <c r="B3278" s="1">
        <v>11</v>
      </c>
      <c r="C3278" s="3">
        <v>11115271542600</v>
      </c>
      <c r="D3278" s="2">
        <v>44601.354166666664</v>
      </c>
      <c r="E3278" s="2">
        <v>44601.614583333336</v>
      </c>
      <c r="F3278" s="23">
        <f t="shared" si="153"/>
        <v>0.26041666667151731</v>
      </c>
      <c r="G3278" s="24">
        <f t="shared" si="155"/>
        <v>47.999999999105931</v>
      </c>
      <c r="H3278" s="1" t="s">
        <v>1</v>
      </c>
      <c r="I3278" s="4" t="s">
        <v>2</v>
      </c>
      <c r="J3278" s="14">
        <v>0.35416666666666669</v>
      </c>
      <c r="K3278" s="20" t="str">
        <f t="shared" si="154"/>
        <v>1st Shift</v>
      </c>
    </row>
    <row r="3279" spans="1:11" x14ac:dyDescent="0.25">
      <c r="A3279" s="1">
        <v>3278</v>
      </c>
      <c r="B3279" s="1">
        <v>6</v>
      </c>
      <c r="C3279" s="3">
        <v>6115271729600</v>
      </c>
      <c r="D3279" s="2">
        <v>44601.447916666664</v>
      </c>
      <c r="E3279" s="2">
        <v>44601.614583333336</v>
      </c>
      <c r="F3279" s="23">
        <f t="shared" si="153"/>
        <v>0.16666666667151731</v>
      </c>
      <c r="G3279" s="24">
        <f t="shared" si="155"/>
        <v>74.999999997817213</v>
      </c>
      <c r="H3279" s="1" t="s">
        <v>1</v>
      </c>
      <c r="I3279" s="4" t="s">
        <v>3</v>
      </c>
      <c r="J3279" s="14">
        <v>0.44791666666666669</v>
      </c>
      <c r="K3279" s="20" t="str">
        <f t="shared" si="154"/>
        <v>1st Shift</v>
      </c>
    </row>
    <row r="3280" spans="1:11" x14ac:dyDescent="0.25">
      <c r="A3280" s="1">
        <v>3279</v>
      </c>
      <c r="B3280" s="1">
        <v>3</v>
      </c>
      <c r="C3280" s="3">
        <v>3115270366700</v>
      </c>
      <c r="D3280" s="2">
        <v>44601.354166666664</v>
      </c>
      <c r="E3280" s="2">
        <v>44601.614583333336</v>
      </c>
      <c r="F3280" s="23">
        <f t="shared" si="153"/>
        <v>0.26041666667151731</v>
      </c>
      <c r="G3280" s="24">
        <f t="shared" si="155"/>
        <v>47.999999999105931</v>
      </c>
      <c r="H3280" s="1" t="s">
        <v>1</v>
      </c>
      <c r="I3280" s="4" t="s">
        <v>3</v>
      </c>
      <c r="J3280" s="14">
        <v>0.35416666666666669</v>
      </c>
      <c r="K3280" s="20" t="str">
        <f t="shared" si="154"/>
        <v>1st Shift</v>
      </c>
    </row>
    <row r="3281" spans="1:11" x14ac:dyDescent="0.25">
      <c r="A3281" s="1">
        <v>3280</v>
      </c>
      <c r="B3281" s="1">
        <v>1</v>
      </c>
      <c r="C3281" s="3">
        <v>1115270088300</v>
      </c>
      <c r="D3281" s="2">
        <v>44601.354166666664</v>
      </c>
      <c r="E3281" s="2">
        <v>44601.614583333336</v>
      </c>
      <c r="F3281" s="23">
        <f t="shared" si="153"/>
        <v>0.26041666667151731</v>
      </c>
      <c r="G3281" s="24">
        <f t="shared" si="155"/>
        <v>47.999999999105931</v>
      </c>
      <c r="H3281" s="1" t="s">
        <v>1</v>
      </c>
      <c r="I3281" s="4" t="s">
        <v>3</v>
      </c>
      <c r="J3281" s="14">
        <v>0.35416666666666669</v>
      </c>
      <c r="K3281" s="20" t="str">
        <f t="shared" si="154"/>
        <v>1st Shift</v>
      </c>
    </row>
    <row r="3282" spans="1:11" x14ac:dyDescent="0.25">
      <c r="A3282" s="1">
        <v>3281</v>
      </c>
      <c r="B3282" s="1">
        <v>3</v>
      </c>
      <c r="C3282" s="3">
        <v>3115270366706</v>
      </c>
      <c r="D3282" s="2">
        <v>44601.659722222219</v>
      </c>
      <c r="E3282" s="2">
        <v>44601.736111111109</v>
      </c>
      <c r="F3282" s="23">
        <f t="shared" si="153"/>
        <v>7.6388888890505768E-2</v>
      </c>
      <c r="G3282" s="24">
        <f t="shared" si="155"/>
        <v>163.63636363290004</v>
      </c>
      <c r="H3282" s="1" t="s">
        <v>1</v>
      </c>
      <c r="I3282" s="4" t="s">
        <v>4</v>
      </c>
      <c r="J3282" s="14">
        <v>0.65972222222222221</v>
      </c>
      <c r="K3282" s="20" t="str">
        <f t="shared" si="154"/>
        <v>2nd Shift</v>
      </c>
    </row>
    <row r="3283" spans="1:11" x14ac:dyDescent="0.25">
      <c r="A3283" s="1">
        <v>3282</v>
      </c>
      <c r="B3283" s="1">
        <v>2</v>
      </c>
      <c r="C3283" s="3">
        <v>2115270229900</v>
      </c>
      <c r="D3283" s="2">
        <v>44601.659722222219</v>
      </c>
      <c r="E3283" s="2">
        <v>44601.736111111109</v>
      </c>
      <c r="F3283" s="23">
        <f t="shared" si="153"/>
        <v>7.6388888890505768E-2</v>
      </c>
      <c r="G3283" s="24">
        <f t="shared" si="155"/>
        <v>163.63636363290004</v>
      </c>
      <c r="H3283" s="1" t="s">
        <v>1</v>
      </c>
      <c r="I3283" s="4" t="s">
        <v>4</v>
      </c>
      <c r="J3283" s="14">
        <v>0.65972222222222221</v>
      </c>
      <c r="K3283" s="20" t="str">
        <f t="shared" si="154"/>
        <v>2nd Shift</v>
      </c>
    </row>
    <row r="3284" spans="1:11" x14ac:dyDescent="0.25">
      <c r="A3284" s="1">
        <v>3283</v>
      </c>
      <c r="B3284" s="1">
        <v>11</v>
      </c>
      <c r="C3284" s="3">
        <v>11115271542607</v>
      </c>
      <c r="D3284" s="2">
        <v>44601.857638888891</v>
      </c>
      <c r="E3284" s="2">
        <v>44601.895833333336</v>
      </c>
      <c r="F3284" s="23">
        <f t="shared" si="153"/>
        <v>3.8194444445252884E-2</v>
      </c>
      <c r="G3284" s="24">
        <f t="shared" si="155"/>
        <v>327.27272726580009</v>
      </c>
      <c r="H3284" s="1" t="s">
        <v>1</v>
      </c>
      <c r="I3284" s="4" t="s">
        <v>3</v>
      </c>
      <c r="J3284" s="14">
        <v>0.85763888888888884</v>
      </c>
      <c r="K3284" s="20" t="str">
        <f t="shared" si="154"/>
        <v>2nd Shift</v>
      </c>
    </row>
    <row r="3285" spans="1:11" x14ac:dyDescent="0.25">
      <c r="A3285" s="1">
        <v>3284</v>
      </c>
      <c r="B3285" s="1">
        <v>10</v>
      </c>
      <c r="C3285" s="3">
        <v>10115271964300</v>
      </c>
      <c r="D3285" s="2">
        <v>44601.857638888891</v>
      </c>
      <c r="E3285" s="2">
        <v>44601.895833333336</v>
      </c>
      <c r="F3285" s="23">
        <f t="shared" si="153"/>
        <v>3.8194444445252884E-2</v>
      </c>
      <c r="G3285" s="24">
        <f t="shared" si="155"/>
        <v>327.27272726580009</v>
      </c>
      <c r="H3285" s="1" t="s">
        <v>1</v>
      </c>
      <c r="I3285" s="4" t="s">
        <v>2</v>
      </c>
      <c r="J3285" s="14">
        <v>0.85763888888888884</v>
      </c>
      <c r="K3285" s="20" t="str">
        <f t="shared" si="154"/>
        <v>2nd Shift</v>
      </c>
    </row>
    <row r="3286" spans="1:11" x14ac:dyDescent="0.25">
      <c r="A3286" s="1">
        <v>3285</v>
      </c>
      <c r="B3286" s="1">
        <v>10</v>
      </c>
      <c r="C3286" s="3">
        <v>10115271454100</v>
      </c>
      <c r="D3286" s="2">
        <v>44601.788194444445</v>
      </c>
      <c r="E3286" s="2">
        <v>44601.895833333336</v>
      </c>
      <c r="F3286" s="23">
        <f t="shared" si="153"/>
        <v>0.10763888889050577</v>
      </c>
      <c r="G3286" s="24">
        <f t="shared" si="155"/>
        <v>116.1290322563201</v>
      </c>
      <c r="H3286" s="1" t="s">
        <v>1</v>
      </c>
      <c r="I3286" s="4" t="s">
        <v>3</v>
      </c>
      <c r="J3286" s="14">
        <v>0.78819444444444442</v>
      </c>
      <c r="K3286" s="20" t="str">
        <f t="shared" si="154"/>
        <v>2nd Shift</v>
      </c>
    </row>
    <row r="3287" spans="1:11" x14ac:dyDescent="0.25">
      <c r="A3287" s="1">
        <v>3286</v>
      </c>
      <c r="B3287" s="1">
        <v>14</v>
      </c>
      <c r="C3287" s="3">
        <v>14115271672406</v>
      </c>
      <c r="D3287" s="2">
        <v>44601.9375</v>
      </c>
      <c r="E3287" s="2">
        <v>44602.010416666664</v>
      </c>
      <c r="F3287" s="23">
        <f t="shared" si="153"/>
        <v>7.2916666664241347E-2</v>
      </c>
      <c r="G3287" s="24">
        <f t="shared" si="155"/>
        <v>171.42857143427341</v>
      </c>
      <c r="H3287" s="1" t="s">
        <v>1</v>
      </c>
      <c r="I3287" s="4" t="s">
        <v>2</v>
      </c>
      <c r="J3287" s="14">
        <v>0.9375</v>
      </c>
      <c r="K3287" s="20" t="str">
        <f t="shared" si="154"/>
        <v>3rd Shift</v>
      </c>
    </row>
    <row r="3288" spans="1:11" x14ac:dyDescent="0.25">
      <c r="A3288" s="1">
        <v>3287</v>
      </c>
      <c r="B3288" s="1">
        <v>4</v>
      </c>
      <c r="C3288" s="3">
        <v>4115270865900</v>
      </c>
      <c r="D3288" s="2">
        <v>44601.9375</v>
      </c>
      <c r="E3288" s="2">
        <v>44602.010416666664</v>
      </c>
      <c r="F3288" s="23">
        <f t="shared" si="153"/>
        <v>7.2916666664241347E-2</v>
      </c>
      <c r="G3288" s="24">
        <f t="shared" si="155"/>
        <v>171.42857143427341</v>
      </c>
      <c r="H3288" s="1" t="s">
        <v>1</v>
      </c>
      <c r="I3288" s="4" t="s">
        <v>5</v>
      </c>
      <c r="J3288" s="14">
        <v>0.9375</v>
      </c>
      <c r="K3288" s="20" t="str">
        <f t="shared" si="154"/>
        <v>3rd Shift</v>
      </c>
    </row>
    <row r="3289" spans="1:11" x14ac:dyDescent="0.25">
      <c r="A3289" s="1">
        <v>3288</v>
      </c>
      <c r="B3289" s="1">
        <v>7</v>
      </c>
      <c r="C3289" s="3">
        <v>7115271757200</v>
      </c>
      <c r="D3289" s="2">
        <v>44602.048611111109</v>
      </c>
      <c r="E3289" s="2">
        <v>44602.100694444445</v>
      </c>
      <c r="F3289" s="23">
        <f t="shared" si="153"/>
        <v>5.2083333335758653E-2</v>
      </c>
      <c r="G3289" s="24">
        <f t="shared" si="155"/>
        <v>239.99999998882413</v>
      </c>
      <c r="H3289" s="1" t="s">
        <v>1</v>
      </c>
      <c r="I3289" s="4" t="s">
        <v>2</v>
      </c>
      <c r="J3289" s="14">
        <v>4.8611111111111112E-2</v>
      </c>
      <c r="K3289" s="20" t="str">
        <f t="shared" si="154"/>
        <v>3rd Shift</v>
      </c>
    </row>
    <row r="3290" spans="1:11" x14ac:dyDescent="0.25">
      <c r="A3290" s="1">
        <v>3289</v>
      </c>
      <c r="B3290" s="1">
        <v>6</v>
      </c>
      <c r="C3290" s="3">
        <v>6115271741307</v>
      </c>
      <c r="D3290" s="2">
        <v>44602.048611111109</v>
      </c>
      <c r="E3290" s="2">
        <v>44602.100694444445</v>
      </c>
      <c r="F3290" s="23">
        <f t="shared" si="153"/>
        <v>5.2083333335758653E-2</v>
      </c>
      <c r="G3290" s="24">
        <f t="shared" si="155"/>
        <v>239.99999998882413</v>
      </c>
      <c r="H3290" s="1" t="s">
        <v>1</v>
      </c>
      <c r="I3290" s="4" t="s">
        <v>3</v>
      </c>
      <c r="J3290" s="14">
        <v>4.8611111111111112E-2</v>
      </c>
      <c r="K3290" s="20" t="str">
        <f t="shared" si="154"/>
        <v>3rd Shift</v>
      </c>
    </row>
    <row r="3291" spans="1:11" x14ac:dyDescent="0.25">
      <c r="A3291" s="1">
        <v>3290</v>
      </c>
      <c r="B3291" s="1">
        <v>15</v>
      </c>
      <c r="C3291" s="3">
        <v>15115271758105</v>
      </c>
      <c r="D3291" s="2">
        <v>44602.489583333336</v>
      </c>
      <c r="E3291" s="2">
        <v>44602.572916666664</v>
      </c>
      <c r="F3291" s="23">
        <f t="shared" si="153"/>
        <v>8.3333333328482695E-2</v>
      </c>
      <c r="G3291" s="24">
        <f t="shared" si="155"/>
        <v>150.00000000873115</v>
      </c>
      <c r="H3291" s="1" t="s">
        <v>1</v>
      </c>
      <c r="I3291" s="4" t="s">
        <v>2</v>
      </c>
      <c r="J3291" s="14">
        <v>0.48958333333333331</v>
      </c>
      <c r="K3291" s="20" t="str">
        <f t="shared" si="154"/>
        <v>1st Shift</v>
      </c>
    </row>
    <row r="3292" spans="1:11" x14ac:dyDescent="0.25">
      <c r="A3292" s="1">
        <v>3291</v>
      </c>
      <c r="B3292" s="1">
        <v>12</v>
      </c>
      <c r="C3292" s="3">
        <v>12115271573281</v>
      </c>
      <c r="D3292" s="2">
        <v>44602.489583333336</v>
      </c>
      <c r="E3292" s="2">
        <v>44602.572916666664</v>
      </c>
      <c r="F3292" s="23">
        <f t="shared" si="153"/>
        <v>8.3333333328482695E-2</v>
      </c>
      <c r="G3292" s="24">
        <f t="shared" si="155"/>
        <v>150.00000000873115</v>
      </c>
      <c r="H3292" s="1" t="s">
        <v>1</v>
      </c>
      <c r="I3292" s="4" t="s">
        <v>4</v>
      </c>
      <c r="J3292" s="14">
        <v>0.48958333333333331</v>
      </c>
      <c r="K3292" s="20" t="str">
        <f t="shared" si="154"/>
        <v>1st Shift</v>
      </c>
    </row>
    <row r="3293" spans="1:11" x14ac:dyDescent="0.25">
      <c r="A3293" s="1">
        <v>3292</v>
      </c>
      <c r="B3293" s="1">
        <v>11</v>
      </c>
      <c r="C3293" s="3">
        <v>11115271526104</v>
      </c>
      <c r="D3293" s="2">
        <v>44602.399305555555</v>
      </c>
      <c r="E3293" s="2">
        <v>44602.572916666664</v>
      </c>
      <c r="F3293" s="23">
        <f t="shared" si="153"/>
        <v>0.17361111110949423</v>
      </c>
      <c r="G3293" s="24">
        <f t="shared" si="155"/>
        <v>72.000000000670553</v>
      </c>
      <c r="H3293" s="1" t="s">
        <v>1</v>
      </c>
      <c r="I3293" s="4" t="s">
        <v>4</v>
      </c>
      <c r="J3293" s="14">
        <v>0.39930555555555558</v>
      </c>
      <c r="K3293" s="20" t="str">
        <f t="shared" si="154"/>
        <v>1st Shift</v>
      </c>
    </row>
    <row r="3294" spans="1:11" x14ac:dyDescent="0.25">
      <c r="A3294" s="1">
        <v>3293</v>
      </c>
      <c r="B3294" s="1">
        <v>6</v>
      </c>
      <c r="C3294" s="3">
        <v>6115271723029</v>
      </c>
      <c r="D3294" s="2">
        <v>44602.364583333336</v>
      </c>
      <c r="E3294" s="2">
        <v>44602.572916666664</v>
      </c>
      <c r="F3294" s="23">
        <f t="shared" si="153"/>
        <v>0.20833333332848269</v>
      </c>
      <c r="G3294" s="24">
        <f t="shared" si="155"/>
        <v>60.000000001396984</v>
      </c>
      <c r="H3294" s="1" t="s">
        <v>1</v>
      </c>
      <c r="I3294" s="4" t="s">
        <v>3</v>
      </c>
      <c r="J3294" s="14">
        <v>0.36458333333333331</v>
      </c>
      <c r="K3294" s="20" t="str">
        <f t="shared" si="154"/>
        <v>1st Shift</v>
      </c>
    </row>
    <row r="3295" spans="1:11" x14ac:dyDescent="0.25">
      <c r="A3295" s="1">
        <v>3294</v>
      </c>
      <c r="B3295" s="1">
        <v>6</v>
      </c>
      <c r="C3295" s="3">
        <v>6115271698102</v>
      </c>
      <c r="D3295" s="2">
        <v>44602.364583333336</v>
      </c>
      <c r="E3295" s="2">
        <v>44602.572916666664</v>
      </c>
      <c r="F3295" s="23">
        <f t="shared" si="153"/>
        <v>0.20833333332848269</v>
      </c>
      <c r="G3295" s="24">
        <f t="shared" si="155"/>
        <v>60.000000001396984</v>
      </c>
      <c r="H3295" s="1" t="s">
        <v>1</v>
      </c>
      <c r="I3295" s="4" t="s">
        <v>3</v>
      </c>
      <c r="J3295" s="14">
        <v>0.36458333333333331</v>
      </c>
      <c r="K3295" s="20" t="str">
        <f t="shared" si="154"/>
        <v>1st Shift</v>
      </c>
    </row>
    <row r="3296" spans="1:11" x14ac:dyDescent="0.25">
      <c r="A3296" s="1">
        <v>3295</v>
      </c>
      <c r="B3296" s="1">
        <v>4</v>
      </c>
      <c r="C3296" s="3">
        <v>4115270826700</v>
      </c>
      <c r="D3296" s="2">
        <v>44602.416666666664</v>
      </c>
      <c r="E3296" s="2">
        <v>44602.572916666664</v>
      </c>
      <c r="F3296" s="23">
        <f t="shared" si="153"/>
        <v>0.15625</v>
      </c>
      <c r="G3296" s="24">
        <f t="shared" si="155"/>
        <v>80</v>
      </c>
      <c r="H3296" s="1" t="s">
        <v>1</v>
      </c>
      <c r="I3296" s="4" t="s">
        <v>3</v>
      </c>
      <c r="J3296" s="14">
        <v>0.41666666666666669</v>
      </c>
      <c r="K3296" s="20" t="str">
        <f t="shared" si="154"/>
        <v>1st Shift</v>
      </c>
    </row>
    <row r="3297" spans="1:11" x14ac:dyDescent="0.25">
      <c r="A3297" s="1">
        <v>3296</v>
      </c>
      <c r="B3297" s="1">
        <v>6</v>
      </c>
      <c r="C3297" s="3">
        <v>6115271753111</v>
      </c>
      <c r="D3297" s="2">
        <v>44602.663194444445</v>
      </c>
      <c r="E3297" s="2">
        <v>44602.71875</v>
      </c>
      <c r="F3297" s="23">
        <f t="shared" si="153"/>
        <v>5.5555555554747116E-2</v>
      </c>
      <c r="G3297" s="24">
        <f t="shared" si="155"/>
        <v>225.00000000327418</v>
      </c>
      <c r="H3297" s="1" t="s">
        <v>1</v>
      </c>
      <c r="I3297" s="4" t="s">
        <v>2</v>
      </c>
      <c r="J3297" s="14">
        <v>0.66319444444444442</v>
      </c>
      <c r="K3297" s="20" t="str">
        <f t="shared" si="154"/>
        <v>2nd Shift</v>
      </c>
    </row>
    <row r="3298" spans="1:11" x14ac:dyDescent="0.25">
      <c r="A3298" s="1">
        <v>3297</v>
      </c>
      <c r="B3298" s="1">
        <v>3</v>
      </c>
      <c r="C3298" s="3">
        <v>3115270341200</v>
      </c>
      <c r="D3298" s="2">
        <v>44602.663194444445</v>
      </c>
      <c r="E3298" s="2">
        <v>44602.71875</v>
      </c>
      <c r="F3298" s="23">
        <f t="shared" si="153"/>
        <v>5.5555555554747116E-2</v>
      </c>
      <c r="G3298" s="24">
        <f t="shared" si="155"/>
        <v>225.00000000327418</v>
      </c>
      <c r="H3298" s="1" t="s">
        <v>1</v>
      </c>
      <c r="I3298" s="4" t="s">
        <v>3</v>
      </c>
      <c r="J3298" s="14">
        <v>0.66319444444444442</v>
      </c>
      <c r="K3298" s="20" t="str">
        <f t="shared" si="154"/>
        <v>2nd Shift</v>
      </c>
    </row>
    <row r="3299" spans="1:11" x14ac:dyDescent="0.25">
      <c r="A3299" s="1">
        <v>3298</v>
      </c>
      <c r="B3299" s="1">
        <v>12</v>
      </c>
      <c r="C3299" s="3">
        <v>12115271560121</v>
      </c>
      <c r="D3299" s="2">
        <v>44602.75</v>
      </c>
      <c r="E3299" s="2">
        <v>44602.770833333336</v>
      </c>
      <c r="F3299" s="23">
        <f t="shared" si="153"/>
        <v>2.0833333335758653E-2</v>
      </c>
      <c r="G3299" s="24">
        <f t="shared" si="155"/>
        <v>599.99999993015081</v>
      </c>
      <c r="H3299" s="1" t="s">
        <v>1</v>
      </c>
      <c r="I3299" s="4" t="s">
        <v>3</v>
      </c>
      <c r="J3299" s="14">
        <v>0.75</v>
      </c>
      <c r="K3299" s="20" t="str">
        <f t="shared" si="154"/>
        <v>2nd Shift</v>
      </c>
    </row>
    <row r="3300" spans="1:11" x14ac:dyDescent="0.25">
      <c r="A3300" s="1">
        <v>3299</v>
      </c>
      <c r="B3300" s="1">
        <v>10</v>
      </c>
      <c r="C3300" s="3">
        <v>10115271958401</v>
      </c>
      <c r="D3300" s="2">
        <v>44602.833333333336</v>
      </c>
      <c r="E3300" s="2">
        <v>44602.895833333336</v>
      </c>
      <c r="F3300" s="23">
        <f t="shared" si="153"/>
        <v>6.25E-2</v>
      </c>
      <c r="G3300" s="24">
        <f t="shared" si="155"/>
        <v>200</v>
      </c>
      <c r="H3300" s="1" t="s">
        <v>1</v>
      </c>
      <c r="I3300" s="4" t="s">
        <v>4</v>
      </c>
      <c r="J3300" s="14">
        <v>0.83333333333333337</v>
      </c>
      <c r="K3300" s="20" t="str">
        <f t="shared" si="154"/>
        <v>2nd Shift</v>
      </c>
    </row>
    <row r="3301" spans="1:11" x14ac:dyDescent="0.25">
      <c r="A3301" s="1">
        <v>3300</v>
      </c>
      <c r="B3301" s="1">
        <v>13</v>
      </c>
      <c r="C3301" s="3">
        <v>13115271590901</v>
      </c>
      <c r="D3301" s="2">
        <v>44602.986111111109</v>
      </c>
      <c r="E3301" s="2">
        <v>44603.065972222219</v>
      </c>
      <c r="F3301" s="23">
        <f t="shared" si="153"/>
        <v>7.9861111109494232E-2</v>
      </c>
      <c r="G3301" s="24">
        <f t="shared" si="155"/>
        <v>156.52173913360375</v>
      </c>
      <c r="H3301" s="1" t="s">
        <v>1</v>
      </c>
      <c r="I3301" s="4" t="s">
        <v>3</v>
      </c>
      <c r="J3301" s="14">
        <v>0.98611111111111116</v>
      </c>
      <c r="K3301" s="20" t="str">
        <f t="shared" si="154"/>
        <v>3rd Shift</v>
      </c>
    </row>
    <row r="3302" spans="1:11" x14ac:dyDescent="0.25">
      <c r="A3302" s="1">
        <v>3301</v>
      </c>
      <c r="B3302" s="1">
        <v>1</v>
      </c>
      <c r="C3302" s="3">
        <v>1115270062500</v>
      </c>
      <c r="D3302" s="2">
        <v>44602.986111111109</v>
      </c>
      <c r="E3302" s="2">
        <v>44603.065972222219</v>
      </c>
      <c r="F3302" s="23">
        <f t="shared" si="153"/>
        <v>7.9861111109494232E-2</v>
      </c>
      <c r="G3302" s="24">
        <f t="shared" si="155"/>
        <v>156.52173913360375</v>
      </c>
      <c r="H3302" s="1" t="s">
        <v>1</v>
      </c>
      <c r="I3302" s="4" t="s">
        <v>2</v>
      </c>
      <c r="J3302" s="14">
        <v>0.98611111111111116</v>
      </c>
      <c r="K3302" s="20" t="str">
        <f t="shared" si="154"/>
        <v>3rd Shift</v>
      </c>
    </row>
    <row r="3303" spans="1:11" x14ac:dyDescent="0.25">
      <c r="A3303" s="1">
        <v>3302</v>
      </c>
      <c r="B3303" s="1">
        <v>8</v>
      </c>
      <c r="C3303" s="3">
        <v>8115271810104</v>
      </c>
      <c r="D3303" s="2">
        <v>44603.09375</v>
      </c>
      <c r="E3303" s="2">
        <v>44603.138888888891</v>
      </c>
      <c r="F3303" s="23">
        <f t="shared" si="153"/>
        <v>4.5138888890505768E-2</v>
      </c>
      <c r="G3303" s="24">
        <f t="shared" si="155"/>
        <v>276.9230769131575</v>
      </c>
      <c r="H3303" s="1" t="s">
        <v>1</v>
      </c>
      <c r="I3303" s="4" t="s">
        <v>3</v>
      </c>
      <c r="J3303" s="14">
        <v>9.375E-2</v>
      </c>
      <c r="K3303" s="20" t="str">
        <f t="shared" si="154"/>
        <v>3rd Shift</v>
      </c>
    </row>
    <row r="3304" spans="1:11" x14ac:dyDescent="0.25">
      <c r="A3304" s="1">
        <v>3303</v>
      </c>
      <c r="B3304" s="1">
        <v>13</v>
      </c>
      <c r="C3304" s="3">
        <v>13115271591501</v>
      </c>
      <c r="D3304" s="2">
        <v>44603.393750000003</v>
      </c>
      <c r="E3304" s="2">
        <v>44603.517361111109</v>
      </c>
      <c r="F3304" s="23">
        <f t="shared" si="153"/>
        <v>0.12361111110658385</v>
      </c>
      <c r="G3304" s="24">
        <f t="shared" si="155"/>
        <v>101.12359550932165</v>
      </c>
      <c r="H3304" s="1" t="s">
        <v>1</v>
      </c>
      <c r="I3304" s="4" t="s">
        <v>8</v>
      </c>
      <c r="J3304" s="14">
        <v>0.39374999999999999</v>
      </c>
      <c r="K3304" s="20" t="str">
        <f t="shared" si="154"/>
        <v>1st Shift</v>
      </c>
    </row>
    <row r="3305" spans="1:11" x14ac:dyDescent="0.25">
      <c r="A3305" s="1">
        <v>3304</v>
      </c>
      <c r="B3305" s="1">
        <v>12</v>
      </c>
      <c r="C3305" s="3">
        <v>12115271567358</v>
      </c>
      <c r="D3305" s="2">
        <v>44603.440972222219</v>
      </c>
      <c r="E3305" s="2">
        <v>44603.517361111109</v>
      </c>
      <c r="F3305" s="23">
        <f t="shared" si="153"/>
        <v>7.6388888890505768E-2</v>
      </c>
      <c r="G3305" s="24">
        <f t="shared" si="155"/>
        <v>163.63636363290004</v>
      </c>
      <c r="H3305" s="1" t="s">
        <v>1</v>
      </c>
      <c r="I3305" s="4" t="s">
        <v>3</v>
      </c>
      <c r="J3305" s="14">
        <v>0.44097222222222221</v>
      </c>
      <c r="K3305" s="20" t="str">
        <f t="shared" si="154"/>
        <v>1st Shift</v>
      </c>
    </row>
    <row r="3306" spans="1:11" x14ac:dyDescent="0.25">
      <c r="A3306" s="1">
        <v>3305</v>
      </c>
      <c r="B3306" s="1">
        <v>1</v>
      </c>
      <c r="C3306" s="3">
        <v>1115270088900</v>
      </c>
      <c r="D3306" s="2">
        <v>44603.393750000003</v>
      </c>
      <c r="E3306" s="2">
        <v>44603.517361111109</v>
      </c>
      <c r="F3306" s="23">
        <f t="shared" si="153"/>
        <v>0.12361111110658385</v>
      </c>
      <c r="G3306" s="24">
        <f t="shared" si="155"/>
        <v>101.12359550932165</v>
      </c>
      <c r="H3306" s="1" t="s">
        <v>1</v>
      </c>
      <c r="I3306" s="4" t="s">
        <v>3</v>
      </c>
      <c r="J3306" s="14">
        <v>0.39374999999999999</v>
      </c>
      <c r="K3306" s="20" t="str">
        <f t="shared" si="154"/>
        <v>1st Shift</v>
      </c>
    </row>
    <row r="3307" spans="1:11" x14ac:dyDescent="0.25">
      <c r="A3307" s="1">
        <v>3306</v>
      </c>
      <c r="B3307" s="1">
        <v>11</v>
      </c>
      <c r="C3307" s="3">
        <v>11115271543300</v>
      </c>
      <c r="D3307" s="2">
        <v>44603.541666666664</v>
      </c>
      <c r="E3307" s="2">
        <v>44603.572916666664</v>
      </c>
      <c r="F3307" s="23">
        <f t="shared" si="153"/>
        <v>3.125E-2</v>
      </c>
      <c r="G3307" s="24">
        <f t="shared" si="155"/>
        <v>400</v>
      </c>
      <c r="H3307" s="1" t="s">
        <v>1</v>
      </c>
      <c r="I3307" s="4" t="s">
        <v>3</v>
      </c>
      <c r="J3307" s="14">
        <v>0.54166666666666663</v>
      </c>
      <c r="K3307" s="20" t="str">
        <f t="shared" si="154"/>
        <v>1st Shift</v>
      </c>
    </row>
    <row r="3308" spans="1:11" x14ac:dyDescent="0.25">
      <c r="A3308" s="1">
        <v>3307</v>
      </c>
      <c r="B3308" s="1">
        <v>14</v>
      </c>
      <c r="C3308" s="3">
        <v>14115271672501</v>
      </c>
      <c r="D3308" s="2">
        <v>44603.701388888891</v>
      </c>
      <c r="E3308" s="2">
        <v>44603.763888888891</v>
      </c>
      <c r="F3308" s="23">
        <f t="shared" si="153"/>
        <v>6.25E-2</v>
      </c>
      <c r="G3308" s="24">
        <f t="shared" si="155"/>
        <v>200</v>
      </c>
      <c r="H3308" s="1" t="s">
        <v>1</v>
      </c>
      <c r="I3308" s="4" t="s">
        <v>3</v>
      </c>
      <c r="J3308" s="14">
        <v>0.70138888888888884</v>
      </c>
      <c r="K3308" s="20" t="str">
        <f t="shared" si="154"/>
        <v>2nd Shift</v>
      </c>
    </row>
    <row r="3309" spans="1:11" x14ac:dyDescent="0.25">
      <c r="A3309" s="1">
        <v>3308</v>
      </c>
      <c r="B3309" s="1">
        <v>1</v>
      </c>
      <c r="C3309" s="3">
        <v>1115270006800</v>
      </c>
      <c r="D3309" s="2">
        <v>44603.701388888891</v>
      </c>
      <c r="E3309" s="2">
        <v>44603.763888888891</v>
      </c>
      <c r="F3309" s="23">
        <f t="shared" si="153"/>
        <v>6.25E-2</v>
      </c>
      <c r="G3309" s="24">
        <f t="shared" si="155"/>
        <v>200</v>
      </c>
      <c r="H3309" s="1" t="s">
        <v>1</v>
      </c>
      <c r="I3309" s="4" t="s">
        <v>2</v>
      </c>
      <c r="J3309" s="14">
        <v>0.70138888888888884</v>
      </c>
      <c r="K3309" s="20" t="str">
        <f t="shared" si="154"/>
        <v>2nd Shift</v>
      </c>
    </row>
    <row r="3310" spans="1:11" x14ac:dyDescent="0.25">
      <c r="A3310" s="1">
        <v>3309</v>
      </c>
      <c r="B3310" s="1">
        <v>14</v>
      </c>
      <c r="C3310" s="3">
        <v>14115271673113</v>
      </c>
      <c r="D3310" s="2">
        <v>44603.788194444445</v>
      </c>
      <c r="E3310" s="2">
        <v>44603.84375</v>
      </c>
      <c r="F3310" s="23">
        <f t="shared" si="153"/>
        <v>5.5555555554747116E-2</v>
      </c>
      <c r="G3310" s="24">
        <f t="shared" si="155"/>
        <v>225.00000000327418</v>
      </c>
      <c r="H3310" s="1" t="s">
        <v>1</v>
      </c>
      <c r="I3310" s="4" t="s">
        <v>3</v>
      </c>
      <c r="J3310" s="14">
        <v>0.78819444444444442</v>
      </c>
      <c r="K3310" s="20" t="str">
        <f t="shared" si="154"/>
        <v>2nd Shift</v>
      </c>
    </row>
    <row r="3311" spans="1:11" x14ac:dyDescent="0.25">
      <c r="A3311" s="1">
        <v>3310</v>
      </c>
      <c r="B3311" s="1">
        <v>12</v>
      </c>
      <c r="C3311" s="3">
        <v>12115271573411</v>
      </c>
      <c r="D3311" s="2">
        <v>44603.788194444445</v>
      </c>
      <c r="E3311" s="2">
        <v>44603.84375</v>
      </c>
      <c r="F3311" s="23">
        <f t="shared" si="153"/>
        <v>5.5555555554747116E-2</v>
      </c>
      <c r="G3311" s="24">
        <f t="shared" si="155"/>
        <v>225.00000000327418</v>
      </c>
      <c r="H3311" s="1" t="s">
        <v>1</v>
      </c>
      <c r="I3311" s="4" t="s">
        <v>2</v>
      </c>
      <c r="J3311" s="14">
        <v>0.78819444444444442</v>
      </c>
      <c r="K3311" s="20" t="str">
        <f t="shared" si="154"/>
        <v>2nd Shift</v>
      </c>
    </row>
    <row r="3312" spans="1:11" x14ac:dyDescent="0.25">
      <c r="A3312" s="1">
        <v>3311</v>
      </c>
      <c r="B3312" s="1">
        <v>11</v>
      </c>
      <c r="C3312" s="3">
        <v>11115271543600</v>
      </c>
      <c r="D3312" s="2">
        <v>44603.788194444445</v>
      </c>
      <c r="E3312" s="2">
        <v>44603.84375</v>
      </c>
      <c r="F3312" s="23">
        <f t="shared" si="153"/>
        <v>5.5555555554747116E-2</v>
      </c>
      <c r="G3312" s="24">
        <f t="shared" si="155"/>
        <v>225.00000000327418</v>
      </c>
      <c r="H3312" s="1" t="s">
        <v>1</v>
      </c>
      <c r="I3312" s="4" t="s">
        <v>3</v>
      </c>
      <c r="J3312" s="14">
        <v>0.78819444444444442</v>
      </c>
      <c r="K3312" s="20" t="str">
        <f t="shared" si="154"/>
        <v>2nd Shift</v>
      </c>
    </row>
    <row r="3313" spans="1:11" x14ac:dyDescent="0.25">
      <c r="A3313" s="1">
        <v>3312</v>
      </c>
      <c r="B3313" s="1">
        <v>15</v>
      </c>
      <c r="C3313" s="3">
        <v>15115271743401</v>
      </c>
      <c r="D3313" s="2">
        <v>44603.972222222219</v>
      </c>
      <c r="E3313" s="2">
        <v>44604.036111111112</v>
      </c>
      <c r="F3313" s="23">
        <f t="shared" si="153"/>
        <v>6.3888888893416151E-2</v>
      </c>
      <c r="G3313" s="24">
        <f t="shared" si="155"/>
        <v>195.65217389917927</v>
      </c>
      <c r="H3313" s="1" t="s">
        <v>1</v>
      </c>
      <c r="I3313" s="4" t="s">
        <v>2</v>
      </c>
      <c r="J3313" s="14">
        <v>0.97222222222222221</v>
      </c>
      <c r="K3313" s="20" t="str">
        <f t="shared" si="154"/>
        <v>3rd Shift</v>
      </c>
    </row>
    <row r="3314" spans="1:11" x14ac:dyDescent="0.25">
      <c r="A3314" s="1">
        <v>3313</v>
      </c>
      <c r="B3314" s="1">
        <v>11</v>
      </c>
      <c r="C3314" s="3">
        <v>11115271559510</v>
      </c>
      <c r="D3314" s="2">
        <v>44604.0625</v>
      </c>
      <c r="E3314" s="2">
        <v>44604.107638888891</v>
      </c>
      <c r="F3314" s="23">
        <f t="shared" si="153"/>
        <v>4.5138888890505768E-2</v>
      </c>
      <c r="G3314" s="24">
        <f t="shared" si="155"/>
        <v>276.9230769131575</v>
      </c>
      <c r="H3314" s="1" t="s">
        <v>1</v>
      </c>
      <c r="I3314" s="4" t="s">
        <v>3</v>
      </c>
      <c r="J3314" s="14">
        <v>6.25E-2</v>
      </c>
      <c r="K3314" s="20" t="str">
        <f t="shared" si="154"/>
        <v>3rd Shift</v>
      </c>
    </row>
    <row r="3315" spans="1:11" x14ac:dyDescent="0.25">
      <c r="A3315" s="1">
        <v>3314</v>
      </c>
      <c r="B3315" s="1">
        <v>3</v>
      </c>
      <c r="C3315" s="3">
        <v>3115270308800</v>
      </c>
      <c r="D3315" s="2">
        <v>44604.0625</v>
      </c>
      <c r="E3315" s="2">
        <v>44604.107638888891</v>
      </c>
      <c r="F3315" s="23">
        <f t="shared" si="153"/>
        <v>4.5138888890505768E-2</v>
      </c>
      <c r="G3315" s="24">
        <f t="shared" si="155"/>
        <v>276.9230769131575</v>
      </c>
      <c r="H3315" s="1" t="s">
        <v>1</v>
      </c>
      <c r="I3315" s="4" t="s">
        <v>2</v>
      </c>
      <c r="J3315" s="14">
        <v>6.25E-2</v>
      </c>
      <c r="K3315" s="20" t="str">
        <f t="shared" si="154"/>
        <v>3rd Shift</v>
      </c>
    </row>
    <row r="3316" spans="1:11" x14ac:dyDescent="0.25">
      <c r="A3316" s="1">
        <v>3315</v>
      </c>
      <c r="B3316" s="1">
        <v>14</v>
      </c>
      <c r="C3316" s="3">
        <v>14115271672500</v>
      </c>
      <c r="D3316" s="2">
        <v>44604.416666666664</v>
      </c>
      <c r="E3316" s="2">
        <v>44604.572916666664</v>
      </c>
      <c r="F3316" s="23">
        <f t="shared" si="153"/>
        <v>0.15625</v>
      </c>
      <c r="G3316" s="24">
        <f t="shared" si="155"/>
        <v>80</v>
      </c>
      <c r="H3316" s="1" t="s">
        <v>1</v>
      </c>
      <c r="I3316" s="4" t="s">
        <v>3</v>
      </c>
      <c r="J3316" s="14">
        <v>0.41666666666666669</v>
      </c>
      <c r="K3316" s="20" t="str">
        <f t="shared" si="154"/>
        <v>1st Shift</v>
      </c>
    </row>
    <row r="3317" spans="1:11" x14ac:dyDescent="0.25">
      <c r="A3317" s="1">
        <v>3316</v>
      </c>
      <c r="B3317" s="1">
        <v>13</v>
      </c>
      <c r="C3317" s="3">
        <v>13115271590501</v>
      </c>
      <c r="D3317" s="2">
        <v>44604.416666666664</v>
      </c>
      <c r="E3317" s="2">
        <v>44604.572916666664</v>
      </c>
      <c r="F3317" s="23">
        <f t="shared" si="153"/>
        <v>0.15625</v>
      </c>
      <c r="G3317" s="24">
        <f t="shared" si="155"/>
        <v>80</v>
      </c>
      <c r="H3317" s="1" t="s">
        <v>1</v>
      </c>
      <c r="I3317" s="4" t="s">
        <v>3</v>
      </c>
      <c r="J3317" s="14">
        <v>0.41666666666666669</v>
      </c>
      <c r="K3317" s="20" t="str">
        <f t="shared" si="154"/>
        <v>1st Shift</v>
      </c>
    </row>
    <row r="3318" spans="1:11" x14ac:dyDescent="0.25">
      <c r="A3318" s="1">
        <v>3317</v>
      </c>
      <c r="B3318" s="1">
        <v>10</v>
      </c>
      <c r="C3318" s="3">
        <v>10115271964800</v>
      </c>
      <c r="D3318" s="2">
        <v>44604.416666666664</v>
      </c>
      <c r="E3318" s="2">
        <v>44604.572916666664</v>
      </c>
      <c r="F3318" s="23">
        <f t="shared" si="153"/>
        <v>0.15625</v>
      </c>
      <c r="G3318" s="24">
        <f t="shared" si="155"/>
        <v>80</v>
      </c>
      <c r="H3318" s="1" t="s">
        <v>1</v>
      </c>
      <c r="I3318" s="4" t="s">
        <v>3</v>
      </c>
      <c r="J3318" s="14">
        <v>0.41666666666666669</v>
      </c>
      <c r="K3318" s="20" t="str">
        <f t="shared" si="154"/>
        <v>1st Shift</v>
      </c>
    </row>
    <row r="3319" spans="1:11" x14ac:dyDescent="0.25">
      <c r="A3319" s="1">
        <v>3318</v>
      </c>
      <c r="B3319" s="1">
        <v>1</v>
      </c>
      <c r="C3319" s="3">
        <v>1115270067800</v>
      </c>
      <c r="D3319" s="2">
        <v>44604.416666666664</v>
      </c>
      <c r="E3319" s="2">
        <v>44604.572916666664</v>
      </c>
      <c r="F3319" s="23">
        <f t="shared" si="153"/>
        <v>0.15625</v>
      </c>
      <c r="G3319" s="24">
        <f t="shared" si="155"/>
        <v>80</v>
      </c>
      <c r="H3319" s="1" t="s">
        <v>1</v>
      </c>
      <c r="I3319" s="4" t="s">
        <v>3</v>
      </c>
      <c r="J3319" s="14">
        <v>0.41666666666666669</v>
      </c>
      <c r="K3319" s="20" t="str">
        <f t="shared" si="154"/>
        <v>1st Shift</v>
      </c>
    </row>
    <row r="3320" spans="1:11" x14ac:dyDescent="0.25">
      <c r="A3320" s="1">
        <v>3319</v>
      </c>
      <c r="B3320" s="1">
        <v>13</v>
      </c>
      <c r="C3320" s="3">
        <v>13115271610103</v>
      </c>
      <c r="D3320" s="2">
        <v>44604.644444444442</v>
      </c>
      <c r="E3320" s="2">
        <v>44604.729166666664</v>
      </c>
      <c r="F3320" s="23">
        <f t="shared" si="153"/>
        <v>8.4722222221898846E-2</v>
      </c>
      <c r="G3320" s="24">
        <f t="shared" si="155"/>
        <v>147.54098360712052</v>
      </c>
      <c r="H3320" s="1" t="s">
        <v>1</v>
      </c>
      <c r="I3320" s="4" t="s">
        <v>3</v>
      </c>
      <c r="J3320" s="14">
        <v>0.64444444444444449</v>
      </c>
      <c r="K3320" s="20" t="str">
        <f t="shared" si="154"/>
        <v>2nd Shift</v>
      </c>
    </row>
    <row r="3321" spans="1:11" x14ac:dyDescent="0.25">
      <c r="A3321" s="1">
        <v>3320</v>
      </c>
      <c r="B3321" s="1">
        <v>11</v>
      </c>
      <c r="C3321" s="3">
        <v>11115271508700</v>
      </c>
      <c r="D3321" s="2">
        <v>44604.644444444442</v>
      </c>
      <c r="E3321" s="2">
        <v>44604.729166666664</v>
      </c>
      <c r="F3321" s="23">
        <f t="shared" si="153"/>
        <v>8.4722222221898846E-2</v>
      </c>
      <c r="G3321" s="24">
        <f t="shared" si="155"/>
        <v>147.54098360712052</v>
      </c>
      <c r="H3321" s="1" t="s">
        <v>1</v>
      </c>
      <c r="I3321" s="4" t="s">
        <v>4</v>
      </c>
      <c r="J3321" s="14">
        <v>0.64444444444444449</v>
      </c>
      <c r="K3321" s="20" t="str">
        <f t="shared" si="154"/>
        <v>2nd Shift</v>
      </c>
    </row>
    <row r="3322" spans="1:11" x14ac:dyDescent="0.25">
      <c r="A3322" s="1">
        <v>3321</v>
      </c>
      <c r="B3322" s="1">
        <v>10</v>
      </c>
      <c r="C3322" s="3">
        <v>10115271410801</v>
      </c>
      <c r="D3322" s="2">
        <v>44604.708333333336</v>
      </c>
      <c r="E3322" s="2">
        <v>44604.729166666664</v>
      </c>
      <c r="F3322" s="23">
        <f t="shared" si="153"/>
        <v>2.0833333328482695E-2</v>
      </c>
      <c r="G3322" s="24">
        <f t="shared" si="155"/>
        <v>600.00000013969839</v>
      </c>
      <c r="H3322" s="1" t="s">
        <v>1</v>
      </c>
      <c r="I3322" s="4" t="s">
        <v>3</v>
      </c>
      <c r="J3322" s="14">
        <v>0.70833333333333337</v>
      </c>
      <c r="K3322" s="20" t="str">
        <f t="shared" si="154"/>
        <v>2nd Shift</v>
      </c>
    </row>
    <row r="3323" spans="1:11" x14ac:dyDescent="0.25">
      <c r="A3323" s="1">
        <v>3322</v>
      </c>
      <c r="B3323" s="1">
        <v>10</v>
      </c>
      <c r="C3323" s="3">
        <v>10115271416500</v>
      </c>
      <c r="D3323" s="2">
        <v>44604.753472222219</v>
      </c>
      <c r="E3323" s="2">
        <v>44604.815972222219</v>
      </c>
      <c r="F3323" s="23">
        <f t="shared" si="153"/>
        <v>6.25E-2</v>
      </c>
      <c r="G3323" s="24">
        <f t="shared" si="155"/>
        <v>200</v>
      </c>
      <c r="H3323" s="1" t="s">
        <v>1</v>
      </c>
      <c r="I3323" s="4" t="s">
        <v>3</v>
      </c>
      <c r="J3323" s="14">
        <v>0.75347222222222221</v>
      </c>
      <c r="K3323" s="20" t="str">
        <f t="shared" si="154"/>
        <v>2nd Shift</v>
      </c>
    </row>
    <row r="3324" spans="1:11" x14ac:dyDescent="0.25">
      <c r="A3324" s="1">
        <v>3323</v>
      </c>
      <c r="B3324" s="1">
        <v>1</v>
      </c>
      <c r="C3324" s="3">
        <v>1115270084600</v>
      </c>
      <c r="D3324" s="2">
        <v>44604.753472222219</v>
      </c>
      <c r="E3324" s="2">
        <v>44604.815972222219</v>
      </c>
      <c r="F3324" s="23">
        <f t="shared" si="153"/>
        <v>6.25E-2</v>
      </c>
      <c r="G3324" s="24">
        <f t="shared" si="155"/>
        <v>200</v>
      </c>
      <c r="H3324" s="1" t="s">
        <v>1</v>
      </c>
      <c r="I3324" s="4" t="s">
        <v>3</v>
      </c>
      <c r="J3324" s="14">
        <v>0.75347222222222221</v>
      </c>
      <c r="K3324" s="20" t="str">
        <f t="shared" si="154"/>
        <v>2nd Shift</v>
      </c>
    </row>
    <row r="3325" spans="1:11" x14ac:dyDescent="0.25">
      <c r="A3325" s="1">
        <v>3324</v>
      </c>
      <c r="B3325" s="1">
        <v>15</v>
      </c>
      <c r="C3325" s="3">
        <v>15115271775014</v>
      </c>
      <c r="D3325" s="2">
        <v>44605.388888888891</v>
      </c>
      <c r="E3325" s="2">
        <v>44605.581250000003</v>
      </c>
      <c r="F3325" s="23">
        <f t="shared" si="153"/>
        <v>0.19236111111240461</v>
      </c>
      <c r="G3325" s="24">
        <f t="shared" si="155"/>
        <v>64.981949458046799</v>
      </c>
      <c r="H3325" s="1" t="s">
        <v>1</v>
      </c>
      <c r="I3325" s="4" t="s">
        <v>3</v>
      </c>
      <c r="J3325" s="14">
        <v>0.3888888888888889</v>
      </c>
      <c r="K3325" s="20" t="str">
        <f t="shared" si="154"/>
        <v>1st Shift</v>
      </c>
    </row>
    <row r="3326" spans="1:11" x14ac:dyDescent="0.25">
      <c r="A3326" s="1">
        <v>3325</v>
      </c>
      <c r="B3326" s="1">
        <v>13</v>
      </c>
      <c r="C3326" s="3">
        <v>13115271590600</v>
      </c>
      <c r="D3326" s="2">
        <v>44605.388888888891</v>
      </c>
      <c r="E3326" s="2">
        <v>44605.581250000003</v>
      </c>
      <c r="F3326" s="23">
        <f t="shared" si="153"/>
        <v>0.19236111111240461</v>
      </c>
      <c r="G3326" s="24">
        <f t="shared" si="155"/>
        <v>64.981949458046799</v>
      </c>
      <c r="H3326" s="1" t="s">
        <v>1</v>
      </c>
      <c r="I3326" s="4" t="s">
        <v>2</v>
      </c>
      <c r="J3326" s="14">
        <v>0.3888888888888889</v>
      </c>
      <c r="K3326" s="20" t="str">
        <f t="shared" si="154"/>
        <v>1st Shift</v>
      </c>
    </row>
    <row r="3327" spans="1:11" x14ac:dyDescent="0.25">
      <c r="A3327" s="1">
        <v>3326</v>
      </c>
      <c r="B3327" s="1">
        <v>11</v>
      </c>
      <c r="C3327" s="3">
        <v>11115271542607</v>
      </c>
      <c r="D3327" s="2">
        <v>44605.513888888891</v>
      </c>
      <c r="E3327" s="2">
        <v>44605.581250000003</v>
      </c>
      <c r="F3327" s="23">
        <f t="shared" si="153"/>
        <v>6.7361111112404615E-2</v>
      </c>
      <c r="G3327" s="24">
        <f t="shared" si="155"/>
        <v>185.56701030571497</v>
      </c>
      <c r="H3327" s="1" t="s">
        <v>1</v>
      </c>
      <c r="I3327" s="4" t="s">
        <v>2</v>
      </c>
      <c r="J3327" s="14">
        <v>0.51388888888888884</v>
      </c>
      <c r="K3327" s="20" t="str">
        <f t="shared" si="154"/>
        <v>1st Shift</v>
      </c>
    </row>
    <row r="3328" spans="1:11" x14ac:dyDescent="0.25">
      <c r="A3328" s="1">
        <v>3327</v>
      </c>
      <c r="B3328" s="1">
        <v>11</v>
      </c>
      <c r="C3328" s="3">
        <v>11115271542606</v>
      </c>
      <c r="D3328" s="2">
        <v>44605.388888888891</v>
      </c>
      <c r="E3328" s="2">
        <v>44605.581250000003</v>
      </c>
      <c r="F3328" s="23">
        <f t="shared" si="153"/>
        <v>0.19236111111240461</v>
      </c>
      <c r="G3328" s="24">
        <f t="shared" si="155"/>
        <v>64.981949458046799</v>
      </c>
      <c r="H3328" s="1" t="s">
        <v>1</v>
      </c>
      <c r="I3328" s="4" t="s">
        <v>2</v>
      </c>
      <c r="J3328" s="14">
        <v>0.3888888888888889</v>
      </c>
      <c r="K3328" s="20" t="str">
        <f t="shared" si="154"/>
        <v>1st Shift</v>
      </c>
    </row>
    <row r="3329" spans="1:11" x14ac:dyDescent="0.25">
      <c r="A3329" s="1">
        <v>3328</v>
      </c>
      <c r="B3329" s="1">
        <v>7</v>
      </c>
      <c r="C3329" s="3">
        <v>7115271799226</v>
      </c>
      <c r="D3329" s="2">
        <v>44605.388888888891</v>
      </c>
      <c r="E3329" s="2">
        <v>44605.581250000003</v>
      </c>
      <c r="F3329" s="23">
        <f t="shared" si="153"/>
        <v>0.19236111111240461</v>
      </c>
      <c r="G3329" s="24">
        <f t="shared" si="155"/>
        <v>64.981949458046799</v>
      </c>
      <c r="H3329" s="1" t="s">
        <v>1</v>
      </c>
      <c r="I3329" s="4" t="s">
        <v>2</v>
      </c>
      <c r="J3329" s="14">
        <v>0.3888888888888889</v>
      </c>
      <c r="K3329" s="20" t="str">
        <f t="shared" si="154"/>
        <v>1st Shift</v>
      </c>
    </row>
    <row r="3330" spans="1:11" x14ac:dyDescent="0.25">
      <c r="A3330" s="1">
        <v>3329</v>
      </c>
      <c r="B3330" s="1">
        <v>7</v>
      </c>
      <c r="C3330" s="3">
        <v>7115271757500</v>
      </c>
      <c r="D3330" s="2">
        <v>44605.513888888891</v>
      </c>
      <c r="E3330" s="2">
        <v>44605.581250000003</v>
      </c>
      <c r="F3330" s="23">
        <f t="shared" ref="F3330:F3393" si="156">E3330-D3330</f>
        <v>6.7361111112404615E-2</v>
      </c>
      <c r="G3330" s="24">
        <f t="shared" si="155"/>
        <v>185.56701030571497</v>
      </c>
      <c r="H3330" s="1" t="s">
        <v>1</v>
      </c>
      <c r="I3330" s="4" t="s">
        <v>3</v>
      </c>
      <c r="J3330" s="14">
        <v>0.51388888888888884</v>
      </c>
      <c r="K3330" s="20" t="str">
        <f t="shared" ref="K3330:K3393" si="157">IF(AND(J3330&gt;=$M$3,J3330&lt;$M$4),"1st Shift",IF(AND(J3330&gt;=$M$4,J3330&lt;$M$5),"2nd Shift","3rd Shift"))</f>
        <v>1st Shift</v>
      </c>
    </row>
    <row r="3331" spans="1:11" x14ac:dyDescent="0.25">
      <c r="A3331" s="1">
        <v>3330</v>
      </c>
      <c r="B3331" s="1">
        <v>6</v>
      </c>
      <c r="C3331" s="3">
        <v>6115271741400</v>
      </c>
      <c r="D3331" s="2">
        <v>44605.388888888891</v>
      </c>
      <c r="E3331" s="2">
        <v>44605.581250000003</v>
      </c>
      <c r="F3331" s="23">
        <f t="shared" si="156"/>
        <v>0.19236111111240461</v>
      </c>
      <c r="G3331" s="24">
        <f t="shared" ref="G3331:G3394" si="158">$M$9/F3331*100</f>
        <v>64.981949458046799</v>
      </c>
      <c r="H3331" s="1" t="s">
        <v>1</v>
      </c>
      <c r="I3331" s="4" t="s">
        <v>2</v>
      </c>
      <c r="J3331" s="14">
        <v>0.3888888888888889</v>
      </c>
      <c r="K3331" s="20" t="str">
        <f t="shared" si="157"/>
        <v>1st Shift</v>
      </c>
    </row>
    <row r="3332" spans="1:11" x14ac:dyDescent="0.25">
      <c r="A3332" s="1">
        <v>3331</v>
      </c>
      <c r="B3332" s="1">
        <v>11</v>
      </c>
      <c r="C3332" s="3">
        <v>11115271508900</v>
      </c>
      <c r="D3332" s="2">
        <v>44605.052083333336</v>
      </c>
      <c r="E3332" s="2">
        <v>44605.625</v>
      </c>
      <c r="F3332" s="23">
        <f t="shared" si="156"/>
        <v>0.57291666666424135</v>
      </c>
      <c r="G3332" s="24">
        <f t="shared" si="158"/>
        <v>21.818181818274184</v>
      </c>
      <c r="H3332" s="1" t="s">
        <v>1</v>
      </c>
      <c r="I3332" s="4" t="s">
        <v>2</v>
      </c>
      <c r="J3332" s="14">
        <v>5.2083333333333336E-2</v>
      </c>
      <c r="K3332" s="20" t="str">
        <f t="shared" si="157"/>
        <v>3rd Shift</v>
      </c>
    </row>
    <row r="3333" spans="1:11" x14ac:dyDescent="0.25">
      <c r="A3333" s="1">
        <v>3332</v>
      </c>
      <c r="B3333" s="1">
        <v>7</v>
      </c>
      <c r="C3333" s="3">
        <v>7115271768100</v>
      </c>
      <c r="D3333" s="2">
        <v>44605.59375</v>
      </c>
      <c r="E3333" s="2">
        <v>44605.75</v>
      </c>
      <c r="F3333" s="23">
        <f t="shared" si="156"/>
        <v>0.15625</v>
      </c>
      <c r="G3333" s="24">
        <f t="shared" si="158"/>
        <v>80</v>
      </c>
      <c r="H3333" s="1" t="s">
        <v>1</v>
      </c>
      <c r="I3333" s="4" t="s">
        <v>2</v>
      </c>
      <c r="J3333" s="14">
        <v>0.59375</v>
      </c>
      <c r="K3333" s="20" t="str">
        <f t="shared" si="157"/>
        <v>2nd Shift</v>
      </c>
    </row>
    <row r="3334" spans="1:11" x14ac:dyDescent="0.25">
      <c r="A3334" s="1">
        <v>3333</v>
      </c>
      <c r="B3334" s="1">
        <v>6</v>
      </c>
      <c r="C3334" s="3">
        <v>6115271736304</v>
      </c>
      <c r="D3334" s="2">
        <v>44605.59375</v>
      </c>
      <c r="E3334" s="2">
        <v>44605.75</v>
      </c>
      <c r="F3334" s="23">
        <f t="shared" si="156"/>
        <v>0.15625</v>
      </c>
      <c r="G3334" s="24">
        <f t="shared" si="158"/>
        <v>80</v>
      </c>
      <c r="H3334" s="1" t="s">
        <v>1</v>
      </c>
      <c r="I3334" s="4" t="s">
        <v>2</v>
      </c>
      <c r="J3334" s="14">
        <v>0.59375</v>
      </c>
      <c r="K3334" s="20" t="str">
        <f t="shared" si="157"/>
        <v>2nd Shift</v>
      </c>
    </row>
    <row r="3335" spans="1:11" x14ac:dyDescent="0.25">
      <c r="A3335" s="1">
        <v>3334</v>
      </c>
      <c r="B3335" s="1">
        <v>3</v>
      </c>
      <c r="C3335" s="3">
        <v>3115270341100</v>
      </c>
      <c r="D3335" s="2">
        <v>44605.645833333336</v>
      </c>
      <c r="E3335" s="2">
        <v>44605.75</v>
      </c>
      <c r="F3335" s="23">
        <f t="shared" si="156"/>
        <v>0.10416666666424135</v>
      </c>
      <c r="G3335" s="24">
        <f t="shared" si="158"/>
        <v>120.00000000279397</v>
      </c>
      <c r="H3335" s="1" t="s">
        <v>1</v>
      </c>
      <c r="I3335" s="4" t="s">
        <v>2</v>
      </c>
      <c r="J3335" s="14">
        <v>0.64583333333333337</v>
      </c>
      <c r="K3335" s="20" t="str">
        <f t="shared" si="157"/>
        <v>2nd Shift</v>
      </c>
    </row>
    <row r="3336" spans="1:11" x14ac:dyDescent="0.25">
      <c r="A3336" s="1">
        <v>3335</v>
      </c>
      <c r="B3336" s="1">
        <v>7</v>
      </c>
      <c r="C3336" s="3">
        <v>7115271768300</v>
      </c>
      <c r="D3336" s="2">
        <v>44605.819444444445</v>
      </c>
      <c r="E3336" s="2">
        <v>44605.868055555555</v>
      </c>
      <c r="F3336" s="23">
        <f t="shared" si="156"/>
        <v>4.8611111109494232E-2</v>
      </c>
      <c r="G3336" s="24">
        <f t="shared" si="158"/>
        <v>257.14285715141011</v>
      </c>
      <c r="H3336" s="1" t="s">
        <v>1</v>
      </c>
      <c r="I3336" s="4" t="s">
        <v>2</v>
      </c>
      <c r="J3336" s="14">
        <v>0.81944444444444442</v>
      </c>
      <c r="K3336" s="20" t="str">
        <f t="shared" si="157"/>
        <v>2nd Shift</v>
      </c>
    </row>
    <row r="3337" spans="1:11" x14ac:dyDescent="0.25">
      <c r="A3337" s="1">
        <v>3336</v>
      </c>
      <c r="B3337" s="1">
        <v>14</v>
      </c>
      <c r="C3337" s="3">
        <v>14115271672409</v>
      </c>
      <c r="D3337" s="2">
        <v>44605.986111111109</v>
      </c>
      <c r="E3337" s="2">
        <v>44606.034722222219</v>
      </c>
      <c r="F3337" s="23">
        <f t="shared" si="156"/>
        <v>4.8611111109494232E-2</v>
      </c>
      <c r="G3337" s="24">
        <f t="shared" si="158"/>
        <v>257.14285715141011</v>
      </c>
      <c r="H3337" s="1" t="s">
        <v>1</v>
      </c>
      <c r="I3337" s="4" t="s">
        <v>2</v>
      </c>
      <c r="J3337" s="14">
        <v>0.98611111111111116</v>
      </c>
      <c r="K3337" s="20" t="str">
        <f t="shared" si="157"/>
        <v>3rd Shift</v>
      </c>
    </row>
    <row r="3338" spans="1:11" x14ac:dyDescent="0.25">
      <c r="A3338" s="1">
        <v>3337</v>
      </c>
      <c r="B3338" s="1">
        <v>7</v>
      </c>
      <c r="C3338" s="3">
        <v>7115271768300</v>
      </c>
      <c r="D3338" s="2">
        <v>44606.055555555555</v>
      </c>
      <c r="E3338" s="2">
        <v>44606.090277777781</v>
      </c>
      <c r="F3338" s="23">
        <f t="shared" si="156"/>
        <v>3.4722222226264421E-2</v>
      </c>
      <c r="G3338" s="24">
        <f t="shared" si="158"/>
        <v>359.99999995809048</v>
      </c>
      <c r="H3338" s="1" t="s">
        <v>1</v>
      </c>
      <c r="I3338" s="4" t="s">
        <v>4</v>
      </c>
      <c r="J3338" s="14">
        <v>5.5555555555555552E-2</v>
      </c>
      <c r="K3338" s="20" t="str">
        <f t="shared" si="157"/>
        <v>3rd Shift</v>
      </c>
    </row>
    <row r="3339" spans="1:11" x14ac:dyDescent="0.25">
      <c r="A3339" s="1">
        <v>3338</v>
      </c>
      <c r="B3339" s="1">
        <v>6</v>
      </c>
      <c r="C3339" s="3">
        <v>6115271723035</v>
      </c>
      <c r="D3339" s="2">
        <v>44606.4375</v>
      </c>
      <c r="E3339" s="2">
        <v>44606.493055555555</v>
      </c>
      <c r="F3339" s="23">
        <f t="shared" si="156"/>
        <v>5.5555555554747116E-2</v>
      </c>
      <c r="G3339" s="24">
        <f t="shared" si="158"/>
        <v>225.00000000327418</v>
      </c>
      <c r="H3339" s="1" t="s">
        <v>1</v>
      </c>
      <c r="I3339" s="4" t="s">
        <v>2</v>
      </c>
      <c r="J3339" s="14">
        <v>0.4375</v>
      </c>
      <c r="K3339" s="20" t="str">
        <f t="shared" si="157"/>
        <v>1st Shift</v>
      </c>
    </row>
    <row r="3340" spans="1:11" x14ac:dyDescent="0.25">
      <c r="A3340" s="1">
        <v>3339</v>
      </c>
      <c r="B3340" s="1">
        <v>11</v>
      </c>
      <c r="C3340" s="3">
        <v>11115271558401</v>
      </c>
      <c r="D3340" s="2">
        <v>44606.489583333336</v>
      </c>
      <c r="E3340" s="2">
        <v>44606.569444444445</v>
      </c>
      <c r="F3340" s="23">
        <f t="shared" si="156"/>
        <v>7.9861111109494232E-2</v>
      </c>
      <c r="G3340" s="24">
        <f t="shared" si="158"/>
        <v>156.52173913360375</v>
      </c>
      <c r="H3340" s="1" t="s">
        <v>1</v>
      </c>
      <c r="I3340" s="4" t="s">
        <v>2</v>
      </c>
      <c r="J3340" s="14">
        <v>0.48958333333333331</v>
      </c>
      <c r="K3340" s="20" t="str">
        <f t="shared" si="157"/>
        <v>1st Shift</v>
      </c>
    </row>
    <row r="3341" spans="1:11" x14ac:dyDescent="0.25">
      <c r="A3341" s="1">
        <v>3340</v>
      </c>
      <c r="B3341" s="1">
        <v>10</v>
      </c>
      <c r="C3341" s="3">
        <v>10115271454402</v>
      </c>
      <c r="D3341" s="2">
        <v>44606.489583333336</v>
      </c>
      <c r="E3341" s="2">
        <v>44606.569444444445</v>
      </c>
      <c r="F3341" s="23">
        <f t="shared" si="156"/>
        <v>7.9861111109494232E-2</v>
      </c>
      <c r="G3341" s="24">
        <f t="shared" si="158"/>
        <v>156.52173913360375</v>
      </c>
      <c r="H3341" s="1" t="s">
        <v>1</v>
      </c>
      <c r="I3341" s="4" t="s">
        <v>2</v>
      </c>
      <c r="J3341" s="14">
        <v>0.48958333333333331</v>
      </c>
      <c r="K3341" s="20" t="str">
        <f t="shared" si="157"/>
        <v>1st Shift</v>
      </c>
    </row>
    <row r="3342" spans="1:11" x14ac:dyDescent="0.25">
      <c r="A3342" s="1">
        <v>3341</v>
      </c>
      <c r="B3342" s="1">
        <v>6</v>
      </c>
      <c r="C3342" s="3">
        <v>6115271715700</v>
      </c>
      <c r="D3342" s="2">
        <v>44606.489583333336</v>
      </c>
      <c r="E3342" s="2">
        <v>44606.569444444445</v>
      </c>
      <c r="F3342" s="23">
        <f t="shared" si="156"/>
        <v>7.9861111109494232E-2</v>
      </c>
      <c r="G3342" s="24">
        <f t="shared" si="158"/>
        <v>156.52173913360375</v>
      </c>
      <c r="H3342" s="1" t="s">
        <v>1</v>
      </c>
      <c r="I3342" s="4" t="s">
        <v>2</v>
      </c>
      <c r="J3342" s="14">
        <v>0.48958333333333331</v>
      </c>
      <c r="K3342" s="20" t="str">
        <f t="shared" si="157"/>
        <v>1st Shift</v>
      </c>
    </row>
    <row r="3343" spans="1:11" x14ac:dyDescent="0.25">
      <c r="A3343" s="1">
        <v>3342</v>
      </c>
      <c r="B3343" s="1">
        <v>2</v>
      </c>
      <c r="C3343" s="3">
        <v>2115270229700</v>
      </c>
      <c r="D3343" s="2">
        <v>44606.489583333336</v>
      </c>
      <c r="E3343" s="2">
        <v>44606.569444444445</v>
      </c>
      <c r="F3343" s="23">
        <f t="shared" si="156"/>
        <v>7.9861111109494232E-2</v>
      </c>
      <c r="G3343" s="24">
        <f t="shared" si="158"/>
        <v>156.52173913360375</v>
      </c>
      <c r="H3343" s="1" t="s">
        <v>1</v>
      </c>
      <c r="I3343" s="4" t="s">
        <v>2</v>
      </c>
      <c r="J3343" s="14">
        <v>0.48958333333333331</v>
      </c>
      <c r="K3343" s="20" t="str">
        <f t="shared" si="157"/>
        <v>1st Shift</v>
      </c>
    </row>
    <row r="3344" spans="1:11" x14ac:dyDescent="0.25">
      <c r="A3344" s="1">
        <v>3343</v>
      </c>
      <c r="B3344" s="1">
        <v>14</v>
      </c>
      <c r="C3344" s="3">
        <v>14115271674712</v>
      </c>
      <c r="D3344" s="2">
        <v>44606.760416666664</v>
      </c>
      <c r="E3344" s="2">
        <v>44606.895833333336</v>
      </c>
      <c r="F3344" s="23">
        <f t="shared" si="156"/>
        <v>0.13541666667151731</v>
      </c>
      <c r="G3344" s="24">
        <f t="shared" si="158"/>
        <v>92.307692304385839</v>
      </c>
      <c r="H3344" s="1" t="s">
        <v>1</v>
      </c>
      <c r="I3344" s="4" t="s">
        <v>2</v>
      </c>
      <c r="J3344" s="14">
        <v>0.76041666666666663</v>
      </c>
      <c r="K3344" s="20" t="str">
        <f t="shared" si="157"/>
        <v>2nd Shift</v>
      </c>
    </row>
    <row r="3345" spans="1:11" x14ac:dyDescent="0.25">
      <c r="A3345" s="1">
        <v>3344</v>
      </c>
      <c r="B3345" s="1">
        <v>11</v>
      </c>
      <c r="C3345" s="3">
        <v>11115271516100</v>
      </c>
      <c r="D3345" s="2">
        <v>44606.791666666664</v>
      </c>
      <c r="E3345" s="2">
        <v>44606.895833333336</v>
      </c>
      <c r="F3345" s="23">
        <f t="shared" si="156"/>
        <v>0.10416666667151731</v>
      </c>
      <c r="G3345" s="24">
        <f t="shared" si="158"/>
        <v>119.99999999441206</v>
      </c>
      <c r="H3345" s="1" t="s">
        <v>1</v>
      </c>
      <c r="I3345" s="4" t="s">
        <v>2</v>
      </c>
      <c r="J3345" s="14">
        <v>0.79166666666666663</v>
      </c>
      <c r="K3345" s="20" t="str">
        <f t="shared" si="157"/>
        <v>2nd Shift</v>
      </c>
    </row>
    <row r="3346" spans="1:11" x14ac:dyDescent="0.25">
      <c r="A3346" s="1">
        <v>3345</v>
      </c>
      <c r="B3346" s="1">
        <v>10</v>
      </c>
      <c r="C3346" s="3">
        <v>10115271461501</v>
      </c>
      <c r="D3346" s="2">
        <v>44606.760416666664</v>
      </c>
      <c r="E3346" s="2">
        <v>44606.895833333336</v>
      </c>
      <c r="F3346" s="23">
        <f t="shared" si="156"/>
        <v>0.13541666667151731</v>
      </c>
      <c r="G3346" s="24">
        <f t="shared" si="158"/>
        <v>92.307692304385839</v>
      </c>
      <c r="H3346" s="1" t="s">
        <v>1</v>
      </c>
      <c r="I3346" s="4" t="s">
        <v>2</v>
      </c>
      <c r="J3346" s="14">
        <v>0.76041666666666663</v>
      </c>
      <c r="K3346" s="20" t="str">
        <f t="shared" si="157"/>
        <v>2nd Shift</v>
      </c>
    </row>
    <row r="3347" spans="1:11" x14ac:dyDescent="0.25">
      <c r="A3347" s="1">
        <v>3346</v>
      </c>
      <c r="B3347" s="1">
        <v>10</v>
      </c>
      <c r="C3347" s="3">
        <v>10115271460609</v>
      </c>
      <c r="D3347" s="2">
        <v>44606.729166666664</v>
      </c>
      <c r="E3347" s="2">
        <v>44606.895833333336</v>
      </c>
      <c r="F3347" s="23">
        <f t="shared" si="156"/>
        <v>0.16666666667151731</v>
      </c>
      <c r="G3347" s="24">
        <f t="shared" si="158"/>
        <v>74.999999997817213</v>
      </c>
      <c r="H3347" s="1" t="s">
        <v>1</v>
      </c>
      <c r="I3347" s="4" t="s">
        <v>2</v>
      </c>
      <c r="J3347" s="14">
        <v>0.72916666666666663</v>
      </c>
      <c r="K3347" s="20" t="str">
        <f t="shared" si="157"/>
        <v>2nd Shift</v>
      </c>
    </row>
    <row r="3348" spans="1:11" x14ac:dyDescent="0.25">
      <c r="A3348" s="1">
        <v>3347</v>
      </c>
      <c r="B3348" s="1">
        <v>9</v>
      </c>
      <c r="C3348" s="3">
        <v>9115271907600</v>
      </c>
      <c r="D3348" s="2">
        <v>44606.729166666664</v>
      </c>
      <c r="E3348" s="2">
        <v>44606.895833333336</v>
      </c>
      <c r="F3348" s="23">
        <f t="shared" si="156"/>
        <v>0.16666666667151731</v>
      </c>
      <c r="G3348" s="24">
        <f t="shared" si="158"/>
        <v>74.999999997817213</v>
      </c>
      <c r="H3348" s="1" t="s">
        <v>1</v>
      </c>
      <c r="I3348" s="4" t="s">
        <v>3</v>
      </c>
      <c r="J3348" s="14">
        <v>0.72916666666666663</v>
      </c>
      <c r="K3348" s="20" t="str">
        <f t="shared" si="157"/>
        <v>2nd Shift</v>
      </c>
    </row>
    <row r="3349" spans="1:11" x14ac:dyDescent="0.25">
      <c r="A3349" s="1">
        <v>3348</v>
      </c>
      <c r="B3349" s="1">
        <v>7</v>
      </c>
      <c r="C3349" s="3">
        <v>7115271757605</v>
      </c>
      <c r="D3349" s="2">
        <v>44606.8125</v>
      </c>
      <c r="E3349" s="2">
        <v>44606.895833333336</v>
      </c>
      <c r="F3349" s="23">
        <f t="shared" si="156"/>
        <v>8.3333333335758653E-2</v>
      </c>
      <c r="G3349" s="24">
        <f t="shared" si="158"/>
        <v>149.99999999563443</v>
      </c>
      <c r="H3349" s="1" t="s">
        <v>1</v>
      </c>
      <c r="I3349" s="4" t="s">
        <v>4</v>
      </c>
      <c r="J3349" s="14">
        <v>0.8125</v>
      </c>
      <c r="K3349" s="20" t="str">
        <f t="shared" si="157"/>
        <v>2nd Shift</v>
      </c>
    </row>
    <row r="3350" spans="1:11" x14ac:dyDescent="0.25">
      <c r="A3350" s="1">
        <v>3349</v>
      </c>
      <c r="B3350" s="1">
        <v>6</v>
      </c>
      <c r="C3350" s="3">
        <v>6115271750934</v>
      </c>
      <c r="D3350" s="2">
        <v>44606.75</v>
      </c>
      <c r="E3350" s="2">
        <v>44606.895833333336</v>
      </c>
      <c r="F3350" s="23">
        <f t="shared" si="156"/>
        <v>0.14583333333575865</v>
      </c>
      <c r="G3350" s="24">
        <f t="shared" si="158"/>
        <v>85.714285712860217</v>
      </c>
      <c r="H3350" s="1" t="s">
        <v>1</v>
      </c>
      <c r="I3350" s="4" t="s">
        <v>2</v>
      </c>
      <c r="J3350" s="14">
        <v>0.75</v>
      </c>
      <c r="K3350" s="20" t="str">
        <f t="shared" si="157"/>
        <v>2nd Shift</v>
      </c>
    </row>
    <row r="3351" spans="1:11" x14ac:dyDescent="0.25">
      <c r="A3351" s="1">
        <v>3350</v>
      </c>
      <c r="B3351" s="1">
        <v>4</v>
      </c>
      <c r="C3351" s="3">
        <v>4115270827000</v>
      </c>
      <c r="D3351" s="2">
        <v>44606.802083333336</v>
      </c>
      <c r="E3351" s="2">
        <v>44606.895833333336</v>
      </c>
      <c r="F3351" s="23">
        <f t="shared" si="156"/>
        <v>9.375E-2</v>
      </c>
      <c r="G3351" s="24">
        <f t="shared" si="158"/>
        <v>133.33333333333331</v>
      </c>
      <c r="H3351" s="1" t="s">
        <v>1</v>
      </c>
      <c r="I3351" s="4" t="s">
        <v>2</v>
      </c>
      <c r="J3351" s="14">
        <v>0.80208333333333337</v>
      </c>
      <c r="K3351" s="20" t="str">
        <f t="shared" si="157"/>
        <v>2nd Shift</v>
      </c>
    </row>
    <row r="3352" spans="1:11" x14ac:dyDescent="0.25">
      <c r="A3352" s="1">
        <v>3351</v>
      </c>
      <c r="B3352" s="1">
        <v>3</v>
      </c>
      <c r="C3352" s="3">
        <v>3115270396300</v>
      </c>
      <c r="D3352" s="2">
        <v>44606.822916666664</v>
      </c>
      <c r="E3352" s="2">
        <v>44606.895833333336</v>
      </c>
      <c r="F3352" s="23">
        <f t="shared" si="156"/>
        <v>7.2916666671517305E-2</v>
      </c>
      <c r="G3352" s="24">
        <f t="shared" si="158"/>
        <v>171.42857141716746</v>
      </c>
      <c r="H3352" s="1" t="s">
        <v>1</v>
      </c>
      <c r="I3352" s="4" t="s">
        <v>2</v>
      </c>
      <c r="J3352" s="14">
        <v>0.82291666666666663</v>
      </c>
      <c r="K3352" s="20" t="str">
        <f t="shared" si="157"/>
        <v>2nd Shift</v>
      </c>
    </row>
    <row r="3353" spans="1:11" x14ac:dyDescent="0.25">
      <c r="A3353" s="1">
        <v>3352</v>
      </c>
      <c r="B3353" s="1">
        <v>3</v>
      </c>
      <c r="C3353" s="3">
        <v>3115270366901</v>
      </c>
      <c r="D3353" s="2">
        <v>44606.666666666664</v>
      </c>
      <c r="E3353" s="2">
        <v>44606.895833333336</v>
      </c>
      <c r="F3353" s="23">
        <f t="shared" si="156"/>
        <v>0.22916666667151731</v>
      </c>
      <c r="G3353" s="24">
        <f t="shared" si="158"/>
        <v>54.545454544300007</v>
      </c>
      <c r="H3353" s="1" t="s">
        <v>1</v>
      </c>
      <c r="I3353" s="4" t="s">
        <v>3</v>
      </c>
      <c r="J3353" s="14">
        <v>0.66666666666666663</v>
      </c>
      <c r="K3353" s="20" t="str">
        <f t="shared" si="157"/>
        <v>2nd Shift</v>
      </c>
    </row>
    <row r="3354" spans="1:11" x14ac:dyDescent="0.25">
      <c r="A3354" s="1">
        <v>3353</v>
      </c>
      <c r="B3354" s="1">
        <v>3</v>
      </c>
      <c r="C3354" s="3">
        <v>3115270366900</v>
      </c>
      <c r="D3354" s="2">
        <v>44606.760416666664</v>
      </c>
      <c r="E3354" s="2">
        <v>44606.895833333336</v>
      </c>
      <c r="F3354" s="23">
        <f t="shared" si="156"/>
        <v>0.13541666667151731</v>
      </c>
      <c r="G3354" s="24">
        <f t="shared" si="158"/>
        <v>92.307692304385839</v>
      </c>
      <c r="H3354" s="1" t="s">
        <v>1</v>
      </c>
      <c r="I3354" s="4" t="s">
        <v>2</v>
      </c>
      <c r="J3354" s="14">
        <v>0.76041666666666663</v>
      </c>
      <c r="K3354" s="20" t="str">
        <f t="shared" si="157"/>
        <v>2nd Shift</v>
      </c>
    </row>
    <row r="3355" spans="1:11" x14ac:dyDescent="0.25">
      <c r="A3355" s="1">
        <v>3354</v>
      </c>
      <c r="B3355" s="1">
        <v>3</v>
      </c>
      <c r="C3355" s="3">
        <v>3115270306801</v>
      </c>
      <c r="D3355" s="2">
        <v>44606.760416666664</v>
      </c>
      <c r="E3355" s="2">
        <v>44606.895833333336</v>
      </c>
      <c r="F3355" s="23">
        <f t="shared" si="156"/>
        <v>0.13541666667151731</v>
      </c>
      <c r="G3355" s="24">
        <f t="shared" si="158"/>
        <v>92.307692304385839</v>
      </c>
      <c r="H3355" s="1" t="s">
        <v>1</v>
      </c>
      <c r="I3355" s="4" t="s">
        <v>2</v>
      </c>
      <c r="J3355" s="14">
        <v>0.76041666666666663</v>
      </c>
      <c r="K3355" s="20" t="str">
        <f t="shared" si="157"/>
        <v>2nd Shift</v>
      </c>
    </row>
    <row r="3356" spans="1:11" x14ac:dyDescent="0.25">
      <c r="A3356" s="1">
        <v>3355</v>
      </c>
      <c r="B3356" s="1">
        <v>3</v>
      </c>
      <c r="C3356" s="3">
        <v>3115270306600</v>
      </c>
      <c r="D3356" s="2">
        <v>44606.760416666664</v>
      </c>
      <c r="E3356" s="2">
        <v>44606.895833333336</v>
      </c>
      <c r="F3356" s="23">
        <f t="shared" si="156"/>
        <v>0.13541666667151731</v>
      </c>
      <c r="G3356" s="24">
        <f t="shared" si="158"/>
        <v>92.307692304385839</v>
      </c>
      <c r="H3356" s="1" t="s">
        <v>1</v>
      </c>
      <c r="I3356" s="4" t="s">
        <v>2</v>
      </c>
      <c r="J3356" s="14">
        <v>0.76041666666666663</v>
      </c>
      <c r="K3356" s="20" t="str">
        <f t="shared" si="157"/>
        <v>2nd Shift</v>
      </c>
    </row>
    <row r="3357" spans="1:11" x14ac:dyDescent="0.25">
      <c r="A3357" s="1">
        <v>3356</v>
      </c>
      <c r="B3357" s="1">
        <v>13</v>
      </c>
      <c r="C3357" s="3">
        <v>13115271591805</v>
      </c>
      <c r="D3357" s="2">
        <v>44607.020833333336</v>
      </c>
      <c r="E3357" s="2">
        <v>44607.152777777781</v>
      </c>
      <c r="F3357" s="23">
        <f t="shared" si="156"/>
        <v>0.13194444444525288</v>
      </c>
      <c r="G3357" s="24">
        <f t="shared" si="158"/>
        <v>94.736842104682694</v>
      </c>
      <c r="H3357" s="1" t="s">
        <v>1</v>
      </c>
      <c r="I3357" s="4" t="s">
        <v>3</v>
      </c>
      <c r="J3357" s="14">
        <v>2.0833333333333332E-2</v>
      </c>
      <c r="K3357" s="20" t="str">
        <f t="shared" si="157"/>
        <v>3rd Shift</v>
      </c>
    </row>
    <row r="3358" spans="1:11" x14ac:dyDescent="0.25">
      <c r="A3358" s="1">
        <v>3357</v>
      </c>
      <c r="B3358" s="1">
        <v>12</v>
      </c>
      <c r="C3358" s="3">
        <v>12115271574612</v>
      </c>
      <c r="D3358" s="2">
        <v>44607.020833333336</v>
      </c>
      <c r="E3358" s="2">
        <v>44607.152777777781</v>
      </c>
      <c r="F3358" s="23">
        <f t="shared" si="156"/>
        <v>0.13194444444525288</v>
      </c>
      <c r="G3358" s="24">
        <f t="shared" si="158"/>
        <v>94.736842104682694</v>
      </c>
      <c r="H3358" s="1" t="s">
        <v>1</v>
      </c>
      <c r="I3358" s="4" t="s">
        <v>2</v>
      </c>
      <c r="J3358" s="14">
        <v>2.0833333333333332E-2</v>
      </c>
      <c r="K3358" s="20" t="str">
        <f t="shared" si="157"/>
        <v>3rd Shift</v>
      </c>
    </row>
    <row r="3359" spans="1:11" x14ac:dyDescent="0.25">
      <c r="A3359" s="1">
        <v>3358</v>
      </c>
      <c r="B3359" s="1">
        <v>3</v>
      </c>
      <c r="C3359" s="3">
        <v>3115270360200</v>
      </c>
      <c r="D3359" s="2">
        <v>44607.020833333336</v>
      </c>
      <c r="E3359" s="2">
        <v>44607.152777777781</v>
      </c>
      <c r="F3359" s="23">
        <f t="shared" si="156"/>
        <v>0.13194444444525288</v>
      </c>
      <c r="G3359" s="24">
        <f t="shared" si="158"/>
        <v>94.736842104682694</v>
      </c>
      <c r="H3359" s="1" t="s">
        <v>1</v>
      </c>
      <c r="I3359" s="4" t="s">
        <v>5</v>
      </c>
      <c r="J3359" s="14">
        <v>2.0833333333333332E-2</v>
      </c>
      <c r="K3359" s="20" t="str">
        <f t="shared" si="157"/>
        <v>3rd Shift</v>
      </c>
    </row>
    <row r="3360" spans="1:11" x14ac:dyDescent="0.25">
      <c r="A3360" s="1">
        <v>3359</v>
      </c>
      <c r="B3360" s="1">
        <v>3</v>
      </c>
      <c r="C3360" s="3">
        <v>3115270341200</v>
      </c>
      <c r="D3360" s="2">
        <v>44607.020833333336</v>
      </c>
      <c r="E3360" s="2">
        <v>44607.152777777781</v>
      </c>
      <c r="F3360" s="23">
        <f t="shared" si="156"/>
        <v>0.13194444444525288</v>
      </c>
      <c r="G3360" s="24">
        <f t="shared" si="158"/>
        <v>94.736842104682694</v>
      </c>
      <c r="H3360" s="1" t="s">
        <v>1</v>
      </c>
      <c r="I3360" s="4" t="s">
        <v>2</v>
      </c>
      <c r="J3360" s="14">
        <v>2.0833333333333332E-2</v>
      </c>
      <c r="K3360" s="20" t="str">
        <f t="shared" si="157"/>
        <v>3rd Shift</v>
      </c>
    </row>
    <row r="3361" spans="1:11" x14ac:dyDescent="0.25">
      <c r="A3361" s="1">
        <v>3360</v>
      </c>
      <c r="B3361" s="1">
        <v>1</v>
      </c>
      <c r="C3361" s="3">
        <v>1115270101600</v>
      </c>
      <c r="D3361" s="2">
        <v>44607.020833333336</v>
      </c>
      <c r="E3361" s="2">
        <v>44607.152777777781</v>
      </c>
      <c r="F3361" s="23">
        <f t="shared" si="156"/>
        <v>0.13194444444525288</v>
      </c>
      <c r="G3361" s="24">
        <f t="shared" si="158"/>
        <v>94.736842104682694</v>
      </c>
      <c r="H3361" s="1" t="s">
        <v>1</v>
      </c>
      <c r="I3361" s="4" t="s">
        <v>2</v>
      </c>
      <c r="J3361" s="14">
        <v>2.0833333333333332E-2</v>
      </c>
      <c r="K3361" s="20" t="str">
        <f t="shared" si="157"/>
        <v>3rd Shift</v>
      </c>
    </row>
    <row r="3362" spans="1:11" x14ac:dyDescent="0.25">
      <c r="A3362" s="1">
        <v>3361</v>
      </c>
      <c r="B3362" s="1">
        <v>1</v>
      </c>
      <c r="C3362" s="3">
        <v>1115270070702</v>
      </c>
      <c r="D3362" s="2">
        <v>44607.020833333336</v>
      </c>
      <c r="E3362" s="2">
        <v>44607.152777777781</v>
      </c>
      <c r="F3362" s="23">
        <f t="shared" si="156"/>
        <v>0.13194444444525288</v>
      </c>
      <c r="G3362" s="24">
        <f t="shared" si="158"/>
        <v>94.736842104682694</v>
      </c>
      <c r="H3362" s="1" t="s">
        <v>1</v>
      </c>
      <c r="I3362" s="4" t="s">
        <v>2</v>
      </c>
      <c r="J3362" s="14">
        <v>2.0833333333333332E-2</v>
      </c>
      <c r="K3362" s="20" t="str">
        <f t="shared" si="157"/>
        <v>3rd Shift</v>
      </c>
    </row>
    <row r="3363" spans="1:11" x14ac:dyDescent="0.25">
      <c r="A3363" s="1">
        <v>3362</v>
      </c>
      <c r="B3363" s="1">
        <v>14</v>
      </c>
      <c r="C3363" s="3">
        <v>14115271672701</v>
      </c>
      <c r="D3363" s="2">
        <v>44607.430555555555</v>
      </c>
      <c r="E3363" s="2">
        <v>44607.666666666664</v>
      </c>
      <c r="F3363" s="23">
        <f t="shared" si="156"/>
        <v>0.23611111110949423</v>
      </c>
      <c r="G3363" s="24">
        <f t="shared" si="158"/>
        <v>52.941176470950779</v>
      </c>
      <c r="H3363" s="1" t="s">
        <v>1</v>
      </c>
      <c r="I3363" s="4" t="s">
        <v>8</v>
      </c>
      <c r="J3363" s="14">
        <v>0.43055555555555558</v>
      </c>
      <c r="K3363" s="20" t="str">
        <f t="shared" si="157"/>
        <v>1st Shift</v>
      </c>
    </row>
    <row r="3364" spans="1:11" x14ac:dyDescent="0.25">
      <c r="A3364" s="1">
        <v>3363</v>
      </c>
      <c r="B3364" s="1">
        <v>14</v>
      </c>
      <c r="C3364" s="3">
        <v>14115271672701</v>
      </c>
      <c r="D3364" s="2">
        <v>44607.510416666664</v>
      </c>
      <c r="E3364" s="2">
        <v>44607.666666666664</v>
      </c>
      <c r="F3364" s="23">
        <f t="shared" si="156"/>
        <v>0.15625</v>
      </c>
      <c r="G3364" s="24">
        <f t="shared" si="158"/>
        <v>80</v>
      </c>
      <c r="H3364" s="1" t="s">
        <v>1</v>
      </c>
      <c r="I3364" s="4" t="s">
        <v>2</v>
      </c>
      <c r="J3364" s="14">
        <v>0.51041666666666663</v>
      </c>
      <c r="K3364" s="20" t="str">
        <f t="shared" si="157"/>
        <v>1st Shift</v>
      </c>
    </row>
    <row r="3365" spans="1:11" x14ac:dyDescent="0.25">
      <c r="A3365" s="1">
        <v>3364</v>
      </c>
      <c r="B3365" s="1">
        <v>13</v>
      </c>
      <c r="C3365" s="3">
        <v>13115271634401</v>
      </c>
      <c r="D3365" s="2">
        <v>44607.458333333336</v>
      </c>
      <c r="E3365" s="2">
        <v>44607.666666666664</v>
      </c>
      <c r="F3365" s="23">
        <f t="shared" si="156"/>
        <v>0.20833333332848269</v>
      </c>
      <c r="G3365" s="24">
        <f t="shared" si="158"/>
        <v>60.000000001396984</v>
      </c>
      <c r="H3365" s="1" t="s">
        <v>1</v>
      </c>
      <c r="I3365" s="4" t="s">
        <v>5</v>
      </c>
      <c r="J3365" s="14">
        <v>0.45833333333333331</v>
      </c>
      <c r="K3365" s="20" t="str">
        <f t="shared" si="157"/>
        <v>1st Shift</v>
      </c>
    </row>
    <row r="3366" spans="1:11" x14ac:dyDescent="0.25">
      <c r="A3366" s="1">
        <v>3365</v>
      </c>
      <c r="B3366" s="1">
        <v>11</v>
      </c>
      <c r="C3366" s="3">
        <v>11115271543300</v>
      </c>
      <c r="D3366" s="2">
        <v>44607.46875</v>
      </c>
      <c r="E3366" s="2">
        <v>44607.666666666664</v>
      </c>
      <c r="F3366" s="23">
        <f t="shared" si="156"/>
        <v>0.19791666666424135</v>
      </c>
      <c r="G3366" s="24">
        <f t="shared" si="158"/>
        <v>63.157894737616061</v>
      </c>
      <c r="H3366" s="1" t="s">
        <v>1</v>
      </c>
      <c r="I3366" s="4" t="s">
        <v>3</v>
      </c>
      <c r="J3366" s="14">
        <v>0.46875</v>
      </c>
      <c r="K3366" s="20" t="str">
        <f t="shared" si="157"/>
        <v>1st Shift</v>
      </c>
    </row>
    <row r="3367" spans="1:11" x14ac:dyDescent="0.25">
      <c r="A3367" s="1">
        <v>3366</v>
      </c>
      <c r="B3367" s="1">
        <v>8</v>
      </c>
      <c r="C3367" s="3">
        <v>8115271810106</v>
      </c>
      <c r="D3367" s="2">
        <v>44607.430555555555</v>
      </c>
      <c r="E3367" s="2">
        <v>44607.666666666664</v>
      </c>
      <c r="F3367" s="23">
        <f t="shared" si="156"/>
        <v>0.23611111110949423</v>
      </c>
      <c r="G3367" s="24">
        <f t="shared" si="158"/>
        <v>52.941176470950779</v>
      </c>
      <c r="H3367" s="1" t="s">
        <v>1</v>
      </c>
      <c r="I3367" s="4" t="s">
        <v>2</v>
      </c>
      <c r="J3367" s="14">
        <v>0.43055555555555558</v>
      </c>
      <c r="K3367" s="20" t="str">
        <f t="shared" si="157"/>
        <v>1st Shift</v>
      </c>
    </row>
    <row r="3368" spans="1:11" x14ac:dyDescent="0.25">
      <c r="A3368" s="1">
        <v>3367</v>
      </c>
      <c r="B3368" s="1">
        <v>7</v>
      </c>
      <c r="C3368" s="3">
        <v>7115271768200</v>
      </c>
      <c r="D3368" s="2">
        <v>44607.430555555555</v>
      </c>
      <c r="E3368" s="2">
        <v>44607.666666666664</v>
      </c>
      <c r="F3368" s="23">
        <f t="shared" si="156"/>
        <v>0.23611111110949423</v>
      </c>
      <c r="G3368" s="24">
        <f t="shared" si="158"/>
        <v>52.941176470950779</v>
      </c>
      <c r="H3368" s="1" t="s">
        <v>1</v>
      </c>
      <c r="I3368" s="4" t="s">
        <v>2</v>
      </c>
      <c r="J3368" s="14">
        <v>0.43055555555555558</v>
      </c>
      <c r="K3368" s="20" t="str">
        <f t="shared" si="157"/>
        <v>1st Shift</v>
      </c>
    </row>
    <row r="3369" spans="1:11" x14ac:dyDescent="0.25">
      <c r="A3369" s="1">
        <v>3368</v>
      </c>
      <c r="B3369" s="1">
        <v>6</v>
      </c>
      <c r="C3369" s="3">
        <v>6115271741307</v>
      </c>
      <c r="D3369" s="2">
        <v>44607.510416666664</v>
      </c>
      <c r="E3369" s="2">
        <v>44607.666666666664</v>
      </c>
      <c r="F3369" s="23">
        <f t="shared" si="156"/>
        <v>0.15625</v>
      </c>
      <c r="G3369" s="24">
        <f t="shared" si="158"/>
        <v>80</v>
      </c>
      <c r="H3369" s="1" t="s">
        <v>1</v>
      </c>
      <c r="I3369" s="4" t="s">
        <v>2</v>
      </c>
      <c r="J3369" s="14">
        <v>0.51041666666666663</v>
      </c>
      <c r="K3369" s="20" t="str">
        <f t="shared" si="157"/>
        <v>1st Shift</v>
      </c>
    </row>
    <row r="3370" spans="1:11" x14ac:dyDescent="0.25">
      <c r="A3370" s="1">
        <v>3369</v>
      </c>
      <c r="B3370" s="1">
        <v>3</v>
      </c>
      <c r="C3370" s="3">
        <v>3115270360705</v>
      </c>
      <c r="D3370" s="2">
        <v>44607.430555555555</v>
      </c>
      <c r="E3370" s="2">
        <v>44607.666666666664</v>
      </c>
      <c r="F3370" s="23">
        <f t="shared" si="156"/>
        <v>0.23611111110949423</v>
      </c>
      <c r="G3370" s="24">
        <f t="shared" si="158"/>
        <v>52.941176470950779</v>
      </c>
      <c r="H3370" s="1" t="s">
        <v>1</v>
      </c>
      <c r="I3370" s="4" t="s">
        <v>2</v>
      </c>
      <c r="J3370" s="14">
        <v>0.43055555555555558</v>
      </c>
      <c r="K3370" s="20" t="str">
        <f t="shared" si="157"/>
        <v>1st Shift</v>
      </c>
    </row>
    <row r="3371" spans="1:11" x14ac:dyDescent="0.25">
      <c r="A3371" s="1">
        <v>3370</v>
      </c>
      <c r="B3371" s="1">
        <v>12</v>
      </c>
      <c r="C3371" s="3">
        <v>12115271560119</v>
      </c>
      <c r="D3371" s="2">
        <v>44607.6875</v>
      </c>
      <c r="E3371" s="2">
        <v>44607.895833333336</v>
      </c>
      <c r="F3371" s="23">
        <f t="shared" si="156"/>
        <v>0.20833333333575865</v>
      </c>
      <c r="G3371" s="24">
        <f t="shared" si="158"/>
        <v>59.999999999301515</v>
      </c>
      <c r="H3371" s="1" t="s">
        <v>1</v>
      </c>
      <c r="I3371" s="4" t="s">
        <v>2</v>
      </c>
      <c r="J3371" s="14">
        <v>0.6875</v>
      </c>
      <c r="K3371" s="20" t="str">
        <f t="shared" si="157"/>
        <v>2nd Shift</v>
      </c>
    </row>
    <row r="3372" spans="1:11" x14ac:dyDescent="0.25">
      <c r="A3372" s="1">
        <v>3371</v>
      </c>
      <c r="B3372" s="1">
        <v>10</v>
      </c>
      <c r="C3372" s="3">
        <v>10115271423900</v>
      </c>
      <c r="D3372" s="2">
        <v>44607.6875</v>
      </c>
      <c r="E3372" s="2">
        <v>44607.895833333336</v>
      </c>
      <c r="F3372" s="23">
        <f t="shared" si="156"/>
        <v>0.20833333333575865</v>
      </c>
      <c r="G3372" s="24">
        <f t="shared" si="158"/>
        <v>59.999999999301515</v>
      </c>
      <c r="H3372" s="1" t="s">
        <v>1</v>
      </c>
      <c r="I3372" s="4" t="s">
        <v>3</v>
      </c>
      <c r="J3372" s="14">
        <v>0.6875</v>
      </c>
      <c r="K3372" s="20" t="str">
        <f t="shared" si="157"/>
        <v>2nd Shift</v>
      </c>
    </row>
    <row r="3373" spans="1:11" x14ac:dyDescent="0.25">
      <c r="A3373" s="1">
        <v>3372</v>
      </c>
      <c r="B3373" s="1">
        <v>6</v>
      </c>
      <c r="C3373" s="3">
        <v>6115271720805</v>
      </c>
      <c r="D3373" s="2">
        <v>44607.6875</v>
      </c>
      <c r="E3373" s="2">
        <v>44607.895833333336</v>
      </c>
      <c r="F3373" s="23">
        <f t="shared" si="156"/>
        <v>0.20833333333575865</v>
      </c>
      <c r="G3373" s="24">
        <f t="shared" si="158"/>
        <v>59.999999999301515</v>
      </c>
      <c r="H3373" s="1" t="s">
        <v>1</v>
      </c>
      <c r="I3373" s="4" t="s">
        <v>8</v>
      </c>
      <c r="J3373" s="14">
        <v>0.6875</v>
      </c>
      <c r="K3373" s="20" t="str">
        <f t="shared" si="157"/>
        <v>2nd Shift</v>
      </c>
    </row>
    <row r="3374" spans="1:11" x14ac:dyDescent="0.25">
      <c r="A3374" s="1">
        <v>3373</v>
      </c>
      <c r="B3374" s="1">
        <v>5</v>
      </c>
      <c r="C3374" s="3">
        <v>5115271239302</v>
      </c>
      <c r="D3374" s="2">
        <v>44607.6875</v>
      </c>
      <c r="E3374" s="2">
        <v>44607.895833333336</v>
      </c>
      <c r="F3374" s="23">
        <f t="shared" si="156"/>
        <v>0.20833333333575865</v>
      </c>
      <c r="G3374" s="24">
        <f t="shared" si="158"/>
        <v>59.999999999301515</v>
      </c>
      <c r="H3374" s="1" t="s">
        <v>1</v>
      </c>
      <c r="I3374" s="4" t="s">
        <v>2</v>
      </c>
      <c r="J3374" s="14">
        <v>0.6875</v>
      </c>
      <c r="K3374" s="20" t="str">
        <f t="shared" si="157"/>
        <v>2nd Shift</v>
      </c>
    </row>
    <row r="3375" spans="1:11" x14ac:dyDescent="0.25">
      <c r="A3375" s="1">
        <v>3374</v>
      </c>
      <c r="B3375" s="1">
        <v>3</v>
      </c>
      <c r="C3375" s="3">
        <v>3115270396600</v>
      </c>
      <c r="D3375" s="2">
        <v>44607.6875</v>
      </c>
      <c r="E3375" s="2">
        <v>44607.895833333336</v>
      </c>
      <c r="F3375" s="23">
        <f t="shared" si="156"/>
        <v>0.20833333333575865</v>
      </c>
      <c r="G3375" s="24">
        <f t="shared" si="158"/>
        <v>59.999999999301515</v>
      </c>
      <c r="H3375" s="1" t="s">
        <v>1</v>
      </c>
      <c r="I3375" s="4" t="s">
        <v>2</v>
      </c>
      <c r="J3375" s="14">
        <v>0.6875</v>
      </c>
      <c r="K3375" s="20" t="str">
        <f t="shared" si="157"/>
        <v>2nd Shift</v>
      </c>
    </row>
    <row r="3376" spans="1:11" x14ac:dyDescent="0.25">
      <c r="A3376" s="1">
        <v>3375</v>
      </c>
      <c r="B3376" s="1">
        <v>3</v>
      </c>
      <c r="C3376" s="3">
        <v>3115270362303</v>
      </c>
      <c r="D3376" s="2">
        <v>44607.6875</v>
      </c>
      <c r="E3376" s="2">
        <v>44607.895833333336</v>
      </c>
      <c r="F3376" s="23">
        <f t="shared" si="156"/>
        <v>0.20833333333575865</v>
      </c>
      <c r="G3376" s="24">
        <f t="shared" si="158"/>
        <v>59.999999999301515</v>
      </c>
      <c r="H3376" s="1" t="s">
        <v>1</v>
      </c>
      <c r="I3376" s="4" t="s">
        <v>2</v>
      </c>
      <c r="J3376" s="14">
        <v>0.6875</v>
      </c>
      <c r="K3376" s="20" t="str">
        <f t="shared" si="157"/>
        <v>2nd Shift</v>
      </c>
    </row>
    <row r="3377" spans="1:11" x14ac:dyDescent="0.25">
      <c r="A3377" s="1">
        <v>3376</v>
      </c>
      <c r="B3377" s="1">
        <v>3</v>
      </c>
      <c r="C3377" s="3">
        <v>3115270306701</v>
      </c>
      <c r="D3377" s="2">
        <v>44607.6875</v>
      </c>
      <c r="E3377" s="2">
        <v>44607.895833333336</v>
      </c>
      <c r="F3377" s="23">
        <f t="shared" si="156"/>
        <v>0.20833333333575865</v>
      </c>
      <c r="G3377" s="24">
        <f t="shared" si="158"/>
        <v>59.999999999301515</v>
      </c>
      <c r="H3377" s="1" t="s">
        <v>1</v>
      </c>
      <c r="I3377" s="4" t="s">
        <v>2</v>
      </c>
      <c r="J3377" s="14">
        <v>0.6875</v>
      </c>
      <c r="K3377" s="20" t="str">
        <f t="shared" si="157"/>
        <v>2nd Shift</v>
      </c>
    </row>
    <row r="3378" spans="1:11" x14ac:dyDescent="0.25">
      <c r="A3378" s="1">
        <v>3377</v>
      </c>
      <c r="B3378" s="1">
        <v>2</v>
      </c>
      <c r="C3378" s="3">
        <v>2115270221500</v>
      </c>
      <c r="D3378" s="2">
        <v>44607.6875</v>
      </c>
      <c r="E3378" s="2">
        <v>44607.895833333336</v>
      </c>
      <c r="F3378" s="23">
        <f t="shared" si="156"/>
        <v>0.20833333333575865</v>
      </c>
      <c r="G3378" s="24">
        <f t="shared" si="158"/>
        <v>59.999999999301515</v>
      </c>
      <c r="H3378" s="1" t="s">
        <v>1</v>
      </c>
      <c r="I3378" s="4" t="s">
        <v>3</v>
      </c>
      <c r="J3378" s="14">
        <v>0.6875</v>
      </c>
      <c r="K3378" s="20" t="str">
        <f t="shared" si="157"/>
        <v>2nd Shift</v>
      </c>
    </row>
    <row r="3379" spans="1:11" x14ac:dyDescent="0.25">
      <c r="A3379" s="1">
        <v>3378</v>
      </c>
      <c r="B3379" s="1">
        <v>13</v>
      </c>
      <c r="C3379" s="3">
        <v>13115271613100</v>
      </c>
      <c r="D3379" s="2">
        <v>44608.510416666664</v>
      </c>
      <c r="E3379" s="2">
        <v>44608.583333333336</v>
      </c>
      <c r="F3379" s="23">
        <f t="shared" si="156"/>
        <v>7.2916666671517305E-2</v>
      </c>
      <c r="G3379" s="24">
        <f t="shared" si="158"/>
        <v>171.42857141716746</v>
      </c>
      <c r="H3379" s="1" t="s">
        <v>1</v>
      </c>
      <c r="I3379" s="4" t="s">
        <v>2</v>
      </c>
      <c r="J3379" s="14">
        <v>0.51041666666666663</v>
      </c>
      <c r="K3379" s="20" t="str">
        <f t="shared" si="157"/>
        <v>1st Shift</v>
      </c>
    </row>
    <row r="3380" spans="1:11" x14ac:dyDescent="0.25">
      <c r="A3380" s="1">
        <v>3379</v>
      </c>
      <c r="B3380" s="1">
        <v>15</v>
      </c>
      <c r="C3380" s="3">
        <v>15115271785818</v>
      </c>
      <c r="D3380" s="2">
        <v>44608.4375</v>
      </c>
      <c r="E3380" s="2">
        <v>44608.628472222219</v>
      </c>
      <c r="F3380" s="23">
        <f t="shared" si="156"/>
        <v>0.19097222221898846</v>
      </c>
      <c r="G3380" s="24">
        <f t="shared" si="158"/>
        <v>65.4545454556538</v>
      </c>
      <c r="H3380" s="1" t="s">
        <v>1</v>
      </c>
      <c r="I3380" s="4" t="s">
        <v>2</v>
      </c>
      <c r="J3380" s="14">
        <v>0.4375</v>
      </c>
      <c r="K3380" s="20" t="str">
        <f t="shared" si="157"/>
        <v>1st Shift</v>
      </c>
    </row>
    <row r="3381" spans="1:11" x14ac:dyDescent="0.25">
      <c r="A3381" s="1">
        <v>3380</v>
      </c>
      <c r="B3381" s="1">
        <v>6</v>
      </c>
      <c r="C3381" s="3">
        <v>6115271698102</v>
      </c>
      <c r="D3381" s="2">
        <v>44608.4375</v>
      </c>
      <c r="E3381" s="2">
        <v>44608.628472222219</v>
      </c>
      <c r="F3381" s="23">
        <f t="shared" si="156"/>
        <v>0.19097222221898846</v>
      </c>
      <c r="G3381" s="24">
        <f t="shared" si="158"/>
        <v>65.4545454556538</v>
      </c>
      <c r="H3381" s="1" t="s">
        <v>1</v>
      </c>
      <c r="I3381" s="4" t="s">
        <v>2</v>
      </c>
      <c r="J3381" s="14">
        <v>0.4375</v>
      </c>
      <c r="K3381" s="20" t="str">
        <f t="shared" si="157"/>
        <v>1st Shift</v>
      </c>
    </row>
    <row r="3382" spans="1:11" x14ac:dyDescent="0.25">
      <c r="A3382" s="1">
        <v>3381</v>
      </c>
      <c r="B3382" s="1">
        <v>3</v>
      </c>
      <c r="C3382" s="3">
        <v>3115270367000</v>
      </c>
      <c r="D3382" s="2">
        <v>44608.4375</v>
      </c>
      <c r="E3382" s="2">
        <v>44608.628472222219</v>
      </c>
      <c r="F3382" s="23">
        <f t="shared" si="156"/>
        <v>0.19097222221898846</v>
      </c>
      <c r="G3382" s="24">
        <f t="shared" si="158"/>
        <v>65.4545454556538</v>
      </c>
      <c r="H3382" s="1" t="s">
        <v>1</v>
      </c>
      <c r="I3382" s="4" t="s">
        <v>2</v>
      </c>
      <c r="J3382" s="14">
        <v>0.4375</v>
      </c>
      <c r="K3382" s="20" t="str">
        <f t="shared" si="157"/>
        <v>1st Shift</v>
      </c>
    </row>
    <row r="3383" spans="1:11" x14ac:dyDescent="0.25">
      <c r="A3383" s="1">
        <v>3382</v>
      </c>
      <c r="B3383" s="1">
        <v>7</v>
      </c>
      <c r="C3383" s="3">
        <v>7115271793405</v>
      </c>
      <c r="D3383" s="2">
        <v>44608.760416666664</v>
      </c>
      <c r="E3383" s="2">
        <v>44608.854166666664</v>
      </c>
      <c r="F3383" s="23">
        <f t="shared" si="156"/>
        <v>9.375E-2</v>
      </c>
      <c r="G3383" s="24">
        <f t="shared" si="158"/>
        <v>133.33333333333331</v>
      </c>
      <c r="H3383" s="1" t="s">
        <v>1</v>
      </c>
      <c r="I3383" s="4" t="s">
        <v>3</v>
      </c>
      <c r="J3383" s="14">
        <v>0.76041666666666663</v>
      </c>
      <c r="K3383" s="20" t="str">
        <f t="shared" si="157"/>
        <v>2nd Shift</v>
      </c>
    </row>
    <row r="3384" spans="1:11" x14ac:dyDescent="0.25">
      <c r="A3384" s="1">
        <v>3383</v>
      </c>
      <c r="B3384" s="1">
        <v>3</v>
      </c>
      <c r="C3384" s="3">
        <v>3115270421700</v>
      </c>
      <c r="D3384" s="2">
        <v>44608.631944444445</v>
      </c>
      <c r="E3384" s="2">
        <v>44608.854166666664</v>
      </c>
      <c r="F3384" s="23">
        <f t="shared" si="156"/>
        <v>0.22222222221898846</v>
      </c>
      <c r="G3384" s="24">
        <f t="shared" si="158"/>
        <v>56.250000000818545</v>
      </c>
      <c r="H3384" s="1" t="s">
        <v>1</v>
      </c>
      <c r="I3384" s="4" t="s">
        <v>3</v>
      </c>
      <c r="J3384" s="14">
        <v>0.63194444444444442</v>
      </c>
      <c r="K3384" s="20" t="str">
        <f t="shared" si="157"/>
        <v>2nd Shift</v>
      </c>
    </row>
    <row r="3385" spans="1:11" x14ac:dyDescent="0.25">
      <c r="A3385" s="1">
        <v>3384</v>
      </c>
      <c r="B3385" s="1">
        <v>3</v>
      </c>
      <c r="C3385" s="3">
        <v>3115270311100</v>
      </c>
      <c r="D3385" s="2">
        <v>44608.631944444445</v>
      </c>
      <c r="E3385" s="2">
        <v>44608.854166666664</v>
      </c>
      <c r="F3385" s="23">
        <f t="shared" si="156"/>
        <v>0.22222222221898846</v>
      </c>
      <c r="G3385" s="24">
        <f t="shared" si="158"/>
        <v>56.250000000818545</v>
      </c>
      <c r="H3385" s="1" t="s">
        <v>1</v>
      </c>
      <c r="I3385" s="4" t="s">
        <v>2</v>
      </c>
      <c r="J3385" s="14">
        <v>0.63194444444444442</v>
      </c>
      <c r="K3385" s="20" t="str">
        <f t="shared" si="157"/>
        <v>2nd Shift</v>
      </c>
    </row>
    <row r="3386" spans="1:11" x14ac:dyDescent="0.25">
      <c r="A3386" s="1">
        <v>3385</v>
      </c>
      <c r="B3386" s="1">
        <v>3</v>
      </c>
      <c r="C3386" s="3">
        <v>3115270310801</v>
      </c>
      <c r="D3386" s="2">
        <v>44608.631944444445</v>
      </c>
      <c r="E3386" s="2">
        <v>44608.854166666664</v>
      </c>
      <c r="F3386" s="23">
        <f t="shared" si="156"/>
        <v>0.22222222221898846</v>
      </c>
      <c r="G3386" s="24">
        <f t="shared" si="158"/>
        <v>56.250000000818545</v>
      </c>
      <c r="H3386" s="1" t="s">
        <v>1</v>
      </c>
      <c r="I3386" s="4" t="s">
        <v>3</v>
      </c>
      <c r="J3386" s="14">
        <v>0.63194444444444442</v>
      </c>
      <c r="K3386" s="20" t="str">
        <f t="shared" si="157"/>
        <v>2nd Shift</v>
      </c>
    </row>
    <row r="3387" spans="1:11" x14ac:dyDescent="0.25">
      <c r="A3387" s="1">
        <v>3386</v>
      </c>
      <c r="B3387" s="1">
        <v>3</v>
      </c>
      <c r="C3387" s="3">
        <v>3115270306803</v>
      </c>
      <c r="D3387" s="2">
        <v>44608.760416666664</v>
      </c>
      <c r="E3387" s="2">
        <v>44608.854166666664</v>
      </c>
      <c r="F3387" s="23">
        <f t="shared" si="156"/>
        <v>9.375E-2</v>
      </c>
      <c r="G3387" s="24">
        <f t="shared" si="158"/>
        <v>133.33333333333331</v>
      </c>
      <c r="H3387" s="1" t="s">
        <v>1</v>
      </c>
      <c r="I3387" s="4" t="s">
        <v>3</v>
      </c>
      <c r="J3387" s="14">
        <v>0.76041666666666663</v>
      </c>
      <c r="K3387" s="20" t="str">
        <f t="shared" si="157"/>
        <v>2nd Shift</v>
      </c>
    </row>
    <row r="3388" spans="1:11" x14ac:dyDescent="0.25">
      <c r="A3388" s="1">
        <v>3387</v>
      </c>
      <c r="B3388" s="1">
        <v>12</v>
      </c>
      <c r="C3388" s="3">
        <v>12115271560122</v>
      </c>
      <c r="D3388" s="2">
        <v>44608.875</v>
      </c>
      <c r="E3388" s="2">
        <v>44608.934027777781</v>
      </c>
      <c r="F3388" s="23">
        <f t="shared" si="156"/>
        <v>5.9027777781011537E-2</v>
      </c>
      <c r="G3388" s="24">
        <f t="shared" si="158"/>
        <v>211.7647058707517</v>
      </c>
      <c r="H3388" s="1" t="s">
        <v>1</v>
      </c>
      <c r="I3388" s="4" t="s">
        <v>2</v>
      </c>
      <c r="J3388" s="14">
        <v>0.875</v>
      </c>
      <c r="K3388" s="20" t="str">
        <f t="shared" si="157"/>
        <v>2nd Shift</v>
      </c>
    </row>
    <row r="3389" spans="1:11" x14ac:dyDescent="0.25">
      <c r="A3389" s="1">
        <v>3388</v>
      </c>
      <c r="B3389" s="1">
        <v>7</v>
      </c>
      <c r="C3389" s="3">
        <v>7115271784908</v>
      </c>
      <c r="D3389" s="2">
        <v>44608.927083333336</v>
      </c>
      <c r="E3389" s="2">
        <v>44608.979166666664</v>
      </c>
      <c r="F3389" s="23">
        <f t="shared" si="156"/>
        <v>5.2083333328482695E-2</v>
      </c>
      <c r="G3389" s="24">
        <f t="shared" si="158"/>
        <v>240.00000002235174</v>
      </c>
      <c r="H3389" s="1" t="s">
        <v>1</v>
      </c>
      <c r="I3389" s="4" t="s">
        <v>2</v>
      </c>
      <c r="J3389" s="14">
        <v>0.92708333333333337</v>
      </c>
      <c r="K3389" s="20" t="str">
        <f t="shared" si="157"/>
        <v>3rd Shift</v>
      </c>
    </row>
    <row r="3390" spans="1:11" x14ac:dyDescent="0.25">
      <c r="A3390" s="1">
        <v>3389</v>
      </c>
      <c r="B3390" s="1">
        <v>13</v>
      </c>
      <c r="C3390" s="3">
        <v>13115271591100</v>
      </c>
      <c r="D3390" s="2">
        <v>44609.034722222219</v>
      </c>
      <c r="E3390" s="2">
        <v>44609.100694444445</v>
      </c>
      <c r="F3390" s="23">
        <f t="shared" si="156"/>
        <v>6.5972222226264421E-2</v>
      </c>
      <c r="G3390" s="24">
        <f t="shared" si="158"/>
        <v>189.47368419891703</v>
      </c>
      <c r="H3390" s="1" t="s">
        <v>1</v>
      </c>
      <c r="I3390" s="4" t="s">
        <v>2</v>
      </c>
      <c r="J3390" s="14">
        <v>3.4722222222222224E-2</v>
      </c>
      <c r="K3390" s="20" t="str">
        <f t="shared" si="157"/>
        <v>3rd Shift</v>
      </c>
    </row>
    <row r="3391" spans="1:11" x14ac:dyDescent="0.25">
      <c r="A3391" s="1">
        <v>3390</v>
      </c>
      <c r="B3391" s="1">
        <v>1</v>
      </c>
      <c r="C3391" s="3">
        <v>1115270011250</v>
      </c>
      <c r="D3391" s="2">
        <v>44609.034722222219</v>
      </c>
      <c r="E3391" s="2">
        <v>44609.100694444445</v>
      </c>
      <c r="F3391" s="23">
        <f t="shared" si="156"/>
        <v>6.5972222226264421E-2</v>
      </c>
      <c r="G3391" s="24">
        <f t="shared" si="158"/>
        <v>189.47368419891703</v>
      </c>
      <c r="H3391" s="1" t="s">
        <v>1</v>
      </c>
      <c r="I3391" s="4" t="s">
        <v>2</v>
      </c>
      <c r="J3391" s="14">
        <v>3.4722222222222224E-2</v>
      </c>
      <c r="K3391" s="20" t="str">
        <f t="shared" si="157"/>
        <v>3rd Shift</v>
      </c>
    </row>
    <row r="3392" spans="1:11" x14ac:dyDescent="0.25">
      <c r="A3392" s="1">
        <v>3391</v>
      </c>
      <c r="B3392" s="1">
        <v>7</v>
      </c>
      <c r="C3392" s="3">
        <v>7115271783705</v>
      </c>
      <c r="D3392" s="2">
        <v>44609.409722222219</v>
      </c>
      <c r="E3392" s="2">
        <v>44609.479166666664</v>
      </c>
      <c r="F3392" s="23">
        <f t="shared" si="156"/>
        <v>6.9444444445252884E-2</v>
      </c>
      <c r="G3392" s="24">
        <f t="shared" si="158"/>
        <v>179.99999999790452</v>
      </c>
      <c r="H3392" s="1" t="s">
        <v>1</v>
      </c>
      <c r="I3392" s="4" t="s">
        <v>2</v>
      </c>
      <c r="J3392" s="14">
        <v>0.40972222222222221</v>
      </c>
      <c r="K3392" s="20" t="str">
        <f t="shared" si="157"/>
        <v>1st Shift</v>
      </c>
    </row>
    <row r="3393" spans="1:11" x14ac:dyDescent="0.25">
      <c r="A3393" s="1">
        <v>3392</v>
      </c>
      <c r="B3393" s="1">
        <v>1</v>
      </c>
      <c r="C3393" s="3">
        <v>1115270143500</v>
      </c>
      <c r="D3393" s="2">
        <v>44609.385416666664</v>
      </c>
      <c r="E3393" s="2">
        <v>44609.479166666664</v>
      </c>
      <c r="F3393" s="23">
        <f t="shared" si="156"/>
        <v>9.375E-2</v>
      </c>
      <c r="G3393" s="24">
        <f t="shared" si="158"/>
        <v>133.33333333333331</v>
      </c>
      <c r="H3393" s="1" t="s">
        <v>1</v>
      </c>
      <c r="I3393" s="4" t="s">
        <v>2</v>
      </c>
      <c r="J3393" s="14">
        <v>0.38541666666666669</v>
      </c>
      <c r="K3393" s="20" t="str">
        <f t="shared" si="157"/>
        <v>1st Shift</v>
      </c>
    </row>
    <row r="3394" spans="1:11" x14ac:dyDescent="0.25">
      <c r="A3394" s="1">
        <v>3393</v>
      </c>
      <c r="B3394" s="1">
        <v>13</v>
      </c>
      <c r="C3394" s="3">
        <v>13115271591400</v>
      </c>
      <c r="D3394" s="2">
        <v>44609.510416666664</v>
      </c>
      <c r="E3394" s="2">
        <v>44609.583333333336</v>
      </c>
      <c r="F3394" s="23">
        <f t="shared" ref="F3394:F3457" si="159">E3394-D3394</f>
        <v>7.2916666671517305E-2</v>
      </c>
      <c r="G3394" s="24">
        <f t="shared" si="158"/>
        <v>171.42857141716746</v>
      </c>
      <c r="H3394" s="1" t="s">
        <v>1</v>
      </c>
      <c r="I3394" s="4" t="s">
        <v>2</v>
      </c>
      <c r="J3394" s="14">
        <v>0.51041666666666663</v>
      </c>
      <c r="K3394" s="20" t="str">
        <f t="shared" ref="K3394:K3457" si="160">IF(AND(J3394&gt;=$M$3,J3394&lt;$M$4),"1st Shift",IF(AND(J3394&gt;=$M$4,J3394&lt;$M$5),"2nd Shift","3rd Shift"))</f>
        <v>1st Shift</v>
      </c>
    </row>
    <row r="3395" spans="1:11" x14ac:dyDescent="0.25">
      <c r="A3395" s="1">
        <v>3394</v>
      </c>
      <c r="B3395" s="1">
        <v>13</v>
      </c>
      <c r="C3395" s="3">
        <v>13115271625720</v>
      </c>
      <c r="D3395" s="2">
        <v>44609.6875</v>
      </c>
      <c r="E3395" s="2">
        <v>44609.795138888891</v>
      </c>
      <c r="F3395" s="23">
        <f t="shared" si="159"/>
        <v>0.10763888889050577</v>
      </c>
      <c r="G3395" s="24">
        <f t="shared" ref="G3395:G3458" si="161">$M$9/F3395*100</f>
        <v>116.1290322563201</v>
      </c>
      <c r="H3395" s="1" t="s">
        <v>1</v>
      </c>
      <c r="I3395" s="4" t="s">
        <v>2</v>
      </c>
      <c r="J3395" s="14">
        <v>0.6875</v>
      </c>
      <c r="K3395" s="20" t="str">
        <f t="shared" si="160"/>
        <v>2nd Shift</v>
      </c>
    </row>
    <row r="3396" spans="1:11" x14ac:dyDescent="0.25">
      <c r="A3396" s="1">
        <v>3395</v>
      </c>
      <c r="B3396" s="1">
        <v>6</v>
      </c>
      <c r="C3396" s="3">
        <v>6115271745607</v>
      </c>
      <c r="D3396" s="2">
        <v>44609.6875</v>
      </c>
      <c r="E3396" s="2">
        <v>44609.795138888891</v>
      </c>
      <c r="F3396" s="23">
        <f t="shared" si="159"/>
        <v>0.10763888889050577</v>
      </c>
      <c r="G3396" s="24">
        <f t="shared" si="161"/>
        <v>116.1290322563201</v>
      </c>
      <c r="H3396" s="1" t="s">
        <v>1</v>
      </c>
      <c r="I3396" s="4" t="s">
        <v>2</v>
      </c>
      <c r="J3396" s="14">
        <v>0.6875</v>
      </c>
      <c r="K3396" s="20" t="str">
        <f t="shared" si="160"/>
        <v>2nd Shift</v>
      </c>
    </row>
    <row r="3397" spans="1:11" x14ac:dyDescent="0.25">
      <c r="A3397" s="1">
        <v>3396</v>
      </c>
      <c r="B3397" s="1">
        <v>12</v>
      </c>
      <c r="C3397" s="3">
        <v>12115271574511</v>
      </c>
      <c r="D3397" s="2">
        <v>44609.833333333336</v>
      </c>
      <c r="E3397" s="2">
        <v>44609.899305555555</v>
      </c>
      <c r="F3397" s="23">
        <f t="shared" si="159"/>
        <v>6.5972222218988463E-2</v>
      </c>
      <c r="G3397" s="24">
        <f t="shared" si="161"/>
        <v>189.47368421981375</v>
      </c>
      <c r="H3397" s="1" t="s">
        <v>1</v>
      </c>
      <c r="I3397" s="4" t="s">
        <v>2</v>
      </c>
      <c r="J3397" s="14">
        <v>0.83333333333333337</v>
      </c>
      <c r="K3397" s="20" t="str">
        <f t="shared" si="160"/>
        <v>2nd Shift</v>
      </c>
    </row>
    <row r="3398" spans="1:11" x14ac:dyDescent="0.25">
      <c r="A3398" s="1">
        <v>3397</v>
      </c>
      <c r="B3398" s="1">
        <v>14</v>
      </c>
      <c r="C3398" s="3">
        <v>14115271672405</v>
      </c>
      <c r="D3398" s="2">
        <v>44610.451388888891</v>
      </c>
      <c r="E3398" s="2">
        <v>44610.586805555555</v>
      </c>
      <c r="F3398" s="23">
        <f t="shared" si="159"/>
        <v>0.13541666666424135</v>
      </c>
      <c r="G3398" s="24">
        <f t="shared" si="161"/>
        <v>92.307692309345541</v>
      </c>
      <c r="H3398" s="1" t="s">
        <v>1</v>
      </c>
      <c r="I3398" s="4" t="s">
        <v>3</v>
      </c>
      <c r="J3398" s="14">
        <v>0.4513888888888889</v>
      </c>
      <c r="K3398" s="20" t="str">
        <f t="shared" si="160"/>
        <v>1st Shift</v>
      </c>
    </row>
    <row r="3399" spans="1:11" x14ac:dyDescent="0.25">
      <c r="A3399" s="1">
        <v>3398</v>
      </c>
      <c r="B3399" s="1">
        <v>10</v>
      </c>
      <c r="C3399" s="3">
        <v>10115271968200</v>
      </c>
      <c r="D3399" s="2">
        <v>44610.40625</v>
      </c>
      <c r="E3399" s="2">
        <v>44610.586805555555</v>
      </c>
      <c r="F3399" s="23">
        <f t="shared" si="159"/>
        <v>0.18055555555474712</v>
      </c>
      <c r="G3399" s="24">
        <f t="shared" si="161"/>
        <v>69.230769231079208</v>
      </c>
      <c r="H3399" s="1" t="s">
        <v>1</v>
      </c>
      <c r="I3399" s="4" t="s">
        <v>3</v>
      </c>
      <c r="J3399" s="14">
        <v>0.40625</v>
      </c>
      <c r="K3399" s="20" t="str">
        <f t="shared" si="160"/>
        <v>1st Shift</v>
      </c>
    </row>
    <row r="3400" spans="1:11" x14ac:dyDescent="0.25">
      <c r="A3400" s="1">
        <v>3399</v>
      </c>
      <c r="B3400" s="1">
        <v>10</v>
      </c>
      <c r="C3400" s="3">
        <v>10115271453808</v>
      </c>
      <c r="D3400" s="2">
        <v>44610.552083333336</v>
      </c>
      <c r="E3400" s="2">
        <v>44610.586805555555</v>
      </c>
      <c r="F3400" s="23">
        <f t="shared" si="159"/>
        <v>3.4722222218988463E-2</v>
      </c>
      <c r="G3400" s="24">
        <f t="shared" si="161"/>
        <v>360.00000003352761</v>
      </c>
      <c r="H3400" s="1" t="s">
        <v>1</v>
      </c>
      <c r="I3400" s="4" t="s">
        <v>3</v>
      </c>
      <c r="J3400" s="14">
        <v>0.55208333333333337</v>
      </c>
      <c r="K3400" s="20" t="str">
        <f t="shared" si="160"/>
        <v>1st Shift</v>
      </c>
    </row>
    <row r="3401" spans="1:11" x14ac:dyDescent="0.25">
      <c r="A3401" s="1">
        <v>3400</v>
      </c>
      <c r="B3401" s="1">
        <v>8</v>
      </c>
      <c r="C3401" s="3">
        <v>8115271810105</v>
      </c>
      <c r="D3401" s="2">
        <v>44610.40625</v>
      </c>
      <c r="E3401" s="2">
        <v>44610.586805555555</v>
      </c>
      <c r="F3401" s="23">
        <f t="shared" si="159"/>
        <v>0.18055555555474712</v>
      </c>
      <c r="G3401" s="24">
        <f t="shared" si="161"/>
        <v>69.230769231079208</v>
      </c>
      <c r="H3401" s="1" t="s">
        <v>1</v>
      </c>
      <c r="I3401" s="4" t="s">
        <v>3</v>
      </c>
      <c r="J3401" s="14">
        <v>0.40625</v>
      </c>
      <c r="K3401" s="20" t="str">
        <f t="shared" si="160"/>
        <v>1st Shift</v>
      </c>
    </row>
    <row r="3402" spans="1:11" x14ac:dyDescent="0.25">
      <c r="A3402" s="1">
        <v>3401</v>
      </c>
      <c r="B3402" s="1">
        <v>7</v>
      </c>
      <c r="C3402" s="3">
        <v>7115271783751</v>
      </c>
      <c r="D3402" s="2">
        <v>44610.40625</v>
      </c>
      <c r="E3402" s="2">
        <v>44610.586805555555</v>
      </c>
      <c r="F3402" s="23">
        <f t="shared" si="159"/>
        <v>0.18055555555474712</v>
      </c>
      <c r="G3402" s="24">
        <f t="shared" si="161"/>
        <v>69.230769231079208</v>
      </c>
      <c r="H3402" s="1" t="s">
        <v>1</v>
      </c>
      <c r="I3402" s="4" t="s">
        <v>3</v>
      </c>
      <c r="J3402" s="14">
        <v>0.40625</v>
      </c>
      <c r="K3402" s="20" t="str">
        <f t="shared" si="160"/>
        <v>1st Shift</v>
      </c>
    </row>
    <row r="3403" spans="1:11" x14ac:dyDescent="0.25">
      <c r="A3403" s="1">
        <v>3402</v>
      </c>
      <c r="B3403" s="1">
        <v>6</v>
      </c>
      <c r="C3403" s="3">
        <v>6115271745802</v>
      </c>
      <c r="D3403" s="2">
        <v>44610.40625</v>
      </c>
      <c r="E3403" s="2">
        <v>44610.586805555555</v>
      </c>
      <c r="F3403" s="23">
        <f t="shared" si="159"/>
        <v>0.18055555555474712</v>
      </c>
      <c r="G3403" s="24">
        <f t="shared" si="161"/>
        <v>69.230769231079208</v>
      </c>
      <c r="H3403" s="1" t="s">
        <v>1</v>
      </c>
      <c r="I3403" s="4" t="s">
        <v>3</v>
      </c>
      <c r="J3403" s="14">
        <v>0.40625</v>
      </c>
      <c r="K3403" s="20" t="str">
        <f t="shared" si="160"/>
        <v>1st Shift</v>
      </c>
    </row>
    <row r="3404" spans="1:11" x14ac:dyDescent="0.25">
      <c r="A3404" s="1">
        <v>3403</v>
      </c>
      <c r="B3404" s="1">
        <v>1</v>
      </c>
      <c r="C3404" s="3">
        <v>1115270097900</v>
      </c>
      <c r="D3404" s="2">
        <v>44610.53125</v>
      </c>
      <c r="E3404" s="2">
        <v>44610.586805555555</v>
      </c>
      <c r="F3404" s="23">
        <f t="shared" si="159"/>
        <v>5.5555555554747116E-2</v>
      </c>
      <c r="G3404" s="24">
        <f t="shared" si="161"/>
        <v>225.00000000327418</v>
      </c>
      <c r="H3404" s="1" t="s">
        <v>1</v>
      </c>
      <c r="I3404" s="4" t="s">
        <v>2</v>
      </c>
      <c r="J3404" s="14">
        <v>0.53125</v>
      </c>
      <c r="K3404" s="20" t="str">
        <f t="shared" si="160"/>
        <v>1st Shift</v>
      </c>
    </row>
    <row r="3405" spans="1:11" x14ac:dyDescent="0.25">
      <c r="A3405" s="1">
        <v>3404</v>
      </c>
      <c r="B3405" s="1">
        <v>15</v>
      </c>
      <c r="C3405" s="3">
        <v>15115271778359</v>
      </c>
      <c r="D3405" s="2">
        <v>44610.645833333336</v>
      </c>
      <c r="E3405" s="2">
        <v>44610.770833333336</v>
      </c>
      <c r="F3405" s="23">
        <f t="shared" si="159"/>
        <v>0.125</v>
      </c>
      <c r="G3405" s="24">
        <f t="shared" si="161"/>
        <v>100</v>
      </c>
      <c r="H3405" s="1" t="s">
        <v>1</v>
      </c>
      <c r="I3405" s="4" t="s">
        <v>3</v>
      </c>
      <c r="J3405" s="14">
        <v>0.64583333333333337</v>
      </c>
      <c r="K3405" s="20" t="str">
        <f t="shared" si="160"/>
        <v>2nd Shift</v>
      </c>
    </row>
    <row r="3406" spans="1:11" x14ac:dyDescent="0.25">
      <c r="A3406" s="1">
        <v>3405</v>
      </c>
      <c r="B3406" s="1">
        <v>9</v>
      </c>
      <c r="C3406" s="3">
        <v>9115271907201</v>
      </c>
      <c r="D3406" s="2">
        <v>44610.645833333336</v>
      </c>
      <c r="E3406" s="2">
        <v>44610.770833333336</v>
      </c>
      <c r="F3406" s="23">
        <f t="shared" si="159"/>
        <v>0.125</v>
      </c>
      <c r="G3406" s="24">
        <f t="shared" si="161"/>
        <v>100</v>
      </c>
      <c r="H3406" s="1" t="s">
        <v>1</v>
      </c>
      <c r="I3406" s="4" t="s">
        <v>3</v>
      </c>
      <c r="J3406" s="14">
        <v>0.64583333333333337</v>
      </c>
      <c r="K3406" s="20" t="str">
        <f t="shared" si="160"/>
        <v>2nd Shift</v>
      </c>
    </row>
    <row r="3407" spans="1:11" x14ac:dyDescent="0.25">
      <c r="A3407" s="1">
        <v>3406</v>
      </c>
      <c r="B3407" s="1">
        <v>11</v>
      </c>
      <c r="C3407" s="3">
        <v>11115271542606</v>
      </c>
      <c r="D3407" s="2">
        <v>44610.947916666664</v>
      </c>
      <c r="E3407" s="2">
        <v>44611.013888888891</v>
      </c>
      <c r="F3407" s="23">
        <f t="shared" si="159"/>
        <v>6.5972222226264421E-2</v>
      </c>
      <c r="G3407" s="24">
        <f t="shared" si="161"/>
        <v>189.47368419891703</v>
      </c>
      <c r="H3407" s="1" t="s">
        <v>1</v>
      </c>
      <c r="I3407" s="4" t="s">
        <v>2</v>
      </c>
      <c r="J3407" s="14">
        <v>0.94791666666666663</v>
      </c>
      <c r="K3407" s="20" t="str">
        <f t="shared" si="160"/>
        <v>3rd Shift</v>
      </c>
    </row>
    <row r="3408" spans="1:11" x14ac:dyDescent="0.25">
      <c r="A3408" s="1">
        <v>3407</v>
      </c>
      <c r="B3408" s="1">
        <v>8</v>
      </c>
      <c r="C3408" s="3">
        <v>8115270616400</v>
      </c>
      <c r="D3408" s="2">
        <v>44610.947916666664</v>
      </c>
      <c r="E3408" s="2">
        <v>44611.013888888891</v>
      </c>
      <c r="F3408" s="23">
        <f t="shared" si="159"/>
        <v>6.5972222226264421E-2</v>
      </c>
      <c r="G3408" s="24">
        <f t="shared" si="161"/>
        <v>189.47368419891703</v>
      </c>
      <c r="H3408" s="1" t="s">
        <v>1</v>
      </c>
      <c r="I3408" s="4" t="s">
        <v>3</v>
      </c>
      <c r="J3408" s="14">
        <v>0.94791666666666663</v>
      </c>
      <c r="K3408" s="20" t="str">
        <f t="shared" si="160"/>
        <v>3rd Shift</v>
      </c>
    </row>
    <row r="3409" spans="1:11" x14ac:dyDescent="0.25">
      <c r="A3409" s="1">
        <v>3408</v>
      </c>
      <c r="B3409" s="1">
        <v>12</v>
      </c>
      <c r="C3409" s="3">
        <v>12115271569900</v>
      </c>
      <c r="D3409" s="2">
        <v>44611.048611111109</v>
      </c>
      <c r="E3409" s="2">
        <v>44611.131944444445</v>
      </c>
      <c r="F3409" s="23">
        <f t="shared" si="159"/>
        <v>8.3333333335758653E-2</v>
      </c>
      <c r="G3409" s="24">
        <f t="shared" si="161"/>
        <v>149.99999999563443</v>
      </c>
      <c r="H3409" s="1" t="s">
        <v>1</v>
      </c>
      <c r="I3409" s="4" t="s">
        <v>2</v>
      </c>
      <c r="J3409" s="14">
        <v>4.8611111111111112E-2</v>
      </c>
      <c r="K3409" s="20" t="str">
        <f t="shared" si="160"/>
        <v>3rd Shift</v>
      </c>
    </row>
    <row r="3410" spans="1:11" x14ac:dyDescent="0.25">
      <c r="A3410" s="1">
        <v>3409</v>
      </c>
      <c r="B3410" s="1">
        <v>3</v>
      </c>
      <c r="C3410" s="3">
        <v>3115270356600</v>
      </c>
      <c r="D3410" s="2">
        <v>44611.048611111109</v>
      </c>
      <c r="E3410" s="2">
        <v>44611.131944444445</v>
      </c>
      <c r="F3410" s="23">
        <f t="shared" si="159"/>
        <v>8.3333333335758653E-2</v>
      </c>
      <c r="G3410" s="24">
        <f t="shared" si="161"/>
        <v>149.99999999563443</v>
      </c>
      <c r="H3410" s="1" t="s">
        <v>1</v>
      </c>
      <c r="I3410" s="4" t="s">
        <v>2</v>
      </c>
      <c r="J3410" s="14">
        <v>4.8611111111111112E-2</v>
      </c>
      <c r="K3410" s="20" t="str">
        <f t="shared" si="160"/>
        <v>3rd Shift</v>
      </c>
    </row>
    <row r="3411" spans="1:11" x14ac:dyDescent="0.25">
      <c r="A3411" s="1">
        <v>3410</v>
      </c>
      <c r="B3411" s="1">
        <v>12</v>
      </c>
      <c r="C3411" s="3">
        <v>12115271561711</v>
      </c>
      <c r="D3411" s="2">
        <v>44611.416666666664</v>
      </c>
      <c r="E3411" s="2">
        <v>44611.629861111112</v>
      </c>
      <c r="F3411" s="23">
        <f t="shared" si="159"/>
        <v>0.21319444444816327</v>
      </c>
      <c r="G3411" s="24">
        <f t="shared" si="161"/>
        <v>58.631921823081498</v>
      </c>
      <c r="H3411" s="1" t="s">
        <v>1</v>
      </c>
      <c r="I3411" s="4" t="s">
        <v>3</v>
      </c>
      <c r="J3411" s="14">
        <v>0.41666666666666669</v>
      </c>
      <c r="K3411" s="20" t="str">
        <f t="shared" si="160"/>
        <v>1st Shift</v>
      </c>
    </row>
    <row r="3412" spans="1:11" x14ac:dyDescent="0.25">
      <c r="A3412" s="1">
        <v>3411</v>
      </c>
      <c r="B3412" s="1">
        <v>10</v>
      </c>
      <c r="C3412" s="3">
        <v>10115271445700</v>
      </c>
      <c r="D3412" s="2">
        <v>44611.46875</v>
      </c>
      <c r="E3412" s="2">
        <v>44611.629861111112</v>
      </c>
      <c r="F3412" s="23">
        <f t="shared" si="159"/>
        <v>0.16111111111240461</v>
      </c>
      <c r="G3412" s="24">
        <f t="shared" si="161"/>
        <v>77.586206895928811</v>
      </c>
      <c r="H3412" s="1" t="s">
        <v>1</v>
      </c>
      <c r="I3412" s="4" t="s">
        <v>3</v>
      </c>
      <c r="J3412" s="14">
        <v>0.46875</v>
      </c>
      <c r="K3412" s="20" t="str">
        <f t="shared" si="160"/>
        <v>1st Shift</v>
      </c>
    </row>
    <row r="3413" spans="1:11" x14ac:dyDescent="0.25">
      <c r="A3413" s="1">
        <v>3412</v>
      </c>
      <c r="B3413" s="1">
        <v>10</v>
      </c>
      <c r="C3413" s="3">
        <v>10115271434101</v>
      </c>
      <c r="D3413" s="2">
        <v>44611.388888888891</v>
      </c>
      <c r="E3413" s="2">
        <v>44611.629861111112</v>
      </c>
      <c r="F3413" s="23">
        <f t="shared" si="159"/>
        <v>0.24097222222189885</v>
      </c>
      <c r="G3413" s="24">
        <f t="shared" si="161"/>
        <v>51.873198847331857</v>
      </c>
      <c r="H3413" s="1" t="s">
        <v>1</v>
      </c>
      <c r="I3413" s="4" t="s">
        <v>3</v>
      </c>
      <c r="J3413" s="14">
        <v>0.3888888888888889</v>
      </c>
      <c r="K3413" s="20" t="str">
        <f t="shared" si="160"/>
        <v>1st Shift</v>
      </c>
    </row>
    <row r="3414" spans="1:11" x14ac:dyDescent="0.25">
      <c r="A3414" s="1">
        <v>3413</v>
      </c>
      <c r="B3414" s="1">
        <v>9</v>
      </c>
      <c r="C3414" s="3">
        <v>9115271901502</v>
      </c>
      <c r="D3414" s="2">
        <v>44611.520833333336</v>
      </c>
      <c r="E3414" s="2">
        <v>44611.629861111112</v>
      </c>
      <c r="F3414" s="23">
        <f t="shared" si="159"/>
        <v>0.10902777777664596</v>
      </c>
      <c r="G3414" s="24">
        <f t="shared" si="161"/>
        <v>114.6496815298526</v>
      </c>
      <c r="H3414" s="1" t="s">
        <v>1</v>
      </c>
      <c r="I3414" s="4" t="s">
        <v>3</v>
      </c>
      <c r="J3414" s="14">
        <v>0.52083333333333337</v>
      </c>
      <c r="K3414" s="20" t="str">
        <f t="shared" si="160"/>
        <v>1st Shift</v>
      </c>
    </row>
    <row r="3415" spans="1:11" x14ac:dyDescent="0.25">
      <c r="A3415" s="1">
        <v>3414</v>
      </c>
      <c r="B3415" s="1">
        <v>7</v>
      </c>
      <c r="C3415" s="3">
        <v>7115271787404</v>
      </c>
      <c r="D3415" s="2">
        <v>44611.388888888891</v>
      </c>
      <c r="E3415" s="2">
        <v>44611.629861111112</v>
      </c>
      <c r="F3415" s="23">
        <f t="shared" si="159"/>
        <v>0.24097222222189885</v>
      </c>
      <c r="G3415" s="24">
        <f t="shared" si="161"/>
        <v>51.873198847331857</v>
      </c>
      <c r="H3415" s="1" t="s">
        <v>1</v>
      </c>
      <c r="I3415" s="4" t="s">
        <v>3</v>
      </c>
      <c r="J3415" s="14">
        <v>0.3888888888888889</v>
      </c>
      <c r="K3415" s="20" t="str">
        <f t="shared" si="160"/>
        <v>1st Shift</v>
      </c>
    </row>
    <row r="3416" spans="1:11" x14ac:dyDescent="0.25">
      <c r="A3416" s="1">
        <v>3415</v>
      </c>
      <c r="B3416" s="1">
        <v>6</v>
      </c>
      <c r="C3416" s="3">
        <v>6115271723604</v>
      </c>
      <c r="D3416" s="2">
        <v>44611.388888888891</v>
      </c>
      <c r="E3416" s="2">
        <v>44611.629861111112</v>
      </c>
      <c r="F3416" s="23">
        <f t="shared" si="159"/>
        <v>0.24097222222189885</v>
      </c>
      <c r="G3416" s="24">
        <f t="shared" si="161"/>
        <v>51.873198847331857</v>
      </c>
      <c r="H3416" s="1" t="s">
        <v>1</v>
      </c>
      <c r="I3416" s="4" t="s">
        <v>2</v>
      </c>
      <c r="J3416" s="14">
        <v>0.3888888888888889</v>
      </c>
      <c r="K3416" s="20" t="str">
        <f t="shared" si="160"/>
        <v>1st Shift</v>
      </c>
    </row>
    <row r="3417" spans="1:11" x14ac:dyDescent="0.25">
      <c r="A3417" s="1">
        <v>3416</v>
      </c>
      <c r="B3417" s="1">
        <v>5</v>
      </c>
      <c r="C3417" s="3">
        <v>5115271258103</v>
      </c>
      <c r="D3417" s="2">
        <v>44611.46875</v>
      </c>
      <c r="E3417" s="2">
        <v>44611.629861111112</v>
      </c>
      <c r="F3417" s="23">
        <f t="shared" si="159"/>
        <v>0.16111111111240461</v>
      </c>
      <c r="G3417" s="24">
        <f t="shared" si="161"/>
        <v>77.586206895928811</v>
      </c>
      <c r="H3417" s="1" t="s">
        <v>1</v>
      </c>
      <c r="I3417" s="4" t="s">
        <v>2</v>
      </c>
      <c r="J3417" s="14">
        <v>0.46875</v>
      </c>
      <c r="K3417" s="20" t="str">
        <f t="shared" si="160"/>
        <v>1st Shift</v>
      </c>
    </row>
    <row r="3418" spans="1:11" x14ac:dyDescent="0.25">
      <c r="A3418" s="1">
        <v>3417</v>
      </c>
      <c r="B3418" s="1">
        <v>4</v>
      </c>
      <c r="C3418" s="3">
        <v>4115270826400</v>
      </c>
      <c r="D3418" s="2">
        <v>44611.388888888891</v>
      </c>
      <c r="E3418" s="2">
        <v>44611.629861111112</v>
      </c>
      <c r="F3418" s="23">
        <f t="shared" si="159"/>
        <v>0.24097222222189885</v>
      </c>
      <c r="G3418" s="24">
        <f t="shared" si="161"/>
        <v>51.873198847331857</v>
      </c>
      <c r="H3418" s="1" t="s">
        <v>1</v>
      </c>
      <c r="I3418" s="4" t="s">
        <v>2</v>
      </c>
      <c r="J3418" s="14">
        <v>0.3888888888888889</v>
      </c>
      <c r="K3418" s="20" t="str">
        <f t="shared" si="160"/>
        <v>1st Shift</v>
      </c>
    </row>
    <row r="3419" spans="1:11" x14ac:dyDescent="0.25">
      <c r="A3419" s="1">
        <v>3418</v>
      </c>
      <c r="B3419" s="1">
        <v>3</v>
      </c>
      <c r="C3419" s="3">
        <v>3115270308800</v>
      </c>
      <c r="D3419" s="2">
        <v>44611.541666666664</v>
      </c>
      <c r="E3419" s="2">
        <v>44611.629861111112</v>
      </c>
      <c r="F3419" s="23">
        <f t="shared" si="159"/>
        <v>8.8194444448163267E-2</v>
      </c>
      <c r="G3419" s="24">
        <f t="shared" si="161"/>
        <v>141.73228345859062</v>
      </c>
      <c r="H3419" s="1" t="s">
        <v>1</v>
      </c>
      <c r="I3419" s="4" t="s">
        <v>3</v>
      </c>
      <c r="J3419" s="14">
        <v>0.54166666666666663</v>
      </c>
      <c r="K3419" s="20" t="str">
        <f t="shared" si="160"/>
        <v>1st Shift</v>
      </c>
    </row>
    <row r="3420" spans="1:11" x14ac:dyDescent="0.25">
      <c r="A3420" s="1">
        <v>3419</v>
      </c>
      <c r="B3420" s="1">
        <v>2</v>
      </c>
      <c r="C3420" s="3">
        <v>2115270221500</v>
      </c>
      <c r="D3420" s="2">
        <v>44611.46875</v>
      </c>
      <c r="E3420" s="2">
        <v>44611.629861111112</v>
      </c>
      <c r="F3420" s="23">
        <f t="shared" si="159"/>
        <v>0.16111111111240461</v>
      </c>
      <c r="G3420" s="24">
        <f t="shared" si="161"/>
        <v>77.586206895928811</v>
      </c>
      <c r="H3420" s="1" t="s">
        <v>1</v>
      </c>
      <c r="I3420" s="4" t="s">
        <v>2</v>
      </c>
      <c r="J3420" s="14">
        <v>0.46875</v>
      </c>
      <c r="K3420" s="20" t="str">
        <f t="shared" si="160"/>
        <v>1st Shift</v>
      </c>
    </row>
    <row r="3421" spans="1:11" x14ac:dyDescent="0.25">
      <c r="A3421" s="1">
        <v>3420</v>
      </c>
      <c r="B3421" s="1">
        <v>3</v>
      </c>
      <c r="C3421" s="3">
        <v>3115270306801</v>
      </c>
      <c r="D3421" s="2">
        <v>44611.614583333336</v>
      </c>
      <c r="E3421" s="2">
        <v>44611.673611111109</v>
      </c>
      <c r="F3421" s="23">
        <f t="shared" si="159"/>
        <v>5.9027777773735579E-2</v>
      </c>
      <c r="G3421" s="24">
        <f t="shared" si="161"/>
        <v>211.76470589685451</v>
      </c>
      <c r="H3421" s="1" t="s">
        <v>1</v>
      </c>
      <c r="I3421" s="4" t="s">
        <v>3</v>
      </c>
      <c r="J3421" s="14">
        <v>0.61458333333333337</v>
      </c>
      <c r="K3421" s="20" t="str">
        <f t="shared" si="160"/>
        <v>2nd Shift</v>
      </c>
    </row>
    <row r="3422" spans="1:11" x14ac:dyDescent="0.25">
      <c r="A3422" s="1">
        <v>3421</v>
      </c>
      <c r="B3422" s="1">
        <v>13</v>
      </c>
      <c r="C3422" s="3">
        <v>13115271626301</v>
      </c>
      <c r="D3422" s="2">
        <v>44611.645833333336</v>
      </c>
      <c r="E3422" s="2">
        <v>44611.795138888891</v>
      </c>
      <c r="F3422" s="23">
        <f t="shared" si="159"/>
        <v>0.14930555555474712</v>
      </c>
      <c r="G3422" s="24">
        <f t="shared" si="161"/>
        <v>83.720930233011458</v>
      </c>
      <c r="H3422" s="1" t="s">
        <v>1</v>
      </c>
      <c r="I3422" s="4" t="s">
        <v>2</v>
      </c>
      <c r="J3422" s="14">
        <v>0.64583333333333337</v>
      </c>
      <c r="K3422" s="20" t="str">
        <f t="shared" si="160"/>
        <v>2nd Shift</v>
      </c>
    </row>
    <row r="3423" spans="1:11" x14ac:dyDescent="0.25">
      <c r="A3423" s="1">
        <v>3422</v>
      </c>
      <c r="B3423" s="1">
        <v>11</v>
      </c>
      <c r="C3423" s="3">
        <v>11115271550100</v>
      </c>
      <c r="D3423" s="2">
        <v>44611.645833333336</v>
      </c>
      <c r="E3423" s="2">
        <v>44611.795138888891</v>
      </c>
      <c r="F3423" s="23">
        <f t="shared" si="159"/>
        <v>0.14930555555474712</v>
      </c>
      <c r="G3423" s="24">
        <f t="shared" si="161"/>
        <v>83.720930233011458</v>
      </c>
      <c r="H3423" s="1" t="s">
        <v>1</v>
      </c>
      <c r="I3423" s="4" t="s">
        <v>3</v>
      </c>
      <c r="J3423" s="14">
        <v>0.64583333333333337</v>
      </c>
      <c r="K3423" s="20" t="str">
        <f t="shared" si="160"/>
        <v>2nd Shift</v>
      </c>
    </row>
    <row r="3424" spans="1:11" x14ac:dyDescent="0.25">
      <c r="A3424" s="1">
        <v>3423</v>
      </c>
      <c r="B3424" s="1">
        <v>11</v>
      </c>
      <c r="C3424" s="3">
        <v>11115271549500</v>
      </c>
      <c r="D3424" s="2">
        <v>44611.645833333336</v>
      </c>
      <c r="E3424" s="2">
        <v>44611.795138888891</v>
      </c>
      <c r="F3424" s="23">
        <f t="shared" si="159"/>
        <v>0.14930555555474712</v>
      </c>
      <c r="G3424" s="24">
        <f t="shared" si="161"/>
        <v>83.720930233011458</v>
      </c>
      <c r="H3424" s="1" t="s">
        <v>1</v>
      </c>
      <c r="I3424" s="4" t="s">
        <v>2</v>
      </c>
      <c r="J3424" s="14">
        <v>0.64583333333333337</v>
      </c>
      <c r="K3424" s="20" t="str">
        <f t="shared" si="160"/>
        <v>2nd Shift</v>
      </c>
    </row>
    <row r="3425" spans="1:11" x14ac:dyDescent="0.25">
      <c r="A3425" s="1">
        <v>3424</v>
      </c>
      <c r="B3425" s="1">
        <v>3</v>
      </c>
      <c r="C3425" s="3">
        <v>3115270367900</v>
      </c>
      <c r="D3425" s="2">
        <v>44611.645833333336</v>
      </c>
      <c r="E3425" s="2">
        <v>44611.795138888891</v>
      </c>
      <c r="F3425" s="23">
        <f t="shared" si="159"/>
        <v>0.14930555555474712</v>
      </c>
      <c r="G3425" s="24">
        <f t="shared" si="161"/>
        <v>83.720930233011458</v>
      </c>
      <c r="H3425" s="1" t="s">
        <v>1</v>
      </c>
      <c r="I3425" s="4" t="s">
        <v>2</v>
      </c>
      <c r="J3425" s="14">
        <v>0.64583333333333337</v>
      </c>
      <c r="K3425" s="20" t="str">
        <f t="shared" si="160"/>
        <v>2nd Shift</v>
      </c>
    </row>
    <row r="3426" spans="1:11" x14ac:dyDescent="0.25">
      <c r="A3426" s="1">
        <v>3425</v>
      </c>
      <c r="B3426" s="1">
        <v>1</v>
      </c>
      <c r="C3426" s="3">
        <v>1115270029200</v>
      </c>
      <c r="D3426" s="2">
        <v>44611.645833333336</v>
      </c>
      <c r="E3426" s="2">
        <v>44611.795138888891</v>
      </c>
      <c r="F3426" s="23">
        <f t="shared" si="159"/>
        <v>0.14930555555474712</v>
      </c>
      <c r="G3426" s="24">
        <f t="shared" si="161"/>
        <v>83.720930233011458</v>
      </c>
      <c r="H3426" s="1" t="s">
        <v>1</v>
      </c>
      <c r="I3426" s="4" t="s">
        <v>3</v>
      </c>
      <c r="J3426" s="14">
        <v>0.64583333333333337</v>
      </c>
      <c r="K3426" s="20" t="str">
        <f t="shared" si="160"/>
        <v>2nd Shift</v>
      </c>
    </row>
    <row r="3427" spans="1:11" x14ac:dyDescent="0.25">
      <c r="A3427" s="1">
        <v>3426</v>
      </c>
      <c r="B3427" s="1">
        <v>10</v>
      </c>
      <c r="C3427" s="3">
        <v>10115271965101</v>
      </c>
      <c r="D3427" s="2">
        <v>44611.8125</v>
      </c>
      <c r="E3427" s="2">
        <v>44611.895833333336</v>
      </c>
      <c r="F3427" s="23">
        <f t="shared" si="159"/>
        <v>8.3333333335758653E-2</v>
      </c>
      <c r="G3427" s="24">
        <f t="shared" si="161"/>
        <v>149.99999999563443</v>
      </c>
      <c r="H3427" s="1" t="s">
        <v>1</v>
      </c>
      <c r="I3427" s="4" t="s">
        <v>2</v>
      </c>
      <c r="J3427" s="14">
        <v>0.8125</v>
      </c>
      <c r="K3427" s="20" t="str">
        <f t="shared" si="160"/>
        <v>2nd Shift</v>
      </c>
    </row>
    <row r="3428" spans="1:11" x14ac:dyDescent="0.25">
      <c r="A3428" s="1">
        <v>3427</v>
      </c>
      <c r="B3428" s="1">
        <v>1</v>
      </c>
      <c r="C3428" s="3">
        <v>1115270016300</v>
      </c>
      <c r="D3428" s="2">
        <v>44611.8125</v>
      </c>
      <c r="E3428" s="2">
        <v>44611.895833333336</v>
      </c>
      <c r="F3428" s="23">
        <f t="shared" si="159"/>
        <v>8.3333333335758653E-2</v>
      </c>
      <c r="G3428" s="24">
        <f t="shared" si="161"/>
        <v>149.99999999563443</v>
      </c>
      <c r="H3428" s="1" t="s">
        <v>1</v>
      </c>
      <c r="I3428" s="4" t="s">
        <v>2</v>
      </c>
      <c r="J3428" s="14">
        <v>0.8125</v>
      </c>
      <c r="K3428" s="20" t="str">
        <f t="shared" si="160"/>
        <v>2nd Shift</v>
      </c>
    </row>
    <row r="3429" spans="1:11" x14ac:dyDescent="0.25">
      <c r="A3429" s="1">
        <v>3428</v>
      </c>
      <c r="B3429" s="1">
        <v>13</v>
      </c>
      <c r="C3429" s="3">
        <v>13115271608507</v>
      </c>
      <c r="D3429" s="2">
        <v>44611.940972222219</v>
      </c>
      <c r="E3429" s="2">
        <v>44612.000011574077</v>
      </c>
      <c r="F3429" s="23">
        <f t="shared" si="159"/>
        <v>5.9039351857791189E-2</v>
      </c>
      <c r="G3429" s="24">
        <f t="shared" si="161"/>
        <v>211.72319150977307</v>
      </c>
      <c r="H3429" s="1" t="s">
        <v>1</v>
      </c>
      <c r="I3429" s="4" t="s">
        <v>2</v>
      </c>
      <c r="J3429" s="14">
        <v>0.94097222222222221</v>
      </c>
      <c r="K3429" s="20" t="str">
        <f t="shared" si="160"/>
        <v>3rd Shift</v>
      </c>
    </row>
    <row r="3430" spans="1:11" x14ac:dyDescent="0.25">
      <c r="A3430" s="1">
        <v>3429</v>
      </c>
      <c r="B3430" s="1">
        <v>10</v>
      </c>
      <c r="C3430" s="3">
        <v>10115271454403</v>
      </c>
      <c r="D3430" s="2">
        <v>44611.940972222219</v>
      </c>
      <c r="E3430" s="2">
        <v>44612.000011574077</v>
      </c>
      <c r="F3430" s="23">
        <f t="shared" si="159"/>
        <v>5.9039351857791189E-2</v>
      </c>
      <c r="G3430" s="24">
        <f t="shared" si="161"/>
        <v>211.72319150977307</v>
      </c>
      <c r="H3430" s="1" t="s">
        <v>1</v>
      </c>
      <c r="I3430" s="4" t="s">
        <v>2</v>
      </c>
      <c r="J3430" s="14">
        <v>0.94097222222222221</v>
      </c>
      <c r="K3430" s="20" t="str">
        <f t="shared" si="160"/>
        <v>3rd Shift</v>
      </c>
    </row>
    <row r="3431" spans="1:11" x14ac:dyDescent="0.25">
      <c r="A3431" s="1">
        <v>3430</v>
      </c>
      <c r="B3431" s="1">
        <v>14</v>
      </c>
      <c r="C3431" s="3">
        <v>14115271691044</v>
      </c>
      <c r="D3431" s="2">
        <v>44612.020833333336</v>
      </c>
      <c r="E3431" s="2">
        <v>44612.104166666664</v>
      </c>
      <c r="F3431" s="23">
        <f t="shared" si="159"/>
        <v>8.3333333328482695E-2</v>
      </c>
      <c r="G3431" s="24">
        <f t="shared" si="161"/>
        <v>150.00000000873115</v>
      </c>
      <c r="H3431" s="1" t="s">
        <v>1</v>
      </c>
      <c r="I3431" s="4" t="s">
        <v>3</v>
      </c>
      <c r="J3431" s="14">
        <v>2.0833333333333332E-2</v>
      </c>
      <c r="K3431" s="20" t="str">
        <f t="shared" si="160"/>
        <v>3rd Shift</v>
      </c>
    </row>
    <row r="3432" spans="1:11" x14ac:dyDescent="0.25">
      <c r="A3432" s="1">
        <v>3431</v>
      </c>
      <c r="B3432" s="1">
        <v>12</v>
      </c>
      <c r="C3432" s="3">
        <v>12115271571605</v>
      </c>
      <c r="D3432" s="2">
        <v>44612.020833333336</v>
      </c>
      <c r="E3432" s="2">
        <v>44612.104166666664</v>
      </c>
      <c r="F3432" s="23">
        <f t="shared" si="159"/>
        <v>8.3333333328482695E-2</v>
      </c>
      <c r="G3432" s="24">
        <f t="shared" si="161"/>
        <v>150.00000000873115</v>
      </c>
      <c r="H3432" s="1" t="s">
        <v>1</v>
      </c>
      <c r="I3432" s="4" t="s">
        <v>3</v>
      </c>
      <c r="J3432" s="14">
        <v>2.0833333333333332E-2</v>
      </c>
      <c r="K3432" s="20" t="str">
        <f t="shared" si="160"/>
        <v>3rd Shift</v>
      </c>
    </row>
    <row r="3433" spans="1:11" x14ac:dyDescent="0.25">
      <c r="A3433" s="1">
        <v>3432</v>
      </c>
      <c r="B3433" s="1">
        <v>13</v>
      </c>
      <c r="C3433" s="3">
        <v>13115271591200</v>
      </c>
      <c r="D3433" s="2">
        <v>44612.395833333336</v>
      </c>
      <c r="E3433" s="2">
        <v>44612.631944444445</v>
      </c>
      <c r="F3433" s="23">
        <f t="shared" si="159"/>
        <v>0.23611111110949423</v>
      </c>
      <c r="G3433" s="24">
        <f t="shared" si="161"/>
        <v>52.941176470950779</v>
      </c>
      <c r="H3433" s="1" t="s">
        <v>1</v>
      </c>
      <c r="I3433" s="4" t="s">
        <v>2</v>
      </c>
      <c r="J3433" s="14">
        <v>0.39583333333333331</v>
      </c>
      <c r="K3433" s="20" t="str">
        <f t="shared" si="160"/>
        <v>1st Shift</v>
      </c>
    </row>
    <row r="3434" spans="1:11" x14ac:dyDescent="0.25">
      <c r="A3434" s="1">
        <v>3433</v>
      </c>
      <c r="B3434" s="1">
        <v>12</v>
      </c>
      <c r="C3434" s="3">
        <v>12115271591107</v>
      </c>
      <c r="D3434" s="2">
        <v>44612.520833333336</v>
      </c>
      <c r="E3434" s="2">
        <v>44612.631944444445</v>
      </c>
      <c r="F3434" s="23">
        <f t="shared" si="159"/>
        <v>0.11111111110949423</v>
      </c>
      <c r="G3434" s="24">
        <f t="shared" si="161"/>
        <v>112.50000000163709</v>
      </c>
      <c r="H3434" s="1" t="s">
        <v>1</v>
      </c>
      <c r="I3434" s="4" t="s">
        <v>3</v>
      </c>
      <c r="J3434" s="14">
        <v>0.52083333333333337</v>
      </c>
      <c r="K3434" s="20" t="str">
        <f t="shared" si="160"/>
        <v>1st Shift</v>
      </c>
    </row>
    <row r="3435" spans="1:11" x14ac:dyDescent="0.25">
      <c r="A3435" s="1">
        <v>3434</v>
      </c>
      <c r="B3435" s="1">
        <v>11</v>
      </c>
      <c r="C3435" s="3">
        <v>11115271534300</v>
      </c>
      <c r="D3435" s="2">
        <v>44612.447916666664</v>
      </c>
      <c r="E3435" s="2">
        <v>44612.631944444445</v>
      </c>
      <c r="F3435" s="23">
        <f t="shared" si="159"/>
        <v>0.18402777778101154</v>
      </c>
      <c r="G3435" s="24">
        <f t="shared" si="161"/>
        <v>67.924528300693211</v>
      </c>
      <c r="H3435" s="1" t="s">
        <v>1</v>
      </c>
      <c r="I3435" s="4" t="s">
        <v>2</v>
      </c>
      <c r="J3435" s="14">
        <v>0.44791666666666669</v>
      </c>
      <c r="K3435" s="20" t="str">
        <f t="shared" si="160"/>
        <v>1st Shift</v>
      </c>
    </row>
    <row r="3436" spans="1:11" x14ac:dyDescent="0.25">
      <c r="A3436" s="1">
        <v>3435</v>
      </c>
      <c r="B3436" s="1">
        <v>7</v>
      </c>
      <c r="C3436" s="3">
        <v>7115271768107</v>
      </c>
      <c r="D3436" s="2">
        <v>44612.541666666664</v>
      </c>
      <c r="E3436" s="2">
        <v>44612.631944444445</v>
      </c>
      <c r="F3436" s="23">
        <f t="shared" si="159"/>
        <v>9.0277777781011537E-2</v>
      </c>
      <c r="G3436" s="24">
        <f t="shared" si="161"/>
        <v>138.46153845657875</v>
      </c>
      <c r="H3436" s="1" t="s">
        <v>1</v>
      </c>
      <c r="I3436" s="4" t="s">
        <v>3</v>
      </c>
      <c r="J3436" s="14">
        <v>0.54166666666666663</v>
      </c>
      <c r="K3436" s="20" t="str">
        <f t="shared" si="160"/>
        <v>1st Shift</v>
      </c>
    </row>
    <row r="3437" spans="1:11" x14ac:dyDescent="0.25">
      <c r="A3437" s="1">
        <v>3436</v>
      </c>
      <c r="B3437" s="1">
        <v>7</v>
      </c>
      <c r="C3437" s="3">
        <v>7115271759011</v>
      </c>
      <c r="D3437" s="2">
        <v>44612.541666666664</v>
      </c>
      <c r="E3437" s="2">
        <v>44612.631944444445</v>
      </c>
      <c r="F3437" s="23">
        <f t="shared" si="159"/>
        <v>9.0277777781011537E-2</v>
      </c>
      <c r="G3437" s="24">
        <f t="shared" si="161"/>
        <v>138.46153845657875</v>
      </c>
      <c r="H3437" s="1" t="s">
        <v>1</v>
      </c>
      <c r="I3437" s="4" t="s">
        <v>3</v>
      </c>
      <c r="J3437" s="14">
        <v>0.54166666666666663</v>
      </c>
      <c r="K3437" s="20" t="str">
        <f t="shared" si="160"/>
        <v>1st Shift</v>
      </c>
    </row>
    <row r="3438" spans="1:11" x14ac:dyDescent="0.25">
      <c r="A3438" s="1">
        <v>3437</v>
      </c>
      <c r="B3438" s="1">
        <v>6</v>
      </c>
      <c r="C3438" s="3">
        <v>6115271745700</v>
      </c>
      <c r="D3438" s="2">
        <v>44612.395833333336</v>
      </c>
      <c r="E3438" s="2">
        <v>44612.631944444445</v>
      </c>
      <c r="F3438" s="23">
        <f t="shared" si="159"/>
        <v>0.23611111110949423</v>
      </c>
      <c r="G3438" s="24">
        <f t="shared" si="161"/>
        <v>52.941176470950779</v>
      </c>
      <c r="H3438" s="1" t="s">
        <v>1</v>
      </c>
      <c r="I3438" s="4" t="s">
        <v>3</v>
      </c>
      <c r="J3438" s="14">
        <v>0.39583333333333331</v>
      </c>
      <c r="K3438" s="20" t="str">
        <f t="shared" si="160"/>
        <v>1st Shift</v>
      </c>
    </row>
    <row r="3439" spans="1:11" x14ac:dyDescent="0.25">
      <c r="A3439" s="1">
        <v>3438</v>
      </c>
      <c r="B3439" s="1">
        <v>3</v>
      </c>
      <c r="C3439" s="3">
        <v>3115270332901</v>
      </c>
      <c r="D3439" s="2">
        <v>44612.395833333336</v>
      </c>
      <c r="E3439" s="2">
        <v>44612.631944444445</v>
      </c>
      <c r="F3439" s="23">
        <f t="shared" si="159"/>
        <v>0.23611111110949423</v>
      </c>
      <c r="G3439" s="24">
        <f t="shared" si="161"/>
        <v>52.941176470950779</v>
      </c>
      <c r="H3439" s="1" t="s">
        <v>1</v>
      </c>
      <c r="I3439" s="4" t="s">
        <v>3</v>
      </c>
      <c r="J3439" s="14">
        <v>0.39583333333333331</v>
      </c>
      <c r="K3439" s="20" t="str">
        <f t="shared" si="160"/>
        <v>1st Shift</v>
      </c>
    </row>
    <row r="3440" spans="1:11" x14ac:dyDescent="0.25">
      <c r="A3440" s="1">
        <v>3439</v>
      </c>
      <c r="B3440" s="1">
        <v>1</v>
      </c>
      <c r="C3440" s="3">
        <v>1115270739010</v>
      </c>
      <c r="D3440" s="2">
        <v>44612.395833333336</v>
      </c>
      <c r="E3440" s="2">
        <v>44612.631944444445</v>
      </c>
      <c r="F3440" s="23">
        <f t="shared" si="159"/>
        <v>0.23611111110949423</v>
      </c>
      <c r="G3440" s="24">
        <f t="shared" si="161"/>
        <v>52.941176470950779</v>
      </c>
      <c r="H3440" s="1" t="s">
        <v>1</v>
      </c>
      <c r="I3440" s="4" t="s">
        <v>2</v>
      </c>
      <c r="J3440" s="14">
        <v>0.39583333333333331</v>
      </c>
      <c r="K3440" s="20" t="str">
        <f t="shared" si="160"/>
        <v>1st Shift</v>
      </c>
    </row>
    <row r="3441" spans="1:11" x14ac:dyDescent="0.25">
      <c r="A3441" s="1">
        <v>3440</v>
      </c>
      <c r="B3441" s="1">
        <v>13</v>
      </c>
      <c r="C3441" s="3">
        <v>13115271608507</v>
      </c>
      <c r="D3441" s="2">
        <v>44613.645833333336</v>
      </c>
      <c r="E3441" s="2">
        <v>44613.673611111109</v>
      </c>
      <c r="F3441" s="23">
        <f t="shared" si="159"/>
        <v>2.7777777773735579E-2</v>
      </c>
      <c r="G3441" s="24">
        <f t="shared" si="161"/>
        <v>450.00000006548362</v>
      </c>
      <c r="H3441" s="1" t="s">
        <v>1</v>
      </c>
      <c r="I3441" s="4" t="s">
        <v>3</v>
      </c>
      <c r="J3441" s="14">
        <v>0.64583333333333337</v>
      </c>
      <c r="K3441" s="20" t="str">
        <f t="shared" si="160"/>
        <v>2nd Shift</v>
      </c>
    </row>
    <row r="3442" spans="1:11" x14ac:dyDescent="0.25">
      <c r="A3442" s="1">
        <v>3441</v>
      </c>
      <c r="B3442" s="1">
        <v>13</v>
      </c>
      <c r="C3442" s="3">
        <v>13115271590701</v>
      </c>
      <c r="D3442" s="2">
        <v>44613.645833333336</v>
      </c>
      <c r="E3442" s="2">
        <v>44613.673611111109</v>
      </c>
      <c r="F3442" s="23">
        <f t="shared" si="159"/>
        <v>2.7777777773735579E-2</v>
      </c>
      <c r="G3442" s="24">
        <f t="shared" si="161"/>
        <v>450.00000006548362</v>
      </c>
      <c r="H3442" s="1" t="s">
        <v>1</v>
      </c>
      <c r="I3442" s="4" t="s">
        <v>2</v>
      </c>
      <c r="J3442" s="14">
        <v>0.64583333333333337</v>
      </c>
      <c r="K3442" s="20" t="str">
        <f t="shared" si="160"/>
        <v>2nd Shift</v>
      </c>
    </row>
    <row r="3443" spans="1:11" x14ac:dyDescent="0.25">
      <c r="A3443" s="1">
        <v>3442</v>
      </c>
      <c r="B3443" s="1">
        <v>11</v>
      </c>
      <c r="C3443" s="3">
        <v>11115271551303</v>
      </c>
      <c r="D3443" s="2">
        <v>44613.645833333336</v>
      </c>
      <c r="E3443" s="2">
        <v>44613.673611111109</v>
      </c>
      <c r="F3443" s="23">
        <f t="shared" si="159"/>
        <v>2.7777777773735579E-2</v>
      </c>
      <c r="G3443" s="24">
        <f t="shared" si="161"/>
        <v>450.00000006548362</v>
      </c>
      <c r="H3443" s="1" t="s">
        <v>1</v>
      </c>
      <c r="I3443" s="4" t="s">
        <v>3</v>
      </c>
      <c r="J3443" s="14">
        <v>0.64583333333333337</v>
      </c>
      <c r="K3443" s="20" t="str">
        <f t="shared" si="160"/>
        <v>2nd Shift</v>
      </c>
    </row>
    <row r="3444" spans="1:11" x14ac:dyDescent="0.25">
      <c r="A3444" s="1">
        <v>3443</v>
      </c>
      <c r="B3444" s="1">
        <v>7</v>
      </c>
      <c r="C3444" s="3">
        <v>7115271768202</v>
      </c>
      <c r="D3444" s="2">
        <v>44613.645833333336</v>
      </c>
      <c r="E3444" s="2">
        <v>44613.673611111109</v>
      </c>
      <c r="F3444" s="23">
        <f t="shared" si="159"/>
        <v>2.7777777773735579E-2</v>
      </c>
      <c r="G3444" s="24">
        <f t="shared" si="161"/>
        <v>450.00000006548362</v>
      </c>
      <c r="H3444" s="1" t="s">
        <v>1</v>
      </c>
      <c r="I3444" s="4" t="s">
        <v>3</v>
      </c>
      <c r="J3444" s="14">
        <v>0.64583333333333337</v>
      </c>
      <c r="K3444" s="20" t="str">
        <f t="shared" si="160"/>
        <v>2nd Shift</v>
      </c>
    </row>
    <row r="3445" spans="1:11" x14ac:dyDescent="0.25">
      <c r="A3445" s="1">
        <v>3444</v>
      </c>
      <c r="B3445" s="1">
        <v>14</v>
      </c>
      <c r="C3445" s="3">
        <v>14115271672700</v>
      </c>
      <c r="D3445" s="2">
        <v>44613.361111111109</v>
      </c>
      <c r="E3445" s="2">
        <v>44613.677083333336</v>
      </c>
      <c r="F3445" s="23">
        <f t="shared" si="159"/>
        <v>0.31597222222626442</v>
      </c>
      <c r="G3445" s="24">
        <f t="shared" si="161"/>
        <v>39.560439559933471</v>
      </c>
      <c r="H3445" s="1" t="s">
        <v>1</v>
      </c>
      <c r="I3445" s="4" t="s">
        <v>2</v>
      </c>
      <c r="J3445" s="14">
        <v>0.3611111111111111</v>
      </c>
      <c r="K3445" s="20" t="str">
        <f t="shared" si="160"/>
        <v>1st Shift</v>
      </c>
    </row>
    <row r="3446" spans="1:11" x14ac:dyDescent="0.25">
      <c r="A3446" s="1">
        <v>3445</v>
      </c>
      <c r="B3446" s="1">
        <v>12</v>
      </c>
      <c r="C3446" s="3">
        <v>12115271571024</v>
      </c>
      <c r="D3446" s="2">
        <v>44613.4375</v>
      </c>
      <c r="E3446" s="2">
        <v>44613.677083333336</v>
      </c>
      <c r="F3446" s="23">
        <f t="shared" si="159"/>
        <v>0.23958333333575865</v>
      </c>
      <c r="G3446" s="24">
        <f t="shared" si="161"/>
        <v>52.173913042950105</v>
      </c>
      <c r="H3446" s="1" t="s">
        <v>1</v>
      </c>
      <c r="I3446" s="4" t="s">
        <v>2</v>
      </c>
      <c r="J3446" s="14">
        <v>0.4375</v>
      </c>
      <c r="K3446" s="20" t="str">
        <f t="shared" si="160"/>
        <v>1st Shift</v>
      </c>
    </row>
    <row r="3447" spans="1:11" x14ac:dyDescent="0.25">
      <c r="A3447" s="1">
        <v>3446</v>
      </c>
      <c r="B3447" s="1">
        <v>11</v>
      </c>
      <c r="C3447" s="3">
        <v>11115271542608</v>
      </c>
      <c r="D3447" s="2">
        <v>44613.479166666664</v>
      </c>
      <c r="E3447" s="2">
        <v>44613.677083333336</v>
      </c>
      <c r="F3447" s="23">
        <f t="shared" si="159"/>
        <v>0.19791666667151731</v>
      </c>
      <c r="G3447" s="24">
        <f t="shared" si="161"/>
        <v>63.157894735294192</v>
      </c>
      <c r="H3447" s="1" t="s">
        <v>1</v>
      </c>
      <c r="I3447" s="4" t="s">
        <v>2</v>
      </c>
      <c r="J3447" s="14">
        <v>0.47916666666666669</v>
      </c>
      <c r="K3447" s="20" t="str">
        <f t="shared" si="160"/>
        <v>1st Shift</v>
      </c>
    </row>
    <row r="3448" spans="1:11" x14ac:dyDescent="0.25">
      <c r="A3448" s="1">
        <v>3447</v>
      </c>
      <c r="B3448" s="1">
        <v>7</v>
      </c>
      <c r="C3448" s="3">
        <v>7115271783900</v>
      </c>
      <c r="D3448" s="2">
        <v>44613.583333333336</v>
      </c>
      <c r="E3448" s="2">
        <v>44613.677083333336</v>
      </c>
      <c r="F3448" s="23">
        <f t="shared" si="159"/>
        <v>9.375E-2</v>
      </c>
      <c r="G3448" s="24">
        <f t="shared" si="161"/>
        <v>133.33333333333331</v>
      </c>
      <c r="H3448" s="1" t="s">
        <v>1</v>
      </c>
      <c r="I3448" s="4" t="s">
        <v>3</v>
      </c>
      <c r="J3448" s="14">
        <v>0.58333333333333337</v>
      </c>
      <c r="K3448" s="20" t="str">
        <f t="shared" si="160"/>
        <v>1st Shift</v>
      </c>
    </row>
    <row r="3449" spans="1:11" x14ac:dyDescent="0.25">
      <c r="A3449" s="1">
        <v>3448</v>
      </c>
      <c r="B3449" s="1">
        <v>7</v>
      </c>
      <c r="C3449" s="3">
        <v>7115271767606</v>
      </c>
      <c r="D3449" s="2">
        <v>44613.4375</v>
      </c>
      <c r="E3449" s="2">
        <v>44613.677083333336</v>
      </c>
      <c r="F3449" s="23">
        <f t="shared" si="159"/>
        <v>0.23958333333575865</v>
      </c>
      <c r="G3449" s="24">
        <f t="shared" si="161"/>
        <v>52.173913042950105</v>
      </c>
      <c r="H3449" s="1" t="s">
        <v>1</v>
      </c>
      <c r="I3449" s="4" t="s">
        <v>2</v>
      </c>
      <c r="J3449" s="14">
        <v>0.4375</v>
      </c>
      <c r="K3449" s="20" t="str">
        <f t="shared" si="160"/>
        <v>1st Shift</v>
      </c>
    </row>
    <row r="3450" spans="1:11" x14ac:dyDescent="0.25">
      <c r="A3450" s="1">
        <v>3449</v>
      </c>
      <c r="B3450" s="1">
        <v>7</v>
      </c>
      <c r="C3450" s="3">
        <v>7115271757500</v>
      </c>
      <c r="D3450" s="2">
        <v>44613.4375</v>
      </c>
      <c r="E3450" s="2">
        <v>44613.677083333336</v>
      </c>
      <c r="F3450" s="23">
        <f t="shared" si="159"/>
        <v>0.23958333333575865</v>
      </c>
      <c r="G3450" s="24">
        <f t="shared" si="161"/>
        <v>52.173913042950105</v>
      </c>
      <c r="H3450" s="1" t="s">
        <v>1</v>
      </c>
      <c r="I3450" s="4" t="s">
        <v>2</v>
      </c>
      <c r="J3450" s="14">
        <v>0.4375</v>
      </c>
      <c r="K3450" s="20" t="str">
        <f t="shared" si="160"/>
        <v>1st Shift</v>
      </c>
    </row>
    <row r="3451" spans="1:11" x14ac:dyDescent="0.25">
      <c r="A3451" s="1">
        <v>3450</v>
      </c>
      <c r="B3451" s="1">
        <v>6</v>
      </c>
      <c r="C3451" s="3">
        <v>6115271729700</v>
      </c>
      <c r="D3451" s="2">
        <v>44613.4375</v>
      </c>
      <c r="E3451" s="2">
        <v>44613.677083333336</v>
      </c>
      <c r="F3451" s="23">
        <f t="shared" si="159"/>
        <v>0.23958333333575865</v>
      </c>
      <c r="G3451" s="24">
        <f t="shared" si="161"/>
        <v>52.173913042950105</v>
      </c>
      <c r="H3451" s="1" t="s">
        <v>1</v>
      </c>
      <c r="I3451" s="4" t="s">
        <v>2</v>
      </c>
      <c r="J3451" s="14">
        <v>0.4375</v>
      </c>
      <c r="K3451" s="20" t="str">
        <f t="shared" si="160"/>
        <v>1st Shift</v>
      </c>
    </row>
    <row r="3452" spans="1:11" x14ac:dyDescent="0.25">
      <c r="A3452" s="1">
        <v>3451</v>
      </c>
      <c r="B3452" s="1">
        <v>6</v>
      </c>
      <c r="C3452" s="3">
        <v>6115271691600</v>
      </c>
      <c r="D3452" s="2">
        <v>44613.479166666664</v>
      </c>
      <c r="E3452" s="2">
        <v>44613.677083333336</v>
      </c>
      <c r="F3452" s="23">
        <f t="shared" si="159"/>
        <v>0.19791666667151731</v>
      </c>
      <c r="G3452" s="24">
        <f t="shared" si="161"/>
        <v>63.157894735294192</v>
      </c>
      <c r="H3452" s="1" t="s">
        <v>1</v>
      </c>
      <c r="I3452" s="4" t="s">
        <v>3</v>
      </c>
      <c r="J3452" s="14">
        <v>0.47916666666666669</v>
      </c>
      <c r="K3452" s="20" t="str">
        <f t="shared" si="160"/>
        <v>1st Shift</v>
      </c>
    </row>
    <row r="3453" spans="1:11" x14ac:dyDescent="0.25">
      <c r="A3453" s="1">
        <v>3452</v>
      </c>
      <c r="B3453" s="1">
        <v>5</v>
      </c>
      <c r="C3453" s="3">
        <v>5115271270400</v>
      </c>
      <c r="D3453" s="2">
        <v>44613.479166666664</v>
      </c>
      <c r="E3453" s="2">
        <v>44613.677083333336</v>
      </c>
      <c r="F3453" s="23">
        <f t="shared" si="159"/>
        <v>0.19791666667151731</v>
      </c>
      <c r="G3453" s="24">
        <f t="shared" si="161"/>
        <v>63.157894735294192</v>
      </c>
      <c r="H3453" s="1" t="s">
        <v>1</v>
      </c>
      <c r="I3453" s="4" t="s">
        <v>3</v>
      </c>
      <c r="J3453" s="14">
        <v>0.47916666666666669</v>
      </c>
      <c r="K3453" s="20" t="str">
        <f t="shared" si="160"/>
        <v>1st Shift</v>
      </c>
    </row>
    <row r="3454" spans="1:11" x14ac:dyDescent="0.25">
      <c r="A3454" s="1">
        <v>3453</v>
      </c>
      <c r="B3454" s="1">
        <v>5</v>
      </c>
      <c r="C3454" s="3">
        <v>5115271270300</v>
      </c>
      <c r="D3454" s="2">
        <v>44613.4375</v>
      </c>
      <c r="E3454" s="2">
        <v>44613.677083333336</v>
      </c>
      <c r="F3454" s="23">
        <f t="shared" si="159"/>
        <v>0.23958333333575865</v>
      </c>
      <c r="G3454" s="24">
        <f t="shared" si="161"/>
        <v>52.173913042950105</v>
      </c>
      <c r="H3454" s="1" t="s">
        <v>1</v>
      </c>
      <c r="I3454" s="4" t="s">
        <v>2</v>
      </c>
      <c r="J3454" s="14">
        <v>0.4375</v>
      </c>
      <c r="K3454" s="20" t="str">
        <f t="shared" si="160"/>
        <v>1st Shift</v>
      </c>
    </row>
    <row r="3455" spans="1:11" x14ac:dyDescent="0.25">
      <c r="A3455" s="1">
        <v>3454</v>
      </c>
      <c r="B3455" s="1">
        <v>4</v>
      </c>
      <c r="C3455" s="3">
        <v>4115270826800</v>
      </c>
      <c r="D3455" s="2">
        <v>44613.541666666664</v>
      </c>
      <c r="E3455" s="2">
        <v>44613.677083333336</v>
      </c>
      <c r="F3455" s="23">
        <f t="shared" si="159"/>
        <v>0.13541666667151731</v>
      </c>
      <c r="G3455" s="24">
        <f t="shared" si="161"/>
        <v>92.307692304385839</v>
      </c>
      <c r="H3455" s="1" t="s">
        <v>1</v>
      </c>
      <c r="I3455" s="4" t="s">
        <v>3</v>
      </c>
      <c r="J3455" s="14">
        <v>0.54166666666666663</v>
      </c>
      <c r="K3455" s="20" t="str">
        <f t="shared" si="160"/>
        <v>1st Shift</v>
      </c>
    </row>
    <row r="3456" spans="1:11" x14ac:dyDescent="0.25">
      <c r="A3456" s="1">
        <v>3455</v>
      </c>
      <c r="B3456" s="1">
        <v>3</v>
      </c>
      <c r="C3456" s="3">
        <v>3115270420900</v>
      </c>
      <c r="D3456" s="2">
        <v>44613.4375</v>
      </c>
      <c r="E3456" s="2">
        <v>44613.677083333336</v>
      </c>
      <c r="F3456" s="23">
        <f t="shared" si="159"/>
        <v>0.23958333333575865</v>
      </c>
      <c r="G3456" s="24">
        <f t="shared" si="161"/>
        <v>52.173913042950105</v>
      </c>
      <c r="H3456" s="1" t="s">
        <v>1</v>
      </c>
      <c r="I3456" s="4" t="s">
        <v>3</v>
      </c>
      <c r="J3456" s="14">
        <v>0.4375</v>
      </c>
      <c r="K3456" s="20" t="str">
        <f t="shared" si="160"/>
        <v>1st Shift</v>
      </c>
    </row>
    <row r="3457" spans="1:11" x14ac:dyDescent="0.25">
      <c r="A3457" s="1">
        <v>3456</v>
      </c>
      <c r="B3457" s="1">
        <v>3</v>
      </c>
      <c r="C3457" s="3">
        <v>3115270309004</v>
      </c>
      <c r="D3457" s="2">
        <v>44613.4375</v>
      </c>
      <c r="E3457" s="2">
        <v>44613.677083333336</v>
      </c>
      <c r="F3457" s="23">
        <f t="shared" si="159"/>
        <v>0.23958333333575865</v>
      </c>
      <c r="G3457" s="24">
        <f t="shared" si="161"/>
        <v>52.173913042950105</v>
      </c>
      <c r="H3457" s="1" t="s">
        <v>1</v>
      </c>
      <c r="I3457" s="4" t="s">
        <v>2</v>
      </c>
      <c r="J3457" s="14">
        <v>0.4375</v>
      </c>
      <c r="K3457" s="20" t="str">
        <f t="shared" si="160"/>
        <v>1st Shift</v>
      </c>
    </row>
    <row r="3458" spans="1:11" x14ac:dyDescent="0.25">
      <c r="A3458" s="1">
        <v>3457</v>
      </c>
      <c r="B3458" s="1">
        <v>2</v>
      </c>
      <c r="C3458" s="3">
        <v>2115270235100</v>
      </c>
      <c r="D3458" s="2">
        <v>44613.4375</v>
      </c>
      <c r="E3458" s="2">
        <v>44613.677083333336</v>
      </c>
      <c r="F3458" s="23">
        <f t="shared" ref="F3458:F3521" si="162">E3458-D3458</f>
        <v>0.23958333333575865</v>
      </c>
      <c r="G3458" s="24">
        <f t="shared" si="161"/>
        <v>52.173913042950105</v>
      </c>
      <c r="H3458" s="1" t="s">
        <v>1</v>
      </c>
      <c r="I3458" s="4" t="s">
        <v>2</v>
      </c>
      <c r="J3458" s="14">
        <v>0.4375</v>
      </c>
      <c r="K3458" s="20" t="str">
        <f t="shared" ref="K3458:K3521" si="163">IF(AND(J3458&gt;=$M$3,J3458&lt;$M$4),"1st Shift",IF(AND(J3458&gt;=$M$4,J3458&lt;$M$5),"2nd Shift","3rd Shift"))</f>
        <v>1st Shift</v>
      </c>
    </row>
    <row r="3459" spans="1:11" x14ac:dyDescent="0.25">
      <c r="A3459" s="1">
        <v>3458</v>
      </c>
      <c r="B3459" s="1">
        <v>1</v>
      </c>
      <c r="C3459" s="3">
        <v>1115270147300</v>
      </c>
      <c r="D3459" s="2">
        <v>44613.458333333336</v>
      </c>
      <c r="E3459" s="2">
        <v>44613.677083333336</v>
      </c>
      <c r="F3459" s="23">
        <f t="shared" si="162"/>
        <v>0.21875</v>
      </c>
      <c r="G3459" s="24">
        <f t="shared" ref="G3459:G3522" si="164">$M$9/F3459*100</f>
        <v>57.142857142857139</v>
      </c>
      <c r="H3459" s="1" t="s">
        <v>1</v>
      </c>
      <c r="I3459" s="4" t="s">
        <v>3</v>
      </c>
      <c r="J3459" s="14">
        <v>0.45833333333333331</v>
      </c>
      <c r="K3459" s="20" t="str">
        <f t="shared" si="163"/>
        <v>1st Shift</v>
      </c>
    </row>
    <row r="3460" spans="1:11" x14ac:dyDescent="0.25">
      <c r="A3460" s="1">
        <v>3459</v>
      </c>
      <c r="B3460" s="1">
        <v>1</v>
      </c>
      <c r="C3460" s="3">
        <v>1115270093401</v>
      </c>
      <c r="D3460" s="2">
        <v>44613.4375</v>
      </c>
      <c r="E3460" s="2">
        <v>44613.677083333336</v>
      </c>
      <c r="F3460" s="23">
        <f t="shared" si="162"/>
        <v>0.23958333333575865</v>
      </c>
      <c r="G3460" s="24">
        <f t="shared" si="164"/>
        <v>52.173913042950105</v>
      </c>
      <c r="H3460" s="1" t="s">
        <v>1</v>
      </c>
      <c r="I3460" s="4" t="s">
        <v>2</v>
      </c>
      <c r="J3460" s="14">
        <v>0.4375</v>
      </c>
      <c r="K3460" s="20" t="str">
        <f t="shared" si="163"/>
        <v>1st Shift</v>
      </c>
    </row>
    <row r="3461" spans="1:11" x14ac:dyDescent="0.25">
      <c r="A3461" s="1">
        <v>3460</v>
      </c>
      <c r="B3461" s="1">
        <v>11</v>
      </c>
      <c r="C3461" s="3">
        <v>11115271551300</v>
      </c>
      <c r="D3461" s="2">
        <v>44613.787499999999</v>
      </c>
      <c r="E3461" s="2">
        <v>44613.920138888891</v>
      </c>
      <c r="F3461" s="23">
        <f t="shared" si="162"/>
        <v>0.13263888889196096</v>
      </c>
      <c r="G3461" s="24">
        <f t="shared" si="164"/>
        <v>94.240837694152347</v>
      </c>
      <c r="H3461" s="1" t="s">
        <v>1</v>
      </c>
      <c r="I3461" s="4" t="s">
        <v>3</v>
      </c>
      <c r="J3461" s="14">
        <v>0.78749999999999998</v>
      </c>
      <c r="K3461" s="20" t="str">
        <f t="shared" si="163"/>
        <v>2nd Shift</v>
      </c>
    </row>
    <row r="3462" spans="1:11" x14ac:dyDescent="0.25">
      <c r="A3462" s="1">
        <v>3461</v>
      </c>
      <c r="B3462" s="1">
        <v>7</v>
      </c>
      <c r="C3462" s="3">
        <v>7115271783751</v>
      </c>
      <c r="D3462" s="2">
        <v>44613.787499999999</v>
      </c>
      <c r="E3462" s="2">
        <v>44613.920138888891</v>
      </c>
      <c r="F3462" s="23">
        <f t="shared" si="162"/>
        <v>0.13263888889196096</v>
      </c>
      <c r="G3462" s="24">
        <f t="shared" si="164"/>
        <v>94.240837694152347</v>
      </c>
      <c r="H3462" s="1" t="s">
        <v>1</v>
      </c>
      <c r="I3462" s="4" t="s">
        <v>2</v>
      </c>
      <c r="J3462" s="14">
        <v>0.78749999999999998</v>
      </c>
      <c r="K3462" s="20" t="str">
        <f t="shared" si="163"/>
        <v>2nd Shift</v>
      </c>
    </row>
    <row r="3463" spans="1:11" x14ac:dyDescent="0.25">
      <c r="A3463" s="1">
        <v>3462</v>
      </c>
      <c r="B3463" s="1">
        <v>3</v>
      </c>
      <c r="C3463" s="3">
        <v>3115270366800</v>
      </c>
      <c r="D3463" s="2">
        <v>44613.787499999999</v>
      </c>
      <c r="E3463" s="2">
        <v>44613.920138888891</v>
      </c>
      <c r="F3463" s="23">
        <f t="shared" si="162"/>
        <v>0.13263888889196096</v>
      </c>
      <c r="G3463" s="24">
        <f t="shared" si="164"/>
        <v>94.240837694152347</v>
      </c>
      <c r="H3463" s="1" t="s">
        <v>1</v>
      </c>
      <c r="I3463" s="4" t="s">
        <v>2</v>
      </c>
      <c r="J3463" s="14">
        <v>0.78749999999999998</v>
      </c>
      <c r="K3463" s="20" t="str">
        <f t="shared" si="163"/>
        <v>2nd Shift</v>
      </c>
    </row>
    <row r="3464" spans="1:11" x14ac:dyDescent="0.25">
      <c r="A3464" s="1">
        <v>3463</v>
      </c>
      <c r="B3464" s="1">
        <v>6</v>
      </c>
      <c r="C3464" s="3">
        <v>6115271750933</v>
      </c>
      <c r="D3464" s="2">
        <v>44613.916666666664</v>
      </c>
      <c r="E3464" s="2">
        <v>44613.979166666664</v>
      </c>
      <c r="F3464" s="23">
        <f t="shared" si="162"/>
        <v>6.25E-2</v>
      </c>
      <c r="G3464" s="24">
        <f t="shared" si="164"/>
        <v>200</v>
      </c>
      <c r="H3464" s="1" t="s">
        <v>1</v>
      </c>
      <c r="I3464" s="4" t="s">
        <v>3</v>
      </c>
      <c r="J3464" s="14">
        <v>0.91666666666666663</v>
      </c>
      <c r="K3464" s="20" t="str">
        <f t="shared" si="163"/>
        <v>2nd Shift</v>
      </c>
    </row>
    <row r="3465" spans="1:11" x14ac:dyDescent="0.25">
      <c r="A3465" s="1">
        <v>3464</v>
      </c>
      <c r="B3465" s="1">
        <v>12</v>
      </c>
      <c r="C3465" s="3">
        <v>12115271561705</v>
      </c>
      <c r="D3465" s="2">
        <v>44614.9375</v>
      </c>
      <c r="E3465" s="2">
        <v>44615.000011574077</v>
      </c>
      <c r="F3465" s="23">
        <f t="shared" si="162"/>
        <v>6.2511574076779652E-2</v>
      </c>
      <c r="G3465" s="24">
        <f t="shared" si="164"/>
        <v>199.96296981174899</v>
      </c>
      <c r="H3465" s="1" t="s">
        <v>1</v>
      </c>
      <c r="I3465" s="4" t="s">
        <v>2</v>
      </c>
      <c r="J3465" s="14">
        <v>0.9375</v>
      </c>
      <c r="K3465" s="20" t="str">
        <f t="shared" si="163"/>
        <v>3rd Shift</v>
      </c>
    </row>
    <row r="3466" spans="1:11" x14ac:dyDescent="0.25">
      <c r="A3466" s="1">
        <v>3465</v>
      </c>
      <c r="B3466" s="1">
        <v>1</v>
      </c>
      <c r="C3466" s="3">
        <v>1115270122900</v>
      </c>
      <c r="D3466" s="2">
        <v>44614.9375</v>
      </c>
      <c r="E3466" s="2">
        <v>44615.000011574077</v>
      </c>
      <c r="F3466" s="23">
        <f t="shared" si="162"/>
        <v>6.2511574076779652E-2</v>
      </c>
      <c r="G3466" s="24">
        <f t="shared" si="164"/>
        <v>199.96296981174899</v>
      </c>
      <c r="H3466" s="1" t="s">
        <v>1</v>
      </c>
      <c r="I3466" s="4" t="s">
        <v>2</v>
      </c>
      <c r="J3466" s="14">
        <v>0.9375</v>
      </c>
      <c r="K3466" s="20" t="str">
        <f t="shared" si="163"/>
        <v>3rd Shift</v>
      </c>
    </row>
    <row r="3467" spans="1:11" x14ac:dyDescent="0.25">
      <c r="A3467" s="1">
        <v>3466</v>
      </c>
      <c r="B3467" s="1">
        <v>7</v>
      </c>
      <c r="C3467" s="3">
        <v>7115271759011</v>
      </c>
      <c r="D3467" s="2">
        <v>44614.010416666664</v>
      </c>
      <c r="E3467" s="2">
        <v>44614.069444444445</v>
      </c>
      <c r="F3467" s="23">
        <f t="shared" si="162"/>
        <v>5.9027777781011537E-2</v>
      </c>
      <c r="G3467" s="24">
        <f t="shared" si="164"/>
        <v>211.7647058707517</v>
      </c>
      <c r="H3467" s="1" t="s">
        <v>1</v>
      </c>
      <c r="I3467" s="4" t="s">
        <v>3</v>
      </c>
      <c r="J3467" s="14">
        <v>1.0416666666666666E-2</v>
      </c>
      <c r="K3467" s="20" t="str">
        <f t="shared" si="163"/>
        <v>3rd Shift</v>
      </c>
    </row>
    <row r="3468" spans="1:11" x14ac:dyDescent="0.25">
      <c r="A3468" s="1">
        <v>3467</v>
      </c>
      <c r="B3468" s="1">
        <v>3</v>
      </c>
      <c r="C3468" s="3">
        <v>3115270341000</v>
      </c>
      <c r="D3468" s="2">
        <v>44614.010416666664</v>
      </c>
      <c r="E3468" s="2">
        <v>44614.069444444445</v>
      </c>
      <c r="F3468" s="23">
        <f t="shared" si="162"/>
        <v>5.9027777781011537E-2</v>
      </c>
      <c r="G3468" s="24">
        <f t="shared" si="164"/>
        <v>211.7647058707517</v>
      </c>
      <c r="H3468" s="1" t="s">
        <v>1</v>
      </c>
      <c r="I3468" s="4" t="s">
        <v>3</v>
      </c>
      <c r="J3468" s="14">
        <v>1.0416666666666666E-2</v>
      </c>
      <c r="K3468" s="20" t="str">
        <f t="shared" si="163"/>
        <v>3rd Shift</v>
      </c>
    </row>
    <row r="3469" spans="1:11" x14ac:dyDescent="0.25">
      <c r="A3469" s="1">
        <v>3468</v>
      </c>
      <c r="B3469" s="1">
        <v>13</v>
      </c>
      <c r="C3469" s="3">
        <v>13115271591501</v>
      </c>
      <c r="D3469" s="2">
        <v>44614.090277777781</v>
      </c>
      <c r="E3469" s="2">
        <v>44614.138888888891</v>
      </c>
      <c r="F3469" s="23">
        <f t="shared" si="162"/>
        <v>4.8611111109494232E-2</v>
      </c>
      <c r="G3469" s="24">
        <f t="shared" si="164"/>
        <v>257.14285715141011</v>
      </c>
      <c r="H3469" s="1" t="s">
        <v>1</v>
      </c>
      <c r="I3469" s="4" t="s">
        <v>3</v>
      </c>
      <c r="J3469" s="14">
        <v>9.0277777777777776E-2</v>
      </c>
      <c r="K3469" s="20" t="str">
        <f t="shared" si="163"/>
        <v>3rd Shift</v>
      </c>
    </row>
    <row r="3470" spans="1:11" x14ac:dyDescent="0.25">
      <c r="A3470" s="1">
        <v>3469</v>
      </c>
      <c r="B3470" s="1">
        <v>15</v>
      </c>
      <c r="C3470" s="3">
        <v>15115271775014</v>
      </c>
      <c r="D3470" s="2">
        <v>44614.159722222219</v>
      </c>
      <c r="E3470" s="2">
        <v>44614.194444444445</v>
      </c>
      <c r="F3470" s="23">
        <f t="shared" si="162"/>
        <v>3.4722222226264421E-2</v>
      </c>
      <c r="G3470" s="24">
        <f t="shared" si="164"/>
        <v>359.99999995809048</v>
      </c>
      <c r="H3470" s="1" t="s">
        <v>1</v>
      </c>
      <c r="I3470" s="4" t="s">
        <v>2</v>
      </c>
      <c r="J3470" s="14">
        <v>0.15972222222222221</v>
      </c>
      <c r="K3470" s="20" t="str">
        <f t="shared" si="163"/>
        <v>3rd Shift</v>
      </c>
    </row>
    <row r="3471" spans="1:11" x14ac:dyDescent="0.25">
      <c r="A3471" s="1">
        <v>3470</v>
      </c>
      <c r="B3471" s="1">
        <v>3</v>
      </c>
      <c r="C3471" s="3">
        <v>3115270366904</v>
      </c>
      <c r="D3471" s="2">
        <v>44614.159722222219</v>
      </c>
      <c r="E3471" s="2">
        <v>44614.194444444445</v>
      </c>
      <c r="F3471" s="23">
        <f t="shared" si="162"/>
        <v>3.4722222226264421E-2</v>
      </c>
      <c r="G3471" s="24">
        <f t="shared" si="164"/>
        <v>359.99999995809048</v>
      </c>
      <c r="H3471" s="1" t="s">
        <v>1</v>
      </c>
      <c r="I3471" s="4" t="s">
        <v>2</v>
      </c>
      <c r="J3471" s="14">
        <v>0.15972222222222221</v>
      </c>
      <c r="K3471" s="20" t="str">
        <f t="shared" si="163"/>
        <v>3rd Shift</v>
      </c>
    </row>
    <row r="3472" spans="1:11" x14ac:dyDescent="0.25">
      <c r="A3472" s="1">
        <v>3471</v>
      </c>
      <c r="B3472" s="1">
        <v>12</v>
      </c>
      <c r="C3472" s="3">
        <v>12115271562902</v>
      </c>
      <c r="D3472" s="2">
        <v>44614.444444444445</v>
      </c>
      <c r="E3472" s="2">
        <v>44614.604166666664</v>
      </c>
      <c r="F3472" s="23">
        <f t="shared" si="162"/>
        <v>0.15972222221898846</v>
      </c>
      <c r="G3472" s="24">
        <f t="shared" si="164"/>
        <v>78.260869566801873</v>
      </c>
      <c r="H3472" s="1" t="s">
        <v>1</v>
      </c>
      <c r="I3472" s="4" t="s">
        <v>2</v>
      </c>
      <c r="J3472" s="14">
        <v>0.44444444444444442</v>
      </c>
      <c r="K3472" s="20" t="str">
        <f t="shared" si="163"/>
        <v>1st Shift</v>
      </c>
    </row>
    <row r="3473" spans="1:11" x14ac:dyDescent="0.25">
      <c r="A3473" s="1">
        <v>3472</v>
      </c>
      <c r="B3473" s="1">
        <v>12</v>
      </c>
      <c r="C3473" s="3">
        <v>12115271560816</v>
      </c>
      <c r="D3473" s="2">
        <v>44614.444444444445</v>
      </c>
      <c r="E3473" s="2">
        <v>44614.604166666664</v>
      </c>
      <c r="F3473" s="23">
        <f t="shared" si="162"/>
        <v>0.15972222221898846</v>
      </c>
      <c r="G3473" s="24">
        <f t="shared" si="164"/>
        <v>78.260869566801873</v>
      </c>
      <c r="H3473" s="1" t="s">
        <v>1</v>
      </c>
      <c r="I3473" s="4" t="s">
        <v>2</v>
      </c>
      <c r="J3473" s="14">
        <v>0.44444444444444442</v>
      </c>
      <c r="K3473" s="20" t="str">
        <f t="shared" si="163"/>
        <v>1st Shift</v>
      </c>
    </row>
    <row r="3474" spans="1:11" x14ac:dyDescent="0.25">
      <c r="A3474" s="1">
        <v>3473</v>
      </c>
      <c r="B3474" s="1">
        <v>7</v>
      </c>
      <c r="C3474" s="3">
        <v>7115271768202</v>
      </c>
      <c r="D3474" s="2">
        <v>44614.444444444445</v>
      </c>
      <c r="E3474" s="2">
        <v>44614.604166666664</v>
      </c>
      <c r="F3474" s="23">
        <f t="shared" si="162"/>
        <v>0.15972222221898846</v>
      </c>
      <c r="G3474" s="24">
        <f t="shared" si="164"/>
        <v>78.260869566801873</v>
      </c>
      <c r="H3474" s="1" t="s">
        <v>1</v>
      </c>
      <c r="I3474" s="4" t="s">
        <v>2</v>
      </c>
      <c r="J3474" s="14">
        <v>0.44444444444444442</v>
      </c>
      <c r="K3474" s="20" t="str">
        <f t="shared" si="163"/>
        <v>1st Shift</v>
      </c>
    </row>
    <row r="3475" spans="1:11" x14ac:dyDescent="0.25">
      <c r="A3475" s="1">
        <v>3474</v>
      </c>
      <c r="B3475" s="1">
        <v>6</v>
      </c>
      <c r="C3475" s="3">
        <v>6115271703701</v>
      </c>
      <c r="D3475" s="2">
        <v>44614.305555555555</v>
      </c>
      <c r="E3475" s="2">
        <v>44614.604166666664</v>
      </c>
      <c r="F3475" s="23">
        <f t="shared" si="162"/>
        <v>0.29861111110949423</v>
      </c>
      <c r="G3475" s="24">
        <f t="shared" si="164"/>
        <v>41.860465116505729</v>
      </c>
      <c r="H3475" s="1" t="s">
        <v>1</v>
      </c>
      <c r="I3475" s="4" t="s">
        <v>2</v>
      </c>
      <c r="J3475" s="14">
        <v>0.30555555555555558</v>
      </c>
      <c r="K3475" s="20" t="str">
        <f t="shared" si="163"/>
        <v>1st Shift</v>
      </c>
    </row>
    <row r="3476" spans="1:11" x14ac:dyDescent="0.25">
      <c r="A3476" s="1">
        <v>3475</v>
      </c>
      <c r="B3476" s="1">
        <v>6</v>
      </c>
      <c r="C3476" s="3">
        <v>6115271691400</v>
      </c>
      <c r="D3476" s="2">
        <v>44614.444444444445</v>
      </c>
      <c r="E3476" s="2">
        <v>44614.604166666664</v>
      </c>
      <c r="F3476" s="23">
        <f t="shared" si="162"/>
        <v>0.15972222221898846</v>
      </c>
      <c r="G3476" s="24">
        <f t="shared" si="164"/>
        <v>78.260869566801873</v>
      </c>
      <c r="H3476" s="1" t="s">
        <v>1</v>
      </c>
      <c r="I3476" s="4" t="s">
        <v>2</v>
      </c>
      <c r="J3476" s="14">
        <v>0.44444444444444442</v>
      </c>
      <c r="K3476" s="20" t="str">
        <f t="shared" si="163"/>
        <v>1st Shift</v>
      </c>
    </row>
    <row r="3477" spans="1:11" x14ac:dyDescent="0.25">
      <c r="A3477" s="1">
        <v>3476</v>
      </c>
      <c r="B3477" s="1">
        <v>5</v>
      </c>
      <c r="C3477" s="3">
        <v>5115270974500</v>
      </c>
      <c r="D3477" s="2">
        <v>44614.444444444445</v>
      </c>
      <c r="E3477" s="2">
        <v>44614.604166666664</v>
      </c>
      <c r="F3477" s="23">
        <f t="shared" si="162"/>
        <v>0.15972222221898846</v>
      </c>
      <c r="G3477" s="24">
        <f t="shared" si="164"/>
        <v>78.260869566801873</v>
      </c>
      <c r="H3477" s="1" t="s">
        <v>1</v>
      </c>
      <c r="I3477" s="4" t="s">
        <v>2</v>
      </c>
      <c r="J3477" s="14">
        <v>0.44444444444444442</v>
      </c>
      <c r="K3477" s="20" t="str">
        <f t="shared" si="163"/>
        <v>1st Shift</v>
      </c>
    </row>
    <row r="3478" spans="1:11" x14ac:dyDescent="0.25">
      <c r="A3478" s="1">
        <v>3477</v>
      </c>
      <c r="B3478" s="1">
        <v>3</v>
      </c>
      <c r="C3478" s="3">
        <v>3115270317104</v>
      </c>
      <c r="D3478" s="2">
        <v>44614.444444444445</v>
      </c>
      <c r="E3478" s="2">
        <v>44614.604166666664</v>
      </c>
      <c r="F3478" s="23">
        <f t="shared" si="162"/>
        <v>0.15972222221898846</v>
      </c>
      <c r="G3478" s="24">
        <f t="shared" si="164"/>
        <v>78.260869566801873</v>
      </c>
      <c r="H3478" s="1" t="s">
        <v>1</v>
      </c>
      <c r="I3478" s="4" t="s">
        <v>2</v>
      </c>
      <c r="J3478" s="14">
        <v>0.44444444444444442</v>
      </c>
      <c r="K3478" s="20" t="str">
        <f t="shared" si="163"/>
        <v>1st Shift</v>
      </c>
    </row>
    <row r="3479" spans="1:11" x14ac:dyDescent="0.25">
      <c r="A3479" s="1">
        <v>3478</v>
      </c>
      <c r="B3479" s="1">
        <v>3</v>
      </c>
      <c r="C3479" s="3">
        <v>3115270306603</v>
      </c>
      <c r="D3479" s="2">
        <v>44614.305555555555</v>
      </c>
      <c r="E3479" s="2">
        <v>44614.604166666664</v>
      </c>
      <c r="F3479" s="23">
        <f t="shared" si="162"/>
        <v>0.29861111110949423</v>
      </c>
      <c r="G3479" s="24">
        <f t="shared" si="164"/>
        <v>41.860465116505729</v>
      </c>
      <c r="H3479" s="1" t="s">
        <v>1</v>
      </c>
      <c r="I3479" s="4" t="s">
        <v>2</v>
      </c>
      <c r="J3479" s="14">
        <v>0.30555555555555558</v>
      </c>
      <c r="K3479" s="20" t="str">
        <f t="shared" si="163"/>
        <v>1st Shift</v>
      </c>
    </row>
    <row r="3480" spans="1:11" x14ac:dyDescent="0.25">
      <c r="A3480" s="1">
        <v>3479</v>
      </c>
      <c r="B3480" s="1">
        <v>1</v>
      </c>
      <c r="C3480" s="3">
        <v>1115270143300</v>
      </c>
      <c r="D3480" s="2">
        <v>44614.305555555555</v>
      </c>
      <c r="E3480" s="2">
        <v>44614.604166666664</v>
      </c>
      <c r="F3480" s="23">
        <f t="shared" si="162"/>
        <v>0.29861111110949423</v>
      </c>
      <c r="G3480" s="24">
        <f t="shared" si="164"/>
        <v>41.860465116505729</v>
      </c>
      <c r="H3480" s="1" t="s">
        <v>1</v>
      </c>
      <c r="I3480" s="4" t="s">
        <v>3</v>
      </c>
      <c r="J3480" s="14">
        <v>0.30555555555555558</v>
      </c>
      <c r="K3480" s="20" t="str">
        <f t="shared" si="163"/>
        <v>1st Shift</v>
      </c>
    </row>
    <row r="3481" spans="1:11" x14ac:dyDescent="0.25">
      <c r="A3481" s="1">
        <v>3480</v>
      </c>
      <c r="B3481" s="1">
        <v>1</v>
      </c>
      <c r="C3481" s="3">
        <v>1115270127500</v>
      </c>
      <c r="D3481" s="2">
        <v>44614.305555555555</v>
      </c>
      <c r="E3481" s="2">
        <v>44614.604166666664</v>
      </c>
      <c r="F3481" s="23">
        <f t="shared" si="162"/>
        <v>0.29861111110949423</v>
      </c>
      <c r="G3481" s="24">
        <f t="shared" si="164"/>
        <v>41.860465116505729</v>
      </c>
      <c r="H3481" s="1" t="s">
        <v>1</v>
      </c>
      <c r="I3481" s="4" t="s">
        <v>2</v>
      </c>
      <c r="J3481" s="14">
        <v>0.30555555555555558</v>
      </c>
      <c r="K3481" s="20" t="str">
        <f t="shared" si="163"/>
        <v>1st Shift</v>
      </c>
    </row>
    <row r="3482" spans="1:11" x14ac:dyDescent="0.25">
      <c r="A3482" s="1">
        <v>3481</v>
      </c>
      <c r="B3482" s="1">
        <v>1</v>
      </c>
      <c r="C3482" s="3">
        <v>1115270045300</v>
      </c>
      <c r="D3482" s="2">
        <v>44614.590277777781</v>
      </c>
      <c r="E3482" s="2">
        <v>44614.645833333336</v>
      </c>
      <c r="F3482" s="23">
        <f t="shared" si="162"/>
        <v>5.5555555554747116E-2</v>
      </c>
      <c r="G3482" s="24">
        <f t="shared" si="164"/>
        <v>225.00000000327418</v>
      </c>
      <c r="H3482" s="1" t="s">
        <v>1</v>
      </c>
      <c r="I3482" s="4" t="s">
        <v>2</v>
      </c>
      <c r="J3482" s="14">
        <v>0.59027777777777779</v>
      </c>
      <c r="K3482" s="20" t="str">
        <f t="shared" si="163"/>
        <v>2nd Shift</v>
      </c>
    </row>
    <row r="3483" spans="1:11" x14ac:dyDescent="0.25">
      <c r="A3483" s="1">
        <v>3482</v>
      </c>
      <c r="B3483" s="1">
        <v>14</v>
      </c>
      <c r="C3483" s="3">
        <v>14115271672600</v>
      </c>
      <c r="D3483" s="2">
        <v>44614.729166666664</v>
      </c>
      <c r="E3483" s="2">
        <v>44614.836805555555</v>
      </c>
      <c r="F3483" s="23">
        <f t="shared" si="162"/>
        <v>0.10763888889050577</v>
      </c>
      <c r="G3483" s="24">
        <f t="shared" si="164"/>
        <v>116.1290322563201</v>
      </c>
      <c r="H3483" s="1" t="s">
        <v>1</v>
      </c>
      <c r="I3483" s="4" t="s">
        <v>4</v>
      </c>
      <c r="J3483" s="14">
        <v>0.72916666666666663</v>
      </c>
      <c r="K3483" s="20" t="str">
        <f t="shared" si="163"/>
        <v>2nd Shift</v>
      </c>
    </row>
    <row r="3484" spans="1:11" x14ac:dyDescent="0.25">
      <c r="A3484" s="1">
        <v>3483</v>
      </c>
      <c r="B3484" s="1">
        <v>10</v>
      </c>
      <c r="C3484" s="3">
        <v>10115271409405</v>
      </c>
      <c r="D3484" s="2">
        <v>44614.638888888891</v>
      </c>
      <c r="E3484" s="2">
        <v>44614.836805555555</v>
      </c>
      <c r="F3484" s="23">
        <f t="shared" si="162"/>
        <v>0.19791666666424135</v>
      </c>
      <c r="G3484" s="24">
        <f t="shared" si="164"/>
        <v>63.157894737616061</v>
      </c>
      <c r="H3484" s="1" t="s">
        <v>1</v>
      </c>
      <c r="I3484" s="4" t="s">
        <v>2</v>
      </c>
      <c r="J3484" s="14">
        <v>0.63888888888888884</v>
      </c>
      <c r="K3484" s="20" t="str">
        <f t="shared" si="163"/>
        <v>2nd Shift</v>
      </c>
    </row>
    <row r="3485" spans="1:11" x14ac:dyDescent="0.25">
      <c r="A3485" s="1">
        <v>3484</v>
      </c>
      <c r="B3485" s="1">
        <v>9</v>
      </c>
      <c r="C3485" s="3">
        <v>9115271953300</v>
      </c>
      <c r="D3485" s="2">
        <v>44614.638888888891</v>
      </c>
      <c r="E3485" s="2">
        <v>44614.836805555555</v>
      </c>
      <c r="F3485" s="23">
        <f t="shared" si="162"/>
        <v>0.19791666666424135</v>
      </c>
      <c r="G3485" s="24">
        <f t="shared" si="164"/>
        <v>63.157894737616061</v>
      </c>
      <c r="H3485" s="1" t="s">
        <v>1</v>
      </c>
      <c r="I3485" s="4" t="s">
        <v>3</v>
      </c>
      <c r="J3485" s="14">
        <v>0.63888888888888884</v>
      </c>
      <c r="K3485" s="20" t="str">
        <f t="shared" si="163"/>
        <v>2nd Shift</v>
      </c>
    </row>
    <row r="3486" spans="1:11" x14ac:dyDescent="0.25">
      <c r="A3486" s="1">
        <v>3485</v>
      </c>
      <c r="B3486" s="1">
        <v>7</v>
      </c>
      <c r="C3486" s="3">
        <v>7115271758907</v>
      </c>
      <c r="D3486" s="2">
        <v>44614.638888888891</v>
      </c>
      <c r="E3486" s="2">
        <v>44614.836805555555</v>
      </c>
      <c r="F3486" s="23">
        <f t="shared" si="162"/>
        <v>0.19791666666424135</v>
      </c>
      <c r="G3486" s="24">
        <f t="shared" si="164"/>
        <v>63.157894737616061</v>
      </c>
      <c r="H3486" s="1" t="s">
        <v>1</v>
      </c>
      <c r="I3486" s="4" t="s">
        <v>3</v>
      </c>
      <c r="J3486" s="14">
        <v>0.63888888888888884</v>
      </c>
      <c r="K3486" s="20" t="str">
        <f t="shared" si="163"/>
        <v>2nd Shift</v>
      </c>
    </row>
    <row r="3487" spans="1:11" x14ac:dyDescent="0.25">
      <c r="A3487" s="1">
        <v>3486</v>
      </c>
      <c r="B3487" s="1">
        <v>5</v>
      </c>
      <c r="C3487" s="3">
        <v>5115271296608</v>
      </c>
      <c r="D3487" s="2">
        <v>44614.638888888891</v>
      </c>
      <c r="E3487" s="2">
        <v>44614.836805555555</v>
      </c>
      <c r="F3487" s="23">
        <f t="shared" si="162"/>
        <v>0.19791666666424135</v>
      </c>
      <c r="G3487" s="24">
        <f t="shared" si="164"/>
        <v>63.157894737616061</v>
      </c>
      <c r="H3487" s="1" t="s">
        <v>1</v>
      </c>
      <c r="I3487" s="4" t="s">
        <v>3</v>
      </c>
      <c r="J3487" s="14">
        <v>0.63888888888888884</v>
      </c>
      <c r="K3487" s="20" t="str">
        <f t="shared" si="163"/>
        <v>2nd Shift</v>
      </c>
    </row>
    <row r="3488" spans="1:11" x14ac:dyDescent="0.25">
      <c r="A3488" s="1">
        <v>3487</v>
      </c>
      <c r="B3488" s="1">
        <v>3</v>
      </c>
      <c r="C3488" s="3">
        <v>3115270366904</v>
      </c>
      <c r="D3488" s="2">
        <v>44614.638888888891</v>
      </c>
      <c r="E3488" s="2">
        <v>44614.836805555555</v>
      </c>
      <c r="F3488" s="23">
        <f t="shared" si="162"/>
        <v>0.19791666666424135</v>
      </c>
      <c r="G3488" s="24">
        <f t="shared" si="164"/>
        <v>63.157894737616061</v>
      </c>
      <c r="H3488" s="1" t="s">
        <v>1</v>
      </c>
      <c r="I3488" s="4" t="s">
        <v>2</v>
      </c>
      <c r="J3488" s="14">
        <v>0.63888888888888884</v>
      </c>
      <c r="K3488" s="20" t="str">
        <f t="shared" si="163"/>
        <v>2nd Shift</v>
      </c>
    </row>
    <row r="3489" spans="1:11" x14ac:dyDescent="0.25">
      <c r="A3489" s="1">
        <v>3488</v>
      </c>
      <c r="B3489" s="1">
        <v>11</v>
      </c>
      <c r="C3489" s="3">
        <v>11115271542900</v>
      </c>
      <c r="D3489" s="2">
        <v>44615.427083333336</v>
      </c>
      <c r="E3489" s="2">
        <v>44615.6875</v>
      </c>
      <c r="F3489" s="23">
        <f t="shared" si="162"/>
        <v>0.26041666666424135</v>
      </c>
      <c r="G3489" s="24">
        <f t="shared" si="164"/>
        <v>48.000000000447038</v>
      </c>
      <c r="H3489" s="1" t="s">
        <v>1</v>
      </c>
      <c r="I3489" s="4" t="s">
        <v>3</v>
      </c>
      <c r="J3489" s="14">
        <v>0.42708333333333331</v>
      </c>
      <c r="K3489" s="20" t="str">
        <f t="shared" si="163"/>
        <v>1st Shift</v>
      </c>
    </row>
    <row r="3490" spans="1:11" x14ac:dyDescent="0.25">
      <c r="A3490" s="1">
        <v>3489</v>
      </c>
      <c r="B3490" s="1">
        <v>8</v>
      </c>
      <c r="C3490" s="3">
        <v>8115271809912</v>
      </c>
      <c r="D3490" s="2">
        <v>44615.427083333336</v>
      </c>
      <c r="E3490" s="2">
        <v>44615.6875</v>
      </c>
      <c r="F3490" s="23">
        <f t="shared" si="162"/>
        <v>0.26041666666424135</v>
      </c>
      <c r="G3490" s="24">
        <f t="shared" si="164"/>
        <v>48.000000000447038</v>
      </c>
      <c r="H3490" s="1" t="s">
        <v>1</v>
      </c>
      <c r="I3490" s="4" t="s">
        <v>3</v>
      </c>
      <c r="J3490" s="14">
        <v>0.42708333333333331</v>
      </c>
      <c r="K3490" s="20" t="str">
        <f t="shared" si="163"/>
        <v>1st Shift</v>
      </c>
    </row>
    <row r="3491" spans="1:11" x14ac:dyDescent="0.25">
      <c r="A3491" s="1">
        <v>3490</v>
      </c>
      <c r="B3491" s="1">
        <v>7</v>
      </c>
      <c r="C3491" s="3">
        <v>7115271768200</v>
      </c>
      <c r="D3491" s="2">
        <v>44615.427083333336</v>
      </c>
      <c r="E3491" s="2">
        <v>44615.6875</v>
      </c>
      <c r="F3491" s="23">
        <f t="shared" si="162"/>
        <v>0.26041666666424135</v>
      </c>
      <c r="G3491" s="24">
        <f t="shared" si="164"/>
        <v>48.000000000447038</v>
      </c>
      <c r="H3491" s="1" t="s">
        <v>1</v>
      </c>
      <c r="I3491" s="4" t="s">
        <v>3</v>
      </c>
      <c r="J3491" s="14">
        <v>0.42708333333333331</v>
      </c>
      <c r="K3491" s="20" t="str">
        <f t="shared" si="163"/>
        <v>1st Shift</v>
      </c>
    </row>
    <row r="3492" spans="1:11" x14ac:dyDescent="0.25">
      <c r="A3492" s="1">
        <v>3491</v>
      </c>
      <c r="B3492" s="1">
        <v>7</v>
      </c>
      <c r="C3492" s="3">
        <v>7115271757300</v>
      </c>
      <c r="D3492" s="2">
        <v>44615.427083333336</v>
      </c>
      <c r="E3492" s="2">
        <v>44615.6875</v>
      </c>
      <c r="F3492" s="23">
        <f t="shared" si="162"/>
        <v>0.26041666666424135</v>
      </c>
      <c r="G3492" s="24">
        <f t="shared" si="164"/>
        <v>48.000000000447038</v>
      </c>
      <c r="H3492" s="1" t="s">
        <v>1</v>
      </c>
      <c r="I3492" s="4" t="s">
        <v>3</v>
      </c>
      <c r="J3492" s="14">
        <v>0.42708333333333331</v>
      </c>
      <c r="K3492" s="20" t="str">
        <f t="shared" si="163"/>
        <v>1st Shift</v>
      </c>
    </row>
    <row r="3493" spans="1:11" x14ac:dyDescent="0.25">
      <c r="A3493" s="1">
        <v>3492</v>
      </c>
      <c r="B3493" s="1">
        <v>6</v>
      </c>
      <c r="C3493" s="3">
        <v>6115271733601</v>
      </c>
      <c r="D3493" s="2">
        <v>44615.427083333336</v>
      </c>
      <c r="E3493" s="2">
        <v>44615.6875</v>
      </c>
      <c r="F3493" s="23">
        <f t="shared" si="162"/>
        <v>0.26041666666424135</v>
      </c>
      <c r="G3493" s="24">
        <f t="shared" si="164"/>
        <v>48.000000000447038</v>
      </c>
      <c r="H3493" s="1" t="s">
        <v>1</v>
      </c>
      <c r="I3493" s="4" t="s">
        <v>8</v>
      </c>
      <c r="J3493" s="14">
        <v>0.42708333333333331</v>
      </c>
      <c r="K3493" s="20" t="str">
        <f t="shared" si="163"/>
        <v>1st Shift</v>
      </c>
    </row>
    <row r="3494" spans="1:11" x14ac:dyDescent="0.25">
      <c r="A3494" s="1">
        <v>3493</v>
      </c>
      <c r="B3494" s="1">
        <v>5</v>
      </c>
      <c r="C3494" s="3">
        <v>5115271285700</v>
      </c>
      <c r="D3494" s="2">
        <v>44615.427083333336</v>
      </c>
      <c r="E3494" s="2">
        <v>44615.6875</v>
      </c>
      <c r="F3494" s="23">
        <f t="shared" si="162"/>
        <v>0.26041666666424135</v>
      </c>
      <c r="G3494" s="24">
        <f t="shared" si="164"/>
        <v>48.000000000447038</v>
      </c>
      <c r="H3494" s="1" t="s">
        <v>1</v>
      </c>
      <c r="I3494" s="4" t="s">
        <v>4</v>
      </c>
      <c r="J3494" s="14">
        <v>0.42708333333333331</v>
      </c>
      <c r="K3494" s="20" t="str">
        <f t="shared" si="163"/>
        <v>1st Shift</v>
      </c>
    </row>
    <row r="3495" spans="1:11" x14ac:dyDescent="0.25">
      <c r="A3495" s="1">
        <v>3494</v>
      </c>
      <c r="B3495" s="1">
        <v>3</v>
      </c>
      <c r="C3495" s="3">
        <v>3115270392900</v>
      </c>
      <c r="D3495" s="2">
        <v>44615.427083333336</v>
      </c>
      <c r="E3495" s="2">
        <v>44615.6875</v>
      </c>
      <c r="F3495" s="23">
        <f t="shared" si="162"/>
        <v>0.26041666666424135</v>
      </c>
      <c r="G3495" s="24">
        <f t="shared" si="164"/>
        <v>48.000000000447038</v>
      </c>
      <c r="H3495" s="1" t="s">
        <v>1</v>
      </c>
      <c r="I3495" s="4" t="s">
        <v>3</v>
      </c>
      <c r="J3495" s="14">
        <v>0.42708333333333331</v>
      </c>
      <c r="K3495" s="20" t="str">
        <f t="shared" si="163"/>
        <v>1st Shift</v>
      </c>
    </row>
    <row r="3496" spans="1:11" x14ac:dyDescent="0.25">
      <c r="A3496" s="1">
        <v>3495</v>
      </c>
      <c r="B3496" s="1">
        <v>2</v>
      </c>
      <c r="C3496" s="3">
        <v>2115270297501</v>
      </c>
      <c r="D3496" s="2">
        <v>44615.427083333336</v>
      </c>
      <c r="E3496" s="2">
        <v>44615.6875</v>
      </c>
      <c r="F3496" s="23">
        <f t="shared" si="162"/>
        <v>0.26041666666424135</v>
      </c>
      <c r="G3496" s="24">
        <f t="shared" si="164"/>
        <v>48.000000000447038</v>
      </c>
      <c r="H3496" s="1" t="s">
        <v>1</v>
      </c>
      <c r="I3496" s="4" t="s">
        <v>2</v>
      </c>
      <c r="J3496" s="14">
        <v>0.42708333333333331</v>
      </c>
      <c r="K3496" s="20" t="str">
        <f t="shared" si="163"/>
        <v>1st Shift</v>
      </c>
    </row>
    <row r="3497" spans="1:11" x14ac:dyDescent="0.25">
      <c r="A3497" s="1">
        <v>3496</v>
      </c>
      <c r="B3497" s="1">
        <v>12</v>
      </c>
      <c r="C3497" s="3">
        <v>12115271560812</v>
      </c>
      <c r="D3497" s="2">
        <v>44615.783333333333</v>
      </c>
      <c r="E3497" s="2">
        <v>44615.881944444445</v>
      </c>
      <c r="F3497" s="23">
        <f t="shared" si="162"/>
        <v>9.8611111112404615E-2</v>
      </c>
      <c r="G3497" s="24">
        <f t="shared" si="164"/>
        <v>126.76056337861894</v>
      </c>
      <c r="H3497" s="1" t="s">
        <v>1</v>
      </c>
      <c r="I3497" s="4" t="s">
        <v>3</v>
      </c>
      <c r="J3497" s="14">
        <v>0.78333333333333333</v>
      </c>
      <c r="K3497" s="20" t="str">
        <f t="shared" si="163"/>
        <v>2nd Shift</v>
      </c>
    </row>
    <row r="3498" spans="1:11" x14ac:dyDescent="0.25">
      <c r="A3498" s="1">
        <v>3497</v>
      </c>
      <c r="B3498" s="1">
        <v>10</v>
      </c>
      <c r="C3498" s="3">
        <v>10115271464000</v>
      </c>
      <c r="D3498" s="2">
        <v>44615.783333333333</v>
      </c>
      <c r="E3498" s="2">
        <v>44615.881944444445</v>
      </c>
      <c r="F3498" s="23">
        <f t="shared" si="162"/>
        <v>9.8611111112404615E-2</v>
      </c>
      <c r="G3498" s="24">
        <f t="shared" si="164"/>
        <v>126.76056337861894</v>
      </c>
      <c r="H3498" s="1" t="s">
        <v>1</v>
      </c>
      <c r="I3498" s="4" t="s">
        <v>3</v>
      </c>
      <c r="J3498" s="14">
        <v>0.78333333333333333</v>
      </c>
      <c r="K3498" s="20" t="str">
        <f t="shared" si="163"/>
        <v>2nd Shift</v>
      </c>
    </row>
    <row r="3499" spans="1:11" x14ac:dyDescent="0.25">
      <c r="A3499" s="1">
        <v>3498</v>
      </c>
      <c r="B3499" s="1">
        <v>9</v>
      </c>
      <c r="C3499" s="3">
        <v>9115270963403</v>
      </c>
      <c r="D3499" s="2">
        <v>44615.783333333333</v>
      </c>
      <c r="E3499" s="2">
        <v>44615.881944444445</v>
      </c>
      <c r="F3499" s="23">
        <f t="shared" si="162"/>
        <v>9.8611111112404615E-2</v>
      </c>
      <c r="G3499" s="24">
        <f t="shared" si="164"/>
        <v>126.76056337861894</v>
      </c>
      <c r="H3499" s="1" t="s">
        <v>1</v>
      </c>
      <c r="I3499" s="4" t="s">
        <v>2</v>
      </c>
      <c r="J3499" s="14">
        <v>0.78333333333333333</v>
      </c>
      <c r="K3499" s="20" t="str">
        <f t="shared" si="163"/>
        <v>2nd Shift</v>
      </c>
    </row>
    <row r="3500" spans="1:11" x14ac:dyDescent="0.25">
      <c r="A3500" s="1">
        <v>3499</v>
      </c>
      <c r="B3500" s="1">
        <v>6</v>
      </c>
      <c r="C3500" s="3">
        <v>6115271733505</v>
      </c>
      <c r="D3500" s="2">
        <v>44615.65625</v>
      </c>
      <c r="E3500" s="2">
        <v>44615.881944444445</v>
      </c>
      <c r="F3500" s="23">
        <f t="shared" si="162"/>
        <v>0.22569444444525288</v>
      </c>
      <c r="G3500" s="24">
        <f t="shared" si="164"/>
        <v>55.384615384416989</v>
      </c>
      <c r="H3500" s="1" t="s">
        <v>1</v>
      </c>
      <c r="I3500" s="4" t="s">
        <v>3</v>
      </c>
      <c r="J3500" s="14">
        <v>0.65625</v>
      </c>
      <c r="K3500" s="20" t="str">
        <f t="shared" si="163"/>
        <v>2nd Shift</v>
      </c>
    </row>
    <row r="3501" spans="1:11" x14ac:dyDescent="0.25">
      <c r="A3501" s="1">
        <v>3500</v>
      </c>
      <c r="B3501" s="1">
        <v>5</v>
      </c>
      <c r="C3501" s="3">
        <v>5115271289404</v>
      </c>
      <c r="D3501" s="2">
        <v>44615.65625</v>
      </c>
      <c r="E3501" s="2">
        <v>44615.881944444445</v>
      </c>
      <c r="F3501" s="23">
        <f t="shared" si="162"/>
        <v>0.22569444444525288</v>
      </c>
      <c r="G3501" s="24">
        <f t="shared" si="164"/>
        <v>55.384615384416989</v>
      </c>
      <c r="H3501" s="1" t="s">
        <v>1</v>
      </c>
      <c r="I3501" s="4" t="s">
        <v>2</v>
      </c>
      <c r="J3501" s="14">
        <v>0.65625</v>
      </c>
      <c r="K3501" s="20" t="str">
        <f t="shared" si="163"/>
        <v>2nd Shift</v>
      </c>
    </row>
    <row r="3502" spans="1:11" x14ac:dyDescent="0.25">
      <c r="A3502" s="1">
        <v>3501</v>
      </c>
      <c r="B3502" s="1">
        <v>1</v>
      </c>
      <c r="C3502" s="3">
        <v>1115270089300</v>
      </c>
      <c r="D3502" s="2">
        <v>44615.783333333333</v>
      </c>
      <c r="E3502" s="2">
        <v>44615.881944444445</v>
      </c>
      <c r="F3502" s="23">
        <f t="shared" si="162"/>
        <v>9.8611111112404615E-2</v>
      </c>
      <c r="G3502" s="24">
        <f t="shared" si="164"/>
        <v>126.76056337861894</v>
      </c>
      <c r="H3502" s="1" t="s">
        <v>1</v>
      </c>
      <c r="I3502" s="4" t="s">
        <v>2</v>
      </c>
      <c r="J3502" s="14">
        <v>0.78333333333333333</v>
      </c>
      <c r="K3502" s="20" t="str">
        <f t="shared" si="163"/>
        <v>2nd Shift</v>
      </c>
    </row>
    <row r="3503" spans="1:11" x14ac:dyDescent="0.25">
      <c r="A3503" s="1">
        <v>3502</v>
      </c>
      <c r="B3503" s="1">
        <v>7</v>
      </c>
      <c r="C3503" s="3">
        <v>7115271783900</v>
      </c>
      <c r="D3503" s="2">
        <v>44615.958333333336</v>
      </c>
      <c r="E3503" s="2">
        <v>44616.003472222219</v>
      </c>
      <c r="F3503" s="23">
        <f t="shared" si="162"/>
        <v>4.5138888883229811E-2</v>
      </c>
      <c r="G3503" s="24">
        <f t="shared" si="164"/>
        <v>276.92307695779488</v>
      </c>
      <c r="H3503" s="1" t="s">
        <v>1</v>
      </c>
      <c r="I3503" s="4" t="s">
        <v>2</v>
      </c>
      <c r="J3503" s="14">
        <v>0.95833333333333337</v>
      </c>
      <c r="K3503" s="20" t="str">
        <f t="shared" si="163"/>
        <v>3rd Shift</v>
      </c>
    </row>
    <row r="3504" spans="1:11" x14ac:dyDescent="0.25">
      <c r="A3504" s="1">
        <v>3503</v>
      </c>
      <c r="B3504" s="1">
        <v>3</v>
      </c>
      <c r="C3504" s="3">
        <v>3115270340500</v>
      </c>
      <c r="D3504" s="2">
        <v>44616.017361111109</v>
      </c>
      <c r="E3504" s="2">
        <v>44616.104166666664</v>
      </c>
      <c r="F3504" s="23">
        <f t="shared" si="162"/>
        <v>8.6805555554747116E-2</v>
      </c>
      <c r="G3504" s="24">
        <f t="shared" si="164"/>
        <v>144.00000000134111</v>
      </c>
      <c r="H3504" s="1" t="s">
        <v>1</v>
      </c>
      <c r="I3504" s="4" t="s">
        <v>4</v>
      </c>
      <c r="J3504" s="14">
        <v>1.7361111111111112E-2</v>
      </c>
      <c r="K3504" s="20" t="str">
        <f t="shared" si="163"/>
        <v>3rd Shift</v>
      </c>
    </row>
    <row r="3505" spans="1:11" x14ac:dyDescent="0.25">
      <c r="A3505" s="1">
        <v>3504</v>
      </c>
      <c r="B3505" s="1">
        <v>2</v>
      </c>
      <c r="C3505" s="3">
        <v>2115270226100</v>
      </c>
      <c r="D3505" s="2">
        <v>44616.017361111109</v>
      </c>
      <c r="E3505" s="2">
        <v>44616.104166666664</v>
      </c>
      <c r="F3505" s="23">
        <f t="shared" si="162"/>
        <v>8.6805555554747116E-2</v>
      </c>
      <c r="G3505" s="24">
        <f t="shared" si="164"/>
        <v>144.00000000134111</v>
      </c>
      <c r="H3505" s="1" t="s">
        <v>1</v>
      </c>
      <c r="I3505" s="4" t="s">
        <v>3</v>
      </c>
      <c r="J3505" s="14">
        <v>1.7361111111111112E-2</v>
      </c>
      <c r="K3505" s="20" t="str">
        <f t="shared" si="163"/>
        <v>3rd Shift</v>
      </c>
    </row>
    <row r="3506" spans="1:11" x14ac:dyDescent="0.25">
      <c r="A3506" s="1">
        <v>3505</v>
      </c>
      <c r="B3506" s="1">
        <v>15</v>
      </c>
      <c r="C3506" s="3">
        <v>15115271757000</v>
      </c>
      <c r="D3506" s="2">
        <v>44616.65625</v>
      </c>
      <c r="E3506" s="2">
        <v>44616.836805555555</v>
      </c>
      <c r="F3506" s="23">
        <f t="shared" si="162"/>
        <v>0.18055555555474712</v>
      </c>
      <c r="G3506" s="24">
        <f t="shared" si="164"/>
        <v>69.230769231079208</v>
      </c>
      <c r="H3506" s="1" t="s">
        <v>1</v>
      </c>
      <c r="I3506" s="4" t="s">
        <v>3</v>
      </c>
      <c r="J3506" s="14">
        <v>0.65625</v>
      </c>
      <c r="K3506" s="20" t="str">
        <f t="shared" si="163"/>
        <v>2nd Shift</v>
      </c>
    </row>
    <row r="3507" spans="1:11" x14ac:dyDescent="0.25">
      <c r="A3507" s="1">
        <v>3506</v>
      </c>
      <c r="B3507" s="1">
        <v>11</v>
      </c>
      <c r="C3507" s="3">
        <v>11115271508500</v>
      </c>
      <c r="D3507" s="2">
        <v>44616.65625</v>
      </c>
      <c r="E3507" s="2">
        <v>44616.836805555555</v>
      </c>
      <c r="F3507" s="23">
        <f t="shared" si="162"/>
        <v>0.18055555555474712</v>
      </c>
      <c r="G3507" s="24">
        <f t="shared" si="164"/>
        <v>69.230769231079208</v>
      </c>
      <c r="H3507" s="1" t="s">
        <v>1</v>
      </c>
      <c r="I3507" s="4" t="s">
        <v>3</v>
      </c>
      <c r="J3507" s="14">
        <v>0.65625</v>
      </c>
      <c r="K3507" s="20" t="str">
        <f t="shared" si="163"/>
        <v>2nd Shift</v>
      </c>
    </row>
    <row r="3508" spans="1:11" x14ac:dyDescent="0.25">
      <c r="A3508" s="1">
        <v>3507</v>
      </c>
      <c r="B3508" s="1">
        <v>11</v>
      </c>
      <c r="C3508" s="3">
        <v>11115271508400</v>
      </c>
      <c r="D3508" s="2">
        <v>44616.722222222219</v>
      </c>
      <c r="E3508" s="2">
        <v>44616.836805555555</v>
      </c>
      <c r="F3508" s="23">
        <f t="shared" si="162"/>
        <v>0.11458333333575865</v>
      </c>
      <c r="G3508" s="24">
        <f t="shared" si="164"/>
        <v>109.09090908860001</v>
      </c>
      <c r="H3508" s="1" t="s">
        <v>1</v>
      </c>
      <c r="I3508" s="4" t="s">
        <v>3</v>
      </c>
      <c r="J3508" s="14">
        <v>0.72222222222222221</v>
      </c>
      <c r="K3508" s="20" t="str">
        <f t="shared" si="163"/>
        <v>2nd Shift</v>
      </c>
    </row>
    <row r="3509" spans="1:11" x14ac:dyDescent="0.25">
      <c r="A3509" s="1">
        <v>3508</v>
      </c>
      <c r="B3509" s="1">
        <v>3</v>
      </c>
      <c r="C3509" s="3">
        <v>3115270306800</v>
      </c>
      <c r="D3509" s="2">
        <v>44616.65625</v>
      </c>
      <c r="E3509" s="2">
        <v>44616.836805555555</v>
      </c>
      <c r="F3509" s="23">
        <f t="shared" si="162"/>
        <v>0.18055555555474712</v>
      </c>
      <c r="G3509" s="24">
        <f t="shared" si="164"/>
        <v>69.230769231079208</v>
      </c>
      <c r="H3509" s="1" t="s">
        <v>1</v>
      </c>
      <c r="I3509" s="4" t="s">
        <v>3</v>
      </c>
      <c r="J3509" s="14">
        <v>0.65625</v>
      </c>
      <c r="K3509" s="20" t="str">
        <f t="shared" si="163"/>
        <v>2nd Shift</v>
      </c>
    </row>
    <row r="3510" spans="1:11" x14ac:dyDescent="0.25">
      <c r="A3510" s="1">
        <v>3509</v>
      </c>
      <c r="B3510" s="1">
        <v>2</v>
      </c>
      <c r="C3510" s="3">
        <v>2115270231500</v>
      </c>
      <c r="D3510" s="2">
        <v>44616.722222222219</v>
      </c>
      <c r="E3510" s="2">
        <v>44616.836805555555</v>
      </c>
      <c r="F3510" s="23">
        <f t="shared" si="162"/>
        <v>0.11458333333575865</v>
      </c>
      <c r="G3510" s="24">
        <f t="shared" si="164"/>
        <v>109.09090908860001</v>
      </c>
      <c r="H3510" s="1" t="s">
        <v>1</v>
      </c>
      <c r="I3510" s="4" t="s">
        <v>3</v>
      </c>
      <c r="J3510" s="14">
        <v>0.72222222222222221</v>
      </c>
      <c r="K3510" s="20" t="str">
        <f t="shared" si="163"/>
        <v>2nd Shift</v>
      </c>
    </row>
    <row r="3511" spans="1:11" x14ac:dyDescent="0.25">
      <c r="A3511" s="1">
        <v>3510</v>
      </c>
      <c r="B3511" s="1">
        <v>7</v>
      </c>
      <c r="C3511" s="3">
        <v>7115271757800</v>
      </c>
      <c r="D3511" s="2">
        <v>44616.847222222219</v>
      </c>
      <c r="E3511" s="2">
        <v>44616.899305555555</v>
      </c>
      <c r="F3511" s="23">
        <f t="shared" si="162"/>
        <v>5.2083333335758653E-2</v>
      </c>
      <c r="G3511" s="24">
        <f t="shared" si="164"/>
        <v>239.99999998882413</v>
      </c>
      <c r="H3511" s="1" t="s">
        <v>1</v>
      </c>
      <c r="I3511" s="4" t="s">
        <v>2</v>
      </c>
      <c r="J3511" s="14">
        <v>0.84722222222222221</v>
      </c>
      <c r="K3511" s="20" t="str">
        <f t="shared" si="163"/>
        <v>2nd Shift</v>
      </c>
    </row>
    <row r="3512" spans="1:11" x14ac:dyDescent="0.25">
      <c r="A3512" s="1">
        <v>3511</v>
      </c>
      <c r="B3512" s="1">
        <v>4</v>
      </c>
      <c r="C3512" s="3">
        <v>4115270877500</v>
      </c>
      <c r="D3512" s="2">
        <v>44616.847222222219</v>
      </c>
      <c r="E3512" s="2">
        <v>44616.899305555555</v>
      </c>
      <c r="F3512" s="23">
        <f t="shared" si="162"/>
        <v>5.2083333335758653E-2</v>
      </c>
      <c r="G3512" s="24">
        <f t="shared" si="164"/>
        <v>239.99999998882413</v>
      </c>
      <c r="H3512" s="1" t="s">
        <v>1</v>
      </c>
      <c r="I3512" s="4" t="s">
        <v>2</v>
      </c>
      <c r="J3512" s="14">
        <v>0.84722222222222221</v>
      </c>
      <c r="K3512" s="20" t="str">
        <f t="shared" si="163"/>
        <v>2nd Shift</v>
      </c>
    </row>
    <row r="3513" spans="1:11" x14ac:dyDescent="0.25">
      <c r="A3513" s="1">
        <v>3512</v>
      </c>
      <c r="B3513" s="1">
        <v>3</v>
      </c>
      <c r="C3513" s="3">
        <v>3115270366300</v>
      </c>
      <c r="D3513" s="2">
        <v>44616.847222222219</v>
      </c>
      <c r="E3513" s="2">
        <v>44616.899305555555</v>
      </c>
      <c r="F3513" s="23">
        <f t="shared" si="162"/>
        <v>5.2083333335758653E-2</v>
      </c>
      <c r="G3513" s="24">
        <f t="shared" si="164"/>
        <v>239.99999998882413</v>
      </c>
      <c r="H3513" s="1" t="s">
        <v>1</v>
      </c>
      <c r="I3513" s="4" t="s">
        <v>2</v>
      </c>
      <c r="J3513" s="14">
        <v>0.84722222222222221</v>
      </c>
      <c r="K3513" s="20" t="str">
        <f t="shared" si="163"/>
        <v>2nd Shift</v>
      </c>
    </row>
    <row r="3514" spans="1:11" x14ac:dyDescent="0.25">
      <c r="A3514" s="1">
        <v>3513</v>
      </c>
      <c r="B3514" s="1">
        <v>1</v>
      </c>
      <c r="C3514" s="3">
        <v>1115270097105</v>
      </c>
      <c r="D3514" s="2">
        <v>44616.847222222219</v>
      </c>
      <c r="E3514" s="2">
        <v>44616.899305555555</v>
      </c>
      <c r="F3514" s="23">
        <f t="shared" si="162"/>
        <v>5.2083333335758653E-2</v>
      </c>
      <c r="G3514" s="24">
        <f t="shared" si="164"/>
        <v>239.99999998882413</v>
      </c>
      <c r="H3514" s="1" t="s">
        <v>1</v>
      </c>
      <c r="I3514" s="4" t="s">
        <v>2</v>
      </c>
      <c r="J3514" s="14">
        <v>0.84722222222222221</v>
      </c>
      <c r="K3514" s="20" t="str">
        <f t="shared" si="163"/>
        <v>2nd Shift</v>
      </c>
    </row>
    <row r="3515" spans="1:11" x14ac:dyDescent="0.25">
      <c r="A3515" s="1">
        <v>3514</v>
      </c>
      <c r="B3515" s="1">
        <v>14</v>
      </c>
      <c r="C3515" s="3">
        <v>14115271673164</v>
      </c>
      <c r="D3515" s="2">
        <v>44616.951388888891</v>
      </c>
      <c r="E3515" s="2">
        <v>44616.986111111109</v>
      </c>
      <c r="F3515" s="23">
        <f t="shared" si="162"/>
        <v>3.4722222218988463E-2</v>
      </c>
      <c r="G3515" s="24">
        <f t="shared" si="164"/>
        <v>360.00000003352761</v>
      </c>
      <c r="H3515" s="1" t="s">
        <v>1</v>
      </c>
      <c r="I3515" s="4" t="s">
        <v>2</v>
      </c>
      <c r="J3515" s="14">
        <v>0.95138888888888884</v>
      </c>
      <c r="K3515" s="20" t="str">
        <f t="shared" si="163"/>
        <v>3rd Shift</v>
      </c>
    </row>
    <row r="3516" spans="1:11" x14ac:dyDescent="0.25">
      <c r="A3516" s="1">
        <v>3515</v>
      </c>
      <c r="B3516" s="1">
        <v>2</v>
      </c>
      <c r="C3516" s="3">
        <v>2115270229700</v>
      </c>
      <c r="D3516" s="2">
        <v>44616.951388888891</v>
      </c>
      <c r="E3516" s="2">
        <v>44616.986111111109</v>
      </c>
      <c r="F3516" s="23">
        <f t="shared" si="162"/>
        <v>3.4722222218988463E-2</v>
      </c>
      <c r="G3516" s="24">
        <f t="shared" si="164"/>
        <v>360.00000003352761</v>
      </c>
      <c r="H3516" s="1" t="s">
        <v>1</v>
      </c>
      <c r="I3516" s="4" t="s">
        <v>3</v>
      </c>
      <c r="J3516" s="14">
        <v>0.95138888888888884</v>
      </c>
      <c r="K3516" s="20" t="str">
        <f t="shared" si="163"/>
        <v>3rd Shift</v>
      </c>
    </row>
    <row r="3517" spans="1:11" x14ac:dyDescent="0.25">
      <c r="A3517" s="1">
        <v>3516</v>
      </c>
      <c r="B3517" s="1">
        <v>12</v>
      </c>
      <c r="C3517" s="3">
        <v>12115271567330</v>
      </c>
      <c r="D3517" s="2">
        <v>44617.006944444445</v>
      </c>
      <c r="E3517" s="2">
        <v>44617.104166666664</v>
      </c>
      <c r="F3517" s="23">
        <f t="shared" si="162"/>
        <v>9.7222222218988463E-2</v>
      </c>
      <c r="G3517" s="24">
        <f t="shared" si="164"/>
        <v>128.57142857570506</v>
      </c>
      <c r="H3517" s="1" t="s">
        <v>1</v>
      </c>
      <c r="I3517" s="4" t="s">
        <v>2</v>
      </c>
      <c r="J3517" s="14">
        <v>6.9444444444444441E-3</v>
      </c>
      <c r="K3517" s="20" t="str">
        <f t="shared" si="163"/>
        <v>3rd Shift</v>
      </c>
    </row>
    <row r="3518" spans="1:11" x14ac:dyDescent="0.25">
      <c r="A3518" s="1">
        <v>3517</v>
      </c>
      <c r="B3518" s="1">
        <v>1</v>
      </c>
      <c r="C3518" s="3">
        <v>1115270088200</v>
      </c>
      <c r="D3518" s="2">
        <v>44617.006944444445</v>
      </c>
      <c r="E3518" s="2">
        <v>44617.104166666664</v>
      </c>
      <c r="F3518" s="23">
        <f t="shared" si="162"/>
        <v>9.7222222218988463E-2</v>
      </c>
      <c r="G3518" s="24">
        <f t="shared" si="164"/>
        <v>128.57142857570506</v>
      </c>
      <c r="H3518" s="1" t="s">
        <v>1</v>
      </c>
      <c r="I3518" s="4" t="s">
        <v>4</v>
      </c>
      <c r="J3518" s="14">
        <v>6.9444444444444441E-3</v>
      </c>
      <c r="K3518" s="20" t="str">
        <f t="shared" si="163"/>
        <v>3rd Shift</v>
      </c>
    </row>
    <row r="3519" spans="1:11" x14ac:dyDescent="0.25">
      <c r="A3519" s="1">
        <v>3518</v>
      </c>
      <c r="B3519" s="1">
        <v>12</v>
      </c>
      <c r="C3519" s="3">
        <v>12115271567324</v>
      </c>
      <c r="D3519" s="2">
        <v>44617.427083333336</v>
      </c>
      <c r="E3519" s="2">
        <v>44617.643750000003</v>
      </c>
      <c r="F3519" s="23">
        <f t="shared" si="162"/>
        <v>0.21666666666715173</v>
      </c>
      <c r="G3519" s="24">
        <f t="shared" si="164"/>
        <v>57.692307692178538</v>
      </c>
      <c r="H3519" s="1" t="s">
        <v>1</v>
      </c>
      <c r="I3519" s="4" t="s">
        <v>2</v>
      </c>
      <c r="J3519" s="14">
        <v>0.42708333333333331</v>
      </c>
      <c r="K3519" s="20" t="str">
        <f t="shared" si="163"/>
        <v>1st Shift</v>
      </c>
    </row>
    <row r="3520" spans="1:11" x14ac:dyDescent="0.25">
      <c r="A3520" s="1">
        <v>3519</v>
      </c>
      <c r="B3520" s="1">
        <v>11</v>
      </c>
      <c r="C3520" s="3">
        <v>11115271542703</v>
      </c>
      <c r="D3520" s="2">
        <v>44617.517361111109</v>
      </c>
      <c r="E3520" s="2">
        <v>44617.643750000003</v>
      </c>
      <c r="F3520" s="23">
        <f t="shared" si="162"/>
        <v>0.12638888889341615</v>
      </c>
      <c r="G3520" s="24">
        <f t="shared" si="164"/>
        <v>98.901098897556253</v>
      </c>
      <c r="H3520" s="1" t="s">
        <v>1</v>
      </c>
      <c r="I3520" s="4" t="s">
        <v>3</v>
      </c>
      <c r="J3520" s="14">
        <v>0.51736111111111116</v>
      </c>
      <c r="K3520" s="20" t="str">
        <f t="shared" si="163"/>
        <v>1st Shift</v>
      </c>
    </row>
    <row r="3521" spans="1:11" x14ac:dyDescent="0.25">
      <c r="A3521" s="1">
        <v>3520</v>
      </c>
      <c r="B3521" s="1">
        <v>11</v>
      </c>
      <c r="C3521" s="3">
        <v>11115271064404</v>
      </c>
      <c r="D3521" s="2">
        <v>44617.559027777781</v>
      </c>
      <c r="E3521" s="2">
        <v>44617.643750000003</v>
      </c>
      <c r="F3521" s="23">
        <f t="shared" si="162"/>
        <v>8.4722222221898846E-2</v>
      </c>
      <c r="G3521" s="24">
        <f t="shared" si="164"/>
        <v>147.54098360712052</v>
      </c>
      <c r="H3521" s="1" t="s">
        <v>1</v>
      </c>
      <c r="I3521" s="4" t="s">
        <v>2</v>
      </c>
      <c r="J3521" s="14">
        <v>0.55902777777777779</v>
      </c>
      <c r="K3521" s="20" t="str">
        <f t="shared" si="163"/>
        <v>1st Shift</v>
      </c>
    </row>
    <row r="3522" spans="1:11" x14ac:dyDescent="0.25">
      <c r="A3522" s="1">
        <v>3521</v>
      </c>
      <c r="B3522" s="1">
        <v>8</v>
      </c>
      <c r="C3522" s="3">
        <v>8115271813105</v>
      </c>
      <c r="D3522" s="2">
        <v>44617.427083333336</v>
      </c>
      <c r="E3522" s="2">
        <v>44617.643750000003</v>
      </c>
      <c r="F3522" s="23">
        <f t="shared" ref="F3522:F3585" si="165">E3522-D3522</f>
        <v>0.21666666666715173</v>
      </c>
      <c r="G3522" s="24">
        <f t="shared" si="164"/>
        <v>57.692307692178538</v>
      </c>
      <c r="H3522" s="1" t="s">
        <v>1</v>
      </c>
      <c r="I3522" s="4" t="s">
        <v>4</v>
      </c>
      <c r="J3522" s="14">
        <v>0.42708333333333331</v>
      </c>
      <c r="K3522" s="20" t="str">
        <f t="shared" ref="K3522:K3585" si="166">IF(AND(J3522&gt;=$M$3,J3522&lt;$M$4),"1st Shift",IF(AND(J3522&gt;=$M$4,J3522&lt;$M$5),"2nd Shift","3rd Shift"))</f>
        <v>1st Shift</v>
      </c>
    </row>
    <row r="3523" spans="1:11" x14ac:dyDescent="0.25">
      <c r="A3523" s="1">
        <v>3522</v>
      </c>
      <c r="B3523" s="1">
        <v>7</v>
      </c>
      <c r="C3523" s="3">
        <v>7115271783333</v>
      </c>
      <c r="D3523" s="2">
        <v>44617.559027777781</v>
      </c>
      <c r="E3523" s="2">
        <v>44617.643750000003</v>
      </c>
      <c r="F3523" s="23">
        <f t="shared" si="165"/>
        <v>8.4722222221898846E-2</v>
      </c>
      <c r="G3523" s="24">
        <f t="shared" ref="G3523:G3586" si="167">$M$9/F3523*100</f>
        <v>147.54098360712052</v>
      </c>
      <c r="H3523" s="1" t="s">
        <v>1</v>
      </c>
      <c r="I3523" s="4" t="s">
        <v>3</v>
      </c>
      <c r="J3523" s="14">
        <v>0.55902777777777779</v>
      </c>
      <c r="K3523" s="20" t="str">
        <f t="shared" si="166"/>
        <v>1st Shift</v>
      </c>
    </row>
    <row r="3524" spans="1:11" x14ac:dyDescent="0.25">
      <c r="A3524" s="1">
        <v>3523</v>
      </c>
      <c r="B3524" s="1">
        <v>7</v>
      </c>
      <c r="C3524" s="3">
        <v>7115271757102</v>
      </c>
      <c r="D3524" s="2">
        <v>44617.427083333336</v>
      </c>
      <c r="E3524" s="2">
        <v>44617.643750000003</v>
      </c>
      <c r="F3524" s="23">
        <f t="shared" si="165"/>
        <v>0.21666666666715173</v>
      </c>
      <c r="G3524" s="24">
        <f t="shared" si="167"/>
        <v>57.692307692178538</v>
      </c>
      <c r="H3524" s="1" t="s">
        <v>1</v>
      </c>
      <c r="I3524" s="4" t="s">
        <v>2</v>
      </c>
      <c r="J3524" s="14">
        <v>0.42708333333333331</v>
      </c>
      <c r="K3524" s="20" t="str">
        <f t="shared" si="166"/>
        <v>1st Shift</v>
      </c>
    </row>
    <row r="3525" spans="1:11" x14ac:dyDescent="0.25">
      <c r="A3525" s="1">
        <v>3524</v>
      </c>
      <c r="B3525" s="1">
        <v>6</v>
      </c>
      <c r="C3525" s="3">
        <v>6115271723721</v>
      </c>
      <c r="D3525" s="2">
        <v>44617.427083333336</v>
      </c>
      <c r="E3525" s="2">
        <v>44617.643750000003</v>
      </c>
      <c r="F3525" s="23">
        <f t="shared" si="165"/>
        <v>0.21666666666715173</v>
      </c>
      <c r="G3525" s="24">
        <f t="shared" si="167"/>
        <v>57.692307692178538</v>
      </c>
      <c r="H3525" s="1" t="s">
        <v>1</v>
      </c>
      <c r="I3525" s="4" t="s">
        <v>2</v>
      </c>
      <c r="J3525" s="14">
        <v>0.42708333333333331</v>
      </c>
      <c r="K3525" s="20" t="str">
        <f t="shared" si="166"/>
        <v>1st Shift</v>
      </c>
    </row>
    <row r="3526" spans="1:11" x14ac:dyDescent="0.25">
      <c r="A3526" s="1">
        <v>3525</v>
      </c>
      <c r="B3526" s="1">
        <v>6</v>
      </c>
      <c r="C3526" s="3">
        <v>6115271715600</v>
      </c>
      <c r="D3526" s="2">
        <v>44617.517361111109</v>
      </c>
      <c r="E3526" s="2">
        <v>44617.643750000003</v>
      </c>
      <c r="F3526" s="23">
        <f t="shared" si="165"/>
        <v>0.12638888889341615</v>
      </c>
      <c r="G3526" s="24">
        <f t="shared" si="167"/>
        <v>98.901098897556253</v>
      </c>
      <c r="H3526" s="1" t="s">
        <v>1</v>
      </c>
      <c r="I3526" s="4" t="s">
        <v>3</v>
      </c>
      <c r="J3526" s="14">
        <v>0.51736111111111116</v>
      </c>
      <c r="K3526" s="20" t="str">
        <f t="shared" si="166"/>
        <v>1st Shift</v>
      </c>
    </row>
    <row r="3527" spans="1:11" x14ac:dyDescent="0.25">
      <c r="A3527" s="1">
        <v>3526</v>
      </c>
      <c r="B3527" s="1">
        <v>5</v>
      </c>
      <c r="C3527" s="3">
        <v>5115270974600</v>
      </c>
      <c r="D3527" s="2">
        <v>44617.427083333336</v>
      </c>
      <c r="E3527" s="2">
        <v>44617.643750000003</v>
      </c>
      <c r="F3527" s="23">
        <f t="shared" si="165"/>
        <v>0.21666666666715173</v>
      </c>
      <c r="G3527" s="24">
        <f t="shared" si="167"/>
        <v>57.692307692178538</v>
      </c>
      <c r="H3527" s="1" t="s">
        <v>1</v>
      </c>
      <c r="I3527" s="4" t="s">
        <v>4</v>
      </c>
      <c r="J3527" s="14">
        <v>0.42708333333333331</v>
      </c>
      <c r="K3527" s="20" t="str">
        <f t="shared" si="166"/>
        <v>1st Shift</v>
      </c>
    </row>
    <row r="3528" spans="1:11" x14ac:dyDescent="0.25">
      <c r="A3528" s="1">
        <v>3527</v>
      </c>
      <c r="B3528" s="1">
        <v>4</v>
      </c>
      <c r="C3528" s="3">
        <v>4115270825900</v>
      </c>
      <c r="D3528" s="2">
        <v>44617.559027777781</v>
      </c>
      <c r="E3528" s="2">
        <v>44617.643750000003</v>
      </c>
      <c r="F3528" s="23">
        <f t="shared" si="165"/>
        <v>8.4722222221898846E-2</v>
      </c>
      <c r="G3528" s="24">
        <f t="shared" si="167"/>
        <v>147.54098360712052</v>
      </c>
      <c r="H3528" s="1" t="s">
        <v>1</v>
      </c>
      <c r="I3528" s="4" t="s">
        <v>3</v>
      </c>
      <c r="J3528" s="14">
        <v>0.55902777777777779</v>
      </c>
      <c r="K3528" s="20" t="str">
        <f t="shared" si="166"/>
        <v>1st Shift</v>
      </c>
    </row>
    <row r="3529" spans="1:11" x14ac:dyDescent="0.25">
      <c r="A3529" s="1">
        <v>3528</v>
      </c>
      <c r="B3529" s="1">
        <v>14</v>
      </c>
      <c r="C3529" s="3">
        <v>14115271684004</v>
      </c>
      <c r="D3529" s="2">
        <v>44617.635416666664</v>
      </c>
      <c r="E3529" s="2">
        <v>44617.881944444445</v>
      </c>
      <c r="F3529" s="23">
        <f t="shared" si="165"/>
        <v>0.24652777778101154</v>
      </c>
      <c r="G3529" s="24">
        <f t="shared" si="167"/>
        <v>50.704225351447576</v>
      </c>
      <c r="H3529" s="1" t="s">
        <v>1</v>
      </c>
      <c r="I3529" s="4" t="s">
        <v>4</v>
      </c>
      <c r="J3529" s="14">
        <v>0.63541666666666663</v>
      </c>
      <c r="K3529" s="20" t="str">
        <f t="shared" si="166"/>
        <v>2nd Shift</v>
      </c>
    </row>
    <row r="3530" spans="1:11" x14ac:dyDescent="0.25">
      <c r="A3530" s="1">
        <v>3529</v>
      </c>
      <c r="B3530" s="1">
        <v>14</v>
      </c>
      <c r="C3530" s="3">
        <v>14115271672601</v>
      </c>
      <c r="D3530" s="2">
        <v>44617.635416666664</v>
      </c>
      <c r="E3530" s="2">
        <v>44617.881944444445</v>
      </c>
      <c r="F3530" s="23">
        <f t="shared" si="165"/>
        <v>0.24652777778101154</v>
      </c>
      <c r="G3530" s="24">
        <f t="shared" si="167"/>
        <v>50.704225351447576</v>
      </c>
      <c r="H3530" s="1" t="s">
        <v>1</v>
      </c>
      <c r="I3530" s="4" t="s">
        <v>4</v>
      </c>
      <c r="J3530" s="14">
        <v>0.63541666666666663</v>
      </c>
      <c r="K3530" s="20" t="str">
        <f t="shared" si="166"/>
        <v>2nd Shift</v>
      </c>
    </row>
    <row r="3531" spans="1:11" x14ac:dyDescent="0.25">
      <c r="A3531" s="1">
        <v>3530</v>
      </c>
      <c r="B3531" s="1">
        <v>13</v>
      </c>
      <c r="C3531" s="3">
        <v>13115271590701</v>
      </c>
      <c r="D3531" s="2">
        <v>44617.635416666664</v>
      </c>
      <c r="E3531" s="2">
        <v>44617.881944444445</v>
      </c>
      <c r="F3531" s="23">
        <f t="shared" si="165"/>
        <v>0.24652777778101154</v>
      </c>
      <c r="G3531" s="24">
        <f t="shared" si="167"/>
        <v>50.704225351447576</v>
      </c>
      <c r="H3531" s="1" t="s">
        <v>1</v>
      </c>
      <c r="I3531" s="4" t="s">
        <v>4</v>
      </c>
      <c r="J3531" s="14">
        <v>0.63541666666666663</v>
      </c>
      <c r="K3531" s="20" t="str">
        <f t="shared" si="166"/>
        <v>2nd Shift</v>
      </c>
    </row>
    <row r="3532" spans="1:11" x14ac:dyDescent="0.25">
      <c r="A3532" s="1">
        <v>3531</v>
      </c>
      <c r="B3532" s="1">
        <v>10</v>
      </c>
      <c r="C3532" s="3">
        <v>10115271959501</v>
      </c>
      <c r="D3532" s="2">
        <v>44617.635416666664</v>
      </c>
      <c r="E3532" s="2">
        <v>44617.881944444445</v>
      </c>
      <c r="F3532" s="23">
        <f t="shared" si="165"/>
        <v>0.24652777778101154</v>
      </c>
      <c r="G3532" s="24">
        <f t="shared" si="167"/>
        <v>50.704225351447576</v>
      </c>
      <c r="H3532" s="1" t="s">
        <v>1</v>
      </c>
      <c r="I3532" s="4" t="s">
        <v>2</v>
      </c>
      <c r="J3532" s="14">
        <v>0.63541666666666663</v>
      </c>
      <c r="K3532" s="20" t="str">
        <f t="shared" si="166"/>
        <v>2nd Shift</v>
      </c>
    </row>
    <row r="3533" spans="1:11" x14ac:dyDescent="0.25">
      <c r="A3533" s="1">
        <v>3532</v>
      </c>
      <c r="B3533" s="1">
        <v>10</v>
      </c>
      <c r="C3533" s="3">
        <v>10115271454000</v>
      </c>
      <c r="D3533" s="2">
        <v>44617.635416666664</v>
      </c>
      <c r="E3533" s="2">
        <v>44617.881944444445</v>
      </c>
      <c r="F3533" s="23">
        <f t="shared" si="165"/>
        <v>0.24652777778101154</v>
      </c>
      <c r="G3533" s="24">
        <f t="shared" si="167"/>
        <v>50.704225351447576</v>
      </c>
      <c r="H3533" s="1" t="s">
        <v>1</v>
      </c>
      <c r="I3533" s="4" t="s">
        <v>3</v>
      </c>
      <c r="J3533" s="14">
        <v>0.63541666666666663</v>
      </c>
      <c r="K3533" s="20" t="str">
        <f t="shared" si="166"/>
        <v>2nd Shift</v>
      </c>
    </row>
    <row r="3534" spans="1:11" x14ac:dyDescent="0.25">
      <c r="A3534" s="1">
        <v>3533</v>
      </c>
      <c r="B3534" s="1">
        <v>7</v>
      </c>
      <c r="C3534" s="3">
        <v>7115271757102</v>
      </c>
      <c r="D3534" s="2">
        <v>44617.635416666664</v>
      </c>
      <c r="E3534" s="2">
        <v>44617.881944444445</v>
      </c>
      <c r="F3534" s="23">
        <f t="shared" si="165"/>
        <v>0.24652777778101154</v>
      </c>
      <c r="G3534" s="24">
        <f t="shared" si="167"/>
        <v>50.704225351447576</v>
      </c>
      <c r="H3534" s="1" t="s">
        <v>1</v>
      </c>
      <c r="I3534" s="4" t="s">
        <v>3</v>
      </c>
      <c r="J3534" s="14">
        <v>0.63541666666666663</v>
      </c>
      <c r="K3534" s="20" t="str">
        <f t="shared" si="166"/>
        <v>2nd Shift</v>
      </c>
    </row>
    <row r="3535" spans="1:11" x14ac:dyDescent="0.25">
      <c r="A3535" s="1">
        <v>3534</v>
      </c>
      <c r="B3535" s="1">
        <v>7</v>
      </c>
      <c r="C3535" s="3">
        <v>7115271756500</v>
      </c>
      <c r="D3535" s="2">
        <v>44617.635416666664</v>
      </c>
      <c r="E3535" s="2">
        <v>44617.881944444445</v>
      </c>
      <c r="F3535" s="23">
        <f t="shared" si="165"/>
        <v>0.24652777778101154</v>
      </c>
      <c r="G3535" s="24">
        <f t="shared" si="167"/>
        <v>50.704225351447576</v>
      </c>
      <c r="H3535" s="1" t="s">
        <v>1</v>
      </c>
      <c r="I3535" s="4" t="s">
        <v>2</v>
      </c>
      <c r="J3535" s="14">
        <v>0.63541666666666663</v>
      </c>
      <c r="K3535" s="20" t="str">
        <f t="shared" si="166"/>
        <v>2nd Shift</v>
      </c>
    </row>
    <row r="3536" spans="1:11" x14ac:dyDescent="0.25">
      <c r="A3536" s="1">
        <v>3535</v>
      </c>
      <c r="B3536" s="1">
        <v>3</v>
      </c>
      <c r="C3536" s="3">
        <v>3115270366502</v>
      </c>
      <c r="D3536" s="2">
        <v>44617.934027777781</v>
      </c>
      <c r="E3536" s="2">
        <v>44617.958333333336</v>
      </c>
      <c r="F3536" s="23">
        <f t="shared" si="165"/>
        <v>2.4305555554747116E-2</v>
      </c>
      <c r="G3536" s="24">
        <f t="shared" si="167"/>
        <v>514.28571430282022</v>
      </c>
      <c r="H3536" s="1" t="s">
        <v>1</v>
      </c>
      <c r="I3536" s="4" t="s">
        <v>2</v>
      </c>
      <c r="J3536" s="14">
        <v>0.93402777777777779</v>
      </c>
      <c r="K3536" s="20" t="str">
        <f t="shared" si="166"/>
        <v>3rd Shift</v>
      </c>
    </row>
    <row r="3537" spans="1:11" x14ac:dyDescent="0.25">
      <c r="A3537" s="1">
        <v>3536</v>
      </c>
      <c r="B3537" s="1">
        <v>2</v>
      </c>
      <c r="C3537" s="3">
        <v>2115270267000</v>
      </c>
      <c r="D3537" s="2">
        <v>44618.034722222219</v>
      </c>
      <c r="E3537" s="2">
        <v>44618.0625</v>
      </c>
      <c r="F3537" s="23">
        <f t="shared" si="165"/>
        <v>2.7777777781011537E-2</v>
      </c>
      <c r="G3537" s="24">
        <f t="shared" si="167"/>
        <v>449.99999994761311</v>
      </c>
      <c r="H3537" s="1" t="s">
        <v>1</v>
      </c>
      <c r="I3537" s="4" t="s">
        <v>4</v>
      </c>
      <c r="J3537" s="14">
        <v>3.4722222222222224E-2</v>
      </c>
      <c r="K3537" s="20" t="str">
        <f t="shared" si="166"/>
        <v>3rd Shift</v>
      </c>
    </row>
    <row r="3538" spans="1:11" x14ac:dyDescent="0.25">
      <c r="A3538" s="1">
        <v>3537</v>
      </c>
      <c r="B3538" s="1">
        <v>13</v>
      </c>
      <c r="C3538" s="3">
        <v>13115271591501</v>
      </c>
      <c r="D3538" s="2">
        <v>44618.072916666664</v>
      </c>
      <c r="E3538" s="2">
        <v>44618.125</v>
      </c>
      <c r="F3538" s="23">
        <f t="shared" si="165"/>
        <v>5.2083333335758653E-2</v>
      </c>
      <c r="G3538" s="24">
        <f t="shared" si="167"/>
        <v>239.99999998882413</v>
      </c>
      <c r="H3538" s="1" t="s">
        <v>1</v>
      </c>
      <c r="I3538" s="4" t="s">
        <v>2</v>
      </c>
      <c r="J3538" s="14">
        <v>7.2916666666666671E-2</v>
      </c>
      <c r="K3538" s="20" t="str">
        <f t="shared" si="166"/>
        <v>3rd Shift</v>
      </c>
    </row>
    <row r="3539" spans="1:11" x14ac:dyDescent="0.25">
      <c r="A3539" s="1">
        <v>3538</v>
      </c>
      <c r="B3539" s="1">
        <v>2</v>
      </c>
      <c r="C3539" s="3">
        <v>2115270221500</v>
      </c>
      <c r="D3539" s="2">
        <v>44618.072916666664</v>
      </c>
      <c r="E3539" s="2">
        <v>44618.125</v>
      </c>
      <c r="F3539" s="23">
        <f t="shared" si="165"/>
        <v>5.2083333335758653E-2</v>
      </c>
      <c r="G3539" s="24">
        <f t="shared" si="167"/>
        <v>239.99999998882413</v>
      </c>
      <c r="H3539" s="1" t="s">
        <v>1</v>
      </c>
      <c r="I3539" s="4" t="s">
        <v>3</v>
      </c>
      <c r="J3539" s="14">
        <v>7.2916666666666671E-2</v>
      </c>
      <c r="K3539" s="20" t="str">
        <f t="shared" si="166"/>
        <v>3rd Shift</v>
      </c>
    </row>
    <row r="3540" spans="1:11" x14ac:dyDescent="0.25">
      <c r="A3540" s="1">
        <v>3539</v>
      </c>
      <c r="B3540" s="1">
        <v>14</v>
      </c>
      <c r="C3540" s="3">
        <v>14115271688755</v>
      </c>
      <c r="D3540" s="2">
        <v>44618.390277777777</v>
      </c>
      <c r="E3540" s="2">
        <v>44618.62777777778</v>
      </c>
      <c r="F3540" s="23">
        <f t="shared" si="165"/>
        <v>0.23750000000291038</v>
      </c>
      <c r="G3540" s="24">
        <f t="shared" si="167"/>
        <v>52.631578946723458</v>
      </c>
      <c r="H3540" s="1" t="s">
        <v>1</v>
      </c>
      <c r="I3540" s="4" t="s">
        <v>3</v>
      </c>
      <c r="J3540" s="14">
        <v>0.39027777777777778</v>
      </c>
      <c r="K3540" s="20" t="str">
        <f t="shared" si="166"/>
        <v>1st Shift</v>
      </c>
    </row>
    <row r="3541" spans="1:11" x14ac:dyDescent="0.25">
      <c r="A3541" s="1">
        <v>3540</v>
      </c>
      <c r="B3541" s="1">
        <v>14</v>
      </c>
      <c r="C3541" s="3">
        <v>14115271674713</v>
      </c>
      <c r="D3541" s="2">
        <v>44618.390277777777</v>
      </c>
      <c r="E3541" s="2">
        <v>44618.62777777778</v>
      </c>
      <c r="F3541" s="23">
        <f t="shared" si="165"/>
        <v>0.23750000000291038</v>
      </c>
      <c r="G3541" s="24">
        <f t="shared" si="167"/>
        <v>52.631578946723458</v>
      </c>
      <c r="H3541" s="1" t="s">
        <v>1</v>
      </c>
      <c r="I3541" s="4" t="s">
        <v>3</v>
      </c>
      <c r="J3541" s="14">
        <v>0.39027777777777778</v>
      </c>
      <c r="K3541" s="20" t="str">
        <f t="shared" si="166"/>
        <v>1st Shift</v>
      </c>
    </row>
    <row r="3542" spans="1:11" x14ac:dyDescent="0.25">
      <c r="A3542" s="1">
        <v>3541</v>
      </c>
      <c r="B3542" s="1">
        <v>13</v>
      </c>
      <c r="C3542" s="3">
        <v>13115271590901</v>
      </c>
      <c r="D3542" s="2">
        <v>44618.390277777777</v>
      </c>
      <c r="E3542" s="2">
        <v>44618.62777777778</v>
      </c>
      <c r="F3542" s="23">
        <f t="shared" si="165"/>
        <v>0.23750000000291038</v>
      </c>
      <c r="G3542" s="24">
        <f t="shared" si="167"/>
        <v>52.631578946723458</v>
      </c>
      <c r="H3542" s="1" t="s">
        <v>1</v>
      </c>
      <c r="I3542" s="4" t="s">
        <v>8</v>
      </c>
      <c r="J3542" s="14">
        <v>0.39027777777777778</v>
      </c>
      <c r="K3542" s="20" t="str">
        <f t="shared" si="166"/>
        <v>1st Shift</v>
      </c>
    </row>
    <row r="3543" spans="1:11" x14ac:dyDescent="0.25">
      <c r="A3543" s="1">
        <v>3542</v>
      </c>
      <c r="B3543" s="1">
        <v>12</v>
      </c>
      <c r="C3543" s="3">
        <v>12115271574908</v>
      </c>
      <c r="D3543" s="2">
        <v>44618.390277777777</v>
      </c>
      <c r="E3543" s="2">
        <v>44618.62777777778</v>
      </c>
      <c r="F3543" s="23">
        <f t="shared" si="165"/>
        <v>0.23750000000291038</v>
      </c>
      <c r="G3543" s="24">
        <f t="shared" si="167"/>
        <v>52.631578946723458</v>
      </c>
      <c r="H3543" s="1" t="s">
        <v>1</v>
      </c>
      <c r="I3543" s="4" t="s">
        <v>2</v>
      </c>
      <c r="J3543" s="14">
        <v>0.39027777777777778</v>
      </c>
      <c r="K3543" s="20" t="str">
        <f t="shared" si="166"/>
        <v>1st Shift</v>
      </c>
    </row>
    <row r="3544" spans="1:11" x14ac:dyDescent="0.25">
      <c r="A3544" s="1">
        <v>3543</v>
      </c>
      <c r="B3544" s="1">
        <v>10</v>
      </c>
      <c r="C3544" s="3">
        <v>10115271468601</v>
      </c>
      <c r="D3544" s="2">
        <v>44618.513888888891</v>
      </c>
      <c r="E3544" s="2">
        <v>44618.62777777778</v>
      </c>
      <c r="F3544" s="23">
        <f t="shared" si="165"/>
        <v>0.11388888888905058</v>
      </c>
      <c r="G3544" s="24">
        <f t="shared" si="167"/>
        <v>109.75609756081978</v>
      </c>
      <c r="H3544" s="1" t="s">
        <v>1</v>
      </c>
      <c r="I3544" s="4" t="s">
        <v>2</v>
      </c>
      <c r="J3544" s="14">
        <v>0.51388888888888884</v>
      </c>
      <c r="K3544" s="20" t="str">
        <f t="shared" si="166"/>
        <v>1st Shift</v>
      </c>
    </row>
    <row r="3545" spans="1:11" x14ac:dyDescent="0.25">
      <c r="A3545" s="1">
        <v>3544</v>
      </c>
      <c r="B3545" s="1">
        <v>9</v>
      </c>
      <c r="C3545" s="3">
        <v>9115271949400</v>
      </c>
      <c r="D3545" s="2">
        <v>44618.390277777777</v>
      </c>
      <c r="E3545" s="2">
        <v>44618.62777777778</v>
      </c>
      <c r="F3545" s="23">
        <f t="shared" si="165"/>
        <v>0.23750000000291038</v>
      </c>
      <c r="G3545" s="24">
        <f t="shared" si="167"/>
        <v>52.631578946723458</v>
      </c>
      <c r="H3545" s="1" t="s">
        <v>1</v>
      </c>
      <c r="I3545" s="4" t="s">
        <v>2</v>
      </c>
      <c r="J3545" s="14">
        <v>0.39027777777777778</v>
      </c>
      <c r="K3545" s="20" t="str">
        <f t="shared" si="166"/>
        <v>1st Shift</v>
      </c>
    </row>
    <row r="3546" spans="1:11" x14ac:dyDescent="0.25">
      <c r="A3546" s="1">
        <v>3545</v>
      </c>
      <c r="B3546" s="1">
        <v>8</v>
      </c>
      <c r="C3546" s="3">
        <v>8115271809908</v>
      </c>
      <c r="D3546" s="2">
        <v>44618.390277777777</v>
      </c>
      <c r="E3546" s="2">
        <v>44618.62777777778</v>
      </c>
      <c r="F3546" s="23">
        <f t="shared" si="165"/>
        <v>0.23750000000291038</v>
      </c>
      <c r="G3546" s="24">
        <f t="shared" si="167"/>
        <v>52.631578946723458</v>
      </c>
      <c r="H3546" s="1" t="s">
        <v>1</v>
      </c>
      <c r="I3546" s="4" t="s">
        <v>2</v>
      </c>
      <c r="J3546" s="14">
        <v>0.39027777777777778</v>
      </c>
      <c r="K3546" s="20" t="str">
        <f t="shared" si="166"/>
        <v>1st Shift</v>
      </c>
    </row>
    <row r="3547" spans="1:11" x14ac:dyDescent="0.25">
      <c r="A3547" s="1">
        <v>3546</v>
      </c>
      <c r="B3547" s="1">
        <v>7</v>
      </c>
      <c r="C3547" s="3">
        <v>7115271783201</v>
      </c>
      <c r="D3547" s="2">
        <v>44618.390277777777</v>
      </c>
      <c r="E3547" s="2">
        <v>44618.62777777778</v>
      </c>
      <c r="F3547" s="23">
        <f t="shared" si="165"/>
        <v>0.23750000000291038</v>
      </c>
      <c r="G3547" s="24">
        <f t="shared" si="167"/>
        <v>52.631578946723458</v>
      </c>
      <c r="H3547" s="1" t="s">
        <v>1</v>
      </c>
      <c r="I3547" s="4" t="s">
        <v>2</v>
      </c>
      <c r="J3547" s="14">
        <v>0.39027777777777778</v>
      </c>
      <c r="K3547" s="20" t="str">
        <f t="shared" si="166"/>
        <v>1st Shift</v>
      </c>
    </row>
    <row r="3548" spans="1:11" x14ac:dyDescent="0.25">
      <c r="A3548" s="1">
        <v>3547</v>
      </c>
      <c r="B3548" s="1">
        <v>7</v>
      </c>
      <c r="C3548" s="3">
        <v>7115271758900</v>
      </c>
      <c r="D3548" s="2">
        <v>44618.390277777777</v>
      </c>
      <c r="E3548" s="2">
        <v>44618.62777777778</v>
      </c>
      <c r="F3548" s="23">
        <f t="shared" si="165"/>
        <v>0.23750000000291038</v>
      </c>
      <c r="G3548" s="24">
        <f t="shared" si="167"/>
        <v>52.631578946723458</v>
      </c>
      <c r="H3548" s="1" t="s">
        <v>1</v>
      </c>
      <c r="I3548" s="4" t="s">
        <v>2</v>
      </c>
      <c r="J3548" s="14">
        <v>0.39027777777777778</v>
      </c>
      <c r="K3548" s="20" t="str">
        <f t="shared" si="166"/>
        <v>1st Shift</v>
      </c>
    </row>
    <row r="3549" spans="1:11" x14ac:dyDescent="0.25">
      <c r="A3549" s="1">
        <v>3548</v>
      </c>
      <c r="B3549" s="1">
        <v>6</v>
      </c>
      <c r="C3549" s="3">
        <v>6115271741600</v>
      </c>
      <c r="D3549" s="2">
        <v>44618.513888888891</v>
      </c>
      <c r="E3549" s="2">
        <v>44618.62777777778</v>
      </c>
      <c r="F3549" s="23">
        <f t="shared" si="165"/>
        <v>0.11388888888905058</v>
      </c>
      <c r="G3549" s="24">
        <f t="shared" si="167"/>
        <v>109.75609756081978</v>
      </c>
      <c r="H3549" s="1" t="s">
        <v>1</v>
      </c>
      <c r="I3549" s="4" t="s">
        <v>2</v>
      </c>
      <c r="J3549" s="14">
        <v>0.51388888888888884</v>
      </c>
      <c r="K3549" s="20" t="str">
        <f t="shared" si="166"/>
        <v>1st Shift</v>
      </c>
    </row>
    <row r="3550" spans="1:11" x14ac:dyDescent="0.25">
      <c r="A3550" s="1">
        <v>3549</v>
      </c>
      <c r="B3550" s="1">
        <v>4</v>
      </c>
      <c r="C3550" s="3">
        <v>4115270826901</v>
      </c>
      <c r="D3550" s="2">
        <v>44618.513888888891</v>
      </c>
      <c r="E3550" s="2">
        <v>44618.62777777778</v>
      </c>
      <c r="F3550" s="23">
        <f t="shared" si="165"/>
        <v>0.11388888888905058</v>
      </c>
      <c r="G3550" s="24">
        <f t="shared" si="167"/>
        <v>109.75609756081978</v>
      </c>
      <c r="H3550" s="1" t="s">
        <v>1</v>
      </c>
      <c r="I3550" s="4" t="s">
        <v>3</v>
      </c>
      <c r="J3550" s="14">
        <v>0.51388888888888884</v>
      </c>
      <c r="K3550" s="20" t="str">
        <f t="shared" si="166"/>
        <v>1st Shift</v>
      </c>
    </row>
    <row r="3551" spans="1:11" x14ac:dyDescent="0.25">
      <c r="A3551" s="1">
        <v>3550</v>
      </c>
      <c r="B3551" s="1">
        <v>10</v>
      </c>
      <c r="C3551" s="3">
        <v>10115271468900</v>
      </c>
      <c r="D3551" s="2">
        <v>44618.645833333336</v>
      </c>
      <c r="E3551" s="2">
        <v>44618.715277777781</v>
      </c>
      <c r="F3551" s="23">
        <f t="shared" si="165"/>
        <v>6.9444444445252884E-2</v>
      </c>
      <c r="G3551" s="24">
        <f t="shared" si="167"/>
        <v>179.99999999790452</v>
      </c>
      <c r="H3551" s="1" t="s">
        <v>1</v>
      </c>
      <c r="I3551" s="4" t="s">
        <v>3</v>
      </c>
      <c r="J3551" s="14">
        <v>0.64583333333333337</v>
      </c>
      <c r="K3551" s="20" t="str">
        <f t="shared" si="166"/>
        <v>2nd Shift</v>
      </c>
    </row>
    <row r="3552" spans="1:11" x14ac:dyDescent="0.25">
      <c r="A3552" s="1">
        <v>3551</v>
      </c>
      <c r="B3552" s="1">
        <v>3</v>
      </c>
      <c r="C3552" s="3">
        <v>3115270355900</v>
      </c>
      <c r="D3552" s="2">
        <v>44618.645833333336</v>
      </c>
      <c r="E3552" s="2">
        <v>44618.715277777781</v>
      </c>
      <c r="F3552" s="23">
        <f t="shared" si="165"/>
        <v>6.9444444445252884E-2</v>
      </c>
      <c r="G3552" s="24">
        <f t="shared" si="167"/>
        <v>179.99999999790452</v>
      </c>
      <c r="H3552" s="1" t="s">
        <v>1</v>
      </c>
      <c r="I3552" s="4" t="s">
        <v>3</v>
      </c>
      <c r="J3552" s="14">
        <v>0.64583333333333337</v>
      </c>
      <c r="K3552" s="20" t="str">
        <f t="shared" si="166"/>
        <v>2nd Shift</v>
      </c>
    </row>
    <row r="3553" spans="1:11" x14ac:dyDescent="0.25">
      <c r="A3553" s="1">
        <v>3552</v>
      </c>
      <c r="B3553" s="1">
        <v>11</v>
      </c>
      <c r="C3553" s="3">
        <v>11115271508600</v>
      </c>
      <c r="D3553" s="2">
        <v>44618.720833333333</v>
      </c>
      <c r="E3553" s="2">
        <v>44618.819444444445</v>
      </c>
      <c r="F3553" s="23">
        <f t="shared" si="165"/>
        <v>9.8611111112404615E-2</v>
      </c>
      <c r="G3553" s="24">
        <f t="shared" si="167"/>
        <v>126.76056337861894</v>
      </c>
      <c r="H3553" s="1" t="s">
        <v>1</v>
      </c>
      <c r="I3553" s="4" t="s">
        <v>3</v>
      </c>
      <c r="J3553" s="14">
        <v>0.72083333333333333</v>
      </c>
      <c r="K3553" s="20" t="str">
        <f t="shared" si="166"/>
        <v>2nd Shift</v>
      </c>
    </row>
    <row r="3554" spans="1:11" x14ac:dyDescent="0.25">
      <c r="A3554" s="1">
        <v>3553</v>
      </c>
      <c r="B3554" s="1">
        <v>7</v>
      </c>
      <c r="C3554" s="3">
        <v>7115271768202</v>
      </c>
      <c r="D3554" s="2">
        <v>44618.720833333333</v>
      </c>
      <c r="E3554" s="2">
        <v>44618.819444444445</v>
      </c>
      <c r="F3554" s="23">
        <f t="shared" si="165"/>
        <v>9.8611111112404615E-2</v>
      </c>
      <c r="G3554" s="24">
        <f t="shared" si="167"/>
        <v>126.76056337861894</v>
      </c>
      <c r="H3554" s="1" t="s">
        <v>1</v>
      </c>
      <c r="I3554" s="4" t="s">
        <v>3</v>
      </c>
      <c r="J3554" s="14">
        <v>0.72083333333333333</v>
      </c>
      <c r="K3554" s="20" t="str">
        <f t="shared" si="166"/>
        <v>2nd Shift</v>
      </c>
    </row>
    <row r="3555" spans="1:11" x14ac:dyDescent="0.25">
      <c r="A3555" s="1">
        <v>3554</v>
      </c>
      <c r="B3555" s="1">
        <v>6</v>
      </c>
      <c r="C3555" s="3">
        <v>6115271715800</v>
      </c>
      <c r="D3555" s="2">
        <v>44618.720833333333</v>
      </c>
      <c r="E3555" s="2">
        <v>44618.819444444445</v>
      </c>
      <c r="F3555" s="23">
        <f t="shared" si="165"/>
        <v>9.8611111112404615E-2</v>
      </c>
      <c r="G3555" s="24">
        <f t="shared" si="167"/>
        <v>126.76056337861894</v>
      </c>
      <c r="H3555" s="1" t="s">
        <v>1</v>
      </c>
      <c r="I3555" s="4" t="s">
        <v>3</v>
      </c>
      <c r="J3555" s="14">
        <v>0.72083333333333333</v>
      </c>
      <c r="K3555" s="20" t="str">
        <f t="shared" si="166"/>
        <v>2nd Shift</v>
      </c>
    </row>
    <row r="3556" spans="1:11" x14ac:dyDescent="0.25">
      <c r="A3556" s="1">
        <v>3555</v>
      </c>
      <c r="B3556" s="1">
        <v>3</v>
      </c>
      <c r="C3556" s="3">
        <v>3115270367100</v>
      </c>
      <c r="D3556" s="2">
        <v>44618.720833333333</v>
      </c>
      <c r="E3556" s="2">
        <v>44618.819444444445</v>
      </c>
      <c r="F3556" s="23">
        <f t="shared" si="165"/>
        <v>9.8611111112404615E-2</v>
      </c>
      <c r="G3556" s="24">
        <f t="shared" si="167"/>
        <v>126.76056337861894</v>
      </c>
      <c r="H3556" s="1" t="s">
        <v>1</v>
      </c>
      <c r="I3556" s="4" t="s">
        <v>8</v>
      </c>
      <c r="J3556" s="14">
        <v>0.72083333333333333</v>
      </c>
      <c r="K3556" s="20" t="str">
        <f t="shared" si="166"/>
        <v>2nd Shift</v>
      </c>
    </row>
    <row r="3557" spans="1:11" x14ac:dyDescent="0.25">
      <c r="A3557" s="1">
        <v>3556</v>
      </c>
      <c r="B3557" s="1">
        <v>1</v>
      </c>
      <c r="C3557" s="3">
        <v>1115270143301</v>
      </c>
      <c r="D3557" s="2">
        <v>44618.720833333333</v>
      </c>
      <c r="E3557" s="2">
        <v>44618.819444444445</v>
      </c>
      <c r="F3557" s="23">
        <f t="shared" si="165"/>
        <v>9.8611111112404615E-2</v>
      </c>
      <c r="G3557" s="24">
        <f t="shared" si="167"/>
        <v>126.76056337861894</v>
      </c>
      <c r="H3557" s="1" t="s">
        <v>1</v>
      </c>
      <c r="I3557" s="4" t="s">
        <v>8</v>
      </c>
      <c r="J3557" s="14">
        <v>0.72083333333333333</v>
      </c>
      <c r="K3557" s="20" t="str">
        <f t="shared" si="166"/>
        <v>2nd Shift</v>
      </c>
    </row>
    <row r="3558" spans="1:11" x14ac:dyDescent="0.25">
      <c r="A3558" s="1">
        <v>3557</v>
      </c>
      <c r="B3558" s="1">
        <v>1</v>
      </c>
      <c r="C3558" s="3">
        <v>1115270097300</v>
      </c>
      <c r="D3558" s="2">
        <v>44618.720833333333</v>
      </c>
      <c r="E3558" s="2">
        <v>44618.819444444445</v>
      </c>
      <c r="F3558" s="23">
        <f t="shared" si="165"/>
        <v>9.8611111112404615E-2</v>
      </c>
      <c r="G3558" s="24">
        <f t="shared" si="167"/>
        <v>126.76056337861894</v>
      </c>
      <c r="H3558" s="1" t="s">
        <v>1</v>
      </c>
      <c r="I3558" s="4" t="s">
        <v>3</v>
      </c>
      <c r="J3558" s="14">
        <v>0.72083333333333333</v>
      </c>
      <c r="K3558" s="20" t="str">
        <f t="shared" si="166"/>
        <v>2nd Shift</v>
      </c>
    </row>
    <row r="3559" spans="1:11" x14ac:dyDescent="0.25">
      <c r="A3559" s="1">
        <v>3558</v>
      </c>
      <c r="B3559" s="1">
        <v>14</v>
      </c>
      <c r="C3559" s="3">
        <v>14115271672905</v>
      </c>
      <c r="D3559" s="2">
        <v>44618.84375</v>
      </c>
      <c r="E3559" s="2">
        <v>44618.878472222219</v>
      </c>
      <c r="F3559" s="23">
        <f t="shared" si="165"/>
        <v>3.4722222218988463E-2</v>
      </c>
      <c r="G3559" s="24">
        <f t="shared" si="167"/>
        <v>360.00000003352761</v>
      </c>
      <c r="H3559" s="1" t="s">
        <v>1</v>
      </c>
      <c r="I3559" s="4" t="s">
        <v>3</v>
      </c>
      <c r="J3559" s="14">
        <v>0.84375</v>
      </c>
      <c r="K3559" s="20" t="str">
        <f t="shared" si="166"/>
        <v>2nd Shift</v>
      </c>
    </row>
    <row r="3560" spans="1:11" x14ac:dyDescent="0.25">
      <c r="A3560" s="1">
        <v>3559</v>
      </c>
      <c r="B3560" s="1">
        <v>1</v>
      </c>
      <c r="C3560" s="3">
        <v>1115270110800</v>
      </c>
      <c r="D3560" s="2">
        <v>44618.84375</v>
      </c>
      <c r="E3560" s="2">
        <v>44618.878472222219</v>
      </c>
      <c r="F3560" s="23">
        <f t="shared" si="165"/>
        <v>3.4722222218988463E-2</v>
      </c>
      <c r="G3560" s="24">
        <f t="shared" si="167"/>
        <v>360.00000003352761</v>
      </c>
      <c r="H3560" s="1" t="s">
        <v>1</v>
      </c>
      <c r="I3560" s="4" t="s">
        <v>4</v>
      </c>
      <c r="J3560" s="14">
        <v>0.84375</v>
      </c>
      <c r="K3560" s="20" t="str">
        <f t="shared" si="166"/>
        <v>2nd Shift</v>
      </c>
    </row>
    <row r="3561" spans="1:11" x14ac:dyDescent="0.25">
      <c r="A3561" s="1">
        <v>3560</v>
      </c>
      <c r="B3561" s="1">
        <v>3</v>
      </c>
      <c r="C3561" s="3">
        <v>3115270341005</v>
      </c>
      <c r="D3561" s="2">
        <v>44618.892361111109</v>
      </c>
      <c r="E3561" s="2">
        <v>44618.916666666664</v>
      </c>
      <c r="F3561" s="23">
        <f t="shared" si="165"/>
        <v>2.4305555554747116E-2</v>
      </c>
      <c r="G3561" s="24">
        <f t="shared" si="167"/>
        <v>514.28571430282022</v>
      </c>
      <c r="H3561" s="1" t="s">
        <v>1</v>
      </c>
      <c r="I3561" s="4" t="s">
        <v>3</v>
      </c>
      <c r="J3561" s="14">
        <v>0.89236111111111116</v>
      </c>
      <c r="K3561" s="20" t="str">
        <f t="shared" si="166"/>
        <v>2nd Shift</v>
      </c>
    </row>
    <row r="3562" spans="1:11" x14ac:dyDescent="0.25">
      <c r="A3562" s="1">
        <v>3561</v>
      </c>
      <c r="B3562" s="1">
        <v>10</v>
      </c>
      <c r="C3562" s="3">
        <v>10115271454206</v>
      </c>
      <c r="D3562" s="2">
        <v>44618.930555555555</v>
      </c>
      <c r="E3562" s="2">
        <v>44619.000011574077</v>
      </c>
      <c r="F3562" s="23">
        <f t="shared" si="165"/>
        <v>6.9456018522032537E-2</v>
      </c>
      <c r="G3562" s="24">
        <f t="shared" si="167"/>
        <v>179.97000499006151</v>
      </c>
      <c r="H3562" s="1" t="s">
        <v>1</v>
      </c>
      <c r="I3562" s="4" t="s">
        <v>3</v>
      </c>
      <c r="J3562" s="14">
        <v>0.93055555555555558</v>
      </c>
      <c r="K3562" s="20" t="str">
        <f t="shared" si="166"/>
        <v>3rd Shift</v>
      </c>
    </row>
    <row r="3563" spans="1:11" x14ac:dyDescent="0.25">
      <c r="A3563" s="1">
        <v>3562</v>
      </c>
      <c r="B3563" s="1">
        <v>12</v>
      </c>
      <c r="C3563" s="3">
        <v>12115271566801</v>
      </c>
      <c r="D3563" s="2">
        <v>44619.020833333336</v>
      </c>
      <c r="E3563" s="2">
        <v>44619.052083333336</v>
      </c>
      <c r="F3563" s="23">
        <f t="shared" si="165"/>
        <v>3.125E-2</v>
      </c>
      <c r="G3563" s="24">
        <f t="shared" si="167"/>
        <v>400</v>
      </c>
      <c r="H3563" s="1" t="s">
        <v>1</v>
      </c>
      <c r="I3563" s="4" t="s">
        <v>3</v>
      </c>
      <c r="J3563" s="14">
        <v>2.0833333333333332E-2</v>
      </c>
      <c r="K3563" s="20" t="str">
        <f t="shared" si="166"/>
        <v>3rd Shift</v>
      </c>
    </row>
    <row r="3564" spans="1:11" x14ac:dyDescent="0.25">
      <c r="A3564" s="1">
        <v>3563</v>
      </c>
      <c r="B3564" s="1">
        <v>8</v>
      </c>
      <c r="C3564" s="3">
        <v>8115271833900</v>
      </c>
      <c r="D3564" s="2">
        <v>44619.020833333336</v>
      </c>
      <c r="E3564" s="2">
        <v>44619.052083333336</v>
      </c>
      <c r="F3564" s="23">
        <f t="shared" si="165"/>
        <v>3.125E-2</v>
      </c>
      <c r="G3564" s="24">
        <f t="shared" si="167"/>
        <v>400</v>
      </c>
      <c r="H3564" s="1" t="s">
        <v>1</v>
      </c>
      <c r="I3564" s="4" t="s">
        <v>2</v>
      </c>
      <c r="J3564" s="14">
        <v>2.0833333333333332E-2</v>
      </c>
      <c r="K3564" s="20" t="str">
        <f t="shared" si="166"/>
        <v>3rd Shift</v>
      </c>
    </row>
    <row r="3565" spans="1:11" x14ac:dyDescent="0.25">
      <c r="A3565" s="1">
        <v>3564</v>
      </c>
      <c r="B3565" s="1">
        <v>14</v>
      </c>
      <c r="C3565" s="3">
        <v>14115271687624</v>
      </c>
      <c r="D3565" s="2">
        <v>44619.447916666664</v>
      </c>
      <c r="E3565" s="2">
        <v>44619.59375</v>
      </c>
      <c r="F3565" s="23">
        <f t="shared" si="165"/>
        <v>0.14583333333575865</v>
      </c>
      <c r="G3565" s="24">
        <f t="shared" si="167"/>
        <v>85.714285712860217</v>
      </c>
      <c r="H3565" s="1" t="s">
        <v>1</v>
      </c>
      <c r="I3565" s="4" t="s">
        <v>2</v>
      </c>
      <c r="J3565" s="14">
        <v>0.44791666666666669</v>
      </c>
      <c r="K3565" s="20" t="str">
        <f t="shared" si="166"/>
        <v>1st Shift</v>
      </c>
    </row>
    <row r="3566" spans="1:11" x14ac:dyDescent="0.25">
      <c r="A3566" s="1">
        <v>3565</v>
      </c>
      <c r="B3566" s="1">
        <v>12</v>
      </c>
      <c r="C3566" s="3">
        <v>12115271571055</v>
      </c>
      <c r="D3566" s="2">
        <v>44619.447916666664</v>
      </c>
      <c r="E3566" s="2">
        <v>44619.59375</v>
      </c>
      <c r="F3566" s="23">
        <f t="shared" si="165"/>
        <v>0.14583333333575865</v>
      </c>
      <c r="G3566" s="24">
        <f t="shared" si="167"/>
        <v>85.714285712860217</v>
      </c>
      <c r="H3566" s="1" t="s">
        <v>1</v>
      </c>
      <c r="I3566" s="4" t="s">
        <v>2</v>
      </c>
      <c r="J3566" s="14">
        <v>0.44791666666666669</v>
      </c>
      <c r="K3566" s="20" t="str">
        <f t="shared" si="166"/>
        <v>1st Shift</v>
      </c>
    </row>
    <row r="3567" spans="1:11" x14ac:dyDescent="0.25">
      <c r="A3567" s="1">
        <v>3566</v>
      </c>
      <c r="B3567" s="1">
        <v>11</v>
      </c>
      <c r="C3567" s="3">
        <v>11115271542511</v>
      </c>
      <c r="D3567" s="2">
        <v>44619.447916666664</v>
      </c>
      <c r="E3567" s="2">
        <v>44619.59375</v>
      </c>
      <c r="F3567" s="23">
        <f t="shared" si="165"/>
        <v>0.14583333333575865</v>
      </c>
      <c r="G3567" s="24">
        <f t="shared" si="167"/>
        <v>85.714285712860217</v>
      </c>
      <c r="H3567" s="1" t="s">
        <v>1</v>
      </c>
      <c r="I3567" s="4" t="s">
        <v>2</v>
      </c>
      <c r="J3567" s="14">
        <v>0.44791666666666669</v>
      </c>
      <c r="K3567" s="20" t="str">
        <f t="shared" si="166"/>
        <v>1st Shift</v>
      </c>
    </row>
    <row r="3568" spans="1:11" x14ac:dyDescent="0.25">
      <c r="A3568" s="1">
        <v>3567</v>
      </c>
      <c r="B3568" s="1">
        <v>8</v>
      </c>
      <c r="C3568" s="3">
        <v>8115271878302</v>
      </c>
      <c r="D3568" s="2">
        <v>44619.5625</v>
      </c>
      <c r="E3568" s="2">
        <v>44619.59375</v>
      </c>
      <c r="F3568" s="23">
        <f t="shared" si="165"/>
        <v>3.125E-2</v>
      </c>
      <c r="G3568" s="24">
        <f t="shared" si="167"/>
        <v>400</v>
      </c>
      <c r="H3568" s="1" t="s">
        <v>1</v>
      </c>
      <c r="I3568" s="4" t="s">
        <v>2</v>
      </c>
      <c r="J3568" s="14">
        <v>0.5625</v>
      </c>
      <c r="K3568" s="20" t="str">
        <f t="shared" si="166"/>
        <v>1st Shift</v>
      </c>
    </row>
    <row r="3569" spans="1:11" x14ac:dyDescent="0.25">
      <c r="A3569" s="1">
        <v>3568</v>
      </c>
      <c r="B3569" s="1">
        <v>7</v>
      </c>
      <c r="C3569" s="3">
        <v>7115271783902</v>
      </c>
      <c r="D3569" s="2">
        <v>44619.5625</v>
      </c>
      <c r="E3569" s="2">
        <v>44619.59375</v>
      </c>
      <c r="F3569" s="23">
        <f t="shared" si="165"/>
        <v>3.125E-2</v>
      </c>
      <c r="G3569" s="24">
        <f t="shared" si="167"/>
        <v>400</v>
      </c>
      <c r="H3569" s="1" t="s">
        <v>1</v>
      </c>
      <c r="I3569" s="4" t="s">
        <v>2</v>
      </c>
      <c r="J3569" s="14">
        <v>0.5625</v>
      </c>
      <c r="K3569" s="20" t="str">
        <f t="shared" si="166"/>
        <v>1st Shift</v>
      </c>
    </row>
    <row r="3570" spans="1:11" x14ac:dyDescent="0.25">
      <c r="A3570" s="1">
        <v>3569</v>
      </c>
      <c r="B3570" s="1">
        <v>6</v>
      </c>
      <c r="C3570" s="3">
        <v>6115271773730</v>
      </c>
      <c r="D3570" s="2">
        <v>44619.447916666664</v>
      </c>
      <c r="E3570" s="2">
        <v>44619.59375</v>
      </c>
      <c r="F3570" s="23">
        <f t="shared" si="165"/>
        <v>0.14583333333575865</v>
      </c>
      <c r="G3570" s="24">
        <f t="shared" si="167"/>
        <v>85.714285712860217</v>
      </c>
      <c r="H3570" s="1" t="s">
        <v>1</v>
      </c>
      <c r="I3570" s="4" t="s">
        <v>2</v>
      </c>
      <c r="J3570" s="14">
        <v>0.44791666666666669</v>
      </c>
      <c r="K3570" s="20" t="str">
        <f t="shared" si="166"/>
        <v>1st Shift</v>
      </c>
    </row>
    <row r="3571" spans="1:11" x14ac:dyDescent="0.25">
      <c r="A3571" s="1">
        <v>3570</v>
      </c>
      <c r="B3571" s="1">
        <v>3</v>
      </c>
      <c r="C3571" s="3">
        <v>3115270366706</v>
      </c>
      <c r="D3571" s="2">
        <v>44619.506944444445</v>
      </c>
      <c r="E3571" s="2">
        <v>44619.59375</v>
      </c>
      <c r="F3571" s="23">
        <f t="shared" si="165"/>
        <v>8.6805555554747116E-2</v>
      </c>
      <c r="G3571" s="24">
        <f t="shared" si="167"/>
        <v>144.00000000134111</v>
      </c>
      <c r="H3571" s="1" t="s">
        <v>1</v>
      </c>
      <c r="I3571" s="4" t="s">
        <v>3</v>
      </c>
      <c r="J3571" s="14">
        <v>0.50694444444444442</v>
      </c>
      <c r="K3571" s="20" t="str">
        <f t="shared" si="166"/>
        <v>1st Shift</v>
      </c>
    </row>
    <row r="3572" spans="1:11" x14ac:dyDescent="0.25">
      <c r="A3572" s="1">
        <v>3571</v>
      </c>
      <c r="B3572" s="1">
        <v>1</v>
      </c>
      <c r="C3572" s="3">
        <v>1115270071500</v>
      </c>
      <c r="D3572" s="2">
        <v>44619.506944444445</v>
      </c>
      <c r="E3572" s="2">
        <v>44619.59375</v>
      </c>
      <c r="F3572" s="23">
        <f t="shared" si="165"/>
        <v>8.6805555554747116E-2</v>
      </c>
      <c r="G3572" s="24">
        <f t="shared" si="167"/>
        <v>144.00000000134111</v>
      </c>
      <c r="H3572" s="1" t="s">
        <v>1</v>
      </c>
      <c r="I3572" s="4" t="s">
        <v>3</v>
      </c>
      <c r="J3572" s="14">
        <v>0.50694444444444442</v>
      </c>
      <c r="K3572" s="20" t="str">
        <f t="shared" si="166"/>
        <v>1st Shift</v>
      </c>
    </row>
    <row r="3573" spans="1:11" x14ac:dyDescent="0.25">
      <c r="A3573" s="1">
        <v>3572</v>
      </c>
      <c r="B3573" s="1">
        <v>7</v>
      </c>
      <c r="C3573" s="3">
        <v>7115271768201</v>
      </c>
      <c r="D3573" s="2">
        <v>44619.644444444442</v>
      </c>
      <c r="E3573" s="2">
        <v>44619.684027777781</v>
      </c>
      <c r="F3573" s="23">
        <f t="shared" si="165"/>
        <v>3.9583333338669036E-2</v>
      </c>
      <c r="G3573" s="24">
        <f t="shared" si="167"/>
        <v>315.78947364164316</v>
      </c>
      <c r="H3573" s="1" t="s">
        <v>1</v>
      </c>
      <c r="I3573" s="4" t="s">
        <v>2</v>
      </c>
      <c r="J3573" s="14">
        <v>0.64444444444444449</v>
      </c>
      <c r="K3573" s="20" t="str">
        <f t="shared" si="166"/>
        <v>2nd Shift</v>
      </c>
    </row>
    <row r="3574" spans="1:11" x14ac:dyDescent="0.25">
      <c r="A3574" s="1">
        <v>3573</v>
      </c>
      <c r="B3574" s="1">
        <v>6</v>
      </c>
      <c r="C3574" s="3">
        <v>6115271745800</v>
      </c>
      <c r="D3574" s="2">
        <v>44619.644444444442</v>
      </c>
      <c r="E3574" s="2">
        <v>44619.684027777781</v>
      </c>
      <c r="F3574" s="23">
        <f t="shared" si="165"/>
        <v>3.9583333338669036E-2</v>
      </c>
      <c r="G3574" s="24">
        <f t="shared" si="167"/>
        <v>315.78947364164316</v>
      </c>
      <c r="H3574" s="1" t="s">
        <v>1</v>
      </c>
      <c r="I3574" s="4" t="s">
        <v>2</v>
      </c>
      <c r="J3574" s="14">
        <v>0.64444444444444449</v>
      </c>
      <c r="K3574" s="20" t="str">
        <f t="shared" si="166"/>
        <v>2nd Shift</v>
      </c>
    </row>
    <row r="3575" spans="1:11" x14ac:dyDescent="0.25">
      <c r="A3575" s="1">
        <v>3574</v>
      </c>
      <c r="B3575" s="1">
        <v>1</v>
      </c>
      <c r="C3575" s="3">
        <v>1115270112500</v>
      </c>
      <c r="D3575" s="2">
        <v>44619.791666666664</v>
      </c>
      <c r="E3575" s="2">
        <v>44619.826388888891</v>
      </c>
      <c r="F3575" s="23">
        <f t="shared" si="165"/>
        <v>3.4722222226264421E-2</v>
      </c>
      <c r="G3575" s="24">
        <f t="shared" si="167"/>
        <v>359.99999995809048</v>
      </c>
      <c r="H3575" s="1" t="s">
        <v>1</v>
      </c>
      <c r="I3575" s="4" t="s">
        <v>2</v>
      </c>
      <c r="J3575" s="14">
        <v>0.79166666666666663</v>
      </c>
      <c r="K3575" s="20" t="str">
        <f t="shared" si="166"/>
        <v>2nd Shift</v>
      </c>
    </row>
    <row r="3576" spans="1:11" x14ac:dyDescent="0.25">
      <c r="A3576" s="1">
        <v>3575</v>
      </c>
      <c r="B3576" s="1">
        <v>12</v>
      </c>
      <c r="C3576" s="3">
        <v>12115271571058</v>
      </c>
      <c r="D3576" s="2">
        <v>44619.829861111109</v>
      </c>
      <c r="E3576" s="2">
        <v>44619.899305555555</v>
      </c>
      <c r="F3576" s="23">
        <f t="shared" si="165"/>
        <v>6.9444444445252884E-2</v>
      </c>
      <c r="G3576" s="24">
        <f t="shared" si="167"/>
        <v>179.99999999790452</v>
      </c>
      <c r="H3576" s="1" t="s">
        <v>1</v>
      </c>
      <c r="I3576" s="4" t="s">
        <v>2</v>
      </c>
      <c r="J3576" s="14">
        <v>0.82986111111111116</v>
      </c>
      <c r="K3576" s="20" t="str">
        <f t="shared" si="166"/>
        <v>2nd Shift</v>
      </c>
    </row>
    <row r="3577" spans="1:11" x14ac:dyDescent="0.25">
      <c r="A3577" s="1">
        <v>3576</v>
      </c>
      <c r="B3577" s="1">
        <v>3</v>
      </c>
      <c r="C3577" s="3">
        <v>3115270366800</v>
      </c>
      <c r="D3577" s="2">
        <v>44619.947916666664</v>
      </c>
      <c r="E3577" s="2">
        <v>44620.034722222219</v>
      </c>
      <c r="F3577" s="23">
        <f t="shared" si="165"/>
        <v>8.6805555554747116E-2</v>
      </c>
      <c r="G3577" s="24">
        <f t="shared" si="167"/>
        <v>144.00000000134111</v>
      </c>
      <c r="H3577" s="1" t="s">
        <v>1</v>
      </c>
      <c r="I3577" s="4" t="s">
        <v>2</v>
      </c>
      <c r="J3577" s="14">
        <v>0.94791666666666663</v>
      </c>
      <c r="K3577" s="20" t="str">
        <f t="shared" si="166"/>
        <v>3rd Shift</v>
      </c>
    </row>
    <row r="3578" spans="1:11" x14ac:dyDescent="0.25">
      <c r="A3578" s="1">
        <v>3577</v>
      </c>
      <c r="B3578" s="1">
        <v>2</v>
      </c>
      <c r="C3578" s="3">
        <v>2115270200801</v>
      </c>
      <c r="D3578" s="2">
        <v>44619.947916666664</v>
      </c>
      <c r="E3578" s="2">
        <v>44620.034722222219</v>
      </c>
      <c r="F3578" s="23">
        <f t="shared" si="165"/>
        <v>8.6805555554747116E-2</v>
      </c>
      <c r="G3578" s="24">
        <f t="shared" si="167"/>
        <v>144.00000000134111</v>
      </c>
      <c r="H3578" s="1" t="s">
        <v>1</v>
      </c>
      <c r="I3578" s="4" t="s">
        <v>8</v>
      </c>
      <c r="J3578" s="14">
        <v>0.94791666666666663</v>
      </c>
      <c r="K3578" s="20" t="str">
        <f t="shared" si="166"/>
        <v>3rd Shift</v>
      </c>
    </row>
    <row r="3579" spans="1:11" x14ac:dyDescent="0.25">
      <c r="A3579" s="1">
        <v>3578</v>
      </c>
      <c r="B3579" s="1">
        <v>7</v>
      </c>
      <c r="C3579" s="3">
        <v>7115271787212</v>
      </c>
      <c r="D3579" s="2">
        <v>44620.065972222219</v>
      </c>
      <c r="E3579" s="2">
        <v>44620.097222222219</v>
      </c>
      <c r="F3579" s="23">
        <f t="shared" si="165"/>
        <v>3.125E-2</v>
      </c>
      <c r="G3579" s="24">
        <f t="shared" si="167"/>
        <v>400</v>
      </c>
      <c r="H3579" s="1" t="s">
        <v>1</v>
      </c>
      <c r="I3579" s="4" t="s">
        <v>2</v>
      </c>
      <c r="J3579" s="14">
        <v>6.5972222222222224E-2</v>
      </c>
      <c r="K3579" s="20" t="str">
        <f t="shared" si="166"/>
        <v>3rd Shift</v>
      </c>
    </row>
    <row r="3580" spans="1:11" x14ac:dyDescent="0.25">
      <c r="A3580" s="1">
        <v>3579</v>
      </c>
      <c r="B3580" s="1">
        <v>12</v>
      </c>
      <c r="C3580" s="3">
        <v>12115271581003</v>
      </c>
      <c r="D3580" s="2">
        <v>44620.135416666664</v>
      </c>
      <c r="E3580" s="2">
        <v>44620.180555555555</v>
      </c>
      <c r="F3580" s="23">
        <f t="shared" si="165"/>
        <v>4.5138888890505768E-2</v>
      </c>
      <c r="G3580" s="24">
        <f t="shared" si="167"/>
        <v>276.9230769131575</v>
      </c>
      <c r="H3580" s="1" t="s">
        <v>1</v>
      </c>
      <c r="I3580" s="4" t="s">
        <v>3</v>
      </c>
      <c r="J3580" s="14">
        <v>0.13541666666666666</v>
      </c>
      <c r="K3580" s="20" t="str">
        <f t="shared" si="166"/>
        <v>3rd Shift</v>
      </c>
    </row>
    <row r="3581" spans="1:11" x14ac:dyDescent="0.25">
      <c r="A3581" s="1">
        <v>3580</v>
      </c>
      <c r="B3581" s="1">
        <v>7</v>
      </c>
      <c r="C3581" s="3">
        <v>7115271795607</v>
      </c>
      <c r="D3581" s="2">
        <v>44620.135416666664</v>
      </c>
      <c r="E3581" s="2">
        <v>44620.180555555555</v>
      </c>
      <c r="F3581" s="23">
        <f t="shared" si="165"/>
        <v>4.5138888890505768E-2</v>
      </c>
      <c r="G3581" s="24">
        <f t="shared" si="167"/>
        <v>276.9230769131575</v>
      </c>
      <c r="H3581" s="1" t="s">
        <v>1</v>
      </c>
      <c r="I3581" s="4" t="s">
        <v>3</v>
      </c>
      <c r="J3581" s="14">
        <v>0.13541666666666666</v>
      </c>
      <c r="K3581" s="20" t="str">
        <f t="shared" si="166"/>
        <v>3rd Shift</v>
      </c>
    </row>
    <row r="3582" spans="1:11" x14ac:dyDescent="0.25">
      <c r="A3582" s="1">
        <v>3581</v>
      </c>
      <c r="B3582" s="1">
        <v>12</v>
      </c>
      <c r="C3582" s="3">
        <v>12115271573213</v>
      </c>
      <c r="D3582" s="2">
        <v>44620.364583333336</v>
      </c>
      <c r="E3582" s="2">
        <v>44620.385416666664</v>
      </c>
      <c r="F3582" s="23">
        <f t="shared" si="165"/>
        <v>2.0833333328482695E-2</v>
      </c>
      <c r="G3582" s="24">
        <f t="shared" si="167"/>
        <v>600.00000013969839</v>
      </c>
      <c r="H3582" s="1" t="s">
        <v>1</v>
      </c>
      <c r="I3582" s="4" t="s">
        <v>3</v>
      </c>
      <c r="J3582" s="14">
        <v>0.36458333333333331</v>
      </c>
      <c r="K3582" s="20" t="str">
        <f t="shared" si="166"/>
        <v>1st Shift</v>
      </c>
    </row>
    <row r="3583" spans="1:11" x14ac:dyDescent="0.25">
      <c r="A3583" s="1">
        <v>3582</v>
      </c>
      <c r="B3583" s="1">
        <v>14</v>
      </c>
      <c r="C3583" s="3">
        <v>14115271672607</v>
      </c>
      <c r="D3583" s="2">
        <v>44620.46875</v>
      </c>
      <c r="E3583" s="2">
        <v>44620.583333333336</v>
      </c>
      <c r="F3583" s="23">
        <f t="shared" si="165"/>
        <v>0.11458333333575865</v>
      </c>
      <c r="G3583" s="24">
        <f t="shared" si="167"/>
        <v>109.09090908860001</v>
      </c>
      <c r="H3583" s="1" t="s">
        <v>1</v>
      </c>
      <c r="I3583" s="4" t="s">
        <v>2</v>
      </c>
      <c r="J3583" s="14">
        <v>0.46875</v>
      </c>
      <c r="K3583" s="20" t="str">
        <f t="shared" si="166"/>
        <v>1st Shift</v>
      </c>
    </row>
    <row r="3584" spans="1:11" x14ac:dyDescent="0.25">
      <c r="A3584" s="1">
        <v>3583</v>
      </c>
      <c r="B3584" s="1">
        <v>13</v>
      </c>
      <c r="C3584" s="3">
        <v>13115271591204</v>
      </c>
      <c r="D3584" s="2">
        <v>44620.46875</v>
      </c>
      <c r="E3584" s="2">
        <v>44620.583333333336</v>
      </c>
      <c r="F3584" s="23">
        <f t="shared" si="165"/>
        <v>0.11458333333575865</v>
      </c>
      <c r="G3584" s="24">
        <f t="shared" si="167"/>
        <v>109.09090908860001</v>
      </c>
      <c r="H3584" s="1" t="s">
        <v>1</v>
      </c>
      <c r="I3584" s="4" t="s">
        <v>2</v>
      </c>
      <c r="J3584" s="14">
        <v>0.46875</v>
      </c>
      <c r="K3584" s="20" t="str">
        <f t="shared" si="166"/>
        <v>1st Shift</v>
      </c>
    </row>
    <row r="3585" spans="1:11" x14ac:dyDescent="0.25">
      <c r="A3585" s="1">
        <v>3584</v>
      </c>
      <c r="B3585" s="1">
        <v>10</v>
      </c>
      <c r="C3585" s="3">
        <v>10115271454100</v>
      </c>
      <c r="D3585" s="2">
        <v>44620.46875</v>
      </c>
      <c r="E3585" s="2">
        <v>44620.583333333336</v>
      </c>
      <c r="F3585" s="23">
        <f t="shared" si="165"/>
        <v>0.11458333333575865</v>
      </c>
      <c r="G3585" s="24">
        <f t="shared" si="167"/>
        <v>109.09090908860001</v>
      </c>
      <c r="H3585" s="1" t="s">
        <v>1</v>
      </c>
      <c r="I3585" s="4" t="s">
        <v>3</v>
      </c>
      <c r="J3585" s="14">
        <v>0.46875</v>
      </c>
      <c r="K3585" s="20" t="str">
        <f t="shared" si="166"/>
        <v>1st Shift</v>
      </c>
    </row>
    <row r="3586" spans="1:11" x14ac:dyDescent="0.25">
      <c r="A3586" s="1">
        <v>3585</v>
      </c>
      <c r="B3586" s="1">
        <v>7</v>
      </c>
      <c r="C3586" s="3">
        <v>7115271783900</v>
      </c>
      <c r="D3586" s="2">
        <v>44620.555555555555</v>
      </c>
      <c r="E3586" s="2">
        <v>44620.583333333336</v>
      </c>
      <c r="F3586" s="23">
        <f t="shared" ref="F3586:F3649" si="168">E3586-D3586</f>
        <v>2.7777777781011537E-2</v>
      </c>
      <c r="G3586" s="24">
        <f t="shared" si="167"/>
        <v>449.99999994761311</v>
      </c>
      <c r="H3586" s="1" t="s">
        <v>1</v>
      </c>
      <c r="I3586" s="4" t="s">
        <v>2</v>
      </c>
      <c r="J3586" s="14">
        <v>0.55555555555555558</v>
      </c>
      <c r="K3586" s="20" t="str">
        <f t="shared" ref="K3586:K3649" si="169">IF(AND(J3586&gt;=$M$3,J3586&lt;$M$4),"1st Shift",IF(AND(J3586&gt;=$M$4,J3586&lt;$M$5),"2nd Shift","3rd Shift"))</f>
        <v>1st Shift</v>
      </c>
    </row>
    <row r="3587" spans="1:11" x14ac:dyDescent="0.25">
      <c r="A3587" s="1">
        <v>3586</v>
      </c>
      <c r="B3587" s="1">
        <v>6</v>
      </c>
      <c r="C3587" s="3">
        <v>6115271723505</v>
      </c>
      <c r="D3587" s="2">
        <v>44620.46875</v>
      </c>
      <c r="E3587" s="2">
        <v>44620.583333333336</v>
      </c>
      <c r="F3587" s="23">
        <f t="shared" si="168"/>
        <v>0.11458333333575865</v>
      </c>
      <c r="G3587" s="24">
        <f t="shared" ref="G3587:G3650" si="170">$M$9/F3587*100</f>
        <v>109.09090908860001</v>
      </c>
      <c r="H3587" s="1" t="s">
        <v>1</v>
      </c>
      <c r="I3587" s="4" t="s">
        <v>2</v>
      </c>
      <c r="J3587" s="14">
        <v>0.46875</v>
      </c>
      <c r="K3587" s="20" t="str">
        <f t="shared" si="169"/>
        <v>1st Shift</v>
      </c>
    </row>
    <row r="3588" spans="1:11" x14ac:dyDescent="0.25">
      <c r="A3588" s="1">
        <v>3587</v>
      </c>
      <c r="B3588" s="1">
        <v>3</v>
      </c>
      <c r="C3588" s="3">
        <v>3115270386302</v>
      </c>
      <c r="D3588" s="2">
        <v>44620.53125</v>
      </c>
      <c r="E3588" s="2">
        <v>44620.583333333336</v>
      </c>
      <c r="F3588" s="23">
        <f t="shared" si="168"/>
        <v>5.2083333335758653E-2</v>
      </c>
      <c r="G3588" s="24">
        <f t="shared" si="170"/>
        <v>239.99999998882413</v>
      </c>
      <c r="H3588" s="1" t="s">
        <v>1</v>
      </c>
      <c r="I3588" s="4" t="s">
        <v>2</v>
      </c>
      <c r="J3588" s="14">
        <v>0.53125</v>
      </c>
      <c r="K3588" s="20" t="str">
        <f t="shared" si="169"/>
        <v>1st Shift</v>
      </c>
    </row>
    <row r="3589" spans="1:11" x14ac:dyDescent="0.25">
      <c r="A3589" s="1">
        <v>3588</v>
      </c>
      <c r="B3589" s="1">
        <v>1</v>
      </c>
      <c r="C3589" s="3">
        <v>1115270066900</v>
      </c>
      <c r="D3589" s="2">
        <v>44620.618055555555</v>
      </c>
      <c r="E3589" s="2">
        <v>44620.708333333336</v>
      </c>
      <c r="F3589" s="23">
        <f t="shared" si="168"/>
        <v>9.0277777781011537E-2</v>
      </c>
      <c r="G3589" s="24">
        <f t="shared" si="170"/>
        <v>138.46153845657875</v>
      </c>
      <c r="H3589" s="1" t="s">
        <v>1</v>
      </c>
      <c r="I3589" s="4" t="s">
        <v>2</v>
      </c>
      <c r="J3589" s="14">
        <v>0.61805555555555558</v>
      </c>
      <c r="K3589" s="20" t="str">
        <f t="shared" si="169"/>
        <v>2nd Shift</v>
      </c>
    </row>
    <row r="3590" spans="1:11" x14ac:dyDescent="0.25">
      <c r="A3590" s="1">
        <v>3589</v>
      </c>
      <c r="B3590" s="1">
        <v>7</v>
      </c>
      <c r="C3590" s="3">
        <v>7115271787213</v>
      </c>
      <c r="D3590" s="2">
        <v>44620.770833333336</v>
      </c>
      <c r="E3590" s="2">
        <v>44620.899305555555</v>
      </c>
      <c r="F3590" s="23">
        <f t="shared" si="168"/>
        <v>0.12847222221898846</v>
      </c>
      <c r="G3590" s="24">
        <f t="shared" si="170"/>
        <v>97.297297299746361</v>
      </c>
      <c r="H3590" s="1" t="s">
        <v>1</v>
      </c>
      <c r="I3590" s="4" t="s">
        <v>2</v>
      </c>
      <c r="J3590" s="14">
        <v>0.77083333333333337</v>
      </c>
      <c r="K3590" s="20" t="str">
        <f t="shared" si="169"/>
        <v>2nd Shift</v>
      </c>
    </row>
    <row r="3591" spans="1:11" x14ac:dyDescent="0.25">
      <c r="A3591" s="1">
        <v>3590</v>
      </c>
      <c r="B3591" s="1">
        <v>5</v>
      </c>
      <c r="C3591" s="3">
        <v>5115271256500</v>
      </c>
      <c r="D3591" s="2">
        <v>44620.770833333336</v>
      </c>
      <c r="E3591" s="2">
        <v>44620.899305555555</v>
      </c>
      <c r="F3591" s="23">
        <f t="shared" si="168"/>
        <v>0.12847222221898846</v>
      </c>
      <c r="G3591" s="24">
        <f t="shared" si="170"/>
        <v>97.297297299746361</v>
      </c>
      <c r="H3591" s="1" t="s">
        <v>1</v>
      </c>
      <c r="I3591" s="4" t="s">
        <v>2</v>
      </c>
      <c r="J3591" s="14">
        <v>0.77083333333333337</v>
      </c>
      <c r="K3591" s="20" t="str">
        <f t="shared" si="169"/>
        <v>2nd Shift</v>
      </c>
    </row>
    <row r="3592" spans="1:11" x14ac:dyDescent="0.25">
      <c r="A3592" s="1">
        <v>3591</v>
      </c>
      <c r="B3592" s="1">
        <v>1</v>
      </c>
      <c r="C3592" s="3">
        <v>1115270097105</v>
      </c>
      <c r="D3592" s="2">
        <v>44620.770833333336</v>
      </c>
      <c r="E3592" s="2">
        <v>44620.899305555555</v>
      </c>
      <c r="F3592" s="23">
        <f t="shared" si="168"/>
        <v>0.12847222221898846</v>
      </c>
      <c r="G3592" s="24">
        <f t="shared" si="170"/>
        <v>97.297297299746361</v>
      </c>
      <c r="H3592" s="1" t="s">
        <v>1</v>
      </c>
      <c r="I3592" s="4" t="s">
        <v>2</v>
      </c>
      <c r="J3592" s="14">
        <v>0.77083333333333337</v>
      </c>
      <c r="K3592" s="20" t="str">
        <f t="shared" si="169"/>
        <v>2nd Shift</v>
      </c>
    </row>
    <row r="3593" spans="1:11" x14ac:dyDescent="0.25">
      <c r="A3593" s="1">
        <v>3592</v>
      </c>
      <c r="B3593" s="1">
        <v>11</v>
      </c>
      <c r="C3593" s="3">
        <v>11115271508805</v>
      </c>
      <c r="D3593" s="2">
        <v>44621.479166666664</v>
      </c>
      <c r="E3593" s="2">
        <v>44621.520833333336</v>
      </c>
      <c r="F3593" s="23">
        <f t="shared" si="168"/>
        <v>4.1666666671517305E-2</v>
      </c>
      <c r="G3593" s="24">
        <f t="shared" si="170"/>
        <v>299.9999999650754</v>
      </c>
      <c r="H3593" s="1" t="s">
        <v>1</v>
      </c>
      <c r="I3593" s="4" t="s">
        <v>3</v>
      </c>
      <c r="J3593" s="14">
        <v>0.47916666666666669</v>
      </c>
      <c r="K3593" s="20" t="str">
        <f t="shared" si="169"/>
        <v>1st Shift</v>
      </c>
    </row>
    <row r="3594" spans="1:11" x14ac:dyDescent="0.25">
      <c r="A3594" s="1">
        <v>3593</v>
      </c>
      <c r="B3594" s="1">
        <v>4</v>
      </c>
      <c r="C3594" s="3">
        <v>4115270836500</v>
      </c>
      <c r="D3594" s="2">
        <v>44621.479166666664</v>
      </c>
      <c r="E3594" s="2">
        <v>44621.520833333336</v>
      </c>
      <c r="F3594" s="23">
        <f t="shared" si="168"/>
        <v>4.1666666671517305E-2</v>
      </c>
      <c r="G3594" s="24">
        <f t="shared" si="170"/>
        <v>299.9999999650754</v>
      </c>
      <c r="H3594" s="1" t="s">
        <v>1</v>
      </c>
      <c r="I3594" s="4" t="s">
        <v>2</v>
      </c>
      <c r="J3594" s="14">
        <v>0.47916666666666669</v>
      </c>
      <c r="K3594" s="20" t="str">
        <f t="shared" si="169"/>
        <v>1st Shift</v>
      </c>
    </row>
    <row r="3595" spans="1:11" x14ac:dyDescent="0.25">
      <c r="A3595" s="1">
        <v>3594</v>
      </c>
      <c r="B3595" s="1">
        <v>12</v>
      </c>
      <c r="C3595" s="3">
        <v>12115271560132</v>
      </c>
      <c r="D3595" s="2">
        <v>44621.607638888891</v>
      </c>
      <c r="E3595" s="2">
        <v>44621.729166666664</v>
      </c>
      <c r="F3595" s="23">
        <f t="shared" si="168"/>
        <v>0.12152777777373558</v>
      </c>
      <c r="G3595" s="24">
        <f t="shared" si="170"/>
        <v>102.85714286056404</v>
      </c>
      <c r="H3595" s="1" t="s">
        <v>1</v>
      </c>
      <c r="I3595" s="4" t="s">
        <v>2</v>
      </c>
      <c r="J3595" s="14">
        <v>0.60763888888888884</v>
      </c>
      <c r="K3595" s="20" t="str">
        <f t="shared" si="169"/>
        <v>2nd Shift</v>
      </c>
    </row>
    <row r="3596" spans="1:11" x14ac:dyDescent="0.25">
      <c r="A3596" s="1">
        <v>3595</v>
      </c>
      <c r="B3596" s="1">
        <v>10</v>
      </c>
      <c r="C3596" s="3">
        <v>10115271433500</v>
      </c>
      <c r="D3596" s="2">
        <v>44621.607638888891</v>
      </c>
      <c r="E3596" s="2">
        <v>44621.729166666664</v>
      </c>
      <c r="F3596" s="23">
        <f t="shared" si="168"/>
        <v>0.12152777777373558</v>
      </c>
      <c r="G3596" s="24">
        <f t="shared" si="170"/>
        <v>102.85714286056404</v>
      </c>
      <c r="H3596" s="1" t="s">
        <v>1</v>
      </c>
      <c r="I3596" s="4" t="s">
        <v>3</v>
      </c>
      <c r="J3596" s="14">
        <v>0.60763888888888884</v>
      </c>
      <c r="K3596" s="20" t="str">
        <f t="shared" si="169"/>
        <v>2nd Shift</v>
      </c>
    </row>
    <row r="3597" spans="1:11" x14ac:dyDescent="0.25">
      <c r="A3597" s="1">
        <v>3596</v>
      </c>
      <c r="B3597" s="1">
        <v>1</v>
      </c>
      <c r="C3597" s="3">
        <v>1115270074500</v>
      </c>
      <c r="D3597" s="2">
        <v>44621.607638888891</v>
      </c>
      <c r="E3597" s="2">
        <v>44621.729166666664</v>
      </c>
      <c r="F3597" s="23">
        <f t="shared" si="168"/>
        <v>0.12152777777373558</v>
      </c>
      <c r="G3597" s="24">
        <f t="shared" si="170"/>
        <v>102.85714286056404</v>
      </c>
      <c r="H3597" s="1" t="s">
        <v>1</v>
      </c>
      <c r="I3597" s="4" t="s">
        <v>2</v>
      </c>
      <c r="J3597" s="14">
        <v>0.60763888888888884</v>
      </c>
      <c r="K3597" s="20" t="str">
        <f t="shared" si="169"/>
        <v>2nd Shift</v>
      </c>
    </row>
    <row r="3598" spans="1:11" x14ac:dyDescent="0.25">
      <c r="A3598" s="1">
        <v>3597</v>
      </c>
      <c r="B3598" s="1">
        <v>11</v>
      </c>
      <c r="C3598" s="3">
        <v>11115271542703</v>
      </c>
      <c r="D3598" s="2">
        <v>44622.427083333336</v>
      </c>
      <c r="E3598" s="2">
        <v>44622.576388888891</v>
      </c>
      <c r="F3598" s="23">
        <f t="shared" si="168"/>
        <v>0.14930555555474712</v>
      </c>
      <c r="G3598" s="24">
        <f t="shared" si="170"/>
        <v>83.720930233011458</v>
      </c>
      <c r="H3598" s="1" t="s">
        <v>1</v>
      </c>
      <c r="I3598" s="4" t="s">
        <v>3</v>
      </c>
      <c r="J3598" s="14">
        <v>0.42708333333333331</v>
      </c>
      <c r="K3598" s="20" t="str">
        <f t="shared" si="169"/>
        <v>1st Shift</v>
      </c>
    </row>
    <row r="3599" spans="1:11" x14ac:dyDescent="0.25">
      <c r="A3599" s="1">
        <v>3598</v>
      </c>
      <c r="B3599" s="1">
        <v>9</v>
      </c>
      <c r="C3599" s="3">
        <v>9115271944000</v>
      </c>
      <c r="D3599" s="2">
        <v>44622.427083333336</v>
      </c>
      <c r="E3599" s="2">
        <v>44622.576388888891</v>
      </c>
      <c r="F3599" s="23">
        <f t="shared" si="168"/>
        <v>0.14930555555474712</v>
      </c>
      <c r="G3599" s="24">
        <f t="shared" si="170"/>
        <v>83.720930233011458</v>
      </c>
      <c r="H3599" s="1" t="s">
        <v>1</v>
      </c>
      <c r="I3599" s="4" t="s">
        <v>2</v>
      </c>
      <c r="J3599" s="14">
        <v>0.42708333333333331</v>
      </c>
      <c r="K3599" s="20" t="str">
        <f t="shared" si="169"/>
        <v>1st Shift</v>
      </c>
    </row>
    <row r="3600" spans="1:11" x14ac:dyDescent="0.25">
      <c r="A3600" s="1">
        <v>3599</v>
      </c>
      <c r="B3600" s="1">
        <v>7</v>
      </c>
      <c r="C3600" s="3">
        <v>7115271757800</v>
      </c>
      <c r="D3600" s="2">
        <v>44622.427083333336</v>
      </c>
      <c r="E3600" s="2">
        <v>44622.576388888891</v>
      </c>
      <c r="F3600" s="23">
        <f t="shared" si="168"/>
        <v>0.14930555555474712</v>
      </c>
      <c r="G3600" s="24">
        <f t="shared" si="170"/>
        <v>83.720930233011458</v>
      </c>
      <c r="H3600" s="1" t="s">
        <v>1</v>
      </c>
      <c r="I3600" s="4" t="s">
        <v>4</v>
      </c>
      <c r="J3600" s="14">
        <v>0.42708333333333331</v>
      </c>
      <c r="K3600" s="20" t="str">
        <f t="shared" si="169"/>
        <v>1st Shift</v>
      </c>
    </row>
    <row r="3601" spans="1:11" x14ac:dyDescent="0.25">
      <c r="A3601" s="1">
        <v>3600</v>
      </c>
      <c r="B3601" s="1">
        <v>5</v>
      </c>
      <c r="C3601" s="3">
        <v>5115271259500</v>
      </c>
      <c r="D3601" s="2">
        <v>44622.413194444445</v>
      </c>
      <c r="E3601" s="2">
        <v>44622.576388888891</v>
      </c>
      <c r="F3601" s="23">
        <f t="shared" si="168"/>
        <v>0.16319444444525288</v>
      </c>
      <c r="G3601" s="24">
        <f t="shared" si="170"/>
        <v>76.595744680471626</v>
      </c>
      <c r="H3601" s="1" t="s">
        <v>1</v>
      </c>
      <c r="I3601" s="4" t="s">
        <v>2</v>
      </c>
      <c r="J3601" s="14">
        <v>0.41319444444444442</v>
      </c>
      <c r="K3601" s="20" t="str">
        <f t="shared" si="169"/>
        <v>1st Shift</v>
      </c>
    </row>
    <row r="3602" spans="1:11" x14ac:dyDescent="0.25">
      <c r="A3602" s="1">
        <v>3601</v>
      </c>
      <c r="B3602" s="1">
        <v>3</v>
      </c>
      <c r="C3602" s="3">
        <v>3115270367100</v>
      </c>
      <c r="D3602" s="2">
        <v>44622.40625</v>
      </c>
      <c r="E3602" s="2">
        <v>44622.576388888891</v>
      </c>
      <c r="F3602" s="23">
        <f t="shared" si="168"/>
        <v>0.17013888889050577</v>
      </c>
      <c r="G3602" s="24">
        <f t="shared" si="170"/>
        <v>73.46938775440384</v>
      </c>
      <c r="H3602" s="1" t="s">
        <v>1</v>
      </c>
      <c r="I3602" s="4" t="s">
        <v>2</v>
      </c>
      <c r="J3602" s="14">
        <v>0.40625</v>
      </c>
      <c r="K3602" s="20" t="str">
        <f t="shared" si="169"/>
        <v>1st Shift</v>
      </c>
    </row>
    <row r="3603" spans="1:11" x14ac:dyDescent="0.25">
      <c r="A3603" s="1">
        <v>3602</v>
      </c>
      <c r="B3603" s="1">
        <v>12</v>
      </c>
      <c r="C3603" s="3">
        <v>12115271571057</v>
      </c>
      <c r="D3603" s="2">
        <v>44622.756944444445</v>
      </c>
      <c r="E3603" s="2">
        <v>44622.854166666664</v>
      </c>
      <c r="F3603" s="23">
        <f t="shared" si="168"/>
        <v>9.7222222218988463E-2</v>
      </c>
      <c r="G3603" s="24">
        <f t="shared" si="170"/>
        <v>128.57142857570506</v>
      </c>
      <c r="H3603" s="1" t="s">
        <v>1</v>
      </c>
      <c r="I3603" s="4" t="s">
        <v>2</v>
      </c>
      <c r="J3603" s="14">
        <v>0.75694444444444442</v>
      </c>
      <c r="K3603" s="20" t="str">
        <f t="shared" si="169"/>
        <v>2nd Shift</v>
      </c>
    </row>
    <row r="3604" spans="1:11" x14ac:dyDescent="0.25">
      <c r="A3604" s="1">
        <v>3603</v>
      </c>
      <c r="B3604" s="1">
        <v>10</v>
      </c>
      <c r="C3604" s="3">
        <v>10115271967900</v>
      </c>
      <c r="D3604" s="2">
        <v>44622.756944444445</v>
      </c>
      <c r="E3604" s="2">
        <v>44622.854166666664</v>
      </c>
      <c r="F3604" s="23">
        <f t="shared" si="168"/>
        <v>9.7222222218988463E-2</v>
      </c>
      <c r="G3604" s="24">
        <f t="shared" si="170"/>
        <v>128.57142857570506</v>
      </c>
      <c r="H3604" s="1" t="s">
        <v>1</v>
      </c>
      <c r="I3604" s="4" t="s">
        <v>2</v>
      </c>
      <c r="J3604" s="14">
        <v>0.75694444444444442</v>
      </c>
      <c r="K3604" s="20" t="str">
        <f t="shared" si="169"/>
        <v>2nd Shift</v>
      </c>
    </row>
    <row r="3605" spans="1:11" x14ac:dyDescent="0.25">
      <c r="A3605" s="1">
        <v>3604</v>
      </c>
      <c r="B3605" s="1">
        <v>7</v>
      </c>
      <c r="C3605" s="3">
        <v>7115271768107</v>
      </c>
      <c r="D3605" s="2">
        <v>44622.756944444445</v>
      </c>
      <c r="E3605" s="2">
        <v>44622.854166666664</v>
      </c>
      <c r="F3605" s="23">
        <f t="shared" si="168"/>
        <v>9.7222222218988463E-2</v>
      </c>
      <c r="G3605" s="24">
        <f t="shared" si="170"/>
        <v>128.57142857570506</v>
      </c>
      <c r="H3605" s="1" t="s">
        <v>1</v>
      </c>
      <c r="I3605" s="4" t="s">
        <v>2</v>
      </c>
      <c r="J3605" s="14">
        <v>0.75694444444444442</v>
      </c>
      <c r="K3605" s="20" t="str">
        <f t="shared" si="169"/>
        <v>2nd Shift</v>
      </c>
    </row>
    <row r="3606" spans="1:11" x14ac:dyDescent="0.25">
      <c r="A3606" s="1">
        <v>3605</v>
      </c>
      <c r="B3606" s="1">
        <v>2</v>
      </c>
      <c r="C3606" s="3">
        <v>2115270221300</v>
      </c>
      <c r="D3606" s="2">
        <v>44622.756944444445</v>
      </c>
      <c r="E3606" s="2">
        <v>44622.854166666664</v>
      </c>
      <c r="F3606" s="23">
        <f t="shared" si="168"/>
        <v>9.7222222218988463E-2</v>
      </c>
      <c r="G3606" s="24">
        <f t="shared" si="170"/>
        <v>128.57142857570506</v>
      </c>
      <c r="H3606" s="1" t="s">
        <v>1</v>
      </c>
      <c r="I3606" s="4" t="s">
        <v>2</v>
      </c>
      <c r="J3606" s="14">
        <v>0.75694444444444442</v>
      </c>
      <c r="K3606" s="20" t="str">
        <f t="shared" si="169"/>
        <v>2nd Shift</v>
      </c>
    </row>
    <row r="3607" spans="1:11" x14ac:dyDescent="0.25">
      <c r="A3607" s="1">
        <v>3606</v>
      </c>
      <c r="B3607" s="1">
        <v>4</v>
      </c>
      <c r="C3607" s="3">
        <v>4115270827200</v>
      </c>
      <c r="D3607" s="2">
        <v>44623.000011574077</v>
      </c>
      <c r="E3607" s="2">
        <v>44623.027777777781</v>
      </c>
      <c r="F3607" s="23">
        <f t="shared" si="168"/>
        <v>2.7766203704231884E-2</v>
      </c>
      <c r="G3607" s="24">
        <f t="shared" si="170"/>
        <v>450.18757814900204</v>
      </c>
      <c r="H3607" s="1" t="s">
        <v>1</v>
      </c>
      <c r="I3607" s="4" t="s">
        <v>2</v>
      </c>
      <c r="J3607" s="14">
        <v>1.1574074074074073E-5</v>
      </c>
      <c r="K3607" s="20" t="str">
        <f t="shared" si="169"/>
        <v>3rd Shift</v>
      </c>
    </row>
    <row r="3608" spans="1:11" x14ac:dyDescent="0.25">
      <c r="A3608" s="1">
        <v>3607</v>
      </c>
      <c r="B3608" s="1">
        <v>5</v>
      </c>
      <c r="C3608" s="3">
        <v>5115271296409</v>
      </c>
      <c r="D3608" s="2">
        <v>44623.052083333336</v>
      </c>
      <c r="E3608" s="2">
        <v>44623.114583333336</v>
      </c>
      <c r="F3608" s="23">
        <f t="shared" si="168"/>
        <v>6.25E-2</v>
      </c>
      <c r="G3608" s="24">
        <f t="shared" si="170"/>
        <v>200</v>
      </c>
      <c r="H3608" s="1" t="s">
        <v>1</v>
      </c>
      <c r="I3608" s="4" t="s">
        <v>4</v>
      </c>
      <c r="J3608" s="14">
        <v>5.2083333333333336E-2</v>
      </c>
      <c r="K3608" s="20" t="str">
        <f t="shared" si="169"/>
        <v>3rd Shift</v>
      </c>
    </row>
    <row r="3609" spans="1:11" x14ac:dyDescent="0.25">
      <c r="A3609" s="1">
        <v>3608</v>
      </c>
      <c r="B3609" s="1">
        <v>2</v>
      </c>
      <c r="C3609" s="3">
        <v>2115270218301</v>
      </c>
      <c r="D3609" s="2">
        <v>44623.052083333336</v>
      </c>
      <c r="E3609" s="2">
        <v>44623.114583333336</v>
      </c>
      <c r="F3609" s="23">
        <f t="shared" si="168"/>
        <v>6.25E-2</v>
      </c>
      <c r="G3609" s="24">
        <f t="shared" si="170"/>
        <v>200</v>
      </c>
      <c r="H3609" s="1" t="s">
        <v>1</v>
      </c>
      <c r="I3609" s="4" t="s">
        <v>3</v>
      </c>
      <c r="J3609" s="14">
        <v>5.2083333333333336E-2</v>
      </c>
      <c r="K3609" s="20" t="str">
        <f t="shared" si="169"/>
        <v>3rd Shift</v>
      </c>
    </row>
    <row r="3610" spans="1:11" x14ac:dyDescent="0.25">
      <c r="A3610" s="1">
        <v>3609</v>
      </c>
      <c r="B3610" s="1">
        <v>12</v>
      </c>
      <c r="C3610" s="3">
        <v>12115271560131</v>
      </c>
      <c r="D3610" s="2">
        <v>44623.34375</v>
      </c>
      <c r="E3610" s="2">
        <v>44623.4375</v>
      </c>
      <c r="F3610" s="23">
        <f t="shared" si="168"/>
        <v>9.375E-2</v>
      </c>
      <c r="G3610" s="24">
        <f t="shared" si="170"/>
        <v>133.33333333333331</v>
      </c>
      <c r="H3610" s="1" t="s">
        <v>1</v>
      </c>
      <c r="I3610" s="4" t="s">
        <v>2</v>
      </c>
      <c r="J3610" s="14">
        <v>0.34375</v>
      </c>
      <c r="K3610" s="20" t="str">
        <f t="shared" si="169"/>
        <v>1st Shift</v>
      </c>
    </row>
    <row r="3611" spans="1:11" x14ac:dyDescent="0.25">
      <c r="A3611" s="1">
        <v>3610</v>
      </c>
      <c r="B3611" s="1">
        <v>7</v>
      </c>
      <c r="C3611" s="3">
        <v>7115271768108</v>
      </c>
      <c r="D3611" s="2">
        <v>44623.34375</v>
      </c>
      <c r="E3611" s="2">
        <v>44623.4375</v>
      </c>
      <c r="F3611" s="23">
        <f t="shared" si="168"/>
        <v>9.375E-2</v>
      </c>
      <c r="G3611" s="24">
        <f t="shared" si="170"/>
        <v>133.33333333333331</v>
      </c>
      <c r="H3611" s="1" t="s">
        <v>1</v>
      </c>
      <c r="I3611" s="4" t="s">
        <v>3</v>
      </c>
      <c r="J3611" s="14">
        <v>0.34375</v>
      </c>
      <c r="K3611" s="20" t="str">
        <f t="shared" si="169"/>
        <v>1st Shift</v>
      </c>
    </row>
    <row r="3612" spans="1:11" x14ac:dyDescent="0.25">
      <c r="A3612" s="1">
        <v>3611</v>
      </c>
      <c r="B3612" s="1">
        <v>2</v>
      </c>
      <c r="C3612" s="3">
        <v>2115270295304</v>
      </c>
      <c r="D3612" s="2">
        <v>44623.368055555555</v>
      </c>
      <c r="E3612" s="2">
        <v>44623.4375</v>
      </c>
      <c r="F3612" s="23">
        <f t="shared" si="168"/>
        <v>6.9444444445252884E-2</v>
      </c>
      <c r="G3612" s="24">
        <f t="shared" si="170"/>
        <v>179.99999999790452</v>
      </c>
      <c r="H3612" s="1" t="s">
        <v>1</v>
      </c>
      <c r="I3612" s="4" t="s">
        <v>2</v>
      </c>
      <c r="J3612" s="14">
        <v>0.36805555555555558</v>
      </c>
      <c r="K3612" s="20" t="str">
        <f t="shared" si="169"/>
        <v>1st Shift</v>
      </c>
    </row>
    <row r="3613" spans="1:11" x14ac:dyDescent="0.25">
      <c r="A3613" s="1">
        <v>3612</v>
      </c>
      <c r="B3613" s="1">
        <v>13</v>
      </c>
      <c r="C3613" s="3">
        <v>13115271591705</v>
      </c>
      <c r="D3613" s="2">
        <v>44623.458333333336</v>
      </c>
      <c r="E3613" s="2">
        <v>44623.489583333336</v>
      </c>
      <c r="F3613" s="23">
        <f t="shared" si="168"/>
        <v>3.125E-2</v>
      </c>
      <c r="G3613" s="24">
        <f t="shared" si="170"/>
        <v>400</v>
      </c>
      <c r="H3613" s="1" t="s">
        <v>1</v>
      </c>
      <c r="I3613" s="4" t="s">
        <v>2</v>
      </c>
      <c r="J3613" s="14">
        <v>0.45833333333333331</v>
      </c>
      <c r="K3613" s="20" t="str">
        <f t="shared" si="169"/>
        <v>1st Shift</v>
      </c>
    </row>
    <row r="3614" spans="1:11" x14ac:dyDescent="0.25">
      <c r="A3614" s="1">
        <v>3613</v>
      </c>
      <c r="B3614" s="1">
        <v>14</v>
      </c>
      <c r="C3614" s="3">
        <v>14115271683403</v>
      </c>
      <c r="D3614" s="2">
        <v>44623.6875</v>
      </c>
      <c r="E3614" s="2">
        <v>44623.864583333336</v>
      </c>
      <c r="F3614" s="23">
        <f t="shared" si="168"/>
        <v>0.17708333333575865</v>
      </c>
      <c r="G3614" s="24">
        <f t="shared" si="170"/>
        <v>70.588235293150888</v>
      </c>
      <c r="H3614" s="1" t="s">
        <v>1</v>
      </c>
      <c r="I3614" s="4" t="s">
        <v>2</v>
      </c>
      <c r="J3614" s="14">
        <v>0.6875</v>
      </c>
      <c r="K3614" s="20" t="str">
        <f t="shared" si="169"/>
        <v>2nd Shift</v>
      </c>
    </row>
    <row r="3615" spans="1:11" x14ac:dyDescent="0.25">
      <c r="A3615" s="1">
        <v>3614</v>
      </c>
      <c r="B3615" s="1">
        <v>14</v>
      </c>
      <c r="C3615" s="3">
        <v>14115271677400</v>
      </c>
      <c r="D3615" s="2">
        <v>44623.6875</v>
      </c>
      <c r="E3615" s="2">
        <v>44623.864583333336</v>
      </c>
      <c r="F3615" s="23">
        <f t="shared" si="168"/>
        <v>0.17708333333575865</v>
      </c>
      <c r="G3615" s="24">
        <f t="shared" si="170"/>
        <v>70.588235293150888</v>
      </c>
      <c r="H3615" s="1" t="s">
        <v>1</v>
      </c>
      <c r="I3615" s="4" t="s">
        <v>3</v>
      </c>
      <c r="J3615" s="14">
        <v>0.6875</v>
      </c>
      <c r="K3615" s="20" t="str">
        <f t="shared" si="169"/>
        <v>2nd Shift</v>
      </c>
    </row>
    <row r="3616" spans="1:11" x14ac:dyDescent="0.25">
      <c r="A3616" s="1">
        <v>3615</v>
      </c>
      <c r="B3616" s="1">
        <v>14</v>
      </c>
      <c r="C3616" s="3">
        <v>14115271675316</v>
      </c>
      <c r="D3616" s="2">
        <v>44623.6875</v>
      </c>
      <c r="E3616" s="2">
        <v>44623.864583333336</v>
      </c>
      <c r="F3616" s="23">
        <f t="shared" si="168"/>
        <v>0.17708333333575865</v>
      </c>
      <c r="G3616" s="24">
        <f t="shared" si="170"/>
        <v>70.588235293150888</v>
      </c>
      <c r="H3616" s="1" t="s">
        <v>1</v>
      </c>
      <c r="I3616" s="4" t="s">
        <v>2</v>
      </c>
      <c r="J3616" s="14">
        <v>0.6875</v>
      </c>
      <c r="K3616" s="20" t="str">
        <f t="shared" si="169"/>
        <v>2nd Shift</v>
      </c>
    </row>
    <row r="3617" spans="1:11" x14ac:dyDescent="0.25">
      <c r="A3617" s="1">
        <v>3616</v>
      </c>
      <c r="B3617" s="1">
        <v>14</v>
      </c>
      <c r="C3617" s="3">
        <v>14115271672410</v>
      </c>
      <c r="D3617" s="2">
        <v>44623.6875</v>
      </c>
      <c r="E3617" s="2">
        <v>44623.864583333336</v>
      </c>
      <c r="F3617" s="23">
        <f t="shared" si="168"/>
        <v>0.17708333333575865</v>
      </c>
      <c r="G3617" s="24">
        <f t="shared" si="170"/>
        <v>70.588235293150888</v>
      </c>
      <c r="H3617" s="1" t="s">
        <v>1</v>
      </c>
      <c r="I3617" s="4" t="s">
        <v>2</v>
      </c>
      <c r="J3617" s="14">
        <v>0.6875</v>
      </c>
      <c r="K3617" s="20" t="str">
        <f t="shared" si="169"/>
        <v>2nd Shift</v>
      </c>
    </row>
    <row r="3618" spans="1:11" x14ac:dyDescent="0.25">
      <c r="A3618" s="1">
        <v>3617</v>
      </c>
      <c r="B3618" s="1">
        <v>13</v>
      </c>
      <c r="C3618" s="3">
        <v>13115271662100</v>
      </c>
      <c r="D3618" s="2">
        <v>44623.6875</v>
      </c>
      <c r="E3618" s="2">
        <v>44623.864583333336</v>
      </c>
      <c r="F3618" s="23">
        <f t="shared" si="168"/>
        <v>0.17708333333575865</v>
      </c>
      <c r="G3618" s="24">
        <f t="shared" si="170"/>
        <v>70.588235293150888</v>
      </c>
      <c r="H3618" s="1" t="s">
        <v>1</v>
      </c>
      <c r="I3618" s="4" t="s">
        <v>2</v>
      </c>
      <c r="J3618" s="14">
        <v>0.6875</v>
      </c>
      <c r="K3618" s="20" t="str">
        <f t="shared" si="169"/>
        <v>2nd Shift</v>
      </c>
    </row>
    <row r="3619" spans="1:11" x14ac:dyDescent="0.25">
      <c r="A3619" s="1">
        <v>3618</v>
      </c>
      <c r="B3619" s="1">
        <v>12</v>
      </c>
      <c r="C3619" s="3">
        <v>12115271590203</v>
      </c>
      <c r="D3619" s="2">
        <v>44623.6875</v>
      </c>
      <c r="E3619" s="2">
        <v>44623.864583333336</v>
      </c>
      <c r="F3619" s="23">
        <f t="shared" si="168"/>
        <v>0.17708333333575865</v>
      </c>
      <c r="G3619" s="24">
        <f t="shared" si="170"/>
        <v>70.588235293150888</v>
      </c>
      <c r="H3619" s="1" t="s">
        <v>1</v>
      </c>
      <c r="I3619" s="4" t="s">
        <v>2</v>
      </c>
      <c r="J3619" s="14">
        <v>0.6875</v>
      </c>
      <c r="K3619" s="20" t="str">
        <f t="shared" si="169"/>
        <v>2nd Shift</v>
      </c>
    </row>
    <row r="3620" spans="1:11" x14ac:dyDescent="0.25">
      <c r="A3620" s="1">
        <v>3619</v>
      </c>
      <c r="B3620" s="1">
        <v>6</v>
      </c>
      <c r="C3620" s="3">
        <v>6115271704005</v>
      </c>
      <c r="D3620" s="2">
        <v>44623.6875</v>
      </c>
      <c r="E3620" s="2">
        <v>44623.864583333336</v>
      </c>
      <c r="F3620" s="23">
        <f t="shared" si="168"/>
        <v>0.17708333333575865</v>
      </c>
      <c r="G3620" s="24">
        <f t="shared" si="170"/>
        <v>70.588235293150888</v>
      </c>
      <c r="H3620" s="1" t="s">
        <v>1</v>
      </c>
      <c r="I3620" s="4" t="s">
        <v>2</v>
      </c>
      <c r="J3620" s="14">
        <v>0.6875</v>
      </c>
      <c r="K3620" s="20" t="str">
        <f t="shared" si="169"/>
        <v>2nd Shift</v>
      </c>
    </row>
    <row r="3621" spans="1:11" x14ac:dyDescent="0.25">
      <c r="A3621" s="1">
        <v>3620</v>
      </c>
      <c r="B3621" s="1">
        <v>2</v>
      </c>
      <c r="C3621" s="3">
        <v>2115270233401</v>
      </c>
      <c r="D3621" s="2">
        <v>44623.6875</v>
      </c>
      <c r="E3621" s="2">
        <v>44623.864583333336</v>
      </c>
      <c r="F3621" s="23">
        <f t="shared" si="168"/>
        <v>0.17708333333575865</v>
      </c>
      <c r="G3621" s="24">
        <f t="shared" si="170"/>
        <v>70.588235293150888</v>
      </c>
      <c r="H3621" s="1" t="s">
        <v>1</v>
      </c>
      <c r="I3621" s="4" t="s">
        <v>4</v>
      </c>
      <c r="J3621" s="14">
        <v>0.6875</v>
      </c>
      <c r="K3621" s="20" t="str">
        <f t="shared" si="169"/>
        <v>2nd Shift</v>
      </c>
    </row>
    <row r="3622" spans="1:11" x14ac:dyDescent="0.25">
      <c r="A3622" s="1">
        <v>3621</v>
      </c>
      <c r="B3622" s="1">
        <v>14</v>
      </c>
      <c r="C3622" s="3">
        <v>14115271672900</v>
      </c>
      <c r="D3622" s="2">
        <v>44623.958333333336</v>
      </c>
      <c r="E3622" s="2">
        <v>44624.041666666664</v>
      </c>
      <c r="F3622" s="23">
        <f t="shared" si="168"/>
        <v>8.3333333328482695E-2</v>
      </c>
      <c r="G3622" s="24">
        <f t="shared" si="170"/>
        <v>150.00000000873115</v>
      </c>
      <c r="H3622" s="1" t="s">
        <v>1</v>
      </c>
      <c r="I3622" s="4" t="s">
        <v>3</v>
      </c>
      <c r="J3622" s="14">
        <v>0.95833333333333337</v>
      </c>
      <c r="K3622" s="20" t="str">
        <f t="shared" si="169"/>
        <v>3rd Shift</v>
      </c>
    </row>
    <row r="3623" spans="1:11" x14ac:dyDescent="0.25">
      <c r="A3623" s="1">
        <v>3622</v>
      </c>
      <c r="B3623" s="1">
        <v>6</v>
      </c>
      <c r="C3623" s="3">
        <v>6115271717223</v>
      </c>
      <c r="D3623" s="2">
        <v>44623.958333333336</v>
      </c>
      <c r="E3623" s="2">
        <v>44624.041666666664</v>
      </c>
      <c r="F3623" s="23">
        <f t="shared" si="168"/>
        <v>8.3333333328482695E-2</v>
      </c>
      <c r="G3623" s="24">
        <f t="shared" si="170"/>
        <v>150.00000000873115</v>
      </c>
      <c r="H3623" s="1" t="s">
        <v>1</v>
      </c>
      <c r="I3623" s="4" t="s">
        <v>2</v>
      </c>
      <c r="J3623" s="14">
        <v>0.95833333333333337</v>
      </c>
      <c r="K3623" s="20" t="str">
        <f t="shared" si="169"/>
        <v>3rd Shift</v>
      </c>
    </row>
    <row r="3624" spans="1:11" x14ac:dyDescent="0.25">
      <c r="A3624" s="1">
        <v>3623</v>
      </c>
      <c r="B3624" s="1">
        <v>1</v>
      </c>
      <c r="C3624" s="3">
        <v>1115270050900</v>
      </c>
      <c r="D3624" s="2">
        <v>44623.958333333336</v>
      </c>
      <c r="E3624" s="2">
        <v>44624.041666666664</v>
      </c>
      <c r="F3624" s="23">
        <f t="shared" si="168"/>
        <v>8.3333333328482695E-2</v>
      </c>
      <c r="G3624" s="24">
        <f t="shared" si="170"/>
        <v>150.00000000873115</v>
      </c>
      <c r="H3624" s="1" t="s">
        <v>1</v>
      </c>
      <c r="I3624" s="4" t="s">
        <v>2</v>
      </c>
      <c r="J3624" s="14">
        <v>0.95833333333333337</v>
      </c>
      <c r="K3624" s="20" t="str">
        <f t="shared" si="169"/>
        <v>3rd Shift</v>
      </c>
    </row>
    <row r="3625" spans="1:11" x14ac:dyDescent="0.25">
      <c r="A3625" s="1">
        <v>3624</v>
      </c>
      <c r="B3625" s="1">
        <v>15</v>
      </c>
      <c r="C3625" s="3">
        <v>15115271743806</v>
      </c>
      <c r="D3625" s="2">
        <v>44624.1875</v>
      </c>
      <c r="E3625" s="2">
        <v>44624.222222222219</v>
      </c>
      <c r="F3625" s="23">
        <f t="shared" si="168"/>
        <v>3.4722222218988463E-2</v>
      </c>
      <c r="G3625" s="24">
        <f t="shared" si="170"/>
        <v>360.00000003352761</v>
      </c>
      <c r="H3625" s="1" t="s">
        <v>1</v>
      </c>
      <c r="I3625" s="4" t="s">
        <v>4</v>
      </c>
      <c r="J3625" s="14">
        <v>0.1875</v>
      </c>
      <c r="K3625" s="20" t="str">
        <f t="shared" si="169"/>
        <v>3rd Shift</v>
      </c>
    </row>
    <row r="3626" spans="1:11" x14ac:dyDescent="0.25">
      <c r="A3626" s="1">
        <v>3625</v>
      </c>
      <c r="B3626" s="1">
        <v>12</v>
      </c>
      <c r="C3626" s="3">
        <v>12115271560118</v>
      </c>
      <c r="D3626" s="2">
        <v>44624.475694444445</v>
      </c>
      <c r="E3626" s="2">
        <v>44624.541666666664</v>
      </c>
      <c r="F3626" s="23">
        <f t="shared" si="168"/>
        <v>6.5972222218988463E-2</v>
      </c>
      <c r="G3626" s="24">
        <f t="shared" si="170"/>
        <v>189.47368421981375</v>
      </c>
      <c r="H3626" s="1" t="s">
        <v>1</v>
      </c>
      <c r="I3626" s="4" t="s">
        <v>2</v>
      </c>
      <c r="J3626" s="14">
        <v>0.47569444444444442</v>
      </c>
      <c r="K3626" s="20" t="str">
        <f t="shared" si="169"/>
        <v>1st Shift</v>
      </c>
    </row>
    <row r="3627" spans="1:11" x14ac:dyDescent="0.25">
      <c r="A3627" s="1">
        <v>3626</v>
      </c>
      <c r="B3627" s="1">
        <v>11</v>
      </c>
      <c r="C3627" s="3">
        <v>11115271542800</v>
      </c>
      <c r="D3627" s="2">
        <v>44624.395833333336</v>
      </c>
      <c r="E3627" s="2">
        <v>44624.541666666664</v>
      </c>
      <c r="F3627" s="23">
        <f t="shared" si="168"/>
        <v>0.14583333332848269</v>
      </c>
      <c r="G3627" s="24">
        <f t="shared" si="170"/>
        <v>85.714285717136704</v>
      </c>
      <c r="H3627" s="1" t="s">
        <v>1</v>
      </c>
      <c r="I3627" s="4" t="s">
        <v>2</v>
      </c>
      <c r="J3627" s="14">
        <v>0.39583333333333331</v>
      </c>
      <c r="K3627" s="20" t="str">
        <f t="shared" si="169"/>
        <v>1st Shift</v>
      </c>
    </row>
    <row r="3628" spans="1:11" x14ac:dyDescent="0.25">
      <c r="A3628" s="1">
        <v>3627</v>
      </c>
      <c r="B3628" s="1">
        <v>1</v>
      </c>
      <c r="C3628" s="3">
        <v>1115270074500</v>
      </c>
      <c r="D3628" s="2">
        <v>44624.5</v>
      </c>
      <c r="E3628" s="2">
        <v>44624.541666666664</v>
      </c>
      <c r="F3628" s="23">
        <f t="shared" si="168"/>
        <v>4.1666666664241347E-2</v>
      </c>
      <c r="G3628" s="24">
        <f t="shared" si="170"/>
        <v>300.0000000174623</v>
      </c>
      <c r="H3628" s="1" t="s">
        <v>1</v>
      </c>
      <c r="I3628" s="4" t="s">
        <v>5</v>
      </c>
      <c r="J3628" s="14">
        <v>0.5</v>
      </c>
      <c r="K3628" s="20" t="str">
        <f t="shared" si="169"/>
        <v>1st Shift</v>
      </c>
    </row>
    <row r="3629" spans="1:11" x14ac:dyDescent="0.25">
      <c r="A3629" s="1">
        <v>3628</v>
      </c>
      <c r="B3629" s="1">
        <v>13</v>
      </c>
      <c r="C3629" s="3">
        <v>13115271591107</v>
      </c>
      <c r="D3629" s="2">
        <v>44624.637499999997</v>
      </c>
      <c r="E3629" s="2">
        <v>44624.670138888891</v>
      </c>
      <c r="F3629" s="23">
        <f t="shared" si="168"/>
        <v>3.2638888893416151E-2</v>
      </c>
      <c r="G3629" s="24">
        <f t="shared" si="170"/>
        <v>382.97872335113323</v>
      </c>
      <c r="H3629" s="1" t="s">
        <v>1</v>
      </c>
      <c r="I3629" s="4" t="s">
        <v>3</v>
      </c>
      <c r="J3629" s="14">
        <v>0.63749999999999996</v>
      </c>
      <c r="K3629" s="20" t="str">
        <f t="shared" si="169"/>
        <v>2nd Shift</v>
      </c>
    </row>
    <row r="3630" spans="1:11" x14ac:dyDescent="0.25">
      <c r="A3630" s="1">
        <v>3629</v>
      </c>
      <c r="B3630" s="1">
        <v>12</v>
      </c>
      <c r="C3630" s="3">
        <v>12115271561714</v>
      </c>
      <c r="D3630" s="2">
        <v>44624.637499999997</v>
      </c>
      <c r="E3630" s="2">
        <v>44624.670138888891</v>
      </c>
      <c r="F3630" s="23">
        <f t="shared" si="168"/>
        <v>3.2638888893416151E-2</v>
      </c>
      <c r="G3630" s="24">
        <f t="shared" si="170"/>
        <v>382.97872335113323</v>
      </c>
      <c r="H3630" s="1" t="s">
        <v>1</v>
      </c>
      <c r="I3630" s="4" t="s">
        <v>2</v>
      </c>
      <c r="J3630" s="14">
        <v>0.63749999999999996</v>
      </c>
      <c r="K3630" s="20" t="str">
        <f t="shared" si="169"/>
        <v>2nd Shift</v>
      </c>
    </row>
    <row r="3631" spans="1:11" x14ac:dyDescent="0.25">
      <c r="A3631" s="1">
        <v>3630</v>
      </c>
      <c r="B3631" s="1">
        <v>1</v>
      </c>
      <c r="C3631" s="3">
        <v>1115270127500</v>
      </c>
      <c r="D3631" s="2">
        <v>44624.716666666667</v>
      </c>
      <c r="E3631" s="2">
        <v>44624.769444444442</v>
      </c>
      <c r="F3631" s="23">
        <f t="shared" si="168"/>
        <v>5.2777777775190771E-2</v>
      </c>
      <c r="G3631" s="24">
        <f t="shared" si="170"/>
        <v>236.84210527476716</v>
      </c>
      <c r="H3631" s="1" t="s">
        <v>1</v>
      </c>
      <c r="I3631" s="4" t="s">
        <v>5</v>
      </c>
      <c r="J3631" s="14">
        <v>0.71666666666666667</v>
      </c>
      <c r="K3631" s="20" t="str">
        <f t="shared" si="169"/>
        <v>2nd Shift</v>
      </c>
    </row>
    <row r="3632" spans="1:11" x14ac:dyDescent="0.25">
      <c r="A3632" s="1">
        <v>3631</v>
      </c>
      <c r="B3632" s="1">
        <v>14</v>
      </c>
      <c r="C3632" s="3">
        <v>14115271683801</v>
      </c>
      <c r="D3632" s="2">
        <v>44624.78125</v>
      </c>
      <c r="E3632" s="2">
        <v>44624.895833333336</v>
      </c>
      <c r="F3632" s="23">
        <f t="shared" si="168"/>
        <v>0.11458333333575865</v>
      </c>
      <c r="G3632" s="24">
        <f t="shared" si="170"/>
        <v>109.09090908860001</v>
      </c>
      <c r="H3632" s="1" t="s">
        <v>1</v>
      </c>
      <c r="I3632" s="4" t="s">
        <v>2</v>
      </c>
      <c r="J3632" s="14">
        <v>0.78125</v>
      </c>
      <c r="K3632" s="20" t="str">
        <f t="shared" si="169"/>
        <v>2nd Shift</v>
      </c>
    </row>
    <row r="3633" spans="1:11" x14ac:dyDescent="0.25">
      <c r="A3633" s="1">
        <v>3632</v>
      </c>
      <c r="B3633" s="1">
        <v>7</v>
      </c>
      <c r="C3633" s="3">
        <v>7115271768202</v>
      </c>
      <c r="D3633" s="2">
        <v>44624.78125</v>
      </c>
      <c r="E3633" s="2">
        <v>44624.895833333336</v>
      </c>
      <c r="F3633" s="23">
        <f t="shared" si="168"/>
        <v>0.11458333333575865</v>
      </c>
      <c r="G3633" s="24">
        <f t="shared" si="170"/>
        <v>109.09090908860001</v>
      </c>
      <c r="H3633" s="1" t="s">
        <v>1</v>
      </c>
      <c r="I3633" s="4" t="s">
        <v>2</v>
      </c>
      <c r="J3633" s="14">
        <v>0.78125</v>
      </c>
      <c r="K3633" s="20" t="str">
        <f t="shared" si="169"/>
        <v>2nd Shift</v>
      </c>
    </row>
    <row r="3634" spans="1:11" x14ac:dyDescent="0.25">
      <c r="A3634" s="1">
        <v>3633</v>
      </c>
      <c r="B3634" s="1">
        <v>1</v>
      </c>
      <c r="C3634" s="3">
        <v>1115270019200</v>
      </c>
      <c r="D3634" s="2">
        <v>44624.78125</v>
      </c>
      <c r="E3634" s="2">
        <v>44624.895833333336</v>
      </c>
      <c r="F3634" s="23">
        <f t="shared" si="168"/>
        <v>0.11458333333575865</v>
      </c>
      <c r="G3634" s="24">
        <f t="shared" si="170"/>
        <v>109.09090908860001</v>
      </c>
      <c r="H3634" s="1" t="s">
        <v>1</v>
      </c>
      <c r="I3634" s="4" t="s">
        <v>2</v>
      </c>
      <c r="J3634" s="14">
        <v>0.78125</v>
      </c>
      <c r="K3634" s="20" t="str">
        <f t="shared" si="169"/>
        <v>2nd Shift</v>
      </c>
    </row>
    <row r="3635" spans="1:11" x14ac:dyDescent="0.25">
      <c r="A3635" s="1">
        <v>3634</v>
      </c>
      <c r="B3635" s="1">
        <v>12</v>
      </c>
      <c r="C3635" s="3">
        <v>12115271574405</v>
      </c>
      <c r="D3635" s="2">
        <v>44624.965277777781</v>
      </c>
      <c r="E3635" s="2">
        <v>44625.010416666664</v>
      </c>
      <c r="F3635" s="23">
        <f t="shared" si="168"/>
        <v>4.5138888883229811E-2</v>
      </c>
      <c r="G3635" s="24">
        <f t="shared" si="170"/>
        <v>276.92307695779488</v>
      </c>
      <c r="H3635" s="1" t="s">
        <v>1</v>
      </c>
      <c r="I3635" s="4" t="s">
        <v>2</v>
      </c>
      <c r="J3635" s="14">
        <v>0.96527777777777779</v>
      </c>
      <c r="K3635" s="20" t="str">
        <f t="shared" si="169"/>
        <v>3rd Shift</v>
      </c>
    </row>
    <row r="3636" spans="1:11" x14ac:dyDescent="0.25">
      <c r="A3636" s="1">
        <v>3635</v>
      </c>
      <c r="B3636" s="1">
        <v>3</v>
      </c>
      <c r="C3636" s="3">
        <v>3115270306404</v>
      </c>
      <c r="D3636" s="2">
        <v>44624.965277777781</v>
      </c>
      <c r="E3636" s="2">
        <v>44625.010416666664</v>
      </c>
      <c r="F3636" s="23">
        <f t="shared" si="168"/>
        <v>4.5138888883229811E-2</v>
      </c>
      <c r="G3636" s="24">
        <f t="shared" si="170"/>
        <v>276.92307695779488</v>
      </c>
      <c r="H3636" s="1" t="s">
        <v>1</v>
      </c>
      <c r="I3636" s="4" t="s">
        <v>2</v>
      </c>
      <c r="J3636" s="14">
        <v>0.96527777777777779</v>
      </c>
      <c r="K3636" s="20" t="str">
        <f t="shared" si="169"/>
        <v>3rd Shift</v>
      </c>
    </row>
    <row r="3637" spans="1:11" x14ac:dyDescent="0.25">
      <c r="A3637" s="1">
        <v>3636</v>
      </c>
      <c r="B3637" s="1">
        <v>11</v>
      </c>
      <c r="C3637" s="3">
        <v>11115271488609</v>
      </c>
      <c r="D3637" s="2">
        <v>44625.034722222219</v>
      </c>
      <c r="E3637" s="2">
        <v>44625.0625</v>
      </c>
      <c r="F3637" s="23">
        <f t="shared" si="168"/>
        <v>2.7777777781011537E-2</v>
      </c>
      <c r="G3637" s="24">
        <f t="shared" si="170"/>
        <v>449.99999994761311</v>
      </c>
      <c r="H3637" s="1" t="s">
        <v>1</v>
      </c>
      <c r="I3637" s="4" t="s">
        <v>2</v>
      </c>
      <c r="J3637" s="14">
        <v>3.4722222222222224E-2</v>
      </c>
      <c r="K3637" s="20" t="str">
        <f t="shared" si="169"/>
        <v>3rd Shift</v>
      </c>
    </row>
    <row r="3638" spans="1:11" x14ac:dyDescent="0.25">
      <c r="A3638" s="1">
        <v>3637</v>
      </c>
      <c r="B3638" s="1">
        <v>1</v>
      </c>
      <c r="C3638" s="3">
        <v>1115270075401</v>
      </c>
      <c r="D3638" s="2">
        <v>44625.197916666664</v>
      </c>
      <c r="E3638" s="2">
        <v>44625.243055555555</v>
      </c>
      <c r="F3638" s="23">
        <f t="shared" si="168"/>
        <v>4.5138888890505768E-2</v>
      </c>
      <c r="G3638" s="24">
        <f t="shared" si="170"/>
        <v>276.9230769131575</v>
      </c>
      <c r="H3638" s="1" t="s">
        <v>1</v>
      </c>
      <c r="I3638" s="4" t="s">
        <v>2</v>
      </c>
      <c r="J3638" s="14">
        <v>0.19791666666666666</v>
      </c>
      <c r="K3638" s="20" t="str">
        <f t="shared" si="169"/>
        <v>3rd Shift</v>
      </c>
    </row>
    <row r="3639" spans="1:11" x14ac:dyDescent="0.25">
      <c r="A3639" s="1">
        <v>3638</v>
      </c>
      <c r="B3639" s="1">
        <v>8</v>
      </c>
      <c r="C3639" s="3">
        <v>8115271820900</v>
      </c>
      <c r="D3639" s="2">
        <v>44625.335416666669</v>
      </c>
      <c r="E3639" s="2">
        <v>44625.409722222219</v>
      </c>
      <c r="F3639" s="23">
        <f t="shared" si="168"/>
        <v>7.4305555550381541E-2</v>
      </c>
      <c r="G3639" s="24">
        <f t="shared" si="170"/>
        <v>168.22429907713428</v>
      </c>
      <c r="H3639" s="1" t="s">
        <v>1</v>
      </c>
      <c r="I3639" s="4" t="s">
        <v>2</v>
      </c>
      <c r="J3639" s="14">
        <v>0.33541666666666664</v>
      </c>
      <c r="K3639" s="20" t="str">
        <f t="shared" si="169"/>
        <v>1st Shift</v>
      </c>
    </row>
    <row r="3640" spans="1:11" x14ac:dyDescent="0.25">
      <c r="A3640" s="1">
        <v>3639</v>
      </c>
      <c r="B3640" s="1">
        <v>8</v>
      </c>
      <c r="C3640" s="3">
        <v>8115271810102</v>
      </c>
      <c r="D3640" s="2">
        <v>44625.335416666669</v>
      </c>
      <c r="E3640" s="2">
        <v>44625.409722222219</v>
      </c>
      <c r="F3640" s="23">
        <f t="shared" si="168"/>
        <v>7.4305555550381541E-2</v>
      </c>
      <c r="G3640" s="24">
        <f t="shared" si="170"/>
        <v>168.22429907713428</v>
      </c>
      <c r="H3640" s="1" t="s">
        <v>1</v>
      </c>
      <c r="I3640" s="4" t="s">
        <v>3</v>
      </c>
      <c r="J3640" s="14">
        <v>0.33541666666666664</v>
      </c>
      <c r="K3640" s="20" t="str">
        <f t="shared" si="169"/>
        <v>1st Shift</v>
      </c>
    </row>
    <row r="3641" spans="1:11" x14ac:dyDescent="0.25">
      <c r="A3641" s="1">
        <v>3640</v>
      </c>
      <c r="B3641" s="1">
        <v>7</v>
      </c>
      <c r="C3641" s="3">
        <v>7115271761101</v>
      </c>
      <c r="D3641" s="2">
        <v>44625.335416666669</v>
      </c>
      <c r="E3641" s="2">
        <v>44625.409722222219</v>
      </c>
      <c r="F3641" s="23">
        <f t="shared" si="168"/>
        <v>7.4305555550381541E-2</v>
      </c>
      <c r="G3641" s="24">
        <f t="shared" si="170"/>
        <v>168.22429907713428</v>
      </c>
      <c r="H3641" s="1" t="s">
        <v>1</v>
      </c>
      <c r="I3641" s="4" t="s">
        <v>2</v>
      </c>
      <c r="J3641" s="14">
        <v>0.33541666666666664</v>
      </c>
      <c r="K3641" s="20" t="str">
        <f t="shared" si="169"/>
        <v>1st Shift</v>
      </c>
    </row>
    <row r="3642" spans="1:11" x14ac:dyDescent="0.25">
      <c r="A3642" s="1">
        <v>3641</v>
      </c>
      <c r="B3642" s="1">
        <v>14</v>
      </c>
      <c r="C3642" s="3">
        <v>14115271673150</v>
      </c>
      <c r="D3642" s="2">
        <v>44625.4375</v>
      </c>
      <c r="E3642" s="2">
        <v>44625.61041666667</v>
      </c>
      <c r="F3642" s="23">
        <f t="shared" si="168"/>
        <v>0.17291666667006211</v>
      </c>
      <c r="G3642" s="24">
        <f t="shared" si="170"/>
        <v>72.28915662508652</v>
      </c>
      <c r="H3642" s="1" t="s">
        <v>1</v>
      </c>
      <c r="I3642" s="4" t="s">
        <v>4</v>
      </c>
      <c r="J3642" s="14">
        <v>0.4375</v>
      </c>
      <c r="K3642" s="20" t="str">
        <f t="shared" si="169"/>
        <v>1st Shift</v>
      </c>
    </row>
    <row r="3643" spans="1:11" x14ac:dyDescent="0.25">
      <c r="A3643" s="1">
        <v>3642</v>
      </c>
      <c r="B3643" s="1">
        <v>14</v>
      </c>
      <c r="C3643" s="3">
        <v>14115271672510</v>
      </c>
      <c r="D3643" s="2">
        <v>44625.4375</v>
      </c>
      <c r="E3643" s="2">
        <v>44625.61041666667</v>
      </c>
      <c r="F3643" s="23">
        <f t="shared" si="168"/>
        <v>0.17291666667006211</v>
      </c>
      <c r="G3643" s="24">
        <f t="shared" si="170"/>
        <v>72.28915662508652</v>
      </c>
      <c r="H3643" s="1" t="s">
        <v>1</v>
      </c>
      <c r="I3643" s="4" t="s">
        <v>3</v>
      </c>
      <c r="J3643" s="14">
        <v>0.4375</v>
      </c>
      <c r="K3643" s="20" t="str">
        <f t="shared" si="169"/>
        <v>1st Shift</v>
      </c>
    </row>
    <row r="3644" spans="1:11" x14ac:dyDescent="0.25">
      <c r="A3644" s="1">
        <v>3643</v>
      </c>
      <c r="B3644" s="1">
        <v>7</v>
      </c>
      <c r="C3644" s="3">
        <v>7115271783208</v>
      </c>
      <c r="D3644" s="2">
        <v>44625.4375</v>
      </c>
      <c r="E3644" s="2">
        <v>44625.61041666667</v>
      </c>
      <c r="F3644" s="23">
        <f t="shared" si="168"/>
        <v>0.17291666667006211</v>
      </c>
      <c r="G3644" s="24">
        <f t="shared" si="170"/>
        <v>72.28915662508652</v>
      </c>
      <c r="H3644" s="1" t="s">
        <v>1</v>
      </c>
      <c r="I3644" s="4" t="s">
        <v>3</v>
      </c>
      <c r="J3644" s="14">
        <v>0.4375</v>
      </c>
      <c r="K3644" s="20" t="str">
        <f t="shared" si="169"/>
        <v>1st Shift</v>
      </c>
    </row>
    <row r="3645" spans="1:11" x14ac:dyDescent="0.25">
      <c r="A3645" s="1">
        <v>3644</v>
      </c>
      <c r="B3645" s="1">
        <v>1</v>
      </c>
      <c r="C3645" s="3">
        <v>1115270083900</v>
      </c>
      <c r="D3645" s="2">
        <v>44625.4375</v>
      </c>
      <c r="E3645" s="2">
        <v>44625.61041666667</v>
      </c>
      <c r="F3645" s="23">
        <f t="shared" si="168"/>
        <v>0.17291666667006211</v>
      </c>
      <c r="G3645" s="24">
        <f t="shared" si="170"/>
        <v>72.28915662508652</v>
      </c>
      <c r="H3645" s="1" t="s">
        <v>1</v>
      </c>
      <c r="I3645" s="4" t="s">
        <v>4</v>
      </c>
      <c r="J3645" s="14">
        <v>0.4375</v>
      </c>
      <c r="K3645" s="20" t="str">
        <f t="shared" si="169"/>
        <v>1st Shift</v>
      </c>
    </row>
    <row r="3646" spans="1:11" x14ac:dyDescent="0.25">
      <c r="A3646" s="1">
        <v>3645</v>
      </c>
      <c r="B3646" s="1">
        <v>12</v>
      </c>
      <c r="C3646" s="3">
        <v>12115271567413</v>
      </c>
      <c r="D3646" s="2">
        <v>44625.6875</v>
      </c>
      <c r="E3646" s="2">
        <v>44625.763888888891</v>
      </c>
      <c r="F3646" s="23">
        <f t="shared" si="168"/>
        <v>7.6388888890505768E-2</v>
      </c>
      <c r="G3646" s="24">
        <f t="shared" si="170"/>
        <v>163.63636363290004</v>
      </c>
      <c r="H3646" s="1" t="s">
        <v>1</v>
      </c>
      <c r="I3646" s="4" t="s">
        <v>4</v>
      </c>
      <c r="J3646" s="14">
        <v>0.6875</v>
      </c>
      <c r="K3646" s="20" t="str">
        <f t="shared" si="169"/>
        <v>2nd Shift</v>
      </c>
    </row>
    <row r="3647" spans="1:11" x14ac:dyDescent="0.25">
      <c r="A3647" s="1">
        <v>3646</v>
      </c>
      <c r="B3647" s="1">
        <v>12</v>
      </c>
      <c r="C3647" s="3">
        <v>12115271565407</v>
      </c>
      <c r="D3647" s="2">
        <v>44625.6875</v>
      </c>
      <c r="E3647" s="2">
        <v>44625.763888888891</v>
      </c>
      <c r="F3647" s="23">
        <f t="shared" si="168"/>
        <v>7.6388888890505768E-2</v>
      </c>
      <c r="G3647" s="24">
        <f t="shared" si="170"/>
        <v>163.63636363290004</v>
      </c>
      <c r="H3647" s="1" t="s">
        <v>1</v>
      </c>
      <c r="I3647" s="4" t="s">
        <v>3</v>
      </c>
      <c r="J3647" s="14">
        <v>0.6875</v>
      </c>
      <c r="K3647" s="20" t="str">
        <f t="shared" si="169"/>
        <v>2nd Shift</v>
      </c>
    </row>
    <row r="3648" spans="1:11" x14ac:dyDescent="0.25">
      <c r="A3648" s="1">
        <v>3647</v>
      </c>
      <c r="B3648" s="1">
        <v>7</v>
      </c>
      <c r="C3648" s="3">
        <v>7115271768108</v>
      </c>
      <c r="D3648" s="2">
        <v>44625.6875</v>
      </c>
      <c r="E3648" s="2">
        <v>44625.763888888891</v>
      </c>
      <c r="F3648" s="23">
        <f t="shared" si="168"/>
        <v>7.6388888890505768E-2</v>
      </c>
      <c r="G3648" s="24">
        <f t="shared" si="170"/>
        <v>163.63636363290004</v>
      </c>
      <c r="H3648" s="1" t="s">
        <v>1</v>
      </c>
      <c r="I3648" s="4" t="s">
        <v>3</v>
      </c>
      <c r="J3648" s="14">
        <v>0.6875</v>
      </c>
      <c r="K3648" s="20" t="str">
        <f t="shared" si="169"/>
        <v>2nd Shift</v>
      </c>
    </row>
    <row r="3649" spans="1:11" x14ac:dyDescent="0.25">
      <c r="A3649" s="1">
        <v>3648</v>
      </c>
      <c r="B3649" s="1">
        <v>5</v>
      </c>
      <c r="C3649" s="3">
        <v>5115271259100</v>
      </c>
      <c r="D3649" s="2">
        <v>44625.6875</v>
      </c>
      <c r="E3649" s="2">
        <v>44625.763888888891</v>
      </c>
      <c r="F3649" s="23">
        <f t="shared" si="168"/>
        <v>7.6388888890505768E-2</v>
      </c>
      <c r="G3649" s="24">
        <f t="shared" si="170"/>
        <v>163.63636363290004</v>
      </c>
      <c r="H3649" s="1" t="s">
        <v>1</v>
      </c>
      <c r="I3649" s="4" t="s">
        <v>8</v>
      </c>
      <c r="J3649" s="14">
        <v>0.6875</v>
      </c>
      <c r="K3649" s="20" t="str">
        <f t="shared" si="169"/>
        <v>2nd Shift</v>
      </c>
    </row>
    <row r="3650" spans="1:11" x14ac:dyDescent="0.25">
      <c r="A3650" s="1">
        <v>3649</v>
      </c>
      <c r="B3650" s="1">
        <v>7</v>
      </c>
      <c r="C3650" s="3">
        <v>7115271767803</v>
      </c>
      <c r="D3650" s="2">
        <v>44625.8125</v>
      </c>
      <c r="E3650" s="2">
        <v>44625.836805555555</v>
      </c>
      <c r="F3650" s="23">
        <f t="shared" ref="F3650:F3713" si="171">E3650-D3650</f>
        <v>2.4305555554747116E-2</v>
      </c>
      <c r="G3650" s="24">
        <f t="shared" si="170"/>
        <v>514.28571430282022</v>
      </c>
      <c r="H3650" s="1" t="s">
        <v>1</v>
      </c>
      <c r="I3650" s="4" t="s">
        <v>3</v>
      </c>
      <c r="J3650" s="14">
        <v>0.8125</v>
      </c>
      <c r="K3650" s="20" t="str">
        <f t="shared" ref="K3650:K3713" si="172">IF(AND(J3650&gt;=$M$3,J3650&lt;$M$4),"1st Shift",IF(AND(J3650&gt;=$M$4,J3650&lt;$M$5),"2nd Shift","3rd Shift"))</f>
        <v>2nd Shift</v>
      </c>
    </row>
    <row r="3651" spans="1:11" x14ac:dyDescent="0.25">
      <c r="A3651" s="1">
        <v>3650</v>
      </c>
      <c r="B3651" s="1">
        <v>1</v>
      </c>
      <c r="C3651" s="3">
        <v>1115270093401</v>
      </c>
      <c r="D3651" s="2">
        <v>44625.8125</v>
      </c>
      <c r="E3651" s="2">
        <v>44625.836805555555</v>
      </c>
      <c r="F3651" s="23">
        <f t="shared" si="171"/>
        <v>2.4305555554747116E-2</v>
      </c>
      <c r="G3651" s="24">
        <f t="shared" ref="G3651:G3714" si="173">$M$9/F3651*100</f>
        <v>514.28571430282022</v>
      </c>
      <c r="H3651" s="1" t="s">
        <v>1</v>
      </c>
      <c r="I3651" s="4" t="s">
        <v>4</v>
      </c>
      <c r="J3651" s="14">
        <v>0.8125</v>
      </c>
      <c r="K3651" s="20" t="str">
        <f t="shared" si="172"/>
        <v>2nd Shift</v>
      </c>
    </row>
    <row r="3652" spans="1:11" x14ac:dyDescent="0.25">
      <c r="A3652" s="1">
        <v>3651</v>
      </c>
      <c r="B3652" s="1">
        <v>2</v>
      </c>
      <c r="C3652" s="3">
        <v>2115270217700</v>
      </c>
      <c r="D3652" s="2">
        <v>44625.951388888891</v>
      </c>
      <c r="E3652" s="2">
        <v>44625.989583333336</v>
      </c>
      <c r="F3652" s="23">
        <f t="shared" si="171"/>
        <v>3.8194444445252884E-2</v>
      </c>
      <c r="G3652" s="24">
        <f t="shared" si="173"/>
        <v>327.27272726580009</v>
      </c>
      <c r="H3652" s="1" t="s">
        <v>1</v>
      </c>
      <c r="I3652" s="4" t="s">
        <v>2</v>
      </c>
      <c r="J3652" s="14">
        <v>0.95138888888888884</v>
      </c>
      <c r="K3652" s="20" t="str">
        <f t="shared" si="172"/>
        <v>3rd Shift</v>
      </c>
    </row>
    <row r="3653" spans="1:11" x14ac:dyDescent="0.25">
      <c r="A3653" s="1">
        <v>3652</v>
      </c>
      <c r="B3653" s="1">
        <v>1</v>
      </c>
      <c r="C3653" s="3">
        <v>1115270147100</v>
      </c>
      <c r="D3653" s="2">
        <v>44625.951388888891</v>
      </c>
      <c r="E3653" s="2">
        <v>44625.989583333336</v>
      </c>
      <c r="F3653" s="23">
        <f t="shared" si="171"/>
        <v>3.8194444445252884E-2</v>
      </c>
      <c r="G3653" s="24">
        <f t="shared" si="173"/>
        <v>327.27272726580009</v>
      </c>
      <c r="H3653" s="1" t="s">
        <v>1</v>
      </c>
      <c r="I3653" s="4" t="s">
        <v>5</v>
      </c>
      <c r="J3653" s="14">
        <v>0.95138888888888884</v>
      </c>
      <c r="K3653" s="20" t="str">
        <f t="shared" si="172"/>
        <v>3rd Shift</v>
      </c>
    </row>
    <row r="3654" spans="1:11" x14ac:dyDescent="0.25">
      <c r="A3654" s="1">
        <v>3653</v>
      </c>
      <c r="B3654" s="1">
        <v>5</v>
      </c>
      <c r="C3654" s="3">
        <v>5115270974806</v>
      </c>
      <c r="D3654" s="2">
        <v>44626.041666666664</v>
      </c>
      <c r="E3654" s="2">
        <v>44626.083333333336</v>
      </c>
      <c r="F3654" s="23">
        <f t="shared" si="171"/>
        <v>4.1666666671517305E-2</v>
      </c>
      <c r="G3654" s="24">
        <f t="shared" si="173"/>
        <v>299.9999999650754</v>
      </c>
      <c r="H3654" s="1" t="s">
        <v>1</v>
      </c>
      <c r="I3654" s="4" t="s">
        <v>2</v>
      </c>
      <c r="J3654" s="14">
        <v>4.1666666666666664E-2</v>
      </c>
      <c r="K3654" s="20" t="str">
        <f t="shared" si="172"/>
        <v>3rd Shift</v>
      </c>
    </row>
    <row r="3655" spans="1:11" x14ac:dyDescent="0.25">
      <c r="A3655" s="1">
        <v>3654</v>
      </c>
      <c r="B3655" s="1">
        <v>12</v>
      </c>
      <c r="C3655" s="3">
        <v>12115271560309</v>
      </c>
      <c r="D3655" s="2">
        <v>44626.366666666669</v>
      </c>
      <c r="E3655" s="2">
        <v>44626.395833333336</v>
      </c>
      <c r="F3655" s="23">
        <f t="shared" si="171"/>
        <v>2.9166666667151731E-2</v>
      </c>
      <c r="G3655" s="24">
        <f t="shared" si="173"/>
        <v>428.57142856430113</v>
      </c>
      <c r="H3655" s="1" t="s">
        <v>1</v>
      </c>
      <c r="I3655" s="4" t="s">
        <v>4</v>
      </c>
      <c r="J3655" s="14">
        <v>0.36666666666666664</v>
      </c>
      <c r="K3655" s="20" t="str">
        <f t="shared" si="172"/>
        <v>1st Shift</v>
      </c>
    </row>
    <row r="3656" spans="1:11" x14ac:dyDescent="0.25">
      <c r="A3656" s="1">
        <v>3655</v>
      </c>
      <c r="B3656" s="1">
        <v>11</v>
      </c>
      <c r="C3656" s="3">
        <v>11115271541002</v>
      </c>
      <c r="D3656" s="2">
        <v>44626.40625</v>
      </c>
      <c r="E3656" s="2">
        <v>44626.541666666664</v>
      </c>
      <c r="F3656" s="23">
        <f t="shared" si="171"/>
        <v>0.13541666666424135</v>
      </c>
      <c r="G3656" s="24">
        <f t="shared" si="173"/>
        <v>92.307692309345541</v>
      </c>
      <c r="H3656" s="1" t="s">
        <v>1</v>
      </c>
      <c r="I3656" s="4" t="s">
        <v>3</v>
      </c>
      <c r="J3656" s="14">
        <v>0.40625</v>
      </c>
      <c r="K3656" s="20" t="str">
        <f t="shared" si="172"/>
        <v>1st Shift</v>
      </c>
    </row>
    <row r="3657" spans="1:11" x14ac:dyDescent="0.25">
      <c r="A3657" s="1">
        <v>3656</v>
      </c>
      <c r="B3657" s="1">
        <v>9</v>
      </c>
      <c r="C3657" s="3">
        <v>9115271952500</v>
      </c>
      <c r="D3657" s="2">
        <v>44626.40625</v>
      </c>
      <c r="E3657" s="2">
        <v>44626.541666666664</v>
      </c>
      <c r="F3657" s="23">
        <f t="shared" si="171"/>
        <v>0.13541666666424135</v>
      </c>
      <c r="G3657" s="24">
        <f t="shared" si="173"/>
        <v>92.307692309345541</v>
      </c>
      <c r="H3657" s="1" t="s">
        <v>1</v>
      </c>
      <c r="I3657" s="4" t="s">
        <v>2</v>
      </c>
      <c r="J3657" s="14">
        <v>0.40625</v>
      </c>
      <c r="K3657" s="20" t="str">
        <f t="shared" si="172"/>
        <v>1st Shift</v>
      </c>
    </row>
    <row r="3658" spans="1:11" x14ac:dyDescent="0.25">
      <c r="A3658" s="1">
        <v>3657</v>
      </c>
      <c r="B3658" s="1">
        <v>7</v>
      </c>
      <c r="C3658" s="3">
        <v>7115271768202</v>
      </c>
      <c r="D3658" s="2">
        <v>44626.454861111109</v>
      </c>
      <c r="E3658" s="2">
        <v>44626.541666666664</v>
      </c>
      <c r="F3658" s="23">
        <f t="shared" si="171"/>
        <v>8.6805555554747116E-2</v>
      </c>
      <c r="G3658" s="24">
        <f t="shared" si="173"/>
        <v>144.00000000134111</v>
      </c>
      <c r="H3658" s="1" t="s">
        <v>1</v>
      </c>
      <c r="I3658" s="4" t="s">
        <v>2</v>
      </c>
      <c r="J3658" s="14">
        <v>0.4548611111111111</v>
      </c>
      <c r="K3658" s="20" t="str">
        <f t="shared" si="172"/>
        <v>1st Shift</v>
      </c>
    </row>
    <row r="3659" spans="1:11" x14ac:dyDescent="0.25">
      <c r="A3659" s="1">
        <v>3658</v>
      </c>
      <c r="B3659" s="1">
        <v>2</v>
      </c>
      <c r="C3659" s="3">
        <v>2115270280300</v>
      </c>
      <c r="D3659" s="2">
        <v>44626.430555555555</v>
      </c>
      <c r="E3659" s="2">
        <v>44626.541666666664</v>
      </c>
      <c r="F3659" s="23">
        <f t="shared" si="171"/>
        <v>0.11111111110949423</v>
      </c>
      <c r="G3659" s="24">
        <f t="shared" si="173"/>
        <v>112.50000000163709</v>
      </c>
      <c r="H3659" s="1" t="s">
        <v>1</v>
      </c>
      <c r="I3659" s="4" t="s">
        <v>4</v>
      </c>
      <c r="J3659" s="14">
        <v>0.43055555555555558</v>
      </c>
      <c r="K3659" s="20" t="str">
        <f t="shared" si="172"/>
        <v>1st Shift</v>
      </c>
    </row>
    <row r="3660" spans="1:11" x14ac:dyDescent="0.25">
      <c r="A3660" s="1">
        <v>3659</v>
      </c>
      <c r="B3660" s="1">
        <v>15</v>
      </c>
      <c r="C3660" s="3">
        <v>15115271765302</v>
      </c>
      <c r="D3660" s="2">
        <v>44626.677083333336</v>
      </c>
      <c r="E3660" s="2">
        <v>44626.732638888891</v>
      </c>
      <c r="F3660" s="23">
        <f t="shared" si="171"/>
        <v>5.5555555554747116E-2</v>
      </c>
      <c r="G3660" s="24">
        <f t="shared" si="173"/>
        <v>225.00000000327418</v>
      </c>
      <c r="H3660" s="1" t="s">
        <v>1</v>
      </c>
      <c r="I3660" s="4" t="s">
        <v>2</v>
      </c>
      <c r="J3660" s="14">
        <v>0.67708333333333337</v>
      </c>
      <c r="K3660" s="20" t="str">
        <f t="shared" si="172"/>
        <v>2nd Shift</v>
      </c>
    </row>
    <row r="3661" spans="1:11" x14ac:dyDescent="0.25">
      <c r="A3661" s="1">
        <v>3660</v>
      </c>
      <c r="B3661" s="1">
        <v>11</v>
      </c>
      <c r="C3661" s="3">
        <v>11115271508600</v>
      </c>
      <c r="D3661" s="2">
        <v>44626.677083333336</v>
      </c>
      <c r="E3661" s="2">
        <v>44626.732638888891</v>
      </c>
      <c r="F3661" s="23">
        <f t="shared" si="171"/>
        <v>5.5555555554747116E-2</v>
      </c>
      <c r="G3661" s="24">
        <f t="shared" si="173"/>
        <v>225.00000000327418</v>
      </c>
      <c r="H3661" s="1" t="s">
        <v>1</v>
      </c>
      <c r="I3661" s="4" t="s">
        <v>2</v>
      </c>
      <c r="J3661" s="14">
        <v>0.67708333333333337</v>
      </c>
      <c r="K3661" s="20" t="str">
        <f t="shared" si="172"/>
        <v>2nd Shift</v>
      </c>
    </row>
    <row r="3662" spans="1:11" x14ac:dyDescent="0.25">
      <c r="A3662" s="1">
        <v>3661</v>
      </c>
      <c r="B3662" s="1">
        <v>15</v>
      </c>
      <c r="C3662" s="3">
        <v>15115271777100</v>
      </c>
      <c r="D3662" s="2">
        <v>44626.798611111109</v>
      </c>
      <c r="E3662" s="2">
        <v>44626.9375</v>
      </c>
      <c r="F3662" s="23">
        <f t="shared" si="171"/>
        <v>0.13888888889050577</v>
      </c>
      <c r="G3662" s="24">
        <f t="shared" si="173"/>
        <v>89.999999998952262</v>
      </c>
      <c r="H3662" s="1" t="s">
        <v>1</v>
      </c>
      <c r="I3662" s="4" t="s">
        <v>2</v>
      </c>
      <c r="J3662" s="14">
        <v>0.79861111111111116</v>
      </c>
      <c r="K3662" s="20" t="str">
        <f t="shared" si="172"/>
        <v>2nd Shift</v>
      </c>
    </row>
    <row r="3663" spans="1:11" x14ac:dyDescent="0.25">
      <c r="A3663" s="1">
        <v>3662</v>
      </c>
      <c r="B3663" s="1">
        <v>15</v>
      </c>
      <c r="C3663" s="3">
        <v>15115271743705</v>
      </c>
      <c r="D3663" s="2">
        <v>44626.798611111109</v>
      </c>
      <c r="E3663" s="2">
        <v>44626.9375</v>
      </c>
      <c r="F3663" s="23">
        <f t="shared" si="171"/>
        <v>0.13888888889050577</v>
      </c>
      <c r="G3663" s="24">
        <f t="shared" si="173"/>
        <v>89.999999998952262</v>
      </c>
      <c r="H3663" s="1" t="s">
        <v>1</v>
      </c>
      <c r="I3663" s="4" t="s">
        <v>2</v>
      </c>
      <c r="J3663" s="14">
        <v>0.79861111111111116</v>
      </c>
      <c r="K3663" s="20" t="str">
        <f t="shared" si="172"/>
        <v>2nd Shift</v>
      </c>
    </row>
    <row r="3664" spans="1:11" x14ac:dyDescent="0.25">
      <c r="A3664" s="1">
        <v>3663</v>
      </c>
      <c r="B3664" s="1">
        <v>4</v>
      </c>
      <c r="C3664" s="3">
        <v>4115270827000</v>
      </c>
      <c r="D3664" s="2">
        <v>44626.798611111109</v>
      </c>
      <c r="E3664" s="2">
        <v>44626.9375</v>
      </c>
      <c r="F3664" s="23">
        <f t="shared" si="171"/>
        <v>0.13888888889050577</v>
      </c>
      <c r="G3664" s="24">
        <f t="shared" si="173"/>
        <v>89.999999998952262</v>
      </c>
      <c r="H3664" s="1" t="s">
        <v>1</v>
      </c>
      <c r="I3664" s="4" t="s">
        <v>2</v>
      </c>
      <c r="J3664" s="14">
        <v>0.79861111111111116</v>
      </c>
      <c r="K3664" s="20" t="str">
        <f t="shared" si="172"/>
        <v>2nd Shift</v>
      </c>
    </row>
    <row r="3665" spans="1:11" x14ac:dyDescent="0.25">
      <c r="A3665" s="1">
        <v>3664</v>
      </c>
      <c r="B3665" s="1">
        <v>14</v>
      </c>
      <c r="C3665" s="3">
        <v>14115271675202</v>
      </c>
      <c r="D3665" s="2">
        <v>44626.958333333336</v>
      </c>
      <c r="E3665" s="2">
        <v>44627.010416666664</v>
      </c>
      <c r="F3665" s="23">
        <f t="shared" si="171"/>
        <v>5.2083333328482695E-2</v>
      </c>
      <c r="G3665" s="24">
        <f t="shared" si="173"/>
        <v>240.00000002235174</v>
      </c>
      <c r="H3665" s="1" t="s">
        <v>1</v>
      </c>
      <c r="I3665" s="4" t="s">
        <v>3</v>
      </c>
      <c r="J3665" s="14">
        <v>0.95833333333333337</v>
      </c>
      <c r="K3665" s="20" t="str">
        <f t="shared" si="172"/>
        <v>3rd Shift</v>
      </c>
    </row>
    <row r="3666" spans="1:11" x14ac:dyDescent="0.25">
      <c r="A3666" s="1">
        <v>3665</v>
      </c>
      <c r="B3666" s="1">
        <v>10</v>
      </c>
      <c r="C3666" s="3">
        <v>10115271964201</v>
      </c>
      <c r="D3666" s="2">
        <v>44626.958333333336</v>
      </c>
      <c r="E3666" s="2">
        <v>44627.010416666664</v>
      </c>
      <c r="F3666" s="23">
        <f t="shared" si="171"/>
        <v>5.2083333328482695E-2</v>
      </c>
      <c r="G3666" s="24">
        <f t="shared" si="173"/>
        <v>240.00000002235174</v>
      </c>
      <c r="H3666" s="1" t="s">
        <v>1</v>
      </c>
      <c r="I3666" s="4" t="s">
        <v>2</v>
      </c>
      <c r="J3666" s="14">
        <v>0.95833333333333337</v>
      </c>
      <c r="K3666" s="20" t="str">
        <f t="shared" si="172"/>
        <v>3rd Shift</v>
      </c>
    </row>
    <row r="3667" spans="1:11" x14ac:dyDescent="0.25">
      <c r="A3667" s="1">
        <v>3666</v>
      </c>
      <c r="B3667" s="1">
        <v>1</v>
      </c>
      <c r="C3667" s="3">
        <v>1115270143500</v>
      </c>
      <c r="D3667" s="2">
        <v>44627.020833333336</v>
      </c>
      <c r="E3667" s="2">
        <v>44627.090277777781</v>
      </c>
      <c r="F3667" s="23">
        <f t="shared" si="171"/>
        <v>6.9444444445252884E-2</v>
      </c>
      <c r="G3667" s="24">
        <f t="shared" si="173"/>
        <v>179.99999999790452</v>
      </c>
      <c r="H3667" s="1" t="s">
        <v>1</v>
      </c>
      <c r="I3667" s="4" t="s">
        <v>3</v>
      </c>
      <c r="J3667" s="14">
        <v>2.0833333333333332E-2</v>
      </c>
      <c r="K3667" s="20" t="str">
        <f t="shared" si="172"/>
        <v>3rd Shift</v>
      </c>
    </row>
    <row r="3668" spans="1:11" x14ac:dyDescent="0.25">
      <c r="A3668" s="1">
        <v>3667</v>
      </c>
      <c r="B3668" s="1">
        <v>12</v>
      </c>
      <c r="C3668" s="3">
        <v>12115271560819</v>
      </c>
      <c r="D3668" s="2">
        <v>44627.395833333336</v>
      </c>
      <c r="E3668" s="2">
        <v>44627.482638888891</v>
      </c>
      <c r="F3668" s="23">
        <f t="shared" si="171"/>
        <v>8.6805555554747116E-2</v>
      </c>
      <c r="G3668" s="24">
        <f t="shared" si="173"/>
        <v>144.00000000134111</v>
      </c>
      <c r="H3668" s="1" t="s">
        <v>1</v>
      </c>
      <c r="I3668" s="4" t="s">
        <v>2</v>
      </c>
      <c r="J3668" s="14">
        <v>0.39583333333333331</v>
      </c>
      <c r="K3668" s="20" t="str">
        <f t="shared" si="172"/>
        <v>1st Shift</v>
      </c>
    </row>
    <row r="3669" spans="1:11" x14ac:dyDescent="0.25">
      <c r="A3669" s="1">
        <v>3668</v>
      </c>
      <c r="B3669" s="1">
        <v>3</v>
      </c>
      <c r="C3669" s="3">
        <v>3115270309002</v>
      </c>
      <c r="D3669" s="2">
        <v>44627.395833333336</v>
      </c>
      <c r="E3669" s="2">
        <v>44627.482638888891</v>
      </c>
      <c r="F3669" s="23">
        <f t="shared" si="171"/>
        <v>8.6805555554747116E-2</v>
      </c>
      <c r="G3669" s="24">
        <f t="shared" si="173"/>
        <v>144.00000000134111</v>
      </c>
      <c r="H3669" s="1" t="s">
        <v>1</v>
      </c>
      <c r="I3669" s="4" t="s">
        <v>2</v>
      </c>
      <c r="J3669" s="14">
        <v>0.39583333333333331</v>
      </c>
      <c r="K3669" s="20" t="str">
        <f t="shared" si="172"/>
        <v>1st Shift</v>
      </c>
    </row>
    <row r="3670" spans="1:11" x14ac:dyDescent="0.25">
      <c r="A3670" s="1">
        <v>3669</v>
      </c>
      <c r="B3670" s="1">
        <v>14</v>
      </c>
      <c r="C3670" s="3">
        <v>14115271673153</v>
      </c>
      <c r="D3670" s="2">
        <v>44627.677083333336</v>
      </c>
      <c r="E3670" s="2">
        <v>44627.762499999997</v>
      </c>
      <c r="F3670" s="23">
        <f t="shared" si="171"/>
        <v>8.5416666661330964E-2</v>
      </c>
      <c r="G3670" s="24">
        <f t="shared" si="173"/>
        <v>146.34146342377562</v>
      </c>
      <c r="H3670" s="1" t="s">
        <v>1</v>
      </c>
      <c r="I3670" s="4" t="s">
        <v>2</v>
      </c>
      <c r="J3670" s="14">
        <v>0.67708333333333337</v>
      </c>
      <c r="K3670" s="20" t="str">
        <f t="shared" si="172"/>
        <v>2nd Shift</v>
      </c>
    </row>
    <row r="3671" spans="1:11" x14ac:dyDescent="0.25">
      <c r="A3671" s="1">
        <v>3670</v>
      </c>
      <c r="B3671" s="1">
        <v>13</v>
      </c>
      <c r="C3671" s="3">
        <v>13115271590905</v>
      </c>
      <c r="D3671" s="2">
        <v>44627.784722222219</v>
      </c>
      <c r="E3671" s="2">
        <v>44627.833333333336</v>
      </c>
      <c r="F3671" s="23">
        <f t="shared" si="171"/>
        <v>4.8611111116770189E-2</v>
      </c>
      <c r="G3671" s="24">
        <f t="shared" si="173"/>
        <v>257.14285711292177</v>
      </c>
      <c r="H3671" s="1" t="s">
        <v>1</v>
      </c>
      <c r="I3671" s="4" t="s">
        <v>3</v>
      </c>
      <c r="J3671" s="14">
        <v>0.78472222222222221</v>
      </c>
      <c r="K3671" s="20" t="str">
        <f t="shared" si="172"/>
        <v>2nd Shift</v>
      </c>
    </row>
    <row r="3672" spans="1:11" x14ac:dyDescent="0.25">
      <c r="A3672" s="1">
        <v>3671</v>
      </c>
      <c r="B3672" s="1">
        <v>1</v>
      </c>
      <c r="C3672" s="3">
        <v>1115270072500</v>
      </c>
      <c r="D3672" s="2">
        <v>44627.784722222219</v>
      </c>
      <c r="E3672" s="2">
        <v>44627.833333333336</v>
      </c>
      <c r="F3672" s="23">
        <f t="shared" si="171"/>
        <v>4.8611111116770189E-2</v>
      </c>
      <c r="G3672" s="24">
        <f t="shared" si="173"/>
        <v>257.14285711292177</v>
      </c>
      <c r="H3672" s="1" t="s">
        <v>1</v>
      </c>
      <c r="I3672" s="4" t="s">
        <v>3</v>
      </c>
      <c r="J3672" s="14">
        <v>0.78472222222222221</v>
      </c>
      <c r="K3672" s="20" t="str">
        <f t="shared" si="172"/>
        <v>2nd Shift</v>
      </c>
    </row>
    <row r="3673" spans="1:11" x14ac:dyDescent="0.25">
      <c r="A3673" s="1">
        <v>3672</v>
      </c>
      <c r="B3673" s="1">
        <v>3</v>
      </c>
      <c r="C3673" s="3">
        <v>3115270321601</v>
      </c>
      <c r="D3673" s="2">
        <v>44627.861111111109</v>
      </c>
      <c r="E3673" s="2">
        <v>44627.902777777781</v>
      </c>
      <c r="F3673" s="23">
        <f t="shared" si="171"/>
        <v>4.1666666671517305E-2</v>
      </c>
      <c r="G3673" s="24">
        <f t="shared" si="173"/>
        <v>299.9999999650754</v>
      </c>
      <c r="H3673" s="1" t="s">
        <v>1</v>
      </c>
      <c r="I3673" s="4" t="s">
        <v>4</v>
      </c>
      <c r="J3673" s="14">
        <v>0.86111111111111116</v>
      </c>
      <c r="K3673" s="20" t="str">
        <f t="shared" si="172"/>
        <v>2nd Shift</v>
      </c>
    </row>
    <row r="3674" spans="1:11" x14ac:dyDescent="0.25">
      <c r="A3674" s="1">
        <v>3673</v>
      </c>
      <c r="B3674" s="1">
        <v>11</v>
      </c>
      <c r="C3674" s="3">
        <v>11115271542703</v>
      </c>
      <c r="D3674" s="2">
        <v>44628.006944444445</v>
      </c>
      <c r="E3674" s="2">
        <v>44628.114583333336</v>
      </c>
      <c r="F3674" s="23">
        <f t="shared" si="171"/>
        <v>0.10763888889050577</v>
      </c>
      <c r="G3674" s="24">
        <f t="shared" si="173"/>
        <v>116.1290322563201</v>
      </c>
      <c r="H3674" s="1" t="s">
        <v>1</v>
      </c>
      <c r="I3674" s="4" t="s">
        <v>2</v>
      </c>
      <c r="J3674" s="14">
        <v>6.9444444444444441E-3</v>
      </c>
      <c r="K3674" s="20" t="str">
        <f t="shared" si="172"/>
        <v>3rd Shift</v>
      </c>
    </row>
    <row r="3675" spans="1:11" x14ac:dyDescent="0.25">
      <c r="A3675" s="1">
        <v>3674</v>
      </c>
      <c r="B3675" s="1">
        <v>7</v>
      </c>
      <c r="C3675" s="3">
        <v>7115271758902</v>
      </c>
      <c r="D3675" s="2">
        <v>44628.006944444445</v>
      </c>
      <c r="E3675" s="2">
        <v>44628.114583333336</v>
      </c>
      <c r="F3675" s="23">
        <f t="shared" si="171"/>
        <v>0.10763888889050577</v>
      </c>
      <c r="G3675" s="24">
        <f t="shared" si="173"/>
        <v>116.1290322563201</v>
      </c>
      <c r="H3675" s="1" t="s">
        <v>1</v>
      </c>
      <c r="I3675" s="4" t="s">
        <v>3</v>
      </c>
      <c r="J3675" s="14">
        <v>6.9444444444444441E-3</v>
      </c>
      <c r="K3675" s="20" t="str">
        <f t="shared" si="172"/>
        <v>3rd Shift</v>
      </c>
    </row>
    <row r="3676" spans="1:11" x14ac:dyDescent="0.25">
      <c r="A3676" s="1">
        <v>3675</v>
      </c>
      <c r="B3676" s="1">
        <v>1</v>
      </c>
      <c r="C3676" s="3">
        <v>1115270125900</v>
      </c>
      <c r="D3676" s="2">
        <v>44628.006944444445</v>
      </c>
      <c r="E3676" s="2">
        <v>44628.114583333336</v>
      </c>
      <c r="F3676" s="23">
        <f t="shared" si="171"/>
        <v>0.10763888889050577</v>
      </c>
      <c r="G3676" s="24">
        <f t="shared" si="173"/>
        <v>116.1290322563201</v>
      </c>
      <c r="H3676" s="1" t="s">
        <v>1</v>
      </c>
      <c r="I3676" s="4" t="s">
        <v>4</v>
      </c>
      <c r="J3676" s="14">
        <v>6.9444444444444441E-3</v>
      </c>
      <c r="K3676" s="20" t="str">
        <f t="shared" si="172"/>
        <v>3rd Shift</v>
      </c>
    </row>
    <row r="3677" spans="1:11" x14ac:dyDescent="0.25">
      <c r="A3677" s="1">
        <v>3676</v>
      </c>
      <c r="B3677" s="1">
        <v>4</v>
      </c>
      <c r="C3677" s="3">
        <v>4115270875302</v>
      </c>
      <c r="D3677" s="2">
        <v>44628.34375</v>
      </c>
      <c r="E3677" s="2">
        <v>44628.4375</v>
      </c>
      <c r="F3677" s="23">
        <f t="shared" si="171"/>
        <v>9.375E-2</v>
      </c>
      <c r="G3677" s="24">
        <f t="shared" si="173"/>
        <v>133.33333333333331</v>
      </c>
      <c r="H3677" s="1" t="s">
        <v>1</v>
      </c>
      <c r="I3677" s="4" t="s">
        <v>3</v>
      </c>
      <c r="J3677" s="14">
        <v>0.34375</v>
      </c>
      <c r="K3677" s="20" t="str">
        <f t="shared" si="172"/>
        <v>1st Shift</v>
      </c>
    </row>
    <row r="3678" spans="1:11" x14ac:dyDescent="0.25">
      <c r="A3678" s="1">
        <v>3677</v>
      </c>
      <c r="B3678" s="1">
        <v>3</v>
      </c>
      <c r="C3678" s="3">
        <v>3115270310001</v>
      </c>
      <c r="D3678" s="2">
        <v>44628.461805555555</v>
      </c>
      <c r="E3678" s="2">
        <v>44628.5</v>
      </c>
      <c r="F3678" s="23">
        <f t="shared" si="171"/>
        <v>3.8194444445252884E-2</v>
      </c>
      <c r="G3678" s="24">
        <f t="shared" si="173"/>
        <v>327.27272726580009</v>
      </c>
      <c r="H3678" s="1" t="s">
        <v>1</v>
      </c>
      <c r="I3678" s="4" t="s">
        <v>5</v>
      </c>
      <c r="J3678" s="14">
        <v>0.46180555555555558</v>
      </c>
      <c r="K3678" s="20" t="str">
        <f t="shared" si="172"/>
        <v>1st Shift</v>
      </c>
    </row>
    <row r="3679" spans="1:11" x14ac:dyDescent="0.25">
      <c r="A3679" s="1">
        <v>3678</v>
      </c>
      <c r="B3679" s="1">
        <v>7</v>
      </c>
      <c r="C3679" s="3">
        <v>7115271768106</v>
      </c>
      <c r="D3679" s="2">
        <v>44628.708333333336</v>
      </c>
      <c r="E3679" s="2">
        <v>44628.746527777781</v>
      </c>
      <c r="F3679" s="23">
        <f t="shared" si="171"/>
        <v>3.8194444445252884E-2</v>
      </c>
      <c r="G3679" s="24">
        <f t="shared" si="173"/>
        <v>327.27272726580009</v>
      </c>
      <c r="H3679" s="1" t="s">
        <v>1</v>
      </c>
      <c r="I3679" s="4" t="s">
        <v>2</v>
      </c>
      <c r="J3679" s="14">
        <v>0.70833333333333337</v>
      </c>
      <c r="K3679" s="20" t="str">
        <f t="shared" si="172"/>
        <v>2nd Shift</v>
      </c>
    </row>
    <row r="3680" spans="1:11" x14ac:dyDescent="0.25">
      <c r="A3680" s="1">
        <v>3679</v>
      </c>
      <c r="B3680" s="1">
        <v>13</v>
      </c>
      <c r="C3680" s="3">
        <v>13115271592414</v>
      </c>
      <c r="D3680" s="2">
        <v>44628.951388888891</v>
      </c>
      <c r="E3680" s="2">
        <v>44628.989583333336</v>
      </c>
      <c r="F3680" s="23">
        <f t="shared" si="171"/>
        <v>3.8194444445252884E-2</v>
      </c>
      <c r="G3680" s="24">
        <f t="shared" si="173"/>
        <v>327.27272726580009</v>
      </c>
      <c r="H3680" s="1" t="s">
        <v>1</v>
      </c>
      <c r="I3680" s="4" t="s">
        <v>3</v>
      </c>
      <c r="J3680" s="14">
        <v>0.95138888888888884</v>
      </c>
      <c r="K3680" s="20" t="str">
        <f t="shared" si="172"/>
        <v>3rd Shift</v>
      </c>
    </row>
    <row r="3681" spans="1:11" x14ac:dyDescent="0.25">
      <c r="A3681" s="1">
        <v>3680</v>
      </c>
      <c r="B3681" s="1">
        <v>13</v>
      </c>
      <c r="C3681" s="3">
        <v>13115271590701</v>
      </c>
      <c r="D3681" s="2">
        <v>44629.493055555555</v>
      </c>
      <c r="E3681" s="2">
        <v>44629.588888888888</v>
      </c>
      <c r="F3681" s="23">
        <f t="shared" si="171"/>
        <v>9.5833333332848269E-2</v>
      </c>
      <c r="G3681" s="24">
        <f t="shared" si="173"/>
        <v>130.43478260935586</v>
      </c>
      <c r="H3681" s="1" t="s">
        <v>1</v>
      </c>
      <c r="I3681" s="4" t="s">
        <v>3</v>
      </c>
      <c r="J3681" s="14">
        <v>0.49305555555555558</v>
      </c>
      <c r="K3681" s="20" t="str">
        <f t="shared" si="172"/>
        <v>1st Shift</v>
      </c>
    </row>
    <row r="3682" spans="1:11" x14ac:dyDescent="0.25">
      <c r="A3682" s="1">
        <v>3681</v>
      </c>
      <c r="B3682" s="1">
        <v>13</v>
      </c>
      <c r="C3682" s="3">
        <v>13115271590605</v>
      </c>
      <c r="D3682" s="2">
        <v>44629.493055555555</v>
      </c>
      <c r="E3682" s="2">
        <v>44629.588888888888</v>
      </c>
      <c r="F3682" s="23">
        <f t="shared" si="171"/>
        <v>9.5833333332848269E-2</v>
      </c>
      <c r="G3682" s="24">
        <f t="shared" si="173"/>
        <v>130.43478260935586</v>
      </c>
      <c r="H3682" s="1" t="s">
        <v>1</v>
      </c>
      <c r="I3682" s="4" t="s">
        <v>2</v>
      </c>
      <c r="J3682" s="14">
        <v>0.49305555555555558</v>
      </c>
      <c r="K3682" s="20" t="str">
        <f t="shared" si="172"/>
        <v>1st Shift</v>
      </c>
    </row>
    <row r="3683" spans="1:11" x14ac:dyDescent="0.25">
      <c r="A3683" s="1">
        <v>3682</v>
      </c>
      <c r="B3683" s="1">
        <v>11</v>
      </c>
      <c r="C3683" s="3">
        <v>11115271542800</v>
      </c>
      <c r="D3683" s="2">
        <v>44629.354166666664</v>
      </c>
      <c r="E3683" s="2">
        <v>44629.588888888888</v>
      </c>
      <c r="F3683" s="23">
        <f t="shared" si="171"/>
        <v>0.23472222222335404</v>
      </c>
      <c r="G3683" s="24">
        <f t="shared" si="173"/>
        <v>53.254437869565699</v>
      </c>
      <c r="H3683" s="1" t="s">
        <v>1</v>
      </c>
      <c r="I3683" s="4" t="s">
        <v>2</v>
      </c>
      <c r="J3683" s="14">
        <v>0.35416666666666669</v>
      </c>
      <c r="K3683" s="20" t="str">
        <f t="shared" si="172"/>
        <v>1st Shift</v>
      </c>
    </row>
    <row r="3684" spans="1:11" x14ac:dyDescent="0.25">
      <c r="A3684" s="1">
        <v>3683</v>
      </c>
      <c r="B3684" s="1">
        <v>11</v>
      </c>
      <c r="C3684" s="3">
        <v>11115271488700</v>
      </c>
      <c r="D3684" s="2">
        <v>44629.493055555555</v>
      </c>
      <c r="E3684" s="2">
        <v>44629.588888888888</v>
      </c>
      <c r="F3684" s="23">
        <f t="shared" si="171"/>
        <v>9.5833333332848269E-2</v>
      </c>
      <c r="G3684" s="24">
        <f t="shared" si="173"/>
        <v>130.43478260935586</v>
      </c>
      <c r="H3684" s="1" t="s">
        <v>1</v>
      </c>
      <c r="I3684" s="4" t="s">
        <v>4</v>
      </c>
      <c r="J3684" s="14">
        <v>0.49305555555555558</v>
      </c>
      <c r="K3684" s="20" t="str">
        <f t="shared" si="172"/>
        <v>1st Shift</v>
      </c>
    </row>
    <row r="3685" spans="1:11" x14ac:dyDescent="0.25">
      <c r="A3685" s="1">
        <v>3684</v>
      </c>
      <c r="B3685" s="1">
        <v>8</v>
      </c>
      <c r="C3685" s="3">
        <v>8115271809908</v>
      </c>
      <c r="D3685" s="2">
        <v>44629.395833333336</v>
      </c>
      <c r="E3685" s="2">
        <v>44629.588888888888</v>
      </c>
      <c r="F3685" s="23">
        <f t="shared" si="171"/>
        <v>0.19305555555183673</v>
      </c>
      <c r="G3685" s="24">
        <f t="shared" si="173"/>
        <v>64.748201440096167</v>
      </c>
      <c r="H3685" s="1" t="s">
        <v>1</v>
      </c>
      <c r="I3685" s="4" t="s">
        <v>3</v>
      </c>
      <c r="J3685" s="14">
        <v>0.39583333333333331</v>
      </c>
      <c r="K3685" s="20" t="str">
        <f t="shared" si="172"/>
        <v>1st Shift</v>
      </c>
    </row>
    <row r="3686" spans="1:11" x14ac:dyDescent="0.25">
      <c r="A3686" s="1">
        <v>3685</v>
      </c>
      <c r="B3686" s="1">
        <v>7</v>
      </c>
      <c r="C3686" s="3">
        <v>7115271787400</v>
      </c>
      <c r="D3686" s="2">
        <v>44629.493055555555</v>
      </c>
      <c r="E3686" s="2">
        <v>44629.588888888888</v>
      </c>
      <c r="F3686" s="23">
        <f t="shared" si="171"/>
        <v>9.5833333332848269E-2</v>
      </c>
      <c r="G3686" s="24">
        <f t="shared" si="173"/>
        <v>130.43478260935586</v>
      </c>
      <c r="H3686" s="1" t="s">
        <v>1</v>
      </c>
      <c r="I3686" s="4" t="s">
        <v>3</v>
      </c>
      <c r="J3686" s="14">
        <v>0.49305555555555558</v>
      </c>
      <c r="K3686" s="20" t="str">
        <f t="shared" si="172"/>
        <v>1st Shift</v>
      </c>
    </row>
    <row r="3687" spans="1:11" x14ac:dyDescent="0.25">
      <c r="A3687" s="1">
        <v>3686</v>
      </c>
      <c r="B3687" s="1">
        <v>6</v>
      </c>
      <c r="C3687" s="3">
        <v>6115271698102</v>
      </c>
      <c r="D3687" s="2">
        <v>44629.395833333336</v>
      </c>
      <c r="E3687" s="2">
        <v>44629.588888888888</v>
      </c>
      <c r="F3687" s="23">
        <f t="shared" si="171"/>
        <v>0.19305555555183673</v>
      </c>
      <c r="G3687" s="24">
        <f t="shared" si="173"/>
        <v>64.748201440096167</v>
      </c>
      <c r="H3687" s="1" t="s">
        <v>1</v>
      </c>
      <c r="I3687" s="4" t="s">
        <v>3</v>
      </c>
      <c r="J3687" s="14">
        <v>0.39583333333333331</v>
      </c>
      <c r="K3687" s="20" t="str">
        <f t="shared" si="172"/>
        <v>1st Shift</v>
      </c>
    </row>
    <row r="3688" spans="1:11" x14ac:dyDescent="0.25">
      <c r="A3688" s="1">
        <v>3687</v>
      </c>
      <c r="B3688" s="1">
        <v>2</v>
      </c>
      <c r="C3688" s="3">
        <v>2115270245600</v>
      </c>
      <c r="D3688" s="2">
        <v>44629.493055555555</v>
      </c>
      <c r="E3688" s="2">
        <v>44629.588888888888</v>
      </c>
      <c r="F3688" s="23">
        <f t="shared" si="171"/>
        <v>9.5833333332848269E-2</v>
      </c>
      <c r="G3688" s="24">
        <f t="shared" si="173"/>
        <v>130.43478260935586</v>
      </c>
      <c r="H3688" s="1" t="s">
        <v>1</v>
      </c>
      <c r="I3688" s="4" t="s">
        <v>4</v>
      </c>
      <c r="J3688" s="14">
        <v>0.49305555555555558</v>
      </c>
      <c r="K3688" s="20" t="str">
        <f t="shared" si="172"/>
        <v>1st Shift</v>
      </c>
    </row>
    <row r="3689" spans="1:11" x14ac:dyDescent="0.25">
      <c r="A3689" s="1">
        <v>3688</v>
      </c>
      <c r="B3689" s="1">
        <v>11</v>
      </c>
      <c r="C3689" s="3">
        <v>11115271509300</v>
      </c>
      <c r="D3689" s="2">
        <v>44629.734027777777</v>
      </c>
      <c r="E3689" s="2">
        <v>44629.826388888891</v>
      </c>
      <c r="F3689" s="23">
        <f t="shared" si="171"/>
        <v>9.2361111113859806E-2</v>
      </c>
      <c r="G3689" s="24">
        <f t="shared" si="173"/>
        <v>135.33834586063392</v>
      </c>
      <c r="H3689" s="1" t="s">
        <v>1</v>
      </c>
      <c r="I3689" s="4" t="s">
        <v>4</v>
      </c>
      <c r="J3689" s="14">
        <v>0.73402777777777772</v>
      </c>
      <c r="K3689" s="20" t="str">
        <f t="shared" si="172"/>
        <v>2nd Shift</v>
      </c>
    </row>
    <row r="3690" spans="1:11" x14ac:dyDescent="0.25">
      <c r="A3690" s="1">
        <v>3689</v>
      </c>
      <c r="B3690" s="1">
        <v>3</v>
      </c>
      <c r="C3690" s="3">
        <v>3115270306902</v>
      </c>
      <c r="D3690" s="2">
        <v>44629.734027777777</v>
      </c>
      <c r="E3690" s="2">
        <v>44629.826388888891</v>
      </c>
      <c r="F3690" s="23">
        <f t="shared" si="171"/>
        <v>9.2361111113859806E-2</v>
      </c>
      <c r="G3690" s="24">
        <f t="shared" si="173"/>
        <v>135.33834586063392</v>
      </c>
      <c r="H3690" s="1" t="s">
        <v>1</v>
      </c>
      <c r="I3690" s="4" t="s">
        <v>3</v>
      </c>
      <c r="J3690" s="14">
        <v>0.73402777777777772</v>
      </c>
      <c r="K3690" s="20" t="str">
        <f t="shared" si="172"/>
        <v>2nd Shift</v>
      </c>
    </row>
    <row r="3691" spans="1:11" x14ac:dyDescent="0.25">
      <c r="A3691" s="1">
        <v>3690</v>
      </c>
      <c r="B3691" s="1">
        <v>1</v>
      </c>
      <c r="C3691" s="3">
        <v>1115270110400</v>
      </c>
      <c r="D3691" s="2">
        <v>44629.734027777777</v>
      </c>
      <c r="E3691" s="2">
        <v>44629.826388888891</v>
      </c>
      <c r="F3691" s="23">
        <f t="shared" si="171"/>
        <v>9.2361111113859806E-2</v>
      </c>
      <c r="G3691" s="24">
        <f t="shared" si="173"/>
        <v>135.33834586063392</v>
      </c>
      <c r="H3691" s="1" t="s">
        <v>1</v>
      </c>
      <c r="I3691" s="4" t="s">
        <v>2</v>
      </c>
      <c r="J3691" s="14">
        <v>0.73402777777777772</v>
      </c>
      <c r="K3691" s="20" t="str">
        <f t="shared" si="172"/>
        <v>2nd Shift</v>
      </c>
    </row>
    <row r="3692" spans="1:11" x14ac:dyDescent="0.25">
      <c r="A3692" s="1">
        <v>3691</v>
      </c>
      <c r="B3692" s="1">
        <v>8</v>
      </c>
      <c r="C3692" s="3">
        <v>8115271810105</v>
      </c>
      <c r="D3692" s="2">
        <v>44629.833333333336</v>
      </c>
      <c r="E3692" s="2">
        <v>44629.909722222219</v>
      </c>
      <c r="F3692" s="23">
        <f t="shared" si="171"/>
        <v>7.6388888883229811E-2</v>
      </c>
      <c r="G3692" s="24">
        <f t="shared" si="173"/>
        <v>163.63636364848622</v>
      </c>
      <c r="H3692" s="1" t="s">
        <v>1</v>
      </c>
      <c r="I3692" s="4" t="s">
        <v>3</v>
      </c>
      <c r="J3692" s="14">
        <v>0.83333333333333337</v>
      </c>
      <c r="K3692" s="20" t="str">
        <f t="shared" si="172"/>
        <v>2nd Shift</v>
      </c>
    </row>
    <row r="3693" spans="1:11" x14ac:dyDescent="0.25">
      <c r="A3693" s="1">
        <v>3692</v>
      </c>
      <c r="B3693" s="1">
        <v>7</v>
      </c>
      <c r="C3693" s="3">
        <v>7115271759011</v>
      </c>
      <c r="D3693" s="2">
        <v>44629.833333333336</v>
      </c>
      <c r="E3693" s="2">
        <v>44629.909722222219</v>
      </c>
      <c r="F3693" s="23">
        <f t="shared" si="171"/>
        <v>7.6388888883229811E-2</v>
      </c>
      <c r="G3693" s="24">
        <f t="shared" si="173"/>
        <v>163.63636364848622</v>
      </c>
      <c r="H3693" s="1" t="s">
        <v>1</v>
      </c>
      <c r="I3693" s="4" t="s">
        <v>3</v>
      </c>
      <c r="J3693" s="14">
        <v>0.83333333333333337</v>
      </c>
      <c r="K3693" s="20" t="str">
        <f t="shared" si="172"/>
        <v>2nd Shift</v>
      </c>
    </row>
    <row r="3694" spans="1:11" x14ac:dyDescent="0.25">
      <c r="A3694" s="1">
        <v>3693</v>
      </c>
      <c r="B3694" s="1">
        <v>6</v>
      </c>
      <c r="C3694" s="3">
        <v>6115271745801</v>
      </c>
      <c r="D3694" s="2">
        <v>44629.833333333336</v>
      </c>
      <c r="E3694" s="2">
        <v>44629.909722222219</v>
      </c>
      <c r="F3694" s="23">
        <f t="shared" si="171"/>
        <v>7.6388888883229811E-2</v>
      </c>
      <c r="G3694" s="24">
        <f t="shared" si="173"/>
        <v>163.63636364848622</v>
      </c>
      <c r="H3694" s="1" t="s">
        <v>1</v>
      </c>
      <c r="I3694" s="4" t="s">
        <v>2</v>
      </c>
      <c r="J3694" s="14">
        <v>0.83333333333333337</v>
      </c>
      <c r="K3694" s="20" t="str">
        <f t="shared" si="172"/>
        <v>2nd Shift</v>
      </c>
    </row>
    <row r="3695" spans="1:11" x14ac:dyDescent="0.25">
      <c r="A3695" s="1">
        <v>3694</v>
      </c>
      <c r="B3695" s="1">
        <v>13</v>
      </c>
      <c r="C3695" s="3">
        <v>13115271612256</v>
      </c>
      <c r="D3695" s="2">
        <v>44629.96875</v>
      </c>
      <c r="E3695" s="2">
        <v>44630.017361111109</v>
      </c>
      <c r="F3695" s="23">
        <f t="shared" si="171"/>
        <v>4.8611111109494232E-2</v>
      </c>
      <c r="G3695" s="24">
        <f t="shared" si="173"/>
        <v>257.14285715141011</v>
      </c>
      <c r="H3695" s="1" t="s">
        <v>1</v>
      </c>
      <c r="I3695" s="4" t="s">
        <v>3</v>
      </c>
      <c r="J3695" s="14">
        <v>0.96875</v>
      </c>
      <c r="K3695" s="20" t="str">
        <f t="shared" si="172"/>
        <v>3rd Shift</v>
      </c>
    </row>
    <row r="3696" spans="1:11" x14ac:dyDescent="0.25">
      <c r="A3696" s="1">
        <v>3695</v>
      </c>
      <c r="B3696" s="1">
        <v>10</v>
      </c>
      <c r="C3696" s="3">
        <v>10115271479500</v>
      </c>
      <c r="D3696" s="2">
        <v>44630.041666666664</v>
      </c>
      <c r="E3696" s="2">
        <v>44630.09375</v>
      </c>
      <c r="F3696" s="23">
        <f t="shared" si="171"/>
        <v>5.2083333335758653E-2</v>
      </c>
      <c r="G3696" s="24">
        <f t="shared" si="173"/>
        <v>239.99999998882413</v>
      </c>
      <c r="H3696" s="1" t="s">
        <v>1</v>
      </c>
      <c r="I3696" s="4" t="s">
        <v>3</v>
      </c>
      <c r="J3696" s="14">
        <v>4.1666666666666664E-2</v>
      </c>
      <c r="K3696" s="20" t="str">
        <f t="shared" si="172"/>
        <v>3rd Shift</v>
      </c>
    </row>
    <row r="3697" spans="1:11" x14ac:dyDescent="0.25">
      <c r="A3697" s="1">
        <v>3696</v>
      </c>
      <c r="B3697" s="1">
        <v>5</v>
      </c>
      <c r="C3697" s="3">
        <v>5115271289600</v>
      </c>
      <c r="D3697" s="2">
        <v>44630.041666666664</v>
      </c>
      <c r="E3697" s="2">
        <v>44630.09375</v>
      </c>
      <c r="F3697" s="23">
        <f t="shared" si="171"/>
        <v>5.2083333335758653E-2</v>
      </c>
      <c r="G3697" s="24">
        <f t="shared" si="173"/>
        <v>239.99999998882413</v>
      </c>
      <c r="H3697" s="1" t="s">
        <v>1</v>
      </c>
      <c r="I3697" s="4" t="s">
        <v>3</v>
      </c>
      <c r="J3697" s="14">
        <v>4.1666666666666664E-2</v>
      </c>
      <c r="K3697" s="20" t="str">
        <f t="shared" si="172"/>
        <v>3rd Shift</v>
      </c>
    </row>
    <row r="3698" spans="1:11" x14ac:dyDescent="0.25">
      <c r="A3698" s="1">
        <v>3697</v>
      </c>
      <c r="B3698" s="1">
        <v>3</v>
      </c>
      <c r="C3698" s="3">
        <v>3115270306800</v>
      </c>
      <c r="D3698" s="2">
        <v>44630.041666666664</v>
      </c>
      <c r="E3698" s="2">
        <v>44630.09375</v>
      </c>
      <c r="F3698" s="23">
        <f t="shared" si="171"/>
        <v>5.2083333335758653E-2</v>
      </c>
      <c r="G3698" s="24">
        <f t="shared" si="173"/>
        <v>239.99999998882413</v>
      </c>
      <c r="H3698" s="1" t="s">
        <v>1</v>
      </c>
      <c r="I3698" s="4" t="s">
        <v>8</v>
      </c>
      <c r="J3698" s="14">
        <v>4.1666666666666664E-2</v>
      </c>
      <c r="K3698" s="20" t="str">
        <f t="shared" si="172"/>
        <v>3rd Shift</v>
      </c>
    </row>
    <row r="3699" spans="1:11" x14ac:dyDescent="0.25">
      <c r="A3699" s="1">
        <v>3698</v>
      </c>
      <c r="B3699" s="1">
        <v>12</v>
      </c>
      <c r="C3699" s="3">
        <v>12115271569900</v>
      </c>
      <c r="D3699" s="2">
        <v>44630.111111111109</v>
      </c>
      <c r="E3699" s="2">
        <v>44630.166666666664</v>
      </c>
      <c r="F3699" s="23">
        <f t="shared" si="171"/>
        <v>5.5555555554747116E-2</v>
      </c>
      <c r="G3699" s="24">
        <f t="shared" si="173"/>
        <v>225.00000000327418</v>
      </c>
      <c r="H3699" s="1" t="s">
        <v>1</v>
      </c>
      <c r="I3699" s="4" t="s">
        <v>3</v>
      </c>
      <c r="J3699" s="14">
        <v>0.1111111111111111</v>
      </c>
      <c r="K3699" s="20" t="str">
        <f t="shared" si="172"/>
        <v>3rd Shift</v>
      </c>
    </row>
    <row r="3700" spans="1:11" x14ac:dyDescent="0.25">
      <c r="A3700" s="1">
        <v>3699</v>
      </c>
      <c r="B3700" s="1">
        <v>11</v>
      </c>
      <c r="C3700" s="3">
        <v>11115271052912</v>
      </c>
      <c r="D3700" s="2">
        <v>44630.111111111109</v>
      </c>
      <c r="E3700" s="2">
        <v>44630.166666666664</v>
      </c>
      <c r="F3700" s="23">
        <f t="shared" si="171"/>
        <v>5.5555555554747116E-2</v>
      </c>
      <c r="G3700" s="24">
        <f t="shared" si="173"/>
        <v>225.00000000327418</v>
      </c>
      <c r="H3700" s="1" t="s">
        <v>1</v>
      </c>
      <c r="I3700" s="4" t="s">
        <v>2</v>
      </c>
      <c r="J3700" s="14">
        <v>0.1111111111111111</v>
      </c>
      <c r="K3700" s="20" t="str">
        <f t="shared" si="172"/>
        <v>3rd Shift</v>
      </c>
    </row>
    <row r="3701" spans="1:11" x14ac:dyDescent="0.25">
      <c r="A3701" s="1">
        <v>3700</v>
      </c>
      <c r="B3701" s="1">
        <v>11</v>
      </c>
      <c r="C3701" s="3">
        <v>11115271536706</v>
      </c>
      <c r="D3701" s="2">
        <v>44630.4375</v>
      </c>
      <c r="E3701" s="2">
        <v>44630.5625</v>
      </c>
      <c r="F3701" s="23">
        <f t="shared" si="171"/>
        <v>0.125</v>
      </c>
      <c r="G3701" s="24">
        <f t="shared" si="173"/>
        <v>100</v>
      </c>
      <c r="H3701" s="1" t="s">
        <v>1</v>
      </c>
      <c r="I3701" s="4" t="s">
        <v>3</v>
      </c>
      <c r="J3701" s="14">
        <v>0.4375</v>
      </c>
      <c r="K3701" s="20" t="str">
        <f t="shared" si="172"/>
        <v>1st Shift</v>
      </c>
    </row>
    <row r="3702" spans="1:11" x14ac:dyDescent="0.25">
      <c r="A3702" s="1">
        <v>3701</v>
      </c>
      <c r="B3702" s="1">
        <v>11</v>
      </c>
      <c r="C3702" s="3">
        <v>11115271536700</v>
      </c>
      <c r="D3702" s="2">
        <v>44630.364583333336</v>
      </c>
      <c r="E3702" s="2">
        <v>44630.5625</v>
      </c>
      <c r="F3702" s="23">
        <f t="shared" si="171"/>
        <v>0.19791666666424135</v>
      </c>
      <c r="G3702" s="24">
        <f t="shared" si="173"/>
        <v>63.157894737616061</v>
      </c>
      <c r="H3702" s="1" t="s">
        <v>1</v>
      </c>
      <c r="I3702" s="4" t="s">
        <v>2</v>
      </c>
      <c r="J3702" s="14">
        <v>0.36458333333333331</v>
      </c>
      <c r="K3702" s="20" t="str">
        <f t="shared" si="172"/>
        <v>1st Shift</v>
      </c>
    </row>
    <row r="3703" spans="1:11" x14ac:dyDescent="0.25">
      <c r="A3703" s="1">
        <v>3702</v>
      </c>
      <c r="B3703" s="1">
        <v>8</v>
      </c>
      <c r="C3703" s="3">
        <v>8115271812412</v>
      </c>
      <c r="D3703" s="2">
        <v>44630.4375</v>
      </c>
      <c r="E3703" s="2">
        <v>44630.5625</v>
      </c>
      <c r="F3703" s="23">
        <f t="shared" si="171"/>
        <v>0.125</v>
      </c>
      <c r="G3703" s="24">
        <f t="shared" si="173"/>
        <v>100</v>
      </c>
      <c r="H3703" s="1" t="s">
        <v>1</v>
      </c>
      <c r="I3703" s="4" t="s">
        <v>3</v>
      </c>
      <c r="J3703" s="14">
        <v>0.4375</v>
      </c>
      <c r="K3703" s="20" t="str">
        <f t="shared" si="172"/>
        <v>1st Shift</v>
      </c>
    </row>
    <row r="3704" spans="1:11" x14ac:dyDescent="0.25">
      <c r="A3704" s="1">
        <v>3703</v>
      </c>
      <c r="B3704" s="1">
        <v>6</v>
      </c>
      <c r="C3704" s="3">
        <v>6115271731400</v>
      </c>
      <c r="D3704" s="2">
        <v>44630.4375</v>
      </c>
      <c r="E3704" s="2">
        <v>44630.5625</v>
      </c>
      <c r="F3704" s="23">
        <f t="shared" si="171"/>
        <v>0.125</v>
      </c>
      <c r="G3704" s="24">
        <f t="shared" si="173"/>
        <v>100</v>
      </c>
      <c r="H3704" s="1" t="s">
        <v>1</v>
      </c>
      <c r="I3704" s="4" t="s">
        <v>3</v>
      </c>
      <c r="J3704" s="14">
        <v>0.4375</v>
      </c>
      <c r="K3704" s="20" t="str">
        <f t="shared" si="172"/>
        <v>1st Shift</v>
      </c>
    </row>
    <row r="3705" spans="1:11" x14ac:dyDescent="0.25">
      <c r="A3705" s="1">
        <v>3704</v>
      </c>
      <c r="B3705" s="1">
        <v>5</v>
      </c>
      <c r="C3705" s="3">
        <v>5115271239400</v>
      </c>
      <c r="D3705" s="2">
        <v>44630.4375</v>
      </c>
      <c r="E3705" s="2">
        <v>44630.5625</v>
      </c>
      <c r="F3705" s="23">
        <f t="shared" si="171"/>
        <v>0.125</v>
      </c>
      <c r="G3705" s="24">
        <f t="shared" si="173"/>
        <v>100</v>
      </c>
      <c r="H3705" s="1" t="s">
        <v>1</v>
      </c>
      <c r="I3705" s="4" t="s">
        <v>2</v>
      </c>
      <c r="J3705" s="14">
        <v>0.4375</v>
      </c>
      <c r="K3705" s="20" t="str">
        <f t="shared" si="172"/>
        <v>1st Shift</v>
      </c>
    </row>
    <row r="3706" spans="1:11" x14ac:dyDescent="0.25">
      <c r="A3706" s="1">
        <v>3705</v>
      </c>
      <c r="B3706" s="1">
        <v>3</v>
      </c>
      <c r="C3706" s="3">
        <v>3115270393000</v>
      </c>
      <c r="D3706" s="2">
        <v>44630.395833333336</v>
      </c>
      <c r="E3706" s="2">
        <v>44630.5625</v>
      </c>
      <c r="F3706" s="23">
        <f t="shared" si="171"/>
        <v>0.16666666666424135</v>
      </c>
      <c r="G3706" s="24">
        <f t="shared" si="173"/>
        <v>75.000000001091394</v>
      </c>
      <c r="H3706" s="1" t="s">
        <v>1</v>
      </c>
      <c r="I3706" s="4" t="s">
        <v>3</v>
      </c>
      <c r="J3706" s="14">
        <v>0.39583333333333331</v>
      </c>
      <c r="K3706" s="20" t="str">
        <f t="shared" si="172"/>
        <v>1st Shift</v>
      </c>
    </row>
    <row r="3707" spans="1:11" x14ac:dyDescent="0.25">
      <c r="A3707" s="1">
        <v>3706</v>
      </c>
      <c r="B3707" s="1">
        <v>3</v>
      </c>
      <c r="C3707" s="3">
        <v>3115270360201</v>
      </c>
      <c r="D3707" s="2">
        <v>44630.4375</v>
      </c>
      <c r="E3707" s="2">
        <v>44630.5625</v>
      </c>
      <c r="F3707" s="23">
        <f t="shared" si="171"/>
        <v>0.125</v>
      </c>
      <c r="G3707" s="24">
        <f t="shared" si="173"/>
        <v>100</v>
      </c>
      <c r="H3707" s="1" t="s">
        <v>1</v>
      </c>
      <c r="I3707" s="4" t="s">
        <v>2</v>
      </c>
      <c r="J3707" s="14">
        <v>0.4375</v>
      </c>
      <c r="K3707" s="20" t="str">
        <f t="shared" si="172"/>
        <v>1st Shift</v>
      </c>
    </row>
    <row r="3708" spans="1:11" x14ac:dyDescent="0.25">
      <c r="A3708" s="1">
        <v>3707</v>
      </c>
      <c r="B3708" s="1">
        <v>1</v>
      </c>
      <c r="C3708" s="3">
        <v>1115270055500</v>
      </c>
      <c r="D3708" s="2">
        <v>44630.364583333336</v>
      </c>
      <c r="E3708" s="2">
        <v>44630.5625</v>
      </c>
      <c r="F3708" s="23">
        <f t="shared" si="171"/>
        <v>0.19791666666424135</v>
      </c>
      <c r="G3708" s="24">
        <f t="shared" si="173"/>
        <v>63.157894737616061</v>
      </c>
      <c r="H3708" s="1" t="s">
        <v>1</v>
      </c>
      <c r="I3708" s="4" t="s">
        <v>3</v>
      </c>
      <c r="J3708" s="14">
        <v>0.36458333333333331</v>
      </c>
      <c r="K3708" s="20" t="str">
        <f t="shared" si="172"/>
        <v>1st Shift</v>
      </c>
    </row>
    <row r="3709" spans="1:11" x14ac:dyDescent="0.25">
      <c r="A3709" s="1">
        <v>3708</v>
      </c>
      <c r="B3709" s="1">
        <v>12</v>
      </c>
      <c r="C3709" s="3">
        <v>12115271560128</v>
      </c>
      <c r="D3709" s="2">
        <v>44630.677083333336</v>
      </c>
      <c r="E3709" s="2">
        <v>44630.8125</v>
      </c>
      <c r="F3709" s="23">
        <f t="shared" si="171"/>
        <v>0.13541666666424135</v>
      </c>
      <c r="G3709" s="24">
        <f t="shared" si="173"/>
        <v>92.307692309345541</v>
      </c>
      <c r="H3709" s="1" t="s">
        <v>1</v>
      </c>
      <c r="I3709" s="4" t="s">
        <v>3</v>
      </c>
      <c r="J3709" s="14">
        <v>0.67708333333333337</v>
      </c>
      <c r="K3709" s="20" t="str">
        <f t="shared" si="172"/>
        <v>2nd Shift</v>
      </c>
    </row>
    <row r="3710" spans="1:11" x14ac:dyDescent="0.25">
      <c r="A3710" s="1">
        <v>3709</v>
      </c>
      <c r="B3710" s="1">
        <v>8</v>
      </c>
      <c r="C3710" s="3">
        <v>8115271820902</v>
      </c>
      <c r="D3710" s="2">
        <v>44630.677083333336</v>
      </c>
      <c r="E3710" s="2">
        <v>44630.8125</v>
      </c>
      <c r="F3710" s="23">
        <f t="shared" si="171"/>
        <v>0.13541666666424135</v>
      </c>
      <c r="G3710" s="24">
        <f t="shared" si="173"/>
        <v>92.307692309345541</v>
      </c>
      <c r="H3710" s="1" t="s">
        <v>1</v>
      </c>
      <c r="I3710" s="4" t="s">
        <v>3</v>
      </c>
      <c r="J3710" s="14">
        <v>0.67708333333333337</v>
      </c>
      <c r="K3710" s="20" t="str">
        <f t="shared" si="172"/>
        <v>2nd Shift</v>
      </c>
    </row>
    <row r="3711" spans="1:11" x14ac:dyDescent="0.25">
      <c r="A3711" s="1">
        <v>3710</v>
      </c>
      <c r="B3711" s="1">
        <v>7</v>
      </c>
      <c r="C3711" s="3">
        <v>7115271793801</v>
      </c>
      <c r="D3711" s="2">
        <v>44630.677083333336</v>
      </c>
      <c r="E3711" s="2">
        <v>44630.8125</v>
      </c>
      <c r="F3711" s="23">
        <f t="shared" si="171"/>
        <v>0.13541666666424135</v>
      </c>
      <c r="G3711" s="24">
        <f t="shared" si="173"/>
        <v>92.307692309345541</v>
      </c>
      <c r="H3711" s="1" t="s">
        <v>1</v>
      </c>
      <c r="I3711" s="4" t="s">
        <v>4</v>
      </c>
      <c r="J3711" s="14">
        <v>0.67708333333333337</v>
      </c>
      <c r="K3711" s="20" t="str">
        <f t="shared" si="172"/>
        <v>2nd Shift</v>
      </c>
    </row>
    <row r="3712" spans="1:11" x14ac:dyDescent="0.25">
      <c r="A3712" s="1">
        <v>3711</v>
      </c>
      <c r="B3712" s="1">
        <v>7</v>
      </c>
      <c r="C3712" s="3">
        <v>7115271757500</v>
      </c>
      <c r="D3712" s="2">
        <v>44630.677083333336</v>
      </c>
      <c r="E3712" s="2">
        <v>44630.8125</v>
      </c>
      <c r="F3712" s="23">
        <f t="shared" si="171"/>
        <v>0.13541666666424135</v>
      </c>
      <c r="G3712" s="24">
        <f t="shared" si="173"/>
        <v>92.307692309345541</v>
      </c>
      <c r="H3712" s="1" t="s">
        <v>1</v>
      </c>
      <c r="I3712" s="4" t="s">
        <v>3</v>
      </c>
      <c r="J3712" s="14">
        <v>0.67708333333333337</v>
      </c>
      <c r="K3712" s="20" t="str">
        <f t="shared" si="172"/>
        <v>2nd Shift</v>
      </c>
    </row>
    <row r="3713" spans="1:11" x14ac:dyDescent="0.25">
      <c r="A3713" s="1">
        <v>3712</v>
      </c>
      <c r="B3713" s="1">
        <v>6</v>
      </c>
      <c r="C3713" s="3">
        <v>6115271731900</v>
      </c>
      <c r="D3713" s="2">
        <v>44630.677083333336</v>
      </c>
      <c r="E3713" s="2">
        <v>44630.8125</v>
      </c>
      <c r="F3713" s="23">
        <f t="shared" si="171"/>
        <v>0.13541666666424135</v>
      </c>
      <c r="G3713" s="24">
        <f t="shared" si="173"/>
        <v>92.307692309345541</v>
      </c>
      <c r="H3713" s="1" t="s">
        <v>1</v>
      </c>
      <c r="I3713" s="4" t="s">
        <v>3</v>
      </c>
      <c r="J3713" s="14">
        <v>0.67708333333333337</v>
      </c>
      <c r="K3713" s="20" t="str">
        <f t="shared" si="172"/>
        <v>2nd Shift</v>
      </c>
    </row>
    <row r="3714" spans="1:11" x14ac:dyDescent="0.25">
      <c r="A3714" s="1">
        <v>3713</v>
      </c>
      <c r="B3714" s="1">
        <v>12</v>
      </c>
      <c r="C3714" s="3">
        <v>12115271561706</v>
      </c>
      <c r="D3714" s="2">
        <v>44630.979166666664</v>
      </c>
      <c r="E3714" s="2">
        <v>44631.000011574077</v>
      </c>
      <c r="F3714" s="23">
        <f t="shared" ref="F3714:F3777" si="174">E3714-D3714</f>
        <v>2.0844907412538305E-2</v>
      </c>
      <c r="G3714" s="24">
        <f t="shared" si="173"/>
        <v>599.66685160142242</v>
      </c>
      <c r="H3714" s="1" t="s">
        <v>1</v>
      </c>
      <c r="I3714" s="4" t="s">
        <v>3</v>
      </c>
      <c r="J3714" s="14">
        <v>0.97916666666666663</v>
      </c>
      <c r="K3714" s="20" t="str">
        <f t="shared" ref="K3714:K3777" si="175">IF(AND(J3714&gt;=$M$3,J3714&lt;$M$4),"1st Shift",IF(AND(J3714&gt;=$M$4,J3714&lt;$M$5),"2nd Shift","3rd Shift"))</f>
        <v>3rd Shift</v>
      </c>
    </row>
    <row r="3715" spans="1:11" x14ac:dyDescent="0.25">
      <c r="A3715" s="1">
        <v>3714</v>
      </c>
      <c r="B3715" s="1">
        <v>6</v>
      </c>
      <c r="C3715" s="3">
        <v>6115271704100</v>
      </c>
      <c r="D3715" s="2">
        <v>44631.017361111109</v>
      </c>
      <c r="E3715" s="2">
        <v>44631.090277777781</v>
      </c>
      <c r="F3715" s="23">
        <f t="shared" si="174"/>
        <v>7.2916666671517305E-2</v>
      </c>
      <c r="G3715" s="24">
        <f t="shared" ref="G3715:G3778" si="176">$M$9/F3715*100</f>
        <v>171.42857141716746</v>
      </c>
      <c r="H3715" s="1" t="s">
        <v>1</v>
      </c>
      <c r="I3715" s="4" t="s">
        <v>2</v>
      </c>
      <c r="J3715" s="14">
        <v>1.7361111111111112E-2</v>
      </c>
      <c r="K3715" s="20" t="str">
        <f t="shared" si="175"/>
        <v>3rd Shift</v>
      </c>
    </row>
    <row r="3716" spans="1:11" x14ac:dyDescent="0.25">
      <c r="A3716" s="1">
        <v>3715</v>
      </c>
      <c r="B3716" s="1">
        <v>5</v>
      </c>
      <c r="C3716" s="3">
        <v>5115271676005</v>
      </c>
      <c r="D3716" s="2">
        <v>44631.017361111109</v>
      </c>
      <c r="E3716" s="2">
        <v>44631.090277777781</v>
      </c>
      <c r="F3716" s="23">
        <f t="shared" si="174"/>
        <v>7.2916666671517305E-2</v>
      </c>
      <c r="G3716" s="24">
        <f t="shared" si="176"/>
        <v>171.42857141716746</v>
      </c>
      <c r="H3716" s="1" t="s">
        <v>1</v>
      </c>
      <c r="I3716" s="4" t="s">
        <v>3</v>
      </c>
      <c r="J3716" s="14">
        <v>1.7361111111111112E-2</v>
      </c>
      <c r="K3716" s="20" t="str">
        <f t="shared" si="175"/>
        <v>3rd Shift</v>
      </c>
    </row>
    <row r="3717" spans="1:11" x14ac:dyDescent="0.25">
      <c r="A3717" s="1">
        <v>3716</v>
      </c>
      <c r="B3717" s="1">
        <v>13</v>
      </c>
      <c r="C3717" s="3">
        <v>13115271613300</v>
      </c>
      <c r="D3717" s="2">
        <v>44631.375</v>
      </c>
      <c r="E3717" s="2">
        <v>44631.599305555559</v>
      </c>
      <c r="F3717" s="23">
        <f t="shared" si="174"/>
        <v>0.22430555555911269</v>
      </c>
      <c r="G3717" s="24">
        <f t="shared" si="176"/>
        <v>55.727554178682816</v>
      </c>
      <c r="H3717" s="1" t="s">
        <v>1</v>
      </c>
      <c r="I3717" s="4" t="s">
        <v>2</v>
      </c>
      <c r="J3717" s="14">
        <v>0.375</v>
      </c>
      <c r="K3717" s="20" t="str">
        <f t="shared" si="175"/>
        <v>1st Shift</v>
      </c>
    </row>
    <row r="3718" spans="1:11" x14ac:dyDescent="0.25">
      <c r="A3718" s="1">
        <v>3717</v>
      </c>
      <c r="B3718" s="1">
        <v>11</v>
      </c>
      <c r="C3718" s="3">
        <v>11115271525901</v>
      </c>
      <c r="D3718" s="2">
        <v>44631.430555555555</v>
      </c>
      <c r="E3718" s="2">
        <v>44631.599305555559</v>
      </c>
      <c r="F3718" s="23">
        <f t="shared" si="174"/>
        <v>0.16875000000436557</v>
      </c>
      <c r="G3718" s="24">
        <f t="shared" si="176"/>
        <v>74.074074072157771</v>
      </c>
      <c r="H3718" s="1" t="s">
        <v>1</v>
      </c>
      <c r="I3718" s="4" t="s">
        <v>2</v>
      </c>
      <c r="J3718" s="14">
        <v>0.43055555555555558</v>
      </c>
      <c r="K3718" s="20" t="str">
        <f t="shared" si="175"/>
        <v>1st Shift</v>
      </c>
    </row>
    <row r="3719" spans="1:11" x14ac:dyDescent="0.25">
      <c r="A3719" s="1">
        <v>3718</v>
      </c>
      <c r="B3719" s="1">
        <v>9</v>
      </c>
      <c r="C3719" s="3">
        <v>9115271957900</v>
      </c>
      <c r="D3719" s="2">
        <v>44631.503472222219</v>
      </c>
      <c r="E3719" s="2">
        <v>44631.599305555559</v>
      </c>
      <c r="F3719" s="23">
        <f t="shared" si="174"/>
        <v>9.5833333340124227E-2</v>
      </c>
      <c r="G3719" s="24">
        <f t="shared" si="176"/>
        <v>130.43478259945286</v>
      </c>
      <c r="H3719" s="1" t="s">
        <v>1</v>
      </c>
      <c r="I3719" s="4" t="s">
        <v>2</v>
      </c>
      <c r="J3719" s="14">
        <v>0.50347222222222221</v>
      </c>
      <c r="K3719" s="20" t="str">
        <f t="shared" si="175"/>
        <v>1st Shift</v>
      </c>
    </row>
    <row r="3720" spans="1:11" x14ac:dyDescent="0.25">
      <c r="A3720" s="1">
        <v>3719</v>
      </c>
      <c r="B3720" s="1">
        <v>9</v>
      </c>
      <c r="C3720" s="3">
        <v>9115271952800</v>
      </c>
      <c r="D3720" s="2">
        <v>44631.430555555555</v>
      </c>
      <c r="E3720" s="2">
        <v>44631.599305555559</v>
      </c>
      <c r="F3720" s="23">
        <f t="shared" si="174"/>
        <v>0.16875000000436557</v>
      </c>
      <c r="G3720" s="24">
        <f t="shared" si="176"/>
        <v>74.074074072157771</v>
      </c>
      <c r="H3720" s="1" t="s">
        <v>1</v>
      </c>
      <c r="I3720" s="4" t="s">
        <v>3</v>
      </c>
      <c r="J3720" s="14">
        <v>0.43055555555555558</v>
      </c>
      <c r="K3720" s="20" t="str">
        <f t="shared" si="175"/>
        <v>1st Shift</v>
      </c>
    </row>
    <row r="3721" spans="1:11" x14ac:dyDescent="0.25">
      <c r="A3721" s="1">
        <v>3720</v>
      </c>
      <c r="B3721" s="1">
        <v>7</v>
      </c>
      <c r="C3721" s="3">
        <v>7115271806201</v>
      </c>
      <c r="D3721" s="2">
        <v>44631.375</v>
      </c>
      <c r="E3721" s="2">
        <v>44631.599305555559</v>
      </c>
      <c r="F3721" s="23">
        <f t="shared" si="174"/>
        <v>0.22430555555911269</v>
      </c>
      <c r="G3721" s="24">
        <f t="shared" si="176"/>
        <v>55.727554178682816</v>
      </c>
      <c r="H3721" s="1" t="s">
        <v>1</v>
      </c>
      <c r="I3721" s="4" t="s">
        <v>2</v>
      </c>
      <c r="J3721" s="14">
        <v>0.375</v>
      </c>
      <c r="K3721" s="20" t="str">
        <f t="shared" si="175"/>
        <v>1st Shift</v>
      </c>
    </row>
    <row r="3722" spans="1:11" x14ac:dyDescent="0.25">
      <c r="A3722" s="1">
        <v>3721</v>
      </c>
      <c r="B3722" s="1">
        <v>6</v>
      </c>
      <c r="C3722" s="3">
        <v>6115271715301</v>
      </c>
      <c r="D3722" s="2">
        <v>44631.375</v>
      </c>
      <c r="E3722" s="2">
        <v>44631.599305555559</v>
      </c>
      <c r="F3722" s="23">
        <f t="shared" si="174"/>
        <v>0.22430555555911269</v>
      </c>
      <c r="G3722" s="24">
        <f t="shared" si="176"/>
        <v>55.727554178682816</v>
      </c>
      <c r="H3722" s="1" t="s">
        <v>1</v>
      </c>
      <c r="I3722" s="4" t="s">
        <v>2</v>
      </c>
      <c r="J3722" s="14">
        <v>0.375</v>
      </c>
      <c r="K3722" s="20" t="str">
        <f t="shared" si="175"/>
        <v>1st Shift</v>
      </c>
    </row>
    <row r="3723" spans="1:11" x14ac:dyDescent="0.25">
      <c r="A3723" s="1">
        <v>3722</v>
      </c>
      <c r="B3723" s="1">
        <v>3</v>
      </c>
      <c r="C3723" s="3">
        <v>3115270366500</v>
      </c>
      <c r="D3723" s="2">
        <v>44631.430555555555</v>
      </c>
      <c r="E3723" s="2">
        <v>44631.599305555559</v>
      </c>
      <c r="F3723" s="23">
        <f t="shared" si="174"/>
        <v>0.16875000000436557</v>
      </c>
      <c r="G3723" s="24">
        <f t="shared" si="176"/>
        <v>74.074074072157771</v>
      </c>
      <c r="H3723" s="1" t="s">
        <v>1</v>
      </c>
      <c r="I3723" s="4" t="s">
        <v>3</v>
      </c>
      <c r="J3723" s="14">
        <v>0.43055555555555558</v>
      </c>
      <c r="K3723" s="20" t="str">
        <f t="shared" si="175"/>
        <v>1st Shift</v>
      </c>
    </row>
    <row r="3724" spans="1:11" x14ac:dyDescent="0.25">
      <c r="A3724" s="1">
        <v>3723</v>
      </c>
      <c r="B3724" s="1">
        <v>1</v>
      </c>
      <c r="C3724" s="3">
        <v>1115270074000</v>
      </c>
      <c r="D3724" s="2">
        <v>44631.375</v>
      </c>
      <c r="E3724" s="2">
        <v>44631.599305555559</v>
      </c>
      <c r="F3724" s="23">
        <f t="shared" si="174"/>
        <v>0.22430555555911269</v>
      </c>
      <c r="G3724" s="24">
        <f t="shared" si="176"/>
        <v>55.727554178682816</v>
      </c>
      <c r="H3724" s="1" t="s">
        <v>1</v>
      </c>
      <c r="I3724" s="4" t="s">
        <v>2</v>
      </c>
      <c r="J3724" s="14">
        <v>0.375</v>
      </c>
      <c r="K3724" s="20" t="str">
        <f t="shared" si="175"/>
        <v>1st Shift</v>
      </c>
    </row>
    <row r="3725" spans="1:11" x14ac:dyDescent="0.25">
      <c r="A3725" s="1">
        <v>3724</v>
      </c>
      <c r="B3725" s="1">
        <v>13</v>
      </c>
      <c r="C3725" s="3">
        <v>13115271591501</v>
      </c>
      <c r="D3725" s="2">
        <v>44631.650694444441</v>
      </c>
      <c r="E3725" s="2">
        <v>44631.71875</v>
      </c>
      <c r="F3725" s="23">
        <f t="shared" si="174"/>
        <v>6.805555555911269E-2</v>
      </c>
      <c r="G3725" s="24">
        <f t="shared" si="176"/>
        <v>183.67346937815483</v>
      </c>
      <c r="H3725" s="1" t="s">
        <v>1</v>
      </c>
      <c r="I3725" s="4" t="s">
        <v>2</v>
      </c>
      <c r="J3725" s="14">
        <v>0.65069444444444446</v>
      </c>
      <c r="K3725" s="20" t="str">
        <f t="shared" si="175"/>
        <v>2nd Shift</v>
      </c>
    </row>
    <row r="3726" spans="1:11" x14ac:dyDescent="0.25">
      <c r="A3726" s="1">
        <v>3725</v>
      </c>
      <c r="B3726" s="1">
        <v>6</v>
      </c>
      <c r="C3726" s="3">
        <v>6115271720829</v>
      </c>
      <c r="D3726" s="2">
        <v>44631.650694444441</v>
      </c>
      <c r="E3726" s="2">
        <v>44631.71875</v>
      </c>
      <c r="F3726" s="23">
        <f t="shared" si="174"/>
        <v>6.805555555911269E-2</v>
      </c>
      <c r="G3726" s="24">
        <f t="shared" si="176"/>
        <v>183.67346937815483</v>
      </c>
      <c r="H3726" s="1" t="s">
        <v>1</v>
      </c>
      <c r="I3726" s="4" t="s">
        <v>2</v>
      </c>
      <c r="J3726" s="14">
        <v>0.65069444444444446</v>
      </c>
      <c r="K3726" s="20" t="str">
        <f t="shared" si="175"/>
        <v>2nd Shift</v>
      </c>
    </row>
    <row r="3727" spans="1:11" x14ac:dyDescent="0.25">
      <c r="A3727" s="1">
        <v>3726</v>
      </c>
      <c r="B3727" s="1">
        <v>13</v>
      </c>
      <c r="C3727" s="3">
        <v>13115271600300</v>
      </c>
      <c r="D3727" s="2">
        <v>44631.753472222219</v>
      </c>
      <c r="E3727" s="2">
        <v>44631.840277777781</v>
      </c>
      <c r="F3727" s="23">
        <f t="shared" si="174"/>
        <v>8.6805555562023073E-2</v>
      </c>
      <c r="G3727" s="24">
        <f t="shared" si="176"/>
        <v>143.99999998927115</v>
      </c>
      <c r="H3727" s="1" t="s">
        <v>1</v>
      </c>
      <c r="I3727" s="4" t="s">
        <v>2</v>
      </c>
      <c r="J3727" s="14">
        <v>0.75347222222222221</v>
      </c>
      <c r="K3727" s="20" t="str">
        <f t="shared" si="175"/>
        <v>2nd Shift</v>
      </c>
    </row>
    <row r="3728" spans="1:11" x14ac:dyDescent="0.25">
      <c r="A3728" s="1">
        <v>3727</v>
      </c>
      <c r="B3728" s="1">
        <v>12</v>
      </c>
      <c r="C3728" s="3">
        <v>12115271561607</v>
      </c>
      <c r="D3728" s="2">
        <v>44631.753472222219</v>
      </c>
      <c r="E3728" s="2">
        <v>44631.840277777781</v>
      </c>
      <c r="F3728" s="23">
        <f t="shared" si="174"/>
        <v>8.6805555562023073E-2</v>
      </c>
      <c r="G3728" s="24">
        <f t="shared" si="176"/>
        <v>143.99999998927115</v>
      </c>
      <c r="H3728" s="1" t="s">
        <v>1</v>
      </c>
      <c r="I3728" s="4" t="s">
        <v>2</v>
      </c>
      <c r="J3728" s="14">
        <v>0.75347222222222221</v>
      </c>
      <c r="K3728" s="20" t="str">
        <f t="shared" si="175"/>
        <v>2nd Shift</v>
      </c>
    </row>
    <row r="3729" spans="1:11" x14ac:dyDescent="0.25">
      <c r="A3729" s="1">
        <v>3728</v>
      </c>
      <c r="B3729" s="1">
        <v>9</v>
      </c>
      <c r="C3729" s="3">
        <v>9115271927501</v>
      </c>
      <c r="D3729" s="2">
        <v>44631.753472222219</v>
      </c>
      <c r="E3729" s="2">
        <v>44631.840277777781</v>
      </c>
      <c r="F3729" s="23">
        <f t="shared" si="174"/>
        <v>8.6805555562023073E-2</v>
      </c>
      <c r="G3729" s="24">
        <f t="shared" si="176"/>
        <v>143.99999998927115</v>
      </c>
      <c r="H3729" s="1" t="s">
        <v>1</v>
      </c>
      <c r="I3729" s="4" t="s">
        <v>4</v>
      </c>
      <c r="J3729" s="14">
        <v>0.75347222222222221</v>
      </c>
      <c r="K3729" s="20" t="str">
        <f t="shared" si="175"/>
        <v>2nd Shift</v>
      </c>
    </row>
    <row r="3730" spans="1:11" x14ac:dyDescent="0.25">
      <c r="A3730" s="1">
        <v>3729</v>
      </c>
      <c r="B3730" s="1">
        <v>3</v>
      </c>
      <c r="C3730" s="3">
        <v>3115270409300</v>
      </c>
      <c r="D3730" s="2">
        <v>44631.753472222219</v>
      </c>
      <c r="E3730" s="2">
        <v>44631.840277777781</v>
      </c>
      <c r="F3730" s="23">
        <f t="shared" si="174"/>
        <v>8.6805555562023073E-2</v>
      </c>
      <c r="G3730" s="24">
        <f t="shared" si="176"/>
        <v>143.99999998927115</v>
      </c>
      <c r="H3730" s="1" t="s">
        <v>1</v>
      </c>
      <c r="I3730" s="4" t="s">
        <v>2</v>
      </c>
      <c r="J3730" s="14">
        <v>0.75347222222222221</v>
      </c>
      <c r="K3730" s="20" t="str">
        <f t="shared" si="175"/>
        <v>2nd Shift</v>
      </c>
    </row>
    <row r="3731" spans="1:11" x14ac:dyDescent="0.25">
      <c r="A3731" s="1">
        <v>3730</v>
      </c>
      <c r="B3731" s="1">
        <v>3</v>
      </c>
      <c r="C3731" s="3">
        <v>3115270393400</v>
      </c>
      <c r="D3731" s="2">
        <v>44631.753472222219</v>
      </c>
      <c r="E3731" s="2">
        <v>44631.840277777781</v>
      </c>
      <c r="F3731" s="23">
        <f t="shared" si="174"/>
        <v>8.6805555562023073E-2</v>
      </c>
      <c r="G3731" s="24">
        <f t="shared" si="176"/>
        <v>143.99999998927115</v>
      </c>
      <c r="H3731" s="1" t="s">
        <v>1</v>
      </c>
      <c r="I3731" s="4" t="s">
        <v>2</v>
      </c>
      <c r="J3731" s="14">
        <v>0.75347222222222221</v>
      </c>
      <c r="K3731" s="20" t="str">
        <f t="shared" si="175"/>
        <v>2nd Shift</v>
      </c>
    </row>
    <row r="3732" spans="1:11" x14ac:dyDescent="0.25">
      <c r="A3732" s="1">
        <v>3731</v>
      </c>
      <c r="B3732" s="1">
        <v>3</v>
      </c>
      <c r="C3732" s="3">
        <v>3115270333400</v>
      </c>
      <c r="D3732" s="2">
        <v>44631.96875</v>
      </c>
      <c r="E3732" s="2">
        <v>44632.000011574077</v>
      </c>
      <c r="F3732" s="23">
        <f t="shared" si="174"/>
        <v>3.1261574076779652E-2</v>
      </c>
      <c r="G3732" s="24">
        <f t="shared" si="176"/>
        <v>399.851906666616</v>
      </c>
      <c r="H3732" s="1" t="s">
        <v>1</v>
      </c>
      <c r="I3732" s="4" t="s">
        <v>2</v>
      </c>
      <c r="J3732" s="14">
        <v>0.96875</v>
      </c>
      <c r="K3732" s="20" t="str">
        <f t="shared" si="175"/>
        <v>3rd Shift</v>
      </c>
    </row>
    <row r="3733" spans="1:11" x14ac:dyDescent="0.25">
      <c r="A3733" s="1">
        <v>3732</v>
      </c>
      <c r="B3733" s="1">
        <v>8</v>
      </c>
      <c r="C3733" s="3">
        <v>8115271811510</v>
      </c>
      <c r="D3733" s="2">
        <v>44632.013888888891</v>
      </c>
      <c r="E3733" s="2">
        <v>44632.09375</v>
      </c>
      <c r="F3733" s="23">
        <f t="shared" si="174"/>
        <v>7.9861111109494232E-2</v>
      </c>
      <c r="G3733" s="24">
        <f t="shared" si="176"/>
        <v>156.52173913360375</v>
      </c>
      <c r="H3733" s="1" t="s">
        <v>1</v>
      </c>
      <c r="I3733" s="4" t="s">
        <v>2</v>
      </c>
      <c r="J3733" s="14">
        <v>1.3888888888888888E-2</v>
      </c>
      <c r="K3733" s="20" t="str">
        <f t="shared" si="175"/>
        <v>3rd Shift</v>
      </c>
    </row>
    <row r="3734" spans="1:11" x14ac:dyDescent="0.25">
      <c r="A3734" s="1">
        <v>3733</v>
      </c>
      <c r="B3734" s="1">
        <v>7</v>
      </c>
      <c r="C3734" s="3">
        <v>7115271756901</v>
      </c>
      <c r="D3734" s="2">
        <v>44632.013888888891</v>
      </c>
      <c r="E3734" s="2">
        <v>44632.09375</v>
      </c>
      <c r="F3734" s="23">
        <f t="shared" si="174"/>
        <v>7.9861111109494232E-2</v>
      </c>
      <c r="G3734" s="24">
        <f t="shared" si="176"/>
        <v>156.52173913360375</v>
      </c>
      <c r="H3734" s="1" t="s">
        <v>1</v>
      </c>
      <c r="I3734" s="4" t="s">
        <v>2</v>
      </c>
      <c r="J3734" s="14">
        <v>1.3888888888888888E-2</v>
      </c>
      <c r="K3734" s="20" t="str">
        <f t="shared" si="175"/>
        <v>3rd Shift</v>
      </c>
    </row>
    <row r="3735" spans="1:11" x14ac:dyDescent="0.25">
      <c r="A3735" s="1">
        <v>3734</v>
      </c>
      <c r="B3735" s="1">
        <v>15</v>
      </c>
      <c r="C3735" s="3">
        <v>15115271743802</v>
      </c>
      <c r="D3735" s="2">
        <v>44632.520833333336</v>
      </c>
      <c r="E3735" s="2">
        <v>44632.586805555555</v>
      </c>
      <c r="F3735" s="23">
        <f t="shared" si="174"/>
        <v>6.5972222218988463E-2</v>
      </c>
      <c r="G3735" s="24">
        <f t="shared" si="176"/>
        <v>189.47368421981375</v>
      </c>
      <c r="H3735" s="1" t="s">
        <v>1</v>
      </c>
      <c r="I3735" s="4" t="s">
        <v>2</v>
      </c>
      <c r="J3735" s="14">
        <v>0.52083333333333337</v>
      </c>
      <c r="K3735" s="20" t="str">
        <f t="shared" si="175"/>
        <v>1st Shift</v>
      </c>
    </row>
    <row r="3736" spans="1:11" x14ac:dyDescent="0.25">
      <c r="A3736" s="1">
        <v>3735</v>
      </c>
      <c r="B3736" s="1">
        <v>6</v>
      </c>
      <c r="C3736" s="3">
        <v>6115271713100</v>
      </c>
      <c r="D3736" s="2">
        <v>44632.520833333336</v>
      </c>
      <c r="E3736" s="2">
        <v>44632.586805555555</v>
      </c>
      <c r="F3736" s="23">
        <f t="shared" si="174"/>
        <v>6.5972222218988463E-2</v>
      </c>
      <c r="G3736" s="24">
        <f t="shared" si="176"/>
        <v>189.47368421981375</v>
      </c>
      <c r="H3736" s="1" t="s">
        <v>1</v>
      </c>
      <c r="I3736" s="4" t="s">
        <v>2</v>
      </c>
      <c r="J3736" s="14">
        <v>0.52083333333333337</v>
      </c>
      <c r="K3736" s="20" t="str">
        <f t="shared" si="175"/>
        <v>1st Shift</v>
      </c>
    </row>
    <row r="3737" spans="1:11" x14ac:dyDescent="0.25">
      <c r="A3737" s="1">
        <v>3736</v>
      </c>
      <c r="B3737" s="1">
        <v>3</v>
      </c>
      <c r="C3737" s="3">
        <v>3115270308700</v>
      </c>
      <c r="D3737" s="2">
        <v>44632.447916666664</v>
      </c>
      <c r="E3737" s="2">
        <v>44632.586805555555</v>
      </c>
      <c r="F3737" s="23">
        <f t="shared" si="174"/>
        <v>0.13888888889050577</v>
      </c>
      <c r="G3737" s="24">
        <f t="shared" si="176"/>
        <v>89.999999998952262</v>
      </c>
      <c r="H3737" s="1" t="s">
        <v>1</v>
      </c>
      <c r="I3737" s="4" t="s">
        <v>3</v>
      </c>
      <c r="J3737" s="14">
        <v>0.44791666666666669</v>
      </c>
      <c r="K3737" s="20" t="str">
        <f t="shared" si="175"/>
        <v>1st Shift</v>
      </c>
    </row>
    <row r="3738" spans="1:11" x14ac:dyDescent="0.25">
      <c r="A3738" s="1">
        <v>3737</v>
      </c>
      <c r="B3738" s="1">
        <v>3</v>
      </c>
      <c r="C3738" s="3">
        <v>3115270307700</v>
      </c>
      <c r="D3738" s="2">
        <v>44632.479166666664</v>
      </c>
      <c r="E3738" s="2">
        <v>44632.586805555555</v>
      </c>
      <c r="F3738" s="23">
        <f t="shared" si="174"/>
        <v>0.10763888889050577</v>
      </c>
      <c r="G3738" s="24">
        <f t="shared" si="176"/>
        <v>116.1290322563201</v>
      </c>
      <c r="H3738" s="1" t="s">
        <v>1</v>
      </c>
      <c r="I3738" s="4" t="s">
        <v>3</v>
      </c>
      <c r="J3738" s="14">
        <v>0.47916666666666669</v>
      </c>
      <c r="K3738" s="20" t="str">
        <f t="shared" si="175"/>
        <v>1st Shift</v>
      </c>
    </row>
    <row r="3739" spans="1:11" x14ac:dyDescent="0.25">
      <c r="A3739" s="1">
        <v>3738</v>
      </c>
      <c r="B3739" s="1">
        <v>1</v>
      </c>
      <c r="C3739" s="3">
        <v>1115270024500</v>
      </c>
      <c r="D3739" s="2">
        <v>44632.489583333336</v>
      </c>
      <c r="E3739" s="2">
        <v>44632.586805555555</v>
      </c>
      <c r="F3739" s="23">
        <f t="shared" si="174"/>
        <v>9.7222222218988463E-2</v>
      </c>
      <c r="G3739" s="24">
        <f t="shared" si="176"/>
        <v>128.57142857570506</v>
      </c>
      <c r="H3739" s="1" t="s">
        <v>1</v>
      </c>
      <c r="I3739" s="4" t="s">
        <v>2</v>
      </c>
      <c r="J3739" s="14">
        <v>0.48958333333333331</v>
      </c>
      <c r="K3739" s="20" t="str">
        <f t="shared" si="175"/>
        <v>1st Shift</v>
      </c>
    </row>
    <row r="3740" spans="1:11" x14ac:dyDescent="0.25">
      <c r="A3740" s="1">
        <v>3739</v>
      </c>
      <c r="B3740" s="1">
        <v>13</v>
      </c>
      <c r="C3740" s="3">
        <v>13115271590905</v>
      </c>
      <c r="D3740" s="2">
        <v>44632.6875</v>
      </c>
      <c r="E3740" s="2">
        <v>44632.9375</v>
      </c>
      <c r="F3740" s="23">
        <f t="shared" si="174"/>
        <v>0.25</v>
      </c>
      <c r="G3740" s="24">
        <f t="shared" si="176"/>
        <v>50</v>
      </c>
      <c r="H3740" s="1" t="s">
        <v>1</v>
      </c>
      <c r="I3740" s="4" t="s">
        <v>4</v>
      </c>
      <c r="J3740" s="14">
        <v>0.6875</v>
      </c>
      <c r="K3740" s="20" t="str">
        <f t="shared" si="175"/>
        <v>2nd Shift</v>
      </c>
    </row>
    <row r="3741" spans="1:11" x14ac:dyDescent="0.25">
      <c r="A3741" s="1">
        <v>3740</v>
      </c>
      <c r="B3741" s="1">
        <v>11</v>
      </c>
      <c r="C3741" s="3">
        <v>11115271551900</v>
      </c>
      <c r="D3741" s="2">
        <v>44632.6875</v>
      </c>
      <c r="E3741" s="2">
        <v>44632.9375</v>
      </c>
      <c r="F3741" s="23">
        <f t="shared" si="174"/>
        <v>0.25</v>
      </c>
      <c r="G3741" s="24">
        <f t="shared" si="176"/>
        <v>50</v>
      </c>
      <c r="H3741" s="1" t="s">
        <v>1</v>
      </c>
      <c r="I3741" s="4" t="s">
        <v>2</v>
      </c>
      <c r="J3741" s="14">
        <v>0.6875</v>
      </c>
      <c r="K3741" s="20" t="str">
        <f t="shared" si="175"/>
        <v>2nd Shift</v>
      </c>
    </row>
    <row r="3742" spans="1:11" x14ac:dyDescent="0.25">
      <c r="A3742" s="1">
        <v>3741</v>
      </c>
      <c r="B3742" s="1">
        <v>11</v>
      </c>
      <c r="C3742" s="3">
        <v>11115271542801</v>
      </c>
      <c r="D3742" s="2">
        <v>44632.6875</v>
      </c>
      <c r="E3742" s="2">
        <v>44632.9375</v>
      </c>
      <c r="F3742" s="23">
        <f t="shared" si="174"/>
        <v>0.25</v>
      </c>
      <c r="G3742" s="24">
        <f t="shared" si="176"/>
        <v>50</v>
      </c>
      <c r="H3742" s="1" t="s">
        <v>1</v>
      </c>
      <c r="I3742" s="4" t="s">
        <v>2</v>
      </c>
      <c r="J3742" s="14">
        <v>0.6875</v>
      </c>
      <c r="K3742" s="20" t="str">
        <f t="shared" si="175"/>
        <v>2nd Shift</v>
      </c>
    </row>
    <row r="3743" spans="1:11" x14ac:dyDescent="0.25">
      <c r="A3743" s="1">
        <v>3742</v>
      </c>
      <c r="B3743" s="1">
        <v>7</v>
      </c>
      <c r="C3743" s="3">
        <v>7115271757102</v>
      </c>
      <c r="D3743" s="2">
        <v>44632.6875</v>
      </c>
      <c r="E3743" s="2">
        <v>44632.9375</v>
      </c>
      <c r="F3743" s="23">
        <f t="shared" si="174"/>
        <v>0.25</v>
      </c>
      <c r="G3743" s="24">
        <f t="shared" si="176"/>
        <v>50</v>
      </c>
      <c r="H3743" s="1" t="s">
        <v>1</v>
      </c>
      <c r="I3743" s="4" t="s">
        <v>2</v>
      </c>
      <c r="J3743" s="14">
        <v>0.6875</v>
      </c>
      <c r="K3743" s="20" t="str">
        <f t="shared" si="175"/>
        <v>2nd Shift</v>
      </c>
    </row>
    <row r="3744" spans="1:11" x14ac:dyDescent="0.25">
      <c r="A3744" s="1">
        <v>3743</v>
      </c>
      <c r="B3744" s="1">
        <v>6</v>
      </c>
      <c r="C3744" s="3">
        <v>6115271704102</v>
      </c>
      <c r="D3744" s="2">
        <v>44632.6875</v>
      </c>
      <c r="E3744" s="2">
        <v>44632.9375</v>
      </c>
      <c r="F3744" s="23">
        <f t="shared" si="174"/>
        <v>0.25</v>
      </c>
      <c r="G3744" s="24">
        <f t="shared" si="176"/>
        <v>50</v>
      </c>
      <c r="H3744" s="1" t="s">
        <v>1</v>
      </c>
      <c r="I3744" s="4" t="s">
        <v>2</v>
      </c>
      <c r="J3744" s="14">
        <v>0.6875</v>
      </c>
      <c r="K3744" s="20" t="str">
        <f t="shared" si="175"/>
        <v>2nd Shift</v>
      </c>
    </row>
    <row r="3745" spans="1:11" x14ac:dyDescent="0.25">
      <c r="A3745" s="1">
        <v>3744</v>
      </c>
      <c r="B3745" s="1">
        <v>5</v>
      </c>
      <c r="C3745" s="3">
        <v>5115271289500</v>
      </c>
      <c r="D3745" s="2">
        <v>44632.6875</v>
      </c>
      <c r="E3745" s="2">
        <v>44632.9375</v>
      </c>
      <c r="F3745" s="23">
        <f t="shared" si="174"/>
        <v>0.25</v>
      </c>
      <c r="G3745" s="24">
        <f t="shared" si="176"/>
        <v>50</v>
      </c>
      <c r="H3745" s="1" t="s">
        <v>1</v>
      </c>
      <c r="I3745" s="4" t="s">
        <v>2</v>
      </c>
      <c r="J3745" s="14">
        <v>0.6875</v>
      </c>
      <c r="K3745" s="20" t="str">
        <f t="shared" si="175"/>
        <v>2nd Shift</v>
      </c>
    </row>
    <row r="3746" spans="1:11" x14ac:dyDescent="0.25">
      <c r="A3746" s="1">
        <v>3745</v>
      </c>
      <c r="B3746" s="1">
        <v>5</v>
      </c>
      <c r="C3746" s="3">
        <v>5115271285702</v>
      </c>
      <c r="D3746" s="2">
        <v>44632.6875</v>
      </c>
      <c r="E3746" s="2">
        <v>44632.9375</v>
      </c>
      <c r="F3746" s="23">
        <f t="shared" si="174"/>
        <v>0.25</v>
      </c>
      <c r="G3746" s="24">
        <f t="shared" si="176"/>
        <v>50</v>
      </c>
      <c r="H3746" s="1" t="s">
        <v>1</v>
      </c>
      <c r="I3746" s="4" t="s">
        <v>2</v>
      </c>
      <c r="J3746" s="14">
        <v>0.6875</v>
      </c>
      <c r="K3746" s="20" t="str">
        <f t="shared" si="175"/>
        <v>2nd Shift</v>
      </c>
    </row>
    <row r="3747" spans="1:11" x14ac:dyDescent="0.25">
      <c r="A3747" s="1">
        <v>3746</v>
      </c>
      <c r="B3747" s="1">
        <v>14</v>
      </c>
      <c r="C3747" s="3">
        <v>14115271672502</v>
      </c>
      <c r="D3747" s="2">
        <v>44632.96875</v>
      </c>
      <c r="E3747" s="2">
        <v>44633.048611111109</v>
      </c>
      <c r="F3747" s="23">
        <f t="shared" si="174"/>
        <v>7.9861111109494232E-2</v>
      </c>
      <c r="G3747" s="24">
        <f t="shared" si="176"/>
        <v>156.52173913360375</v>
      </c>
      <c r="H3747" s="1" t="s">
        <v>1</v>
      </c>
      <c r="I3747" s="4" t="s">
        <v>2</v>
      </c>
      <c r="J3747" s="14">
        <v>0.96875</v>
      </c>
      <c r="K3747" s="20" t="str">
        <f t="shared" si="175"/>
        <v>3rd Shift</v>
      </c>
    </row>
    <row r="3748" spans="1:11" x14ac:dyDescent="0.25">
      <c r="A3748" s="1">
        <v>3747</v>
      </c>
      <c r="B3748" s="1">
        <v>2</v>
      </c>
      <c r="C3748" s="3">
        <v>2115270274600</v>
      </c>
      <c r="D3748" s="2">
        <v>44632.96875</v>
      </c>
      <c r="E3748" s="2">
        <v>44633.048611111109</v>
      </c>
      <c r="F3748" s="23">
        <f t="shared" si="174"/>
        <v>7.9861111109494232E-2</v>
      </c>
      <c r="G3748" s="24">
        <f t="shared" si="176"/>
        <v>156.52173913360375</v>
      </c>
      <c r="H3748" s="1" t="s">
        <v>1</v>
      </c>
      <c r="I3748" s="4" t="s">
        <v>2</v>
      </c>
      <c r="J3748" s="14">
        <v>0.96875</v>
      </c>
      <c r="K3748" s="20" t="str">
        <f t="shared" si="175"/>
        <v>3rd Shift</v>
      </c>
    </row>
    <row r="3749" spans="1:11" x14ac:dyDescent="0.25">
      <c r="A3749" s="1">
        <v>3748</v>
      </c>
      <c r="B3749" s="1">
        <v>3</v>
      </c>
      <c r="C3749" s="3">
        <v>3115270378500</v>
      </c>
      <c r="D3749" s="2">
        <v>44633.472222222219</v>
      </c>
      <c r="E3749" s="2">
        <v>44633.534722222219</v>
      </c>
      <c r="F3749" s="23">
        <f t="shared" si="174"/>
        <v>6.25E-2</v>
      </c>
      <c r="G3749" s="24">
        <f t="shared" si="176"/>
        <v>200</v>
      </c>
      <c r="H3749" s="1" t="s">
        <v>1</v>
      </c>
      <c r="I3749" s="4" t="s">
        <v>2</v>
      </c>
      <c r="J3749" s="14">
        <v>0.47222222222222221</v>
      </c>
      <c r="K3749" s="20" t="str">
        <f t="shared" si="175"/>
        <v>1st Shift</v>
      </c>
    </row>
    <row r="3750" spans="1:11" x14ac:dyDescent="0.25">
      <c r="A3750" s="1">
        <v>3749</v>
      </c>
      <c r="B3750" s="1">
        <v>14</v>
      </c>
      <c r="C3750" s="3">
        <v>14115271672501</v>
      </c>
      <c r="D3750" s="2">
        <v>44633.440972222219</v>
      </c>
      <c r="E3750" s="2">
        <v>44633.586805555555</v>
      </c>
      <c r="F3750" s="23">
        <f t="shared" si="174"/>
        <v>0.14583333333575865</v>
      </c>
      <c r="G3750" s="24">
        <f t="shared" si="176"/>
        <v>85.714285712860217</v>
      </c>
      <c r="H3750" s="1" t="s">
        <v>1</v>
      </c>
      <c r="I3750" s="4" t="s">
        <v>5</v>
      </c>
      <c r="J3750" s="14">
        <v>0.44097222222222221</v>
      </c>
      <c r="K3750" s="20" t="str">
        <f t="shared" si="175"/>
        <v>1st Shift</v>
      </c>
    </row>
    <row r="3751" spans="1:11" x14ac:dyDescent="0.25">
      <c r="A3751" s="1">
        <v>3750</v>
      </c>
      <c r="B3751" s="1">
        <v>13</v>
      </c>
      <c r="C3751" s="3">
        <v>13115271624100</v>
      </c>
      <c r="D3751" s="2">
        <v>44633.409722222219</v>
      </c>
      <c r="E3751" s="2">
        <v>44633.586805555555</v>
      </c>
      <c r="F3751" s="23">
        <f t="shared" si="174"/>
        <v>0.17708333333575865</v>
      </c>
      <c r="G3751" s="24">
        <f t="shared" si="176"/>
        <v>70.588235293150888</v>
      </c>
      <c r="H3751" s="1" t="s">
        <v>1</v>
      </c>
      <c r="I3751" s="4" t="s">
        <v>2</v>
      </c>
      <c r="J3751" s="14">
        <v>0.40972222222222221</v>
      </c>
      <c r="K3751" s="20" t="str">
        <f t="shared" si="175"/>
        <v>1st Shift</v>
      </c>
    </row>
    <row r="3752" spans="1:11" x14ac:dyDescent="0.25">
      <c r="A3752" s="1">
        <v>3751</v>
      </c>
      <c r="B3752" s="1">
        <v>9</v>
      </c>
      <c r="C3752" s="3">
        <v>9115271907102</v>
      </c>
      <c r="D3752" s="2">
        <v>44633.472222222219</v>
      </c>
      <c r="E3752" s="2">
        <v>44633.586805555555</v>
      </c>
      <c r="F3752" s="23">
        <f t="shared" si="174"/>
        <v>0.11458333333575865</v>
      </c>
      <c r="G3752" s="24">
        <f t="shared" si="176"/>
        <v>109.09090908860001</v>
      </c>
      <c r="H3752" s="1" t="s">
        <v>1</v>
      </c>
      <c r="I3752" s="4" t="s">
        <v>3</v>
      </c>
      <c r="J3752" s="14">
        <v>0.47222222222222221</v>
      </c>
      <c r="K3752" s="20" t="str">
        <f t="shared" si="175"/>
        <v>1st Shift</v>
      </c>
    </row>
    <row r="3753" spans="1:11" x14ac:dyDescent="0.25">
      <c r="A3753" s="1">
        <v>3752</v>
      </c>
      <c r="B3753" s="1">
        <v>7</v>
      </c>
      <c r="C3753" s="3">
        <v>7115271759003</v>
      </c>
      <c r="D3753" s="2">
        <v>44633.416666666664</v>
      </c>
      <c r="E3753" s="2">
        <v>44633.586805555555</v>
      </c>
      <c r="F3753" s="23">
        <f t="shared" si="174"/>
        <v>0.17013888889050577</v>
      </c>
      <c r="G3753" s="24">
        <f t="shared" si="176"/>
        <v>73.46938775440384</v>
      </c>
      <c r="H3753" s="1" t="s">
        <v>1</v>
      </c>
      <c r="I3753" s="4" t="s">
        <v>2</v>
      </c>
      <c r="J3753" s="14">
        <v>0.41666666666666669</v>
      </c>
      <c r="K3753" s="20" t="str">
        <f t="shared" si="175"/>
        <v>1st Shift</v>
      </c>
    </row>
    <row r="3754" spans="1:11" x14ac:dyDescent="0.25">
      <c r="A3754" s="1">
        <v>3753</v>
      </c>
      <c r="B3754" s="1">
        <v>3</v>
      </c>
      <c r="C3754" s="3">
        <v>3115270392700</v>
      </c>
      <c r="D3754" s="2">
        <v>44633.524305555555</v>
      </c>
      <c r="E3754" s="2">
        <v>44633.586805555555</v>
      </c>
      <c r="F3754" s="23">
        <f t="shared" si="174"/>
        <v>6.25E-2</v>
      </c>
      <c r="G3754" s="24">
        <f t="shared" si="176"/>
        <v>200</v>
      </c>
      <c r="H3754" s="1" t="s">
        <v>1</v>
      </c>
      <c r="I3754" s="4" t="s">
        <v>2</v>
      </c>
      <c r="J3754" s="14">
        <v>0.52430555555555558</v>
      </c>
      <c r="K3754" s="20" t="str">
        <f t="shared" si="175"/>
        <v>1st Shift</v>
      </c>
    </row>
    <row r="3755" spans="1:11" x14ac:dyDescent="0.25">
      <c r="A3755" s="1">
        <v>3754</v>
      </c>
      <c r="B3755" s="1">
        <v>1</v>
      </c>
      <c r="C3755" s="3">
        <v>1115270127400</v>
      </c>
      <c r="D3755" s="2">
        <v>44633.524305555555</v>
      </c>
      <c r="E3755" s="2">
        <v>44633.586805555555</v>
      </c>
      <c r="F3755" s="23">
        <f t="shared" si="174"/>
        <v>6.25E-2</v>
      </c>
      <c r="G3755" s="24">
        <f t="shared" si="176"/>
        <v>200</v>
      </c>
      <c r="H3755" s="1" t="s">
        <v>1</v>
      </c>
      <c r="I3755" s="4" t="s">
        <v>2</v>
      </c>
      <c r="J3755" s="14">
        <v>0.52430555555555558</v>
      </c>
      <c r="K3755" s="20" t="str">
        <f t="shared" si="175"/>
        <v>1st Shift</v>
      </c>
    </row>
    <row r="3756" spans="1:11" x14ac:dyDescent="0.25">
      <c r="A3756" s="1">
        <v>3755</v>
      </c>
      <c r="B3756" s="1">
        <v>10</v>
      </c>
      <c r="C3756" s="3">
        <v>10115270953300</v>
      </c>
      <c r="D3756" s="2">
        <v>44633.652777777781</v>
      </c>
      <c r="E3756" s="2">
        <v>44633.743055555555</v>
      </c>
      <c r="F3756" s="23">
        <f t="shared" si="174"/>
        <v>9.0277777773735579E-2</v>
      </c>
      <c r="G3756" s="24">
        <f t="shared" si="176"/>
        <v>138.46153846773811</v>
      </c>
      <c r="H3756" s="1" t="s">
        <v>1</v>
      </c>
      <c r="I3756" s="4" t="s">
        <v>5</v>
      </c>
      <c r="J3756" s="14">
        <v>0.65277777777777779</v>
      </c>
      <c r="K3756" s="20" t="str">
        <f t="shared" si="175"/>
        <v>2nd Shift</v>
      </c>
    </row>
    <row r="3757" spans="1:11" x14ac:dyDescent="0.25">
      <c r="A3757" s="1">
        <v>3756</v>
      </c>
      <c r="B3757" s="1">
        <v>6</v>
      </c>
      <c r="C3757" s="3">
        <v>6115271691301</v>
      </c>
      <c r="D3757" s="2">
        <v>44633.652777777781</v>
      </c>
      <c r="E3757" s="2">
        <v>44633.743055555555</v>
      </c>
      <c r="F3757" s="23">
        <f t="shared" si="174"/>
        <v>9.0277777773735579E-2</v>
      </c>
      <c r="G3757" s="24">
        <f t="shared" si="176"/>
        <v>138.46153846773811</v>
      </c>
      <c r="H3757" s="1" t="s">
        <v>1</v>
      </c>
      <c r="I3757" s="4" t="s">
        <v>8</v>
      </c>
      <c r="J3757" s="14">
        <v>0.65277777777777779</v>
      </c>
      <c r="K3757" s="20" t="str">
        <f t="shared" si="175"/>
        <v>2nd Shift</v>
      </c>
    </row>
    <row r="3758" spans="1:11" x14ac:dyDescent="0.25">
      <c r="A3758" s="1">
        <v>3757</v>
      </c>
      <c r="B3758" s="1">
        <v>5</v>
      </c>
      <c r="C3758" s="3">
        <v>5115271272704</v>
      </c>
      <c r="D3758" s="2">
        <v>44633.652777777781</v>
      </c>
      <c r="E3758" s="2">
        <v>44633.743055555555</v>
      </c>
      <c r="F3758" s="23">
        <f t="shared" si="174"/>
        <v>9.0277777773735579E-2</v>
      </c>
      <c r="G3758" s="24">
        <f t="shared" si="176"/>
        <v>138.46153846773811</v>
      </c>
      <c r="H3758" s="1" t="s">
        <v>1</v>
      </c>
      <c r="I3758" s="4" t="s">
        <v>2</v>
      </c>
      <c r="J3758" s="14">
        <v>0.65277777777777779</v>
      </c>
      <c r="K3758" s="20" t="str">
        <f t="shared" si="175"/>
        <v>2nd Shift</v>
      </c>
    </row>
    <row r="3759" spans="1:11" x14ac:dyDescent="0.25">
      <c r="A3759" s="1">
        <v>3758</v>
      </c>
      <c r="B3759" s="1">
        <v>1</v>
      </c>
      <c r="C3759" s="3">
        <v>1115270112500</v>
      </c>
      <c r="D3759" s="2">
        <v>44633.694444444445</v>
      </c>
      <c r="E3759" s="2">
        <v>44633.743055555555</v>
      </c>
      <c r="F3759" s="23">
        <f t="shared" si="174"/>
        <v>4.8611111109494232E-2</v>
      </c>
      <c r="G3759" s="24">
        <f t="shared" si="176"/>
        <v>257.14285715141011</v>
      </c>
      <c r="H3759" s="1" t="s">
        <v>1</v>
      </c>
      <c r="I3759" s="4" t="s">
        <v>3</v>
      </c>
      <c r="J3759" s="14">
        <v>0.69444444444444442</v>
      </c>
      <c r="K3759" s="20" t="str">
        <f t="shared" si="175"/>
        <v>2nd Shift</v>
      </c>
    </row>
    <row r="3760" spans="1:11" x14ac:dyDescent="0.25">
      <c r="A3760" s="1">
        <v>3759</v>
      </c>
      <c r="B3760" s="1">
        <v>1</v>
      </c>
      <c r="C3760" s="3">
        <v>1115270064500</v>
      </c>
      <c r="D3760" s="2">
        <v>44633.736111111109</v>
      </c>
      <c r="E3760" s="2">
        <v>44633.784722222219</v>
      </c>
      <c r="F3760" s="23">
        <f t="shared" si="174"/>
        <v>4.8611111109494232E-2</v>
      </c>
      <c r="G3760" s="24">
        <f t="shared" si="176"/>
        <v>257.14285715141011</v>
      </c>
      <c r="H3760" s="1" t="s">
        <v>1</v>
      </c>
      <c r="I3760" s="4" t="s">
        <v>2</v>
      </c>
      <c r="J3760" s="14">
        <v>0.73611111111111116</v>
      </c>
      <c r="K3760" s="20" t="str">
        <f t="shared" si="175"/>
        <v>2nd Shift</v>
      </c>
    </row>
    <row r="3761" spans="1:11" x14ac:dyDescent="0.25">
      <c r="A3761" s="1">
        <v>3760</v>
      </c>
      <c r="B3761" s="1">
        <v>14</v>
      </c>
      <c r="C3761" s="3">
        <v>14115271689803</v>
      </c>
      <c r="D3761" s="2">
        <v>44633.802083333336</v>
      </c>
      <c r="E3761" s="2">
        <v>44633.865277777775</v>
      </c>
      <c r="F3761" s="23">
        <f t="shared" si="174"/>
        <v>6.3194444439432118E-2</v>
      </c>
      <c r="G3761" s="24">
        <f t="shared" si="176"/>
        <v>197.80219781788665</v>
      </c>
      <c r="H3761" s="1" t="s">
        <v>1</v>
      </c>
      <c r="I3761" s="4" t="s">
        <v>2</v>
      </c>
      <c r="J3761" s="14">
        <v>0.80208333333333337</v>
      </c>
      <c r="K3761" s="20" t="str">
        <f t="shared" si="175"/>
        <v>2nd Shift</v>
      </c>
    </row>
    <row r="3762" spans="1:11" x14ac:dyDescent="0.25">
      <c r="A3762" s="1">
        <v>3761</v>
      </c>
      <c r="B3762" s="1">
        <v>5</v>
      </c>
      <c r="C3762" s="3">
        <v>5115271259402</v>
      </c>
      <c r="D3762" s="2">
        <v>44633.802083333336</v>
      </c>
      <c r="E3762" s="2">
        <v>44633.865277777775</v>
      </c>
      <c r="F3762" s="23">
        <f t="shared" si="174"/>
        <v>6.3194444439432118E-2</v>
      </c>
      <c r="G3762" s="24">
        <f t="shared" si="176"/>
        <v>197.80219781788665</v>
      </c>
      <c r="H3762" s="1" t="s">
        <v>1</v>
      </c>
      <c r="I3762" s="4" t="s">
        <v>3</v>
      </c>
      <c r="J3762" s="14">
        <v>0.80208333333333337</v>
      </c>
      <c r="K3762" s="20" t="str">
        <f t="shared" si="175"/>
        <v>2nd Shift</v>
      </c>
    </row>
    <row r="3763" spans="1:11" x14ac:dyDescent="0.25">
      <c r="A3763" s="1">
        <v>3762</v>
      </c>
      <c r="B3763" s="1">
        <v>2</v>
      </c>
      <c r="C3763" s="3">
        <v>2115270266400</v>
      </c>
      <c r="D3763" s="2">
        <v>44633.802083333336</v>
      </c>
      <c r="E3763" s="2">
        <v>44633.865277777775</v>
      </c>
      <c r="F3763" s="23">
        <f t="shared" si="174"/>
        <v>6.3194444439432118E-2</v>
      </c>
      <c r="G3763" s="24">
        <f t="shared" si="176"/>
        <v>197.80219781788665</v>
      </c>
      <c r="H3763" s="1" t="s">
        <v>1</v>
      </c>
      <c r="I3763" s="4" t="s">
        <v>2</v>
      </c>
      <c r="J3763" s="14">
        <v>0.80208333333333337</v>
      </c>
      <c r="K3763" s="20" t="str">
        <f t="shared" si="175"/>
        <v>2nd Shift</v>
      </c>
    </row>
    <row r="3764" spans="1:11" x14ac:dyDescent="0.25">
      <c r="A3764" s="1">
        <v>3763</v>
      </c>
      <c r="B3764" s="1">
        <v>1</v>
      </c>
      <c r="C3764" s="3">
        <v>1115270067502</v>
      </c>
      <c r="D3764" s="2">
        <v>44633.930555555555</v>
      </c>
      <c r="E3764" s="2">
        <v>44633.96875</v>
      </c>
      <c r="F3764" s="23">
        <f t="shared" si="174"/>
        <v>3.8194444445252884E-2</v>
      </c>
      <c r="G3764" s="24">
        <f t="shared" si="176"/>
        <v>327.27272726580009</v>
      </c>
      <c r="H3764" s="1" t="s">
        <v>1</v>
      </c>
      <c r="I3764" s="4" t="s">
        <v>2</v>
      </c>
      <c r="J3764" s="14">
        <v>0.93055555555555558</v>
      </c>
      <c r="K3764" s="20" t="str">
        <f t="shared" si="175"/>
        <v>3rd Shift</v>
      </c>
    </row>
    <row r="3765" spans="1:11" x14ac:dyDescent="0.25">
      <c r="A3765" s="1">
        <v>3764</v>
      </c>
      <c r="B3765" s="1">
        <v>13</v>
      </c>
      <c r="C3765" s="3">
        <v>13115271590603</v>
      </c>
      <c r="D3765" s="2">
        <v>44634.000011574077</v>
      </c>
      <c r="E3765" s="2">
        <v>44634.052083333336</v>
      </c>
      <c r="F3765" s="23">
        <f t="shared" si="174"/>
        <v>5.2071759258979E-2</v>
      </c>
      <c r="G3765" s="24">
        <f t="shared" si="176"/>
        <v>240.05334518911155</v>
      </c>
      <c r="H3765" s="1" t="s">
        <v>1</v>
      </c>
      <c r="I3765" s="4" t="s">
        <v>2</v>
      </c>
      <c r="J3765" s="14">
        <v>1.1574074074074073E-5</v>
      </c>
      <c r="K3765" s="20" t="str">
        <f t="shared" si="175"/>
        <v>3rd Shift</v>
      </c>
    </row>
    <row r="3766" spans="1:11" x14ac:dyDescent="0.25">
      <c r="A3766" s="1">
        <v>3765</v>
      </c>
      <c r="B3766" s="1">
        <v>3</v>
      </c>
      <c r="C3766" s="3">
        <v>3115270350702</v>
      </c>
      <c r="D3766" s="2">
        <v>44634.000011574077</v>
      </c>
      <c r="E3766" s="2">
        <v>44634.052083333336</v>
      </c>
      <c r="F3766" s="23">
        <f t="shared" si="174"/>
        <v>5.2071759258979E-2</v>
      </c>
      <c r="G3766" s="24">
        <f t="shared" si="176"/>
        <v>240.05334518911155</v>
      </c>
      <c r="H3766" s="1" t="s">
        <v>1</v>
      </c>
      <c r="I3766" s="4" t="s">
        <v>2</v>
      </c>
      <c r="J3766" s="14">
        <v>1.1574074074074073E-5</v>
      </c>
      <c r="K3766" s="20" t="str">
        <f t="shared" si="175"/>
        <v>3rd Shift</v>
      </c>
    </row>
    <row r="3767" spans="1:11" x14ac:dyDescent="0.25">
      <c r="A3767" s="1">
        <v>3766</v>
      </c>
      <c r="B3767" s="1">
        <v>8</v>
      </c>
      <c r="C3767" s="3">
        <v>8115271855800</v>
      </c>
      <c r="D3767" s="2">
        <v>44634.375</v>
      </c>
      <c r="E3767" s="2">
        <v>44634.399305555555</v>
      </c>
      <c r="F3767" s="23">
        <f t="shared" si="174"/>
        <v>2.4305555554747116E-2</v>
      </c>
      <c r="G3767" s="24">
        <f t="shared" si="176"/>
        <v>514.28571430282022</v>
      </c>
      <c r="H3767" s="1" t="s">
        <v>1</v>
      </c>
      <c r="I3767" s="4" t="s">
        <v>8</v>
      </c>
      <c r="J3767" s="14">
        <v>0.375</v>
      </c>
      <c r="K3767" s="20" t="str">
        <f t="shared" si="175"/>
        <v>1st Shift</v>
      </c>
    </row>
    <row r="3768" spans="1:11" x14ac:dyDescent="0.25">
      <c r="A3768" s="1">
        <v>3767</v>
      </c>
      <c r="B3768" s="1">
        <v>12</v>
      </c>
      <c r="C3768" s="3">
        <v>12115271563804</v>
      </c>
      <c r="D3768" s="2">
        <v>44634.638888888891</v>
      </c>
      <c r="E3768" s="2">
        <v>44634.850694444445</v>
      </c>
      <c r="F3768" s="23">
        <f t="shared" si="174"/>
        <v>0.21180555555474712</v>
      </c>
      <c r="G3768" s="24">
        <f t="shared" si="176"/>
        <v>59.016393442848212</v>
      </c>
      <c r="H3768" s="1" t="s">
        <v>1</v>
      </c>
      <c r="I3768" s="4" t="s">
        <v>2</v>
      </c>
      <c r="J3768" s="14">
        <v>0.63888888888888884</v>
      </c>
      <c r="K3768" s="20" t="str">
        <f t="shared" si="175"/>
        <v>2nd Shift</v>
      </c>
    </row>
    <row r="3769" spans="1:11" x14ac:dyDescent="0.25">
      <c r="A3769" s="1">
        <v>3768</v>
      </c>
      <c r="B3769" s="1">
        <v>11</v>
      </c>
      <c r="C3769" s="3">
        <v>11115271542608</v>
      </c>
      <c r="D3769" s="2">
        <v>44634.638888888891</v>
      </c>
      <c r="E3769" s="2">
        <v>44634.850694444445</v>
      </c>
      <c r="F3769" s="23">
        <f t="shared" si="174"/>
        <v>0.21180555555474712</v>
      </c>
      <c r="G3769" s="24">
        <f t="shared" si="176"/>
        <v>59.016393442848212</v>
      </c>
      <c r="H3769" s="1" t="s">
        <v>1</v>
      </c>
      <c r="I3769" s="4" t="s">
        <v>3</v>
      </c>
      <c r="J3769" s="14">
        <v>0.63888888888888884</v>
      </c>
      <c r="K3769" s="20" t="str">
        <f t="shared" si="175"/>
        <v>2nd Shift</v>
      </c>
    </row>
    <row r="3770" spans="1:11" x14ac:dyDescent="0.25">
      <c r="A3770" s="1">
        <v>3769</v>
      </c>
      <c r="B3770" s="1">
        <v>10</v>
      </c>
      <c r="C3770" s="3">
        <v>10115271432800</v>
      </c>
      <c r="D3770" s="2">
        <v>44634.638888888891</v>
      </c>
      <c r="E3770" s="2">
        <v>44634.850694444445</v>
      </c>
      <c r="F3770" s="23">
        <f t="shared" si="174"/>
        <v>0.21180555555474712</v>
      </c>
      <c r="G3770" s="24">
        <f t="shared" si="176"/>
        <v>59.016393442848212</v>
      </c>
      <c r="H3770" s="1" t="s">
        <v>1</v>
      </c>
      <c r="I3770" s="4" t="s">
        <v>2</v>
      </c>
      <c r="J3770" s="14">
        <v>0.63888888888888884</v>
      </c>
      <c r="K3770" s="20" t="str">
        <f t="shared" si="175"/>
        <v>2nd Shift</v>
      </c>
    </row>
    <row r="3771" spans="1:11" x14ac:dyDescent="0.25">
      <c r="A3771" s="1">
        <v>3770</v>
      </c>
      <c r="B3771" s="1">
        <v>8</v>
      </c>
      <c r="C3771" s="3">
        <v>8115271810104</v>
      </c>
      <c r="D3771" s="2">
        <v>44634.638888888891</v>
      </c>
      <c r="E3771" s="2">
        <v>44634.850694444445</v>
      </c>
      <c r="F3771" s="23">
        <f t="shared" si="174"/>
        <v>0.21180555555474712</v>
      </c>
      <c r="G3771" s="24">
        <f t="shared" si="176"/>
        <v>59.016393442848212</v>
      </c>
      <c r="H3771" s="1" t="s">
        <v>1</v>
      </c>
      <c r="I3771" s="4" t="s">
        <v>2</v>
      </c>
      <c r="J3771" s="14">
        <v>0.63888888888888884</v>
      </c>
      <c r="K3771" s="20" t="str">
        <f t="shared" si="175"/>
        <v>2nd Shift</v>
      </c>
    </row>
    <row r="3772" spans="1:11" x14ac:dyDescent="0.25">
      <c r="A3772" s="1">
        <v>3771</v>
      </c>
      <c r="B3772" s="1">
        <v>6</v>
      </c>
      <c r="C3772" s="3">
        <v>6115271715800</v>
      </c>
      <c r="D3772" s="2">
        <v>44634.638888888891</v>
      </c>
      <c r="E3772" s="2">
        <v>44634.850694444445</v>
      </c>
      <c r="F3772" s="23">
        <f t="shared" si="174"/>
        <v>0.21180555555474712</v>
      </c>
      <c r="G3772" s="24">
        <f t="shared" si="176"/>
        <v>59.016393442848212</v>
      </c>
      <c r="H3772" s="1" t="s">
        <v>1</v>
      </c>
      <c r="I3772" s="4" t="s">
        <v>2</v>
      </c>
      <c r="J3772" s="14">
        <v>0.63888888888888884</v>
      </c>
      <c r="K3772" s="20" t="str">
        <f t="shared" si="175"/>
        <v>2nd Shift</v>
      </c>
    </row>
    <row r="3773" spans="1:11" x14ac:dyDescent="0.25">
      <c r="A3773" s="1">
        <v>3772</v>
      </c>
      <c r="B3773" s="1">
        <v>6</v>
      </c>
      <c r="C3773" s="3">
        <v>6115271660206</v>
      </c>
      <c r="D3773" s="2">
        <v>44634.638888888891</v>
      </c>
      <c r="E3773" s="2">
        <v>44634.850694444445</v>
      </c>
      <c r="F3773" s="23">
        <f t="shared" si="174"/>
        <v>0.21180555555474712</v>
      </c>
      <c r="G3773" s="24">
        <f t="shared" si="176"/>
        <v>59.016393442848212</v>
      </c>
      <c r="H3773" s="1" t="s">
        <v>1</v>
      </c>
      <c r="I3773" s="4" t="s">
        <v>2</v>
      </c>
      <c r="J3773" s="14">
        <v>0.63888888888888884</v>
      </c>
      <c r="K3773" s="20" t="str">
        <f t="shared" si="175"/>
        <v>2nd Shift</v>
      </c>
    </row>
    <row r="3774" spans="1:11" x14ac:dyDescent="0.25">
      <c r="A3774" s="1">
        <v>3773</v>
      </c>
      <c r="B3774" s="1">
        <v>2</v>
      </c>
      <c r="C3774" s="3">
        <v>2115270193700</v>
      </c>
      <c r="D3774" s="2">
        <v>44634.638888888891</v>
      </c>
      <c r="E3774" s="2">
        <v>44634.850694444445</v>
      </c>
      <c r="F3774" s="23">
        <f t="shared" si="174"/>
        <v>0.21180555555474712</v>
      </c>
      <c r="G3774" s="24">
        <f t="shared" si="176"/>
        <v>59.016393442848212</v>
      </c>
      <c r="H3774" s="1" t="s">
        <v>1</v>
      </c>
      <c r="I3774" s="4" t="s">
        <v>2</v>
      </c>
      <c r="J3774" s="14">
        <v>0.63888888888888884</v>
      </c>
      <c r="K3774" s="20" t="str">
        <f t="shared" si="175"/>
        <v>2nd Shift</v>
      </c>
    </row>
    <row r="3775" spans="1:11" x14ac:dyDescent="0.25">
      <c r="A3775" s="1">
        <v>3774</v>
      </c>
      <c r="B3775" s="1">
        <v>1</v>
      </c>
      <c r="C3775" s="3">
        <v>1115270112500</v>
      </c>
      <c r="D3775" s="2">
        <v>44634.638888888891</v>
      </c>
      <c r="E3775" s="2">
        <v>44634.850694444445</v>
      </c>
      <c r="F3775" s="23">
        <f t="shared" si="174"/>
        <v>0.21180555555474712</v>
      </c>
      <c r="G3775" s="24">
        <f t="shared" si="176"/>
        <v>59.016393442848212</v>
      </c>
      <c r="H3775" s="1" t="s">
        <v>1</v>
      </c>
      <c r="I3775" s="4" t="s">
        <v>3</v>
      </c>
      <c r="J3775" s="14">
        <v>0.63888888888888884</v>
      </c>
      <c r="K3775" s="20" t="str">
        <f t="shared" si="175"/>
        <v>2nd Shift</v>
      </c>
    </row>
    <row r="3776" spans="1:11" x14ac:dyDescent="0.25">
      <c r="A3776" s="1">
        <v>3775</v>
      </c>
      <c r="B3776" s="1">
        <v>12</v>
      </c>
      <c r="C3776" s="3">
        <v>12115271567004</v>
      </c>
      <c r="D3776" s="2">
        <v>44634.871527777781</v>
      </c>
      <c r="E3776" s="2">
        <v>44634.909722222219</v>
      </c>
      <c r="F3776" s="23">
        <f t="shared" si="174"/>
        <v>3.8194444437976927E-2</v>
      </c>
      <c r="G3776" s="24">
        <f t="shared" si="176"/>
        <v>327.27272732814481</v>
      </c>
      <c r="H3776" s="1" t="s">
        <v>1</v>
      </c>
      <c r="I3776" s="4" t="s">
        <v>3</v>
      </c>
      <c r="J3776" s="14">
        <v>0.87152777777777779</v>
      </c>
      <c r="K3776" s="20" t="str">
        <f t="shared" si="175"/>
        <v>2nd Shift</v>
      </c>
    </row>
    <row r="3777" spans="1:11" x14ac:dyDescent="0.25">
      <c r="A3777" s="1">
        <v>3776</v>
      </c>
      <c r="B3777" s="1">
        <v>3</v>
      </c>
      <c r="C3777" s="3">
        <v>3115270365100</v>
      </c>
      <c r="D3777" s="2">
        <v>44634.871527777781</v>
      </c>
      <c r="E3777" s="2">
        <v>44634.909722222219</v>
      </c>
      <c r="F3777" s="23">
        <f t="shared" si="174"/>
        <v>3.8194444437976927E-2</v>
      </c>
      <c r="G3777" s="24">
        <f t="shared" si="176"/>
        <v>327.27272732814481</v>
      </c>
      <c r="H3777" s="1" t="s">
        <v>1</v>
      </c>
      <c r="I3777" s="4" t="s">
        <v>3</v>
      </c>
      <c r="J3777" s="14">
        <v>0.87152777777777779</v>
      </c>
      <c r="K3777" s="20" t="str">
        <f t="shared" si="175"/>
        <v>2nd Shift</v>
      </c>
    </row>
    <row r="3778" spans="1:11" x14ac:dyDescent="0.25">
      <c r="A3778" s="1">
        <v>3777</v>
      </c>
      <c r="B3778" s="1">
        <v>2</v>
      </c>
      <c r="C3778" s="3">
        <v>2115270169700</v>
      </c>
      <c r="D3778" s="2">
        <v>44634.958333333336</v>
      </c>
      <c r="E3778" s="2">
        <v>44635.006944444445</v>
      </c>
      <c r="F3778" s="23">
        <f t="shared" ref="F3778:F3841" si="177">E3778-D3778</f>
        <v>4.8611111109494232E-2</v>
      </c>
      <c r="G3778" s="24">
        <f t="shared" si="176"/>
        <v>257.14285715141011</v>
      </c>
      <c r="H3778" s="1" t="s">
        <v>1</v>
      </c>
      <c r="I3778" s="4" t="s">
        <v>2</v>
      </c>
      <c r="J3778" s="14">
        <v>0.95833333333333337</v>
      </c>
      <c r="K3778" s="20" t="str">
        <f t="shared" ref="K3778:K3841" si="178">IF(AND(J3778&gt;=$M$3,J3778&lt;$M$4),"1st Shift",IF(AND(J3778&gt;=$M$4,J3778&lt;$M$5),"2nd Shift","3rd Shift"))</f>
        <v>3rd Shift</v>
      </c>
    </row>
    <row r="3779" spans="1:11" x14ac:dyDescent="0.25">
      <c r="A3779" s="1">
        <v>3778</v>
      </c>
      <c r="B3779" s="1">
        <v>1</v>
      </c>
      <c r="C3779" s="3">
        <v>1115270142600</v>
      </c>
      <c r="D3779" s="2">
        <v>44634.958333333336</v>
      </c>
      <c r="E3779" s="2">
        <v>44635.006944444445</v>
      </c>
      <c r="F3779" s="23">
        <f t="shared" si="177"/>
        <v>4.8611111109494232E-2</v>
      </c>
      <c r="G3779" s="24">
        <f t="shared" ref="G3779:G3842" si="179">$M$9/F3779*100</f>
        <v>257.14285715141011</v>
      </c>
      <c r="H3779" s="1" t="s">
        <v>1</v>
      </c>
      <c r="I3779" s="4" t="s">
        <v>3</v>
      </c>
      <c r="J3779" s="14">
        <v>0.95833333333333337</v>
      </c>
      <c r="K3779" s="20" t="str">
        <f t="shared" si="178"/>
        <v>3rd Shift</v>
      </c>
    </row>
    <row r="3780" spans="1:11" x14ac:dyDescent="0.25">
      <c r="A3780" s="1">
        <v>3779</v>
      </c>
      <c r="B3780" s="1">
        <v>1</v>
      </c>
      <c r="C3780" s="3">
        <v>1115270169700</v>
      </c>
      <c r="D3780" s="2">
        <v>44635.03125</v>
      </c>
      <c r="E3780" s="2">
        <v>44635.0625</v>
      </c>
      <c r="F3780" s="23">
        <f t="shared" si="177"/>
        <v>3.125E-2</v>
      </c>
      <c r="G3780" s="24">
        <f t="shared" si="179"/>
        <v>400</v>
      </c>
      <c r="H3780" s="1" t="s">
        <v>1</v>
      </c>
      <c r="I3780" s="4" t="s">
        <v>2</v>
      </c>
      <c r="J3780" s="14">
        <v>3.125E-2</v>
      </c>
      <c r="K3780" s="20" t="str">
        <f t="shared" si="178"/>
        <v>3rd Shift</v>
      </c>
    </row>
    <row r="3781" spans="1:11" x14ac:dyDescent="0.25">
      <c r="A3781" s="1">
        <v>3780</v>
      </c>
      <c r="B3781" s="1">
        <v>7</v>
      </c>
      <c r="C3781" s="3">
        <v>7115271757204</v>
      </c>
      <c r="D3781" s="2">
        <v>44635.364583333336</v>
      </c>
      <c r="E3781" s="2">
        <v>44635.395833333336</v>
      </c>
      <c r="F3781" s="23">
        <f t="shared" si="177"/>
        <v>3.125E-2</v>
      </c>
      <c r="G3781" s="24">
        <f t="shared" si="179"/>
        <v>400</v>
      </c>
      <c r="H3781" s="1" t="s">
        <v>1</v>
      </c>
      <c r="I3781" s="4" t="s">
        <v>2</v>
      </c>
      <c r="J3781" s="14">
        <v>0.36458333333333331</v>
      </c>
      <c r="K3781" s="20" t="str">
        <f t="shared" si="178"/>
        <v>1st Shift</v>
      </c>
    </row>
    <row r="3782" spans="1:11" x14ac:dyDescent="0.25">
      <c r="A3782" s="1">
        <v>3781</v>
      </c>
      <c r="B3782" s="1">
        <v>8</v>
      </c>
      <c r="C3782" s="3">
        <v>8115271855900</v>
      </c>
      <c r="D3782" s="2">
        <v>44635.625</v>
      </c>
      <c r="E3782" s="2">
        <v>44635.701388888891</v>
      </c>
      <c r="F3782" s="23">
        <f t="shared" si="177"/>
        <v>7.6388888890505768E-2</v>
      </c>
      <c r="G3782" s="24">
        <f t="shared" si="179"/>
        <v>163.63636363290004</v>
      </c>
      <c r="H3782" s="1" t="s">
        <v>1</v>
      </c>
      <c r="I3782" s="4" t="s">
        <v>2</v>
      </c>
      <c r="J3782" s="14">
        <v>0.625</v>
      </c>
      <c r="K3782" s="20" t="str">
        <f t="shared" si="178"/>
        <v>2nd Shift</v>
      </c>
    </row>
    <row r="3783" spans="1:11" x14ac:dyDescent="0.25">
      <c r="A3783" s="1">
        <v>3782</v>
      </c>
      <c r="B3783" s="1">
        <v>3</v>
      </c>
      <c r="C3783" s="3">
        <v>3115270366700</v>
      </c>
      <c r="D3783" s="2">
        <v>44635.722222222219</v>
      </c>
      <c r="E3783" s="2">
        <v>44635.791666666664</v>
      </c>
      <c r="F3783" s="23">
        <f t="shared" si="177"/>
        <v>6.9444444445252884E-2</v>
      </c>
      <c r="G3783" s="24">
        <f t="shared" si="179"/>
        <v>179.99999999790452</v>
      </c>
      <c r="H3783" s="1" t="s">
        <v>1</v>
      </c>
      <c r="I3783" s="4" t="s">
        <v>2</v>
      </c>
      <c r="J3783" s="14">
        <v>0.72222222222222221</v>
      </c>
      <c r="K3783" s="20" t="str">
        <f t="shared" si="178"/>
        <v>2nd Shift</v>
      </c>
    </row>
    <row r="3784" spans="1:11" x14ac:dyDescent="0.25">
      <c r="A3784" s="1">
        <v>3783</v>
      </c>
      <c r="B3784" s="1">
        <v>12</v>
      </c>
      <c r="C3784" s="3">
        <v>12115271567005</v>
      </c>
      <c r="D3784" s="2">
        <v>44635.9375</v>
      </c>
      <c r="E3784" s="2">
        <v>44635.986111111109</v>
      </c>
      <c r="F3784" s="23">
        <f t="shared" si="177"/>
        <v>4.8611111109494232E-2</v>
      </c>
      <c r="G3784" s="24">
        <f t="shared" si="179"/>
        <v>257.14285715141011</v>
      </c>
      <c r="H3784" s="1" t="s">
        <v>1</v>
      </c>
      <c r="I3784" s="4" t="s">
        <v>2</v>
      </c>
      <c r="J3784" s="14">
        <v>0.9375</v>
      </c>
      <c r="K3784" s="20" t="str">
        <f t="shared" si="178"/>
        <v>3rd Shift</v>
      </c>
    </row>
    <row r="3785" spans="1:11" x14ac:dyDescent="0.25">
      <c r="A3785" s="1">
        <v>3784</v>
      </c>
      <c r="B3785" s="1">
        <v>1</v>
      </c>
      <c r="C3785" s="3">
        <v>1115270062501</v>
      </c>
      <c r="D3785" s="2">
        <v>44636.000011574077</v>
      </c>
      <c r="E3785" s="2">
        <v>44636.03125</v>
      </c>
      <c r="F3785" s="23">
        <f t="shared" si="177"/>
        <v>3.1238425923220348E-2</v>
      </c>
      <c r="G3785" s="24">
        <f t="shared" si="179"/>
        <v>400.14820307281934</v>
      </c>
      <c r="H3785" s="1" t="s">
        <v>1</v>
      </c>
      <c r="I3785" s="4" t="s">
        <v>2</v>
      </c>
      <c r="J3785" s="14">
        <v>1.1574074074074073E-5</v>
      </c>
      <c r="K3785" s="20" t="str">
        <f t="shared" si="178"/>
        <v>3rd Shift</v>
      </c>
    </row>
    <row r="3786" spans="1:11" x14ac:dyDescent="0.25">
      <c r="A3786" s="1">
        <v>3785</v>
      </c>
      <c r="B3786" s="1">
        <v>14</v>
      </c>
      <c r="C3786" s="3">
        <v>14115271672406</v>
      </c>
      <c r="D3786" s="2">
        <v>44636.53125</v>
      </c>
      <c r="E3786" s="2">
        <v>44636.579861111109</v>
      </c>
      <c r="F3786" s="23">
        <f t="shared" si="177"/>
        <v>4.8611111109494232E-2</v>
      </c>
      <c r="G3786" s="24">
        <f t="shared" si="179"/>
        <v>257.14285715141011</v>
      </c>
      <c r="H3786" s="1" t="s">
        <v>1</v>
      </c>
      <c r="I3786" s="4" t="s">
        <v>3</v>
      </c>
      <c r="J3786" s="14">
        <v>0.53125</v>
      </c>
      <c r="K3786" s="20" t="str">
        <f t="shared" si="178"/>
        <v>1st Shift</v>
      </c>
    </row>
    <row r="3787" spans="1:11" x14ac:dyDescent="0.25">
      <c r="A3787" s="1">
        <v>3786</v>
      </c>
      <c r="B3787" s="1">
        <v>11</v>
      </c>
      <c r="C3787" s="3">
        <v>11115271543000</v>
      </c>
      <c r="D3787" s="2">
        <v>44636.4375</v>
      </c>
      <c r="E3787" s="2">
        <v>44636.579861111109</v>
      </c>
      <c r="F3787" s="23">
        <f t="shared" si="177"/>
        <v>0.14236111110949423</v>
      </c>
      <c r="G3787" s="24">
        <f t="shared" si="179"/>
        <v>87.804878049777741</v>
      </c>
      <c r="H3787" s="1" t="s">
        <v>1</v>
      </c>
      <c r="I3787" s="4" t="s">
        <v>2</v>
      </c>
      <c r="J3787" s="14">
        <v>0.4375</v>
      </c>
      <c r="K3787" s="20" t="str">
        <f t="shared" si="178"/>
        <v>1st Shift</v>
      </c>
    </row>
    <row r="3788" spans="1:11" x14ac:dyDescent="0.25">
      <c r="A3788" s="1">
        <v>3787</v>
      </c>
      <c r="B3788" s="1">
        <v>7</v>
      </c>
      <c r="C3788" s="3">
        <v>7115271756901</v>
      </c>
      <c r="D3788" s="2">
        <v>44636.4375</v>
      </c>
      <c r="E3788" s="2">
        <v>44636.579861111109</v>
      </c>
      <c r="F3788" s="23">
        <f t="shared" si="177"/>
        <v>0.14236111110949423</v>
      </c>
      <c r="G3788" s="24">
        <f t="shared" si="179"/>
        <v>87.804878049777741</v>
      </c>
      <c r="H3788" s="1" t="s">
        <v>1</v>
      </c>
      <c r="I3788" s="4" t="s">
        <v>2</v>
      </c>
      <c r="J3788" s="14">
        <v>0.4375</v>
      </c>
      <c r="K3788" s="20" t="str">
        <f t="shared" si="178"/>
        <v>1st Shift</v>
      </c>
    </row>
    <row r="3789" spans="1:11" x14ac:dyDescent="0.25">
      <c r="A3789" s="1">
        <v>3788</v>
      </c>
      <c r="B3789" s="1">
        <v>6</v>
      </c>
      <c r="C3789" s="3">
        <v>6115271722900</v>
      </c>
      <c r="D3789" s="2">
        <v>44636.53125</v>
      </c>
      <c r="E3789" s="2">
        <v>44636.579861111109</v>
      </c>
      <c r="F3789" s="23">
        <f t="shared" si="177"/>
        <v>4.8611111109494232E-2</v>
      </c>
      <c r="G3789" s="24">
        <f t="shared" si="179"/>
        <v>257.14285715141011</v>
      </c>
      <c r="H3789" s="1" t="s">
        <v>1</v>
      </c>
      <c r="I3789" s="4" t="s">
        <v>3</v>
      </c>
      <c r="J3789" s="14">
        <v>0.53125</v>
      </c>
      <c r="K3789" s="20" t="str">
        <f t="shared" si="178"/>
        <v>1st Shift</v>
      </c>
    </row>
    <row r="3790" spans="1:11" x14ac:dyDescent="0.25">
      <c r="A3790" s="1">
        <v>3789</v>
      </c>
      <c r="B3790" s="1">
        <v>3</v>
      </c>
      <c r="C3790" s="3">
        <v>3115270336500</v>
      </c>
      <c r="D3790" s="2">
        <v>44636.53125</v>
      </c>
      <c r="E3790" s="2">
        <v>44636.579861111109</v>
      </c>
      <c r="F3790" s="23">
        <f t="shared" si="177"/>
        <v>4.8611111109494232E-2</v>
      </c>
      <c r="G3790" s="24">
        <f t="shared" si="179"/>
        <v>257.14285715141011</v>
      </c>
      <c r="H3790" s="1" t="s">
        <v>1</v>
      </c>
      <c r="I3790" s="4" t="s">
        <v>3</v>
      </c>
      <c r="J3790" s="14">
        <v>0.53125</v>
      </c>
      <c r="K3790" s="20" t="str">
        <f t="shared" si="178"/>
        <v>1st Shift</v>
      </c>
    </row>
    <row r="3791" spans="1:11" x14ac:dyDescent="0.25">
      <c r="A3791" s="1">
        <v>3790</v>
      </c>
      <c r="B3791" s="1">
        <v>2</v>
      </c>
      <c r="C3791" s="3">
        <v>2115270222600</v>
      </c>
      <c r="D3791" s="2">
        <v>44636.4375</v>
      </c>
      <c r="E3791" s="2">
        <v>44636.579861111109</v>
      </c>
      <c r="F3791" s="23">
        <f t="shared" si="177"/>
        <v>0.14236111110949423</v>
      </c>
      <c r="G3791" s="24">
        <f t="shared" si="179"/>
        <v>87.804878049777741</v>
      </c>
      <c r="H3791" s="1" t="s">
        <v>1</v>
      </c>
      <c r="I3791" s="4" t="s">
        <v>2</v>
      </c>
      <c r="J3791" s="14">
        <v>0.4375</v>
      </c>
      <c r="K3791" s="20" t="str">
        <f t="shared" si="178"/>
        <v>1st Shift</v>
      </c>
    </row>
    <row r="3792" spans="1:11" x14ac:dyDescent="0.25">
      <c r="A3792" s="1">
        <v>3791</v>
      </c>
      <c r="B3792" s="1">
        <v>6</v>
      </c>
      <c r="C3792" s="3">
        <v>6115271723031</v>
      </c>
      <c r="D3792" s="2">
        <v>44636.708333333336</v>
      </c>
      <c r="E3792" s="2">
        <v>44636.75</v>
      </c>
      <c r="F3792" s="23">
        <f t="shared" si="177"/>
        <v>4.1666666664241347E-2</v>
      </c>
      <c r="G3792" s="24">
        <f t="shared" si="179"/>
        <v>300.0000000174623</v>
      </c>
      <c r="H3792" s="1" t="s">
        <v>1</v>
      </c>
      <c r="I3792" s="4" t="s">
        <v>3</v>
      </c>
      <c r="J3792" s="14">
        <v>0.70833333333333337</v>
      </c>
      <c r="K3792" s="20" t="str">
        <f t="shared" si="178"/>
        <v>2nd Shift</v>
      </c>
    </row>
    <row r="3793" spans="1:11" x14ac:dyDescent="0.25">
      <c r="A3793" s="1">
        <v>3792</v>
      </c>
      <c r="B3793" s="1">
        <v>12</v>
      </c>
      <c r="C3793" s="3">
        <v>12115271575520</v>
      </c>
      <c r="D3793" s="2">
        <v>44636.847222222219</v>
      </c>
      <c r="E3793" s="2">
        <v>44636.930555555555</v>
      </c>
      <c r="F3793" s="23">
        <f t="shared" si="177"/>
        <v>8.3333333335758653E-2</v>
      </c>
      <c r="G3793" s="24">
        <f t="shared" si="179"/>
        <v>149.99999999563443</v>
      </c>
      <c r="H3793" s="1" t="s">
        <v>1</v>
      </c>
      <c r="I3793" s="4" t="s">
        <v>3</v>
      </c>
      <c r="J3793" s="14">
        <v>0.84722222222222221</v>
      </c>
      <c r="K3793" s="20" t="str">
        <f t="shared" si="178"/>
        <v>2nd Shift</v>
      </c>
    </row>
    <row r="3794" spans="1:11" x14ac:dyDescent="0.25">
      <c r="A3794" s="1">
        <v>3793</v>
      </c>
      <c r="B3794" s="1">
        <v>6</v>
      </c>
      <c r="C3794" s="3">
        <v>6115271719908</v>
      </c>
      <c r="D3794" s="2">
        <v>44636.944444444445</v>
      </c>
      <c r="E3794" s="2">
        <v>44637.000011574077</v>
      </c>
      <c r="F3794" s="23">
        <f t="shared" si="177"/>
        <v>5.5567129631526768E-2</v>
      </c>
      <c r="G3794" s="24">
        <f t="shared" si="179"/>
        <v>224.9531347559107</v>
      </c>
      <c r="H3794" s="1" t="s">
        <v>1</v>
      </c>
      <c r="I3794" s="4" t="s">
        <v>2</v>
      </c>
      <c r="J3794" s="14">
        <v>0.94444444444444442</v>
      </c>
      <c r="K3794" s="20" t="str">
        <f t="shared" si="178"/>
        <v>3rd Shift</v>
      </c>
    </row>
    <row r="3795" spans="1:11" x14ac:dyDescent="0.25">
      <c r="A3795" s="1">
        <v>3794</v>
      </c>
      <c r="B3795" s="1">
        <v>1</v>
      </c>
      <c r="C3795" s="3">
        <v>1115270102000</v>
      </c>
      <c r="D3795" s="2">
        <v>44637.03125</v>
      </c>
      <c r="E3795" s="2">
        <v>44637.069444444445</v>
      </c>
      <c r="F3795" s="23">
        <f t="shared" si="177"/>
        <v>3.8194444445252884E-2</v>
      </c>
      <c r="G3795" s="24">
        <f t="shared" si="179"/>
        <v>327.27272726580009</v>
      </c>
      <c r="H3795" s="1" t="s">
        <v>1</v>
      </c>
      <c r="I3795" s="4" t="s">
        <v>3</v>
      </c>
      <c r="J3795" s="14">
        <v>3.125E-2</v>
      </c>
      <c r="K3795" s="20" t="str">
        <f t="shared" si="178"/>
        <v>3rd Shift</v>
      </c>
    </row>
    <row r="3796" spans="1:11" x14ac:dyDescent="0.25">
      <c r="A3796" s="1">
        <v>3795</v>
      </c>
      <c r="B3796" s="1">
        <v>9</v>
      </c>
      <c r="C3796" s="3">
        <v>9115271934300</v>
      </c>
      <c r="D3796" s="2">
        <v>44637.350694444445</v>
      </c>
      <c r="E3796" s="2">
        <v>44637.4375</v>
      </c>
      <c r="F3796" s="23">
        <f t="shared" si="177"/>
        <v>8.6805555554747116E-2</v>
      </c>
      <c r="G3796" s="24">
        <f t="shared" si="179"/>
        <v>144.00000000134111</v>
      </c>
      <c r="H3796" s="1" t="s">
        <v>1</v>
      </c>
      <c r="I3796" s="4" t="s">
        <v>3</v>
      </c>
      <c r="J3796" s="14">
        <v>0.35069444444444442</v>
      </c>
      <c r="K3796" s="20" t="str">
        <f t="shared" si="178"/>
        <v>1st Shift</v>
      </c>
    </row>
    <row r="3797" spans="1:11" x14ac:dyDescent="0.25">
      <c r="A3797" s="1">
        <v>3796</v>
      </c>
      <c r="B3797" s="1">
        <v>3</v>
      </c>
      <c r="C3797" s="3">
        <v>3115270443700</v>
      </c>
      <c r="D3797" s="2">
        <v>44637.376388888886</v>
      </c>
      <c r="E3797" s="2">
        <v>44637.4375</v>
      </c>
      <c r="F3797" s="23">
        <f t="shared" si="177"/>
        <v>6.1111111113859806E-2</v>
      </c>
      <c r="G3797" s="24">
        <f t="shared" si="179"/>
        <v>204.5454545362544</v>
      </c>
      <c r="H3797" s="1" t="s">
        <v>1</v>
      </c>
      <c r="I3797" s="4" t="s">
        <v>3</v>
      </c>
      <c r="J3797" s="14">
        <v>0.37638888888888888</v>
      </c>
      <c r="K3797" s="20" t="str">
        <f t="shared" si="178"/>
        <v>1st Shift</v>
      </c>
    </row>
    <row r="3798" spans="1:11" x14ac:dyDescent="0.25">
      <c r="A3798" s="1">
        <v>3797</v>
      </c>
      <c r="B3798" s="1">
        <v>1</v>
      </c>
      <c r="C3798" s="3">
        <v>1115270099600</v>
      </c>
      <c r="D3798" s="2">
        <v>44637.295138888891</v>
      </c>
      <c r="E3798" s="2">
        <v>44637.4375</v>
      </c>
      <c r="F3798" s="23">
        <f t="shared" si="177"/>
        <v>0.14236111110949423</v>
      </c>
      <c r="G3798" s="24">
        <f t="shared" si="179"/>
        <v>87.804878049777741</v>
      </c>
      <c r="H3798" s="1" t="s">
        <v>1</v>
      </c>
      <c r="I3798" s="4" t="s">
        <v>3</v>
      </c>
      <c r="J3798" s="14">
        <v>0.2951388888888889</v>
      </c>
      <c r="K3798" s="20" t="str">
        <f t="shared" si="178"/>
        <v>1st Shift</v>
      </c>
    </row>
    <row r="3799" spans="1:11" x14ac:dyDescent="0.25">
      <c r="A3799" s="1">
        <v>3798</v>
      </c>
      <c r="B3799" s="1">
        <v>14</v>
      </c>
      <c r="C3799" s="3">
        <v>14115271686201</v>
      </c>
      <c r="D3799" s="2">
        <v>44637.489583333336</v>
      </c>
      <c r="E3799" s="2">
        <v>44637.576388888891</v>
      </c>
      <c r="F3799" s="23">
        <f t="shared" si="177"/>
        <v>8.6805555554747116E-2</v>
      </c>
      <c r="G3799" s="24">
        <f t="shared" si="179"/>
        <v>144.00000000134111</v>
      </c>
      <c r="H3799" s="1" t="s">
        <v>1</v>
      </c>
      <c r="I3799" s="4" t="s">
        <v>2</v>
      </c>
      <c r="J3799" s="14">
        <v>0.48958333333333331</v>
      </c>
      <c r="K3799" s="20" t="str">
        <f t="shared" si="178"/>
        <v>1st Shift</v>
      </c>
    </row>
    <row r="3800" spans="1:11" x14ac:dyDescent="0.25">
      <c r="A3800" s="1">
        <v>3799</v>
      </c>
      <c r="B3800" s="1">
        <v>14</v>
      </c>
      <c r="C3800" s="3">
        <v>14115271672309</v>
      </c>
      <c r="D3800" s="2">
        <v>44637.489583333336</v>
      </c>
      <c r="E3800" s="2">
        <v>44637.576388888891</v>
      </c>
      <c r="F3800" s="23">
        <f t="shared" si="177"/>
        <v>8.6805555554747116E-2</v>
      </c>
      <c r="G3800" s="24">
        <f t="shared" si="179"/>
        <v>144.00000000134111</v>
      </c>
      <c r="H3800" s="1" t="s">
        <v>1</v>
      </c>
      <c r="I3800" s="4" t="s">
        <v>2</v>
      </c>
      <c r="J3800" s="14">
        <v>0.48958333333333331</v>
      </c>
      <c r="K3800" s="20" t="str">
        <f t="shared" si="178"/>
        <v>1st Shift</v>
      </c>
    </row>
    <row r="3801" spans="1:11" x14ac:dyDescent="0.25">
      <c r="A3801" s="1">
        <v>3800</v>
      </c>
      <c r="B3801" s="1">
        <v>12</v>
      </c>
      <c r="C3801" s="3">
        <v>12115271575502</v>
      </c>
      <c r="D3801" s="2">
        <v>44637.4375</v>
      </c>
      <c r="E3801" s="2">
        <v>44637.576388888891</v>
      </c>
      <c r="F3801" s="23">
        <f t="shared" si="177"/>
        <v>0.13888888889050577</v>
      </c>
      <c r="G3801" s="24">
        <f t="shared" si="179"/>
        <v>89.999999998952262</v>
      </c>
      <c r="H3801" s="1" t="s">
        <v>1</v>
      </c>
      <c r="I3801" s="4" t="s">
        <v>2</v>
      </c>
      <c r="J3801" s="14">
        <v>0.4375</v>
      </c>
      <c r="K3801" s="20" t="str">
        <f t="shared" si="178"/>
        <v>1st Shift</v>
      </c>
    </row>
    <row r="3802" spans="1:11" x14ac:dyDescent="0.25">
      <c r="A3802" s="1">
        <v>3801</v>
      </c>
      <c r="B3802" s="1">
        <v>8</v>
      </c>
      <c r="C3802" s="3">
        <v>8115271820502</v>
      </c>
      <c r="D3802" s="2">
        <v>44637.4375</v>
      </c>
      <c r="E3802" s="2">
        <v>44637.576388888891</v>
      </c>
      <c r="F3802" s="23">
        <f t="shared" si="177"/>
        <v>0.13888888889050577</v>
      </c>
      <c r="G3802" s="24">
        <f t="shared" si="179"/>
        <v>89.999999998952262</v>
      </c>
      <c r="H3802" s="1" t="s">
        <v>1</v>
      </c>
      <c r="I3802" s="4" t="s">
        <v>2</v>
      </c>
      <c r="J3802" s="14">
        <v>0.4375</v>
      </c>
      <c r="K3802" s="20" t="str">
        <f t="shared" si="178"/>
        <v>1st Shift</v>
      </c>
    </row>
    <row r="3803" spans="1:11" x14ac:dyDescent="0.25">
      <c r="A3803" s="1">
        <v>3802</v>
      </c>
      <c r="B3803" s="1">
        <v>7</v>
      </c>
      <c r="C3803" s="3">
        <v>7115271783707</v>
      </c>
      <c r="D3803" s="2">
        <v>44637.4375</v>
      </c>
      <c r="E3803" s="2">
        <v>44637.576388888891</v>
      </c>
      <c r="F3803" s="23">
        <f t="shared" si="177"/>
        <v>0.13888888889050577</v>
      </c>
      <c r="G3803" s="24">
        <f t="shared" si="179"/>
        <v>89.999999998952262</v>
      </c>
      <c r="H3803" s="1" t="s">
        <v>1</v>
      </c>
      <c r="I3803" s="4" t="s">
        <v>2</v>
      </c>
      <c r="J3803" s="14">
        <v>0.4375</v>
      </c>
      <c r="K3803" s="20" t="str">
        <f t="shared" si="178"/>
        <v>1st Shift</v>
      </c>
    </row>
    <row r="3804" spans="1:11" x14ac:dyDescent="0.25">
      <c r="A3804" s="1">
        <v>3803</v>
      </c>
      <c r="B3804" s="1">
        <v>14</v>
      </c>
      <c r="C3804" s="3">
        <v>14115271679800</v>
      </c>
      <c r="D3804" s="2">
        <v>44637.684027777781</v>
      </c>
      <c r="E3804" s="2">
        <v>44637.895833333336</v>
      </c>
      <c r="F3804" s="23">
        <f t="shared" si="177"/>
        <v>0.21180555555474712</v>
      </c>
      <c r="G3804" s="24">
        <f t="shared" si="179"/>
        <v>59.016393442848212</v>
      </c>
      <c r="H3804" s="1" t="s">
        <v>1</v>
      </c>
      <c r="I3804" s="4" t="s">
        <v>3</v>
      </c>
      <c r="J3804" s="14">
        <v>0.68402777777777779</v>
      </c>
      <c r="K3804" s="20" t="str">
        <f t="shared" si="178"/>
        <v>2nd Shift</v>
      </c>
    </row>
    <row r="3805" spans="1:11" x14ac:dyDescent="0.25">
      <c r="A3805" s="1">
        <v>3804</v>
      </c>
      <c r="B3805" s="1">
        <v>14</v>
      </c>
      <c r="C3805" s="3">
        <v>14115271673113</v>
      </c>
      <c r="D3805" s="2">
        <v>44637.78125</v>
      </c>
      <c r="E3805" s="2">
        <v>44637.895833333336</v>
      </c>
      <c r="F3805" s="23">
        <f t="shared" si="177"/>
        <v>0.11458333333575865</v>
      </c>
      <c r="G3805" s="24">
        <f t="shared" si="179"/>
        <v>109.09090908860001</v>
      </c>
      <c r="H3805" s="1" t="s">
        <v>1</v>
      </c>
      <c r="I3805" s="4" t="s">
        <v>3</v>
      </c>
      <c r="J3805" s="14">
        <v>0.78125</v>
      </c>
      <c r="K3805" s="20" t="str">
        <f t="shared" si="178"/>
        <v>2nd Shift</v>
      </c>
    </row>
    <row r="3806" spans="1:11" x14ac:dyDescent="0.25">
      <c r="A3806" s="1">
        <v>3805</v>
      </c>
      <c r="B3806" s="1">
        <v>11</v>
      </c>
      <c r="C3806" s="3">
        <v>11115271542607</v>
      </c>
      <c r="D3806" s="2">
        <v>44637.770833333336</v>
      </c>
      <c r="E3806" s="2">
        <v>44637.895833333336</v>
      </c>
      <c r="F3806" s="23">
        <f t="shared" si="177"/>
        <v>0.125</v>
      </c>
      <c r="G3806" s="24">
        <f t="shared" si="179"/>
        <v>100</v>
      </c>
      <c r="H3806" s="1" t="s">
        <v>1</v>
      </c>
      <c r="I3806" s="4" t="s">
        <v>2</v>
      </c>
      <c r="J3806" s="14">
        <v>0.77083333333333337</v>
      </c>
      <c r="K3806" s="20" t="str">
        <f t="shared" si="178"/>
        <v>2nd Shift</v>
      </c>
    </row>
    <row r="3807" spans="1:11" x14ac:dyDescent="0.25">
      <c r="A3807" s="1">
        <v>3806</v>
      </c>
      <c r="B3807" s="1">
        <v>10</v>
      </c>
      <c r="C3807" s="3">
        <v>10115271410100</v>
      </c>
      <c r="D3807" s="2">
        <v>44637.770833333336</v>
      </c>
      <c r="E3807" s="2">
        <v>44637.895833333336</v>
      </c>
      <c r="F3807" s="23">
        <f t="shared" si="177"/>
        <v>0.125</v>
      </c>
      <c r="G3807" s="24">
        <f t="shared" si="179"/>
        <v>100</v>
      </c>
      <c r="H3807" s="1" t="s">
        <v>1</v>
      </c>
      <c r="I3807" s="4" t="s">
        <v>2</v>
      </c>
      <c r="J3807" s="14">
        <v>0.77083333333333337</v>
      </c>
      <c r="K3807" s="20" t="str">
        <f t="shared" si="178"/>
        <v>2nd Shift</v>
      </c>
    </row>
    <row r="3808" spans="1:11" x14ac:dyDescent="0.25">
      <c r="A3808" s="1">
        <v>3807</v>
      </c>
      <c r="B3808" s="1">
        <v>9</v>
      </c>
      <c r="C3808" s="3">
        <v>9115271948200</v>
      </c>
      <c r="D3808" s="2">
        <v>44637.684027777781</v>
      </c>
      <c r="E3808" s="2">
        <v>44637.895833333336</v>
      </c>
      <c r="F3808" s="23">
        <f t="shared" si="177"/>
        <v>0.21180555555474712</v>
      </c>
      <c r="G3808" s="24">
        <f t="shared" si="179"/>
        <v>59.016393442848212</v>
      </c>
      <c r="H3808" s="1" t="s">
        <v>1</v>
      </c>
      <c r="I3808" s="4" t="s">
        <v>3</v>
      </c>
      <c r="J3808" s="14">
        <v>0.68402777777777779</v>
      </c>
      <c r="K3808" s="20" t="str">
        <f t="shared" si="178"/>
        <v>2nd Shift</v>
      </c>
    </row>
    <row r="3809" spans="1:11" x14ac:dyDescent="0.25">
      <c r="A3809" s="1">
        <v>3808</v>
      </c>
      <c r="B3809" s="1">
        <v>6</v>
      </c>
      <c r="C3809" s="3">
        <v>6115271744400</v>
      </c>
      <c r="D3809" s="2">
        <v>44637.684027777781</v>
      </c>
      <c r="E3809" s="2">
        <v>44637.895833333336</v>
      </c>
      <c r="F3809" s="23">
        <f t="shared" si="177"/>
        <v>0.21180555555474712</v>
      </c>
      <c r="G3809" s="24">
        <f t="shared" si="179"/>
        <v>59.016393442848212</v>
      </c>
      <c r="H3809" s="1" t="s">
        <v>1</v>
      </c>
      <c r="I3809" s="4" t="s">
        <v>3</v>
      </c>
      <c r="J3809" s="14">
        <v>0.68402777777777779</v>
      </c>
      <c r="K3809" s="20" t="str">
        <f t="shared" si="178"/>
        <v>2nd Shift</v>
      </c>
    </row>
    <row r="3810" spans="1:11" x14ac:dyDescent="0.25">
      <c r="A3810" s="1">
        <v>3809</v>
      </c>
      <c r="B3810" s="1">
        <v>1</v>
      </c>
      <c r="C3810" s="3">
        <v>1115270029200</v>
      </c>
      <c r="D3810" s="2">
        <v>44637.774305555555</v>
      </c>
      <c r="E3810" s="2">
        <v>44637.895833333336</v>
      </c>
      <c r="F3810" s="23">
        <f t="shared" si="177"/>
        <v>0.12152777778101154</v>
      </c>
      <c r="G3810" s="24">
        <f t="shared" si="179"/>
        <v>102.85714285440591</v>
      </c>
      <c r="H3810" s="1" t="s">
        <v>1</v>
      </c>
      <c r="I3810" s="4" t="s">
        <v>3</v>
      </c>
      <c r="J3810" s="14">
        <v>0.77430555555555558</v>
      </c>
      <c r="K3810" s="20" t="str">
        <f t="shared" si="178"/>
        <v>2nd Shift</v>
      </c>
    </row>
    <row r="3811" spans="1:11" x14ac:dyDescent="0.25">
      <c r="A3811" s="1">
        <v>3810</v>
      </c>
      <c r="B3811" s="1">
        <v>14</v>
      </c>
      <c r="C3811" s="3">
        <v>14115271672412</v>
      </c>
      <c r="D3811" s="2">
        <v>44638.53125</v>
      </c>
      <c r="E3811" s="2">
        <v>44638.576388888891</v>
      </c>
      <c r="F3811" s="23">
        <f t="shared" si="177"/>
        <v>4.5138888890505768E-2</v>
      </c>
      <c r="G3811" s="24">
        <f t="shared" si="179"/>
        <v>276.9230769131575</v>
      </c>
      <c r="H3811" s="1" t="s">
        <v>1</v>
      </c>
      <c r="I3811" s="4" t="s">
        <v>3</v>
      </c>
      <c r="J3811" s="14">
        <v>0.53125</v>
      </c>
      <c r="K3811" s="20" t="str">
        <f t="shared" si="178"/>
        <v>1st Shift</v>
      </c>
    </row>
    <row r="3812" spans="1:11" x14ac:dyDescent="0.25">
      <c r="A3812" s="1">
        <v>3811</v>
      </c>
      <c r="B3812" s="1">
        <v>12</v>
      </c>
      <c r="C3812" s="3">
        <v>12115271567007</v>
      </c>
      <c r="D3812" s="2">
        <v>44638.454861111109</v>
      </c>
      <c r="E3812" s="2">
        <v>44638.576388888891</v>
      </c>
      <c r="F3812" s="23">
        <f t="shared" si="177"/>
        <v>0.12152777778101154</v>
      </c>
      <c r="G3812" s="24">
        <f t="shared" si="179"/>
        <v>102.85714285440591</v>
      </c>
      <c r="H3812" s="1" t="s">
        <v>1</v>
      </c>
      <c r="I3812" s="4" t="s">
        <v>3</v>
      </c>
      <c r="J3812" s="14">
        <v>0.4548611111111111</v>
      </c>
      <c r="K3812" s="20" t="str">
        <f t="shared" si="178"/>
        <v>1st Shift</v>
      </c>
    </row>
    <row r="3813" spans="1:11" x14ac:dyDescent="0.25">
      <c r="A3813" s="1">
        <v>3812</v>
      </c>
      <c r="B3813" s="1">
        <v>11</v>
      </c>
      <c r="C3813" s="3">
        <v>11115271543100</v>
      </c>
      <c r="D3813" s="2">
        <v>44638.479166666664</v>
      </c>
      <c r="E3813" s="2">
        <v>44638.576388888891</v>
      </c>
      <c r="F3813" s="23">
        <f t="shared" si="177"/>
        <v>9.7222222226264421E-2</v>
      </c>
      <c r="G3813" s="24">
        <f t="shared" si="179"/>
        <v>128.57142856608297</v>
      </c>
      <c r="H3813" s="1" t="s">
        <v>1</v>
      </c>
      <c r="I3813" s="4" t="s">
        <v>2</v>
      </c>
      <c r="J3813" s="14">
        <v>0.47916666666666669</v>
      </c>
      <c r="K3813" s="20" t="str">
        <f t="shared" si="178"/>
        <v>1st Shift</v>
      </c>
    </row>
    <row r="3814" spans="1:11" x14ac:dyDescent="0.25">
      <c r="A3814" s="1">
        <v>3813</v>
      </c>
      <c r="B3814" s="1">
        <v>8</v>
      </c>
      <c r="C3814" s="3">
        <v>8115271825200</v>
      </c>
      <c r="D3814" s="2">
        <v>44638.395833333336</v>
      </c>
      <c r="E3814" s="2">
        <v>44638.576388888891</v>
      </c>
      <c r="F3814" s="23">
        <f t="shared" si="177"/>
        <v>0.18055555555474712</v>
      </c>
      <c r="G3814" s="24">
        <f t="shared" si="179"/>
        <v>69.230769231079208</v>
      </c>
      <c r="H3814" s="1" t="s">
        <v>1</v>
      </c>
      <c r="I3814" s="4" t="s">
        <v>3</v>
      </c>
      <c r="J3814" s="14">
        <v>0.39583333333333331</v>
      </c>
      <c r="K3814" s="20" t="str">
        <f t="shared" si="178"/>
        <v>1st Shift</v>
      </c>
    </row>
    <row r="3815" spans="1:11" x14ac:dyDescent="0.25">
      <c r="A3815" s="1">
        <v>3814</v>
      </c>
      <c r="B3815" s="1">
        <v>7</v>
      </c>
      <c r="C3815" s="3">
        <v>7115271761101</v>
      </c>
      <c r="D3815" s="2">
        <v>44638.395833333336</v>
      </c>
      <c r="E3815" s="2">
        <v>44638.576388888891</v>
      </c>
      <c r="F3815" s="23">
        <f t="shared" si="177"/>
        <v>0.18055555555474712</v>
      </c>
      <c r="G3815" s="24">
        <f t="shared" si="179"/>
        <v>69.230769231079208</v>
      </c>
      <c r="H3815" s="1" t="s">
        <v>1</v>
      </c>
      <c r="I3815" s="4" t="s">
        <v>3</v>
      </c>
      <c r="J3815" s="14">
        <v>0.39583333333333331</v>
      </c>
      <c r="K3815" s="20" t="str">
        <f t="shared" si="178"/>
        <v>1st Shift</v>
      </c>
    </row>
    <row r="3816" spans="1:11" x14ac:dyDescent="0.25">
      <c r="A3816" s="1">
        <v>3815</v>
      </c>
      <c r="B3816" s="1">
        <v>3</v>
      </c>
      <c r="C3816" s="3">
        <v>3115270341200</v>
      </c>
      <c r="D3816" s="2">
        <v>44638.479166666664</v>
      </c>
      <c r="E3816" s="2">
        <v>44638.576388888891</v>
      </c>
      <c r="F3816" s="23">
        <f t="shared" si="177"/>
        <v>9.7222222226264421E-2</v>
      </c>
      <c r="G3816" s="24">
        <f t="shared" si="179"/>
        <v>128.57142856608297</v>
      </c>
      <c r="H3816" s="1" t="s">
        <v>1</v>
      </c>
      <c r="I3816" s="4" t="s">
        <v>2</v>
      </c>
      <c r="J3816" s="14">
        <v>0.47916666666666669</v>
      </c>
      <c r="K3816" s="20" t="str">
        <f t="shared" si="178"/>
        <v>1st Shift</v>
      </c>
    </row>
    <row r="3817" spans="1:11" x14ac:dyDescent="0.25">
      <c r="A3817" s="1">
        <v>3816</v>
      </c>
      <c r="B3817" s="1">
        <v>15</v>
      </c>
      <c r="C3817" s="3">
        <v>15115271743401</v>
      </c>
      <c r="D3817" s="2">
        <v>44638.708333333336</v>
      </c>
      <c r="E3817" s="2">
        <v>44638.909722222219</v>
      </c>
      <c r="F3817" s="23">
        <f t="shared" si="177"/>
        <v>0.20138888888322981</v>
      </c>
      <c r="G3817" s="24">
        <f t="shared" si="179"/>
        <v>62.068965518985529</v>
      </c>
      <c r="H3817" s="1" t="s">
        <v>1</v>
      </c>
      <c r="I3817" s="4" t="s">
        <v>2</v>
      </c>
      <c r="J3817" s="14">
        <v>0.70833333333333337</v>
      </c>
      <c r="K3817" s="20" t="str">
        <f t="shared" si="178"/>
        <v>2nd Shift</v>
      </c>
    </row>
    <row r="3818" spans="1:11" x14ac:dyDescent="0.25">
      <c r="A3818" s="1">
        <v>3817</v>
      </c>
      <c r="B3818" s="1">
        <v>14</v>
      </c>
      <c r="C3818" s="3">
        <v>14115271690408</v>
      </c>
      <c r="D3818" s="2">
        <v>44638.727083333331</v>
      </c>
      <c r="E3818" s="2">
        <v>44638.909722222219</v>
      </c>
      <c r="F3818" s="23">
        <f t="shared" si="177"/>
        <v>0.18263888888759539</v>
      </c>
      <c r="G3818" s="24">
        <f t="shared" si="179"/>
        <v>68.441064639267992</v>
      </c>
      <c r="H3818" s="1" t="s">
        <v>1</v>
      </c>
      <c r="I3818" s="4" t="s">
        <v>2</v>
      </c>
      <c r="J3818" s="14">
        <v>0.7270833333333333</v>
      </c>
      <c r="K3818" s="20" t="str">
        <f t="shared" si="178"/>
        <v>2nd Shift</v>
      </c>
    </row>
    <row r="3819" spans="1:11" x14ac:dyDescent="0.25">
      <c r="A3819" s="1">
        <v>3818</v>
      </c>
      <c r="B3819" s="1">
        <v>9</v>
      </c>
      <c r="C3819" s="3">
        <v>9115271939100</v>
      </c>
      <c r="D3819" s="2">
        <v>44638.708333333336</v>
      </c>
      <c r="E3819" s="2">
        <v>44638.909722222219</v>
      </c>
      <c r="F3819" s="23">
        <f t="shared" si="177"/>
        <v>0.20138888888322981</v>
      </c>
      <c r="G3819" s="24">
        <f t="shared" si="179"/>
        <v>62.068965518985529</v>
      </c>
      <c r="H3819" s="1" t="s">
        <v>1</v>
      </c>
      <c r="I3819" s="4" t="s">
        <v>2</v>
      </c>
      <c r="J3819" s="14">
        <v>0.70833333333333337</v>
      </c>
      <c r="K3819" s="20" t="str">
        <f t="shared" si="178"/>
        <v>2nd Shift</v>
      </c>
    </row>
    <row r="3820" spans="1:11" x14ac:dyDescent="0.25">
      <c r="A3820" s="1">
        <v>3819</v>
      </c>
      <c r="B3820" s="1">
        <v>8</v>
      </c>
      <c r="C3820" s="3">
        <v>8115271835800</v>
      </c>
      <c r="D3820" s="2">
        <v>44638.708333333336</v>
      </c>
      <c r="E3820" s="2">
        <v>44638.909722222219</v>
      </c>
      <c r="F3820" s="23">
        <f t="shared" si="177"/>
        <v>0.20138888888322981</v>
      </c>
      <c r="G3820" s="24">
        <f t="shared" si="179"/>
        <v>62.068965518985529</v>
      </c>
      <c r="H3820" s="1" t="s">
        <v>1</v>
      </c>
      <c r="I3820" s="4" t="s">
        <v>2</v>
      </c>
      <c r="J3820" s="14">
        <v>0.70833333333333337</v>
      </c>
      <c r="K3820" s="20" t="str">
        <f t="shared" si="178"/>
        <v>2nd Shift</v>
      </c>
    </row>
    <row r="3821" spans="1:11" x14ac:dyDescent="0.25">
      <c r="A3821" s="1">
        <v>3820</v>
      </c>
      <c r="B3821" s="1">
        <v>3</v>
      </c>
      <c r="C3821" s="3">
        <v>3115270388801</v>
      </c>
      <c r="D3821" s="2">
        <v>44638.708333333336</v>
      </c>
      <c r="E3821" s="2">
        <v>44638.909722222219</v>
      </c>
      <c r="F3821" s="23">
        <f t="shared" si="177"/>
        <v>0.20138888888322981</v>
      </c>
      <c r="G3821" s="24">
        <f t="shared" si="179"/>
        <v>62.068965518985529</v>
      </c>
      <c r="H3821" s="1" t="s">
        <v>1</v>
      </c>
      <c r="I3821" s="4" t="s">
        <v>2</v>
      </c>
      <c r="J3821" s="14">
        <v>0.70833333333333337</v>
      </c>
      <c r="K3821" s="20" t="str">
        <f t="shared" si="178"/>
        <v>2nd Shift</v>
      </c>
    </row>
    <row r="3822" spans="1:11" x14ac:dyDescent="0.25">
      <c r="A3822" s="1">
        <v>3821</v>
      </c>
      <c r="B3822" s="1">
        <v>1</v>
      </c>
      <c r="C3822" s="3">
        <v>1115270101100</v>
      </c>
      <c r="D3822" s="2">
        <v>44638.813194444447</v>
      </c>
      <c r="E3822" s="2">
        <v>44638.909722222219</v>
      </c>
      <c r="F3822" s="23">
        <f t="shared" si="177"/>
        <v>9.6527777772280388E-2</v>
      </c>
      <c r="G3822" s="24">
        <f t="shared" si="179"/>
        <v>129.49640288507285</v>
      </c>
      <c r="H3822" s="1" t="s">
        <v>1</v>
      </c>
      <c r="I3822" s="4" t="s">
        <v>3</v>
      </c>
      <c r="J3822" s="14">
        <v>0.81319444444444444</v>
      </c>
      <c r="K3822" s="20" t="str">
        <f t="shared" si="178"/>
        <v>2nd Shift</v>
      </c>
    </row>
    <row r="3823" spans="1:11" x14ac:dyDescent="0.25">
      <c r="A3823" s="1">
        <v>3822</v>
      </c>
      <c r="B3823" s="1">
        <v>13</v>
      </c>
      <c r="C3823" s="3">
        <v>13115271608200</v>
      </c>
      <c r="D3823" s="2">
        <v>44638.986111111109</v>
      </c>
      <c r="E3823" s="2">
        <v>44639.097222222219</v>
      </c>
      <c r="F3823" s="23">
        <f t="shared" si="177"/>
        <v>0.11111111110949423</v>
      </c>
      <c r="G3823" s="24">
        <f t="shared" si="179"/>
        <v>112.50000000163709</v>
      </c>
      <c r="H3823" s="1" t="s">
        <v>1</v>
      </c>
      <c r="I3823" s="4" t="s">
        <v>3</v>
      </c>
      <c r="J3823" s="14">
        <v>0.98611111111111116</v>
      </c>
      <c r="K3823" s="20" t="str">
        <f t="shared" si="178"/>
        <v>3rd Shift</v>
      </c>
    </row>
    <row r="3824" spans="1:11" x14ac:dyDescent="0.25">
      <c r="A3824" s="1">
        <v>3823</v>
      </c>
      <c r="B3824" s="1">
        <v>3</v>
      </c>
      <c r="C3824" s="3">
        <v>3115270421400</v>
      </c>
      <c r="D3824" s="2">
        <v>44638.958333333336</v>
      </c>
      <c r="E3824" s="2">
        <v>44639.097222222219</v>
      </c>
      <c r="F3824" s="23">
        <f t="shared" si="177"/>
        <v>0.13888888888322981</v>
      </c>
      <c r="G3824" s="24">
        <f t="shared" si="179"/>
        <v>90.000000003667083</v>
      </c>
      <c r="H3824" s="1" t="s">
        <v>1</v>
      </c>
      <c r="I3824" s="4" t="s">
        <v>2</v>
      </c>
      <c r="J3824" s="14">
        <v>0.95833333333333337</v>
      </c>
      <c r="K3824" s="20" t="str">
        <f t="shared" si="178"/>
        <v>3rd Shift</v>
      </c>
    </row>
    <row r="3825" spans="1:11" x14ac:dyDescent="0.25">
      <c r="A3825" s="1">
        <v>3824</v>
      </c>
      <c r="B3825" s="1">
        <v>3</v>
      </c>
      <c r="C3825" s="3">
        <v>3115270393500</v>
      </c>
      <c r="D3825" s="2">
        <v>44639.006944444445</v>
      </c>
      <c r="E3825" s="2">
        <v>44639.097222222219</v>
      </c>
      <c r="F3825" s="23">
        <f t="shared" si="177"/>
        <v>9.0277777773735579E-2</v>
      </c>
      <c r="G3825" s="24">
        <f t="shared" si="179"/>
        <v>138.46153846773811</v>
      </c>
      <c r="H3825" s="1" t="s">
        <v>1</v>
      </c>
      <c r="I3825" s="4" t="s">
        <v>3</v>
      </c>
      <c r="J3825" s="14">
        <v>6.9444444444444441E-3</v>
      </c>
      <c r="K3825" s="20" t="str">
        <f t="shared" si="178"/>
        <v>3rd Shift</v>
      </c>
    </row>
    <row r="3826" spans="1:11" x14ac:dyDescent="0.25">
      <c r="A3826" s="1">
        <v>3825</v>
      </c>
      <c r="B3826" s="1">
        <v>3</v>
      </c>
      <c r="C3826" s="3">
        <v>3115270306902</v>
      </c>
      <c r="D3826" s="2">
        <v>44638.958333333336</v>
      </c>
      <c r="E3826" s="2">
        <v>44639.097222222219</v>
      </c>
      <c r="F3826" s="23">
        <f t="shared" si="177"/>
        <v>0.13888888888322981</v>
      </c>
      <c r="G3826" s="24">
        <f t="shared" si="179"/>
        <v>90.000000003667083</v>
      </c>
      <c r="H3826" s="1" t="s">
        <v>1</v>
      </c>
      <c r="I3826" s="4" t="s">
        <v>3</v>
      </c>
      <c r="J3826" s="14">
        <v>0.95833333333333337</v>
      </c>
      <c r="K3826" s="20" t="str">
        <f t="shared" si="178"/>
        <v>3rd Shift</v>
      </c>
    </row>
    <row r="3827" spans="1:11" x14ac:dyDescent="0.25">
      <c r="A3827" s="1">
        <v>3826</v>
      </c>
      <c r="B3827" s="1">
        <v>14</v>
      </c>
      <c r="C3827" s="3">
        <v>14115271673116</v>
      </c>
      <c r="D3827" s="2">
        <v>44639.395833333336</v>
      </c>
      <c r="E3827" s="2">
        <v>44639.659722222219</v>
      </c>
      <c r="F3827" s="23">
        <f t="shared" si="177"/>
        <v>0.26388888888322981</v>
      </c>
      <c r="G3827" s="24">
        <f t="shared" si="179"/>
        <v>47.368421053647388</v>
      </c>
      <c r="H3827" s="1" t="s">
        <v>1</v>
      </c>
      <c r="I3827" s="4" t="s">
        <v>3</v>
      </c>
      <c r="J3827" s="14">
        <v>0.39583333333333331</v>
      </c>
      <c r="K3827" s="20" t="str">
        <f t="shared" si="178"/>
        <v>1st Shift</v>
      </c>
    </row>
    <row r="3828" spans="1:11" x14ac:dyDescent="0.25">
      <c r="A3828" s="1">
        <v>3827</v>
      </c>
      <c r="B3828" s="1">
        <v>7</v>
      </c>
      <c r="C3828" s="3">
        <v>7115271760800</v>
      </c>
      <c r="D3828" s="2">
        <v>44639.395833333336</v>
      </c>
      <c r="E3828" s="2">
        <v>44639.659722222219</v>
      </c>
      <c r="F3828" s="23">
        <f t="shared" si="177"/>
        <v>0.26388888888322981</v>
      </c>
      <c r="G3828" s="24">
        <f t="shared" si="179"/>
        <v>47.368421053647388</v>
      </c>
      <c r="H3828" s="1" t="s">
        <v>1</v>
      </c>
      <c r="I3828" s="4" t="s">
        <v>3</v>
      </c>
      <c r="J3828" s="14">
        <v>0.39583333333333331</v>
      </c>
      <c r="K3828" s="20" t="str">
        <f t="shared" si="178"/>
        <v>1st Shift</v>
      </c>
    </row>
    <row r="3829" spans="1:11" x14ac:dyDescent="0.25">
      <c r="A3829" s="1">
        <v>3828</v>
      </c>
      <c r="B3829" s="1">
        <v>7</v>
      </c>
      <c r="C3829" s="3">
        <v>7115271757100</v>
      </c>
      <c r="D3829" s="2">
        <v>44639.395833333336</v>
      </c>
      <c r="E3829" s="2">
        <v>44639.659722222219</v>
      </c>
      <c r="F3829" s="23">
        <f t="shared" si="177"/>
        <v>0.26388888888322981</v>
      </c>
      <c r="G3829" s="24">
        <f t="shared" si="179"/>
        <v>47.368421053647388</v>
      </c>
      <c r="H3829" s="1" t="s">
        <v>1</v>
      </c>
      <c r="I3829" s="4" t="s">
        <v>3</v>
      </c>
      <c r="J3829" s="14">
        <v>0.39583333333333331</v>
      </c>
      <c r="K3829" s="20" t="str">
        <f t="shared" si="178"/>
        <v>1st Shift</v>
      </c>
    </row>
    <row r="3830" spans="1:11" x14ac:dyDescent="0.25">
      <c r="A3830" s="1">
        <v>3829</v>
      </c>
      <c r="B3830" s="1">
        <v>6</v>
      </c>
      <c r="C3830" s="3">
        <v>6115271717219</v>
      </c>
      <c r="D3830" s="2">
        <v>44639.395833333336</v>
      </c>
      <c r="E3830" s="2">
        <v>44639.659722222219</v>
      </c>
      <c r="F3830" s="23">
        <f t="shared" si="177"/>
        <v>0.26388888888322981</v>
      </c>
      <c r="G3830" s="24">
        <f t="shared" si="179"/>
        <v>47.368421053647388</v>
      </c>
      <c r="H3830" s="1" t="s">
        <v>1</v>
      </c>
      <c r="I3830" s="4" t="s">
        <v>2</v>
      </c>
      <c r="J3830" s="14">
        <v>0.39583333333333331</v>
      </c>
      <c r="K3830" s="20" t="str">
        <f t="shared" si="178"/>
        <v>1st Shift</v>
      </c>
    </row>
    <row r="3831" spans="1:11" x14ac:dyDescent="0.25">
      <c r="A3831" s="1">
        <v>3830</v>
      </c>
      <c r="B3831" s="1">
        <v>3</v>
      </c>
      <c r="C3831" s="3">
        <v>3115270333200</v>
      </c>
      <c r="D3831" s="2">
        <v>44639.395833333336</v>
      </c>
      <c r="E3831" s="2">
        <v>44639.659722222219</v>
      </c>
      <c r="F3831" s="23">
        <f t="shared" si="177"/>
        <v>0.26388888888322981</v>
      </c>
      <c r="G3831" s="24">
        <f t="shared" si="179"/>
        <v>47.368421053647388</v>
      </c>
      <c r="H3831" s="1" t="s">
        <v>1</v>
      </c>
      <c r="I3831" s="4" t="s">
        <v>2</v>
      </c>
      <c r="J3831" s="14">
        <v>0.39583333333333331</v>
      </c>
      <c r="K3831" s="20" t="str">
        <f t="shared" si="178"/>
        <v>1st Shift</v>
      </c>
    </row>
    <row r="3832" spans="1:11" x14ac:dyDescent="0.25">
      <c r="A3832" s="1">
        <v>3831</v>
      </c>
      <c r="B3832" s="1">
        <v>14</v>
      </c>
      <c r="C3832" s="3">
        <v>14115271672411</v>
      </c>
      <c r="D3832" s="2">
        <v>44639.729166666664</v>
      </c>
      <c r="E3832" s="2">
        <v>44639.895833333336</v>
      </c>
      <c r="F3832" s="23">
        <f t="shared" si="177"/>
        <v>0.16666666667151731</v>
      </c>
      <c r="G3832" s="24">
        <f t="shared" si="179"/>
        <v>74.999999997817213</v>
      </c>
      <c r="H3832" s="1" t="s">
        <v>1</v>
      </c>
      <c r="I3832" s="4" t="s">
        <v>2</v>
      </c>
      <c r="J3832" s="14">
        <v>0.72916666666666663</v>
      </c>
      <c r="K3832" s="20" t="str">
        <f t="shared" si="178"/>
        <v>2nd Shift</v>
      </c>
    </row>
    <row r="3833" spans="1:11" x14ac:dyDescent="0.25">
      <c r="A3833" s="1">
        <v>3832</v>
      </c>
      <c r="B3833" s="1">
        <v>7</v>
      </c>
      <c r="C3833" s="3">
        <v>7115271787804</v>
      </c>
      <c r="D3833" s="2">
        <v>44639.729166666664</v>
      </c>
      <c r="E3833" s="2">
        <v>44639.895833333336</v>
      </c>
      <c r="F3833" s="23">
        <f t="shared" si="177"/>
        <v>0.16666666667151731</v>
      </c>
      <c r="G3833" s="24">
        <f t="shared" si="179"/>
        <v>74.999999997817213</v>
      </c>
      <c r="H3833" s="1" t="s">
        <v>1</v>
      </c>
      <c r="I3833" s="4" t="s">
        <v>3</v>
      </c>
      <c r="J3833" s="14">
        <v>0.72916666666666663</v>
      </c>
      <c r="K3833" s="20" t="str">
        <f t="shared" si="178"/>
        <v>2nd Shift</v>
      </c>
    </row>
    <row r="3834" spans="1:11" x14ac:dyDescent="0.25">
      <c r="A3834" s="1">
        <v>3833</v>
      </c>
      <c r="B3834" s="1">
        <v>7</v>
      </c>
      <c r="C3834" s="3">
        <v>7115271787213</v>
      </c>
      <c r="D3834" s="2">
        <v>44639.729166666664</v>
      </c>
      <c r="E3834" s="2">
        <v>44639.895833333336</v>
      </c>
      <c r="F3834" s="23">
        <f t="shared" si="177"/>
        <v>0.16666666667151731</v>
      </c>
      <c r="G3834" s="24">
        <f t="shared" si="179"/>
        <v>74.999999997817213</v>
      </c>
      <c r="H3834" s="1" t="s">
        <v>1</v>
      </c>
      <c r="I3834" s="4" t="s">
        <v>2</v>
      </c>
      <c r="J3834" s="14">
        <v>0.72916666666666663</v>
      </c>
      <c r="K3834" s="20" t="str">
        <f t="shared" si="178"/>
        <v>2nd Shift</v>
      </c>
    </row>
    <row r="3835" spans="1:11" x14ac:dyDescent="0.25">
      <c r="A3835" s="1">
        <v>3834</v>
      </c>
      <c r="B3835" s="1">
        <v>3</v>
      </c>
      <c r="C3835" s="3">
        <v>3115270349800</v>
      </c>
      <c r="D3835" s="2">
        <v>44639.729166666664</v>
      </c>
      <c r="E3835" s="2">
        <v>44639.895833333336</v>
      </c>
      <c r="F3835" s="23">
        <f t="shared" si="177"/>
        <v>0.16666666667151731</v>
      </c>
      <c r="G3835" s="24">
        <f t="shared" si="179"/>
        <v>74.999999997817213</v>
      </c>
      <c r="H3835" s="1" t="s">
        <v>1</v>
      </c>
      <c r="I3835" s="4" t="s">
        <v>2</v>
      </c>
      <c r="J3835" s="14">
        <v>0.72916666666666663</v>
      </c>
      <c r="K3835" s="20" t="str">
        <f t="shared" si="178"/>
        <v>2nd Shift</v>
      </c>
    </row>
    <row r="3836" spans="1:11" x14ac:dyDescent="0.25">
      <c r="A3836" s="1">
        <v>3835</v>
      </c>
      <c r="B3836" s="1">
        <v>2</v>
      </c>
      <c r="C3836" s="3">
        <v>2115270250700</v>
      </c>
      <c r="D3836" s="2">
        <v>44639.729166666664</v>
      </c>
      <c r="E3836" s="2">
        <v>44639.895833333336</v>
      </c>
      <c r="F3836" s="23">
        <f t="shared" si="177"/>
        <v>0.16666666667151731</v>
      </c>
      <c r="G3836" s="24">
        <f t="shared" si="179"/>
        <v>74.999999997817213</v>
      </c>
      <c r="H3836" s="1" t="s">
        <v>1</v>
      </c>
      <c r="I3836" s="4" t="s">
        <v>2</v>
      </c>
      <c r="J3836" s="14">
        <v>0.72916666666666663</v>
      </c>
      <c r="K3836" s="20" t="str">
        <f t="shared" si="178"/>
        <v>2nd Shift</v>
      </c>
    </row>
    <row r="3837" spans="1:11" x14ac:dyDescent="0.25">
      <c r="A3837" s="1">
        <v>3836</v>
      </c>
      <c r="B3837" s="1">
        <v>1</v>
      </c>
      <c r="C3837" s="3">
        <v>1115270062601</v>
      </c>
      <c r="D3837" s="2">
        <v>44639.729166666664</v>
      </c>
      <c r="E3837" s="2">
        <v>44639.895833333336</v>
      </c>
      <c r="F3837" s="23">
        <f t="shared" si="177"/>
        <v>0.16666666667151731</v>
      </c>
      <c r="G3837" s="24">
        <f t="shared" si="179"/>
        <v>74.999999997817213</v>
      </c>
      <c r="H3837" s="1" t="s">
        <v>1</v>
      </c>
      <c r="I3837" s="4" t="s">
        <v>2</v>
      </c>
      <c r="J3837" s="14">
        <v>0.72916666666666663</v>
      </c>
      <c r="K3837" s="20" t="str">
        <f t="shared" si="178"/>
        <v>2nd Shift</v>
      </c>
    </row>
    <row r="3838" spans="1:11" x14ac:dyDescent="0.25">
      <c r="A3838" s="1">
        <v>3837</v>
      </c>
      <c r="B3838" s="1">
        <v>10</v>
      </c>
      <c r="C3838" s="3">
        <v>10115271433100</v>
      </c>
      <c r="D3838" s="2">
        <v>44640.03125</v>
      </c>
      <c r="E3838" s="2">
        <v>44640.152777777781</v>
      </c>
      <c r="F3838" s="23">
        <f t="shared" si="177"/>
        <v>0.12152777778101154</v>
      </c>
      <c r="G3838" s="24">
        <f t="shared" si="179"/>
        <v>102.85714285440591</v>
      </c>
      <c r="H3838" s="1" t="s">
        <v>1</v>
      </c>
      <c r="I3838" s="4" t="s">
        <v>3</v>
      </c>
      <c r="J3838" s="14">
        <v>3.125E-2</v>
      </c>
      <c r="K3838" s="20" t="str">
        <f t="shared" si="178"/>
        <v>3rd Shift</v>
      </c>
    </row>
    <row r="3839" spans="1:11" x14ac:dyDescent="0.25">
      <c r="A3839" s="1">
        <v>3838</v>
      </c>
      <c r="B3839" s="1">
        <v>3</v>
      </c>
      <c r="C3839" s="3">
        <v>3115270326900</v>
      </c>
      <c r="D3839" s="2">
        <v>44640.03125</v>
      </c>
      <c r="E3839" s="2">
        <v>44640.152777777781</v>
      </c>
      <c r="F3839" s="23">
        <f t="shared" si="177"/>
        <v>0.12152777778101154</v>
      </c>
      <c r="G3839" s="24">
        <f t="shared" si="179"/>
        <v>102.85714285440591</v>
      </c>
      <c r="H3839" s="1" t="s">
        <v>1</v>
      </c>
      <c r="I3839" s="4" t="s">
        <v>3</v>
      </c>
      <c r="J3839" s="14">
        <v>3.125E-2</v>
      </c>
      <c r="K3839" s="20" t="str">
        <f t="shared" si="178"/>
        <v>3rd Shift</v>
      </c>
    </row>
    <row r="3840" spans="1:11" x14ac:dyDescent="0.25">
      <c r="A3840" s="1">
        <v>3839</v>
      </c>
      <c r="B3840" s="1">
        <v>3</v>
      </c>
      <c r="C3840" s="3">
        <v>3115270306704</v>
      </c>
      <c r="D3840" s="2">
        <v>44640.03125</v>
      </c>
      <c r="E3840" s="2">
        <v>44640.152777777781</v>
      </c>
      <c r="F3840" s="23">
        <f t="shared" si="177"/>
        <v>0.12152777778101154</v>
      </c>
      <c r="G3840" s="24">
        <f t="shared" si="179"/>
        <v>102.85714285440591</v>
      </c>
      <c r="H3840" s="1" t="s">
        <v>1</v>
      </c>
      <c r="I3840" s="4" t="s">
        <v>2</v>
      </c>
      <c r="J3840" s="14">
        <v>3.125E-2</v>
      </c>
      <c r="K3840" s="20" t="str">
        <f t="shared" si="178"/>
        <v>3rd Shift</v>
      </c>
    </row>
    <row r="3841" spans="1:11" x14ac:dyDescent="0.25">
      <c r="A3841" s="1">
        <v>3840</v>
      </c>
      <c r="B3841" s="1">
        <v>2</v>
      </c>
      <c r="C3841" s="3">
        <v>2115270225500</v>
      </c>
      <c r="D3841" s="2">
        <v>44640.03125</v>
      </c>
      <c r="E3841" s="2">
        <v>44640.152777777781</v>
      </c>
      <c r="F3841" s="23">
        <f t="shared" si="177"/>
        <v>0.12152777778101154</v>
      </c>
      <c r="G3841" s="24">
        <f t="shared" si="179"/>
        <v>102.85714285440591</v>
      </c>
      <c r="H3841" s="1" t="s">
        <v>1</v>
      </c>
      <c r="I3841" s="4" t="s">
        <v>2</v>
      </c>
      <c r="J3841" s="14">
        <v>3.125E-2</v>
      </c>
      <c r="K3841" s="20" t="str">
        <f t="shared" si="178"/>
        <v>3rd Shift</v>
      </c>
    </row>
    <row r="3842" spans="1:11" x14ac:dyDescent="0.25">
      <c r="A3842" s="1">
        <v>3841</v>
      </c>
      <c r="B3842" s="1">
        <v>1</v>
      </c>
      <c r="C3842" s="3">
        <v>1115270101200</v>
      </c>
      <c r="D3842" s="2">
        <v>44640.03125</v>
      </c>
      <c r="E3842" s="2">
        <v>44640.152777777781</v>
      </c>
      <c r="F3842" s="23">
        <f t="shared" ref="F3842:F3905" si="180">E3842-D3842</f>
        <v>0.12152777778101154</v>
      </c>
      <c r="G3842" s="24">
        <f t="shared" si="179"/>
        <v>102.85714285440591</v>
      </c>
      <c r="H3842" s="1" t="s">
        <v>1</v>
      </c>
      <c r="I3842" s="4" t="s">
        <v>2</v>
      </c>
      <c r="J3842" s="14">
        <v>3.125E-2</v>
      </c>
      <c r="K3842" s="20" t="str">
        <f t="shared" ref="K3842:K3905" si="181">IF(AND(J3842&gt;=$M$3,J3842&lt;$M$4),"1st Shift",IF(AND(J3842&gt;=$M$4,J3842&lt;$M$5),"2nd Shift","3rd Shift"))</f>
        <v>3rd Shift</v>
      </c>
    </row>
    <row r="3843" spans="1:11" x14ac:dyDescent="0.25">
      <c r="A3843" s="1">
        <v>3842</v>
      </c>
      <c r="B3843" s="1">
        <v>1</v>
      </c>
      <c r="C3843" s="3">
        <v>1111527010220</v>
      </c>
      <c r="D3843" s="2">
        <v>44640.03125</v>
      </c>
      <c r="E3843" s="2">
        <v>44640.152777777781</v>
      </c>
      <c r="F3843" s="23">
        <f t="shared" si="180"/>
        <v>0.12152777778101154</v>
      </c>
      <c r="G3843" s="24">
        <f t="shared" ref="G3843:G3906" si="182">$M$9/F3843*100</f>
        <v>102.85714285440591</v>
      </c>
      <c r="H3843" s="1" t="s">
        <v>1</v>
      </c>
      <c r="I3843" s="4" t="s">
        <v>2</v>
      </c>
      <c r="J3843" s="14">
        <v>3.125E-2</v>
      </c>
      <c r="K3843" s="20" t="str">
        <f t="shared" si="181"/>
        <v>3rd Shift</v>
      </c>
    </row>
    <row r="3844" spans="1:11" x14ac:dyDescent="0.25">
      <c r="A3844" s="1">
        <v>3843</v>
      </c>
      <c r="B3844" s="1">
        <v>5</v>
      </c>
      <c r="C3844" s="3">
        <v>5115271239400</v>
      </c>
      <c r="D3844" s="2">
        <v>44640.166666666664</v>
      </c>
      <c r="E3844" s="2">
        <v>44640.215277777781</v>
      </c>
      <c r="F3844" s="23">
        <f t="shared" si="180"/>
        <v>4.8611111116770189E-2</v>
      </c>
      <c r="G3844" s="24">
        <f t="shared" si="182"/>
        <v>257.14285711292177</v>
      </c>
      <c r="H3844" s="1" t="s">
        <v>1</v>
      </c>
      <c r="I3844" s="4" t="s">
        <v>3</v>
      </c>
      <c r="J3844" s="14">
        <v>0.16666666666666666</v>
      </c>
      <c r="K3844" s="20" t="str">
        <f t="shared" si="181"/>
        <v>3rd Shift</v>
      </c>
    </row>
    <row r="3845" spans="1:11" x14ac:dyDescent="0.25">
      <c r="A3845" s="1">
        <v>3844</v>
      </c>
      <c r="B3845" s="1">
        <v>15</v>
      </c>
      <c r="C3845" s="3">
        <v>15115271743503</v>
      </c>
      <c r="D3845" s="2">
        <v>44640.541666666664</v>
      </c>
      <c r="E3845" s="2">
        <v>44640.631944444445</v>
      </c>
      <c r="F3845" s="23">
        <f t="shared" si="180"/>
        <v>9.0277777781011537E-2</v>
      </c>
      <c r="G3845" s="24">
        <f t="shared" si="182"/>
        <v>138.46153845657875</v>
      </c>
      <c r="H3845" s="1" t="s">
        <v>1</v>
      </c>
      <c r="I3845" s="4" t="s">
        <v>2</v>
      </c>
      <c r="J3845" s="14">
        <v>0.54166666666666663</v>
      </c>
      <c r="K3845" s="20" t="str">
        <f t="shared" si="181"/>
        <v>1st Shift</v>
      </c>
    </row>
    <row r="3846" spans="1:11" x14ac:dyDescent="0.25">
      <c r="A3846" s="1">
        <v>3845</v>
      </c>
      <c r="B3846" s="1">
        <v>14</v>
      </c>
      <c r="C3846" s="3">
        <v>14115271677401</v>
      </c>
      <c r="D3846" s="2">
        <v>44640.416666666664</v>
      </c>
      <c r="E3846" s="2">
        <v>44640.631944444445</v>
      </c>
      <c r="F3846" s="23">
        <f t="shared" si="180"/>
        <v>0.21527777778101154</v>
      </c>
      <c r="G3846" s="24">
        <f t="shared" si="182"/>
        <v>58.064516128160051</v>
      </c>
      <c r="H3846" s="1" t="s">
        <v>1</v>
      </c>
      <c r="I3846" s="4" t="s">
        <v>3</v>
      </c>
      <c r="J3846" s="14">
        <v>0.41666666666666669</v>
      </c>
      <c r="K3846" s="20" t="str">
        <f t="shared" si="181"/>
        <v>1st Shift</v>
      </c>
    </row>
    <row r="3847" spans="1:11" x14ac:dyDescent="0.25">
      <c r="A3847" s="1">
        <v>3846</v>
      </c>
      <c r="B3847" s="1">
        <v>12</v>
      </c>
      <c r="C3847" s="3">
        <v>12115271567020</v>
      </c>
      <c r="D3847" s="2">
        <v>44640.541666666664</v>
      </c>
      <c r="E3847" s="2">
        <v>44640.631944444445</v>
      </c>
      <c r="F3847" s="23">
        <f t="shared" si="180"/>
        <v>9.0277777781011537E-2</v>
      </c>
      <c r="G3847" s="24">
        <f t="shared" si="182"/>
        <v>138.46153845657875</v>
      </c>
      <c r="H3847" s="1" t="s">
        <v>1</v>
      </c>
      <c r="I3847" s="4" t="s">
        <v>3</v>
      </c>
      <c r="J3847" s="14">
        <v>0.54166666666666663</v>
      </c>
      <c r="K3847" s="20" t="str">
        <f t="shared" si="181"/>
        <v>1st Shift</v>
      </c>
    </row>
    <row r="3848" spans="1:11" x14ac:dyDescent="0.25">
      <c r="A3848" s="1">
        <v>3847</v>
      </c>
      <c r="B3848" s="1">
        <v>11</v>
      </c>
      <c r="C3848" s="3">
        <v>11115271532107</v>
      </c>
      <c r="D3848" s="2">
        <v>44640.3125</v>
      </c>
      <c r="E3848" s="2">
        <v>44640.631944444445</v>
      </c>
      <c r="F3848" s="23">
        <f t="shared" si="180"/>
        <v>0.31944444444525288</v>
      </c>
      <c r="G3848" s="24">
        <f t="shared" si="182"/>
        <v>39.130434782509667</v>
      </c>
      <c r="H3848" s="1" t="s">
        <v>1</v>
      </c>
      <c r="I3848" s="4" t="s">
        <v>3</v>
      </c>
      <c r="J3848" s="14">
        <v>0.3125</v>
      </c>
      <c r="K3848" s="20" t="str">
        <f t="shared" si="181"/>
        <v>1st Shift</v>
      </c>
    </row>
    <row r="3849" spans="1:11" x14ac:dyDescent="0.25">
      <c r="A3849" s="1">
        <v>3848</v>
      </c>
      <c r="B3849" s="1">
        <v>10</v>
      </c>
      <c r="C3849" s="3">
        <v>10115271453500</v>
      </c>
      <c r="D3849" s="2">
        <v>44640.541666666664</v>
      </c>
      <c r="E3849" s="2">
        <v>44640.631944444445</v>
      </c>
      <c r="F3849" s="23">
        <f t="shared" si="180"/>
        <v>9.0277777781011537E-2</v>
      </c>
      <c r="G3849" s="24">
        <f t="shared" si="182"/>
        <v>138.46153845657875</v>
      </c>
      <c r="H3849" s="1" t="s">
        <v>1</v>
      </c>
      <c r="I3849" s="4" t="s">
        <v>2</v>
      </c>
      <c r="J3849" s="14">
        <v>0.54166666666666663</v>
      </c>
      <c r="K3849" s="20" t="str">
        <f t="shared" si="181"/>
        <v>1st Shift</v>
      </c>
    </row>
    <row r="3850" spans="1:11" x14ac:dyDescent="0.25">
      <c r="A3850" s="1">
        <v>3849</v>
      </c>
      <c r="B3850" s="1">
        <v>9</v>
      </c>
      <c r="C3850" s="3">
        <v>9115271934301</v>
      </c>
      <c r="D3850" s="2">
        <v>44640.354166666664</v>
      </c>
      <c r="E3850" s="2">
        <v>44640.631944444445</v>
      </c>
      <c r="F3850" s="23">
        <f t="shared" si="180"/>
        <v>0.27777777778101154</v>
      </c>
      <c r="G3850" s="24">
        <f t="shared" si="182"/>
        <v>44.999999999476131</v>
      </c>
      <c r="H3850" s="1" t="s">
        <v>1</v>
      </c>
      <c r="I3850" s="4" t="s">
        <v>3</v>
      </c>
      <c r="J3850" s="14">
        <v>0.35416666666666669</v>
      </c>
      <c r="K3850" s="20" t="str">
        <f t="shared" si="181"/>
        <v>1st Shift</v>
      </c>
    </row>
    <row r="3851" spans="1:11" x14ac:dyDescent="0.25">
      <c r="A3851" s="1">
        <v>3850</v>
      </c>
      <c r="B3851" s="1">
        <v>8</v>
      </c>
      <c r="C3851" s="3">
        <v>8115271820902</v>
      </c>
      <c r="D3851" s="2">
        <v>44640.416666666664</v>
      </c>
      <c r="E3851" s="2">
        <v>44640.631944444445</v>
      </c>
      <c r="F3851" s="23">
        <f t="shared" si="180"/>
        <v>0.21527777778101154</v>
      </c>
      <c r="G3851" s="24">
        <f t="shared" si="182"/>
        <v>58.064516128160051</v>
      </c>
      <c r="H3851" s="1" t="s">
        <v>1</v>
      </c>
      <c r="I3851" s="4" t="s">
        <v>3</v>
      </c>
      <c r="J3851" s="14">
        <v>0.41666666666666669</v>
      </c>
      <c r="K3851" s="20" t="str">
        <f t="shared" si="181"/>
        <v>1st Shift</v>
      </c>
    </row>
    <row r="3852" spans="1:11" x14ac:dyDescent="0.25">
      <c r="A3852" s="1">
        <v>3851</v>
      </c>
      <c r="B3852" s="1">
        <v>8</v>
      </c>
      <c r="C3852" s="3">
        <v>8115270614200</v>
      </c>
      <c r="D3852" s="2">
        <v>44640.541666666664</v>
      </c>
      <c r="E3852" s="2">
        <v>44640.631944444445</v>
      </c>
      <c r="F3852" s="23">
        <f t="shared" si="180"/>
        <v>9.0277777781011537E-2</v>
      </c>
      <c r="G3852" s="24">
        <f t="shared" si="182"/>
        <v>138.46153845657875</v>
      </c>
      <c r="H3852" s="1" t="s">
        <v>1</v>
      </c>
      <c r="I3852" s="4" t="s">
        <v>2</v>
      </c>
      <c r="J3852" s="14">
        <v>0.54166666666666663</v>
      </c>
      <c r="K3852" s="20" t="str">
        <f t="shared" si="181"/>
        <v>1st Shift</v>
      </c>
    </row>
    <row r="3853" spans="1:11" x14ac:dyDescent="0.25">
      <c r="A3853" s="1">
        <v>3852</v>
      </c>
      <c r="B3853" s="1">
        <v>7</v>
      </c>
      <c r="C3853" s="3">
        <v>7115271769604</v>
      </c>
      <c r="D3853" s="2">
        <v>44640.541666666664</v>
      </c>
      <c r="E3853" s="2">
        <v>44640.631944444445</v>
      </c>
      <c r="F3853" s="23">
        <f t="shared" si="180"/>
        <v>9.0277777781011537E-2</v>
      </c>
      <c r="G3853" s="24">
        <f t="shared" si="182"/>
        <v>138.46153845657875</v>
      </c>
      <c r="H3853" s="1" t="s">
        <v>1</v>
      </c>
      <c r="I3853" s="4" t="s">
        <v>2</v>
      </c>
      <c r="J3853" s="14">
        <v>0.54166666666666663</v>
      </c>
      <c r="K3853" s="20" t="str">
        <f t="shared" si="181"/>
        <v>1st Shift</v>
      </c>
    </row>
    <row r="3854" spans="1:11" x14ac:dyDescent="0.25">
      <c r="A3854" s="1">
        <v>3853</v>
      </c>
      <c r="B3854" s="1">
        <v>7</v>
      </c>
      <c r="C3854" s="3">
        <v>7115271757102</v>
      </c>
      <c r="D3854" s="2">
        <v>44640.3125</v>
      </c>
      <c r="E3854" s="2">
        <v>44640.631944444445</v>
      </c>
      <c r="F3854" s="23">
        <f t="shared" si="180"/>
        <v>0.31944444444525288</v>
      </c>
      <c r="G3854" s="24">
        <f t="shared" si="182"/>
        <v>39.130434782509667</v>
      </c>
      <c r="H3854" s="1" t="s">
        <v>1</v>
      </c>
      <c r="I3854" s="4" t="s">
        <v>3</v>
      </c>
      <c r="J3854" s="14">
        <v>0.3125</v>
      </c>
      <c r="K3854" s="20" t="str">
        <f t="shared" si="181"/>
        <v>1st Shift</v>
      </c>
    </row>
    <row r="3855" spans="1:11" x14ac:dyDescent="0.25">
      <c r="A3855" s="1">
        <v>3854</v>
      </c>
      <c r="B3855" s="1">
        <v>6</v>
      </c>
      <c r="C3855" s="3">
        <v>6115271733503</v>
      </c>
      <c r="D3855" s="2">
        <v>44640.3125</v>
      </c>
      <c r="E3855" s="2">
        <v>44640.631944444445</v>
      </c>
      <c r="F3855" s="23">
        <f t="shared" si="180"/>
        <v>0.31944444444525288</v>
      </c>
      <c r="G3855" s="24">
        <f t="shared" si="182"/>
        <v>39.130434782509667</v>
      </c>
      <c r="H3855" s="1" t="s">
        <v>1</v>
      </c>
      <c r="I3855" s="4" t="s">
        <v>3</v>
      </c>
      <c r="J3855" s="14">
        <v>0.3125</v>
      </c>
      <c r="K3855" s="20" t="str">
        <f t="shared" si="181"/>
        <v>1st Shift</v>
      </c>
    </row>
    <row r="3856" spans="1:11" x14ac:dyDescent="0.25">
      <c r="A3856" s="1">
        <v>3855</v>
      </c>
      <c r="B3856" s="1">
        <v>6</v>
      </c>
      <c r="C3856" s="3">
        <v>6115271722900</v>
      </c>
      <c r="D3856" s="2">
        <v>44640.416666666664</v>
      </c>
      <c r="E3856" s="2">
        <v>44640.631944444445</v>
      </c>
      <c r="F3856" s="23">
        <f t="shared" si="180"/>
        <v>0.21527777778101154</v>
      </c>
      <c r="G3856" s="24">
        <f t="shared" si="182"/>
        <v>58.064516128160051</v>
      </c>
      <c r="H3856" s="1" t="s">
        <v>1</v>
      </c>
      <c r="I3856" s="4" t="s">
        <v>3</v>
      </c>
      <c r="J3856" s="14">
        <v>0.41666666666666669</v>
      </c>
      <c r="K3856" s="20" t="str">
        <f t="shared" si="181"/>
        <v>1st Shift</v>
      </c>
    </row>
    <row r="3857" spans="1:11" x14ac:dyDescent="0.25">
      <c r="A3857" s="1">
        <v>3856</v>
      </c>
      <c r="B3857" s="1">
        <v>6</v>
      </c>
      <c r="C3857" s="3">
        <v>6115271722600</v>
      </c>
      <c r="D3857" s="2">
        <v>44640.416666666664</v>
      </c>
      <c r="E3857" s="2">
        <v>44640.631944444445</v>
      </c>
      <c r="F3857" s="23">
        <f t="shared" si="180"/>
        <v>0.21527777778101154</v>
      </c>
      <c r="G3857" s="24">
        <f t="shared" si="182"/>
        <v>58.064516128160051</v>
      </c>
      <c r="H3857" s="1" t="s">
        <v>1</v>
      </c>
      <c r="I3857" s="4" t="s">
        <v>2</v>
      </c>
      <c r="J3857" s="14">
        <v>0.41666666666666669</v>
      </c>
      <c r="K3857" s="20" t="str">
        <f t="shared" si="181"/>
        <v>1st Shift</v>
      </c>
    </row>
    <row r="3858" spans="1:11" x14ac:dyDescent="0.25">
      <c r="A3858" s="1">
        <v>3857</v>
      </c>
      <c r="B3858" s="1">
        <v>3</v>
      </c>
      <c r="C3858" s="3">
        <v>3115270421400</v>
      </c>
      <c r="D3858" s="2">
        <v>44640.416666666664</v>
      </c>
      <c r="E3858" s="2">
        <v>44640.631944444445</v>
      </c>
      <c r="F3858" s="23">
        <f t="shared" si="180"/>
        <v>0.21527777778101154</v>
      </c>
      <c r="G3858" s="24">
        <f t="shared" si="182"/>
        <v>58.064516128160051</v>
      </c>
      <c r="H3858" s="1" t="s">
        <v>1</v>
      </c>
      <c r="I3858" s="4" t="s">
        <v>2</v>
      </c>
      <c r="J3858" s="14">
        <v>0.41666666666666669</v>
      </c>
      <c r="K3858" s="20" t="str">
        <f t="shared" si="181"/>
        <v>1st Shift</v>
      </c>
    </row>
    <row r="3859" spans="1:11" x14ac:dyDescent="0.25">
      <c r="A3859" s="1">
        <v>3858</v>
      </c>
      <c r="B3859" s="1">
        <v>3</v>
      </c>
      <c r="C3859" s="3">
        <v>3115270350680</v>
      </c>
      <c r="D3859" s="2">
        <v>44640.541666666664</v>
      </c>
      <c r="E3859" s="2">
        <v>44640.631944444445</v>
      </c>
      <c r="F3859" s="23">
        <f t="shared" si="180"/>
        <v>9.0277777781011537E-2</v>
      </c>
      <c r="G3859" s="24">
        <f t="shared" si="182"/>
        <v>138.46153845657875</v>
      </c>
      <c r="H3859" s="1" t="s">
        <v>1</v>
      </c>
      <c r="I3859" s="4" t="s">
        <v>3</v>
      </c>
      <c r="J3859" s="14">
        <v>0.54166666666666663</v>
      </c>
      <c r="K3859" s="20" t="str">
        <f t="shared" si="181"/>
        <v>1st Shift</v>
      </c>
    </row>
    <row r="3860" spans="1:11" x14ac:dyDescent="0.25">
      <c r="A3860" s="1">
        <v>3859</v>
      </c>
      <c r="B3860" s="1">
        <v>3</v>
      </c>
      <c r="C3860" s="3">
        <v>3115270306803</v>
      </c>
      <c r="D3860" s="2">
        <v>44640.378472222219</v>
      </c>
      <c r="E3860" s="2">
        <v>44640.631944444445</v>
      </c>
      <c r="F3860" s="23">
        <f t="shared" si="180"/>
        <v>0.25347222222626442</v>
      </c>
      <c r="G3860" s="24">
        <f t="shared" si="182"/>
        <v>49.315068492364247</v>
      </c>
      <c r="H3860" s="1" t="s">
        <v>1</v>
      </c>
      <c r="I3860" s="4" t="s">
        <v>2</v>
      </c>
      <c r="J3860" s="14">
        <v>0.37847222222222221</v>
      </c>
      <c r="K3860" s="20" t="str">
        <f t="shared" si="181"/>
        <v>1st Shift</v>
      </c>
    </row>
    <row r="3861" spans="1:11" x14ac:dyDescent="0.25">
      <c r="A3861" s="1">
        <v>3860</v>
      </c>
      <c r="B3861" s="1">
        <v>2</v>
      </c>
      <c r="C3861" s="3">
        <v>2115270250200</v>
      </c>
      <c r="D3861" s="2">
        <v>44640.541666666664</v>
      </c>
      <c r="E3861" s="2">
        <v>44640.631944444445</v>
      </c>
      <c r="F3861" s="23">
        <f t="shared" si="180"/>
        <v>9.0277777781011537E-2</v>
      </c>
      <c r="G3861" s="24">
        <f t="shared" si="182"/>
        <v>138.46153845657875</v>
      </c>
      <c r="H3861" s="1" t="s">
        <v>1</v>
      </c>
      <c r="I3861" s="4" t="s">
        <v>3</v>
      </c>
      <c r="J3861" s="14">
        <v>0.54166666666666663</v>
      </c>
      <c r="K3861" s="20" t="str">
        <f t="shared" si="181"/>
        <v>1st Shift</v>
      </c>
    </row>
    <row r="3862" spans="1:11" x14ac:dyDescent="0.25">
      <c r="A3862" s="1">
        <v>3861</v>
      </c>
      <c r="B3862" s="1">
        <v>1</v>
      </c>
      <c r="C3862" s="3">
        <v>1115270122800</v>
      </c>
      <c r="D3862" s="2">
        <v>44640.416666666664</v>
      </c>
      <c r="E3862" s="2">
        <v>44640.631944444445</v>
      </c>
      <c r="F3862" s="23">
        <f t="shared" si="180"/>
        <v>0.21527777778101154</v>
      </c>
      <c r="G3862" s="24">
        <f t="shared" si="182"/>
        <v>58.064516128160051</v>
      </c>
      <c r="H3862" s="1" t="s">
        <v>1</v>
      </c>
      <c r="I3862" s="4" t="s">
        <v>3</v>
      </c>
      <c r="J3862" s="14">
        <v>0.41666666666666669</v>
      </c>
      <c r="K3862" s="20" t="str">
        <f t="shared" si="181"/>
        <v>1st Shift</v>
      </c>
    </row>
    <row r="3863" spans="1:11" x14ac:dyDescent="0.25">
      <c r="A3863" s="1">
        <v>3862</v>
      </c>
      <c r="B3863" s="1">
        <v>1</v>
      </c>
      <c r="C3863" s="3">
        <v>1115270112600</v>
      </c>
      <c r="D3863" s="2">
        <v>44640.3125</v>
      </c>
      <c r="E3863" s="2">
        <v>44640.631944444445</v>
      </c>
      <c r="F3863" s="23">
        <f t="shared" si="180"/>
        <v>0.31944444444525288</v>
      </c>
      <c r="G3863" s="24">
        <f t="shared" si="182"/>
        <v>39.130434782509667</v>
      </c>
      <c r="H3863" s="1" t="s">
        <v>1</v>
      </c>
      <c r="I3863" s="4" t="s">
        <v>2</v>
      </c>
      <c r="J3863" s="14">
        <v>0.3125</v>
      </c>
      <c r="K3863" s="20" t="str">
        <f t="shared" si="181"/>
        <v>1st Shift</v>
      </c>
    </row>
    <row r="3864" spans="1:11" x14ac:dyDescent="0.25">
      <c r="A3864" s="1">
        <v>3863</v>
      </c>
      <c r="B3864" s="1">
        <v>13</v>
      </c>
      <c r="C3864" s="3">
        <v>13115271590901</v>
      </c>
      <c r="D3864" s="2">
        <v>44640.768055555556</v>
      </c>
      <c r="E3864" s="2">
        <v>44640.9375</v>
      </c>
      <c r="F3864" s="23">
        <f t="shared" si="180"/>
        <v>0.16944444444379769</v>
      </c>
      <c r="G3864" s="24">
        <f t="shared" si="182"/>
        <v>73.770491803560262</v>
      </c>
      <c r="H3864" s="1" t="s">
        <v>1</v>
      </c>
      <c r="I3864" s="4" t="s">
        <v>2</v>
      </c>
      <c r="J3864" s="14">
        <v>0.7680555555555556</v>
      </c>
      <c r="K3864" s="20" t="str">
        <f t="shared" si="181"/>
        <v>2nd Shift</v>
      </c>
    </row>
    <row r="3865" spans="1:11" x14ac:dyDescent="0.25">
      <c r="A3865" s="1">
        <v>3864</v>
      </c>
      <c r="B3865" s="1">
        <v>11</v>
      </c>
      <c r="C3865" s="3">
        <v>11115271559932</v>
      </c>
      <c r="D3865" s="2">
        <v>44640.840277777781</v>
      </c>
      <c r="E3865" s="2">
        <v>44640.9375</v>
      </c>
      <c r="F3865" s="23">
        <f t="shared" si="180"/>
        <v>9.7222222218988463E-2</v>
      </c>
      <c r="G3865" s="24">
        <f t="shared" si="182"/>
        <v>128.57142857570506</v>
      </c>
      <c r="H3865" s="1" t="s">
        <v>1</v>
      </c>
      <c r="I3865" s="4" t="s">
        <v>3</v>
      </c>
      <c r="J3865" s="14">
        <v>0.84027777777777779</v>
      </c>
      <c r="K3865" s="20" t="str">
        <f t="shared" si="181"/>
        <v>2nd Shift</v>
      </c>
    </row>
    <row r="3866" spans="1:11" x14ac:dyDescent="0.25">
      <c r="A3866" s="1">
        <v>3865</v>
      </c>
      <c r="B3866" s="1">
        <v>11</v>
      </c>
      <c r="C3866" s="3">
        <v>11115271543500</v>
      </c>
      <c r="D3866" s="2">
        <v>44640.611111111109</v>
      </c>
      <c r="E3866" s="2">
        <v>44640.9375</v>
      </c>
      <c r="F3866" s="23">
        <f t="shared" si="180"/>
        <v>0.32638888889050577</v>
      </c>
      <c r="G3866" s="24">
        <f t="shared" si="182"/>
        <v>38.297872340235813</v>
      </c>
      <c r="H3866" s="1" t="s">
        <v>1</v>
      </c>
      <c r="I3866" s="4" t="s">
        <v>2</v>
      </c>
      <c r="J3866" s="14">
        <v>0.61111111111111116</v>
      </c>
      <c r="K3866" s="20" t="str">
        <f t="shared" si="181"/>
        <v>2nd Shift</v>
      </c>
    </row>
    <row r="3867" spans="1:11" x14ac:dyDescent="0.25">
      <c r="A3867" s="1">
        <v>3866</v>
      </c>
      <c r="B3867" s="1">
        <v>9</v>
      </c>
      <c r="C3867" s="3">
        <v>9115271934200</v>
      </c>
      <c r="D3867" s="2">
        <v>44640.611111111109</v>
      </c>
      <c r="E3867" s="2">
        <v>44640.9375</v>
      </c>
      <c r="F3867" s="23">
        <f t="shared" si="180"/>
        <v>0.32638888889050577</v>
      </c>
      <c r="G3867" s="24">
        <f t="shared" si="182"/>
        <v>38.297872340235813</v>
      </c>
      <c r="H3867" s="1" t="s">
        <v>1</v>
      </c>
      <c r="I3867" s="4" t="s">
        <v>2</v>
      </c>
      <c r="J3867" s="14">
        <v>0.61111111111111116</v>
      </c>
      <c r="K3867" s="20" t="str">
        <f t="shared" si="181"/>
        <v>2nd Shift</v>
      </c>
    </row>
    <row r="3868" spans="1:11" x14ac:dyDescent="0.25">
      <c r="A3868" s="1">
        <v>3867</v>
      </c>
      <c r="B3868" s="1">
        <v>7</v>
      </c>
      <c r="C3868" s="3">
        <v>7115271757100</v>
      </c>
      <c r="D3868" s="2">
        <v>44640.611111111109</v>
      </c>
      <c r="E3868" s="2">
        <v>44640.9375</v>
      </c>
      <c r="F3868" s="23">
        <f t="shared" si="180"/>
        <v>0.32638888889050577</v>
      </c>
      <c r="G3868" s="24">
        <f t="shared" si="182"/>
        <v>38.297872340235813</v>
      </c>
      <c r="H3868" s="1" t="s">
        <v>1</v>
      </c>
      <c r="I3868" s="4" t="s">
        <v>2</v>
      </c>
      <c r="J3868" s="14">
        <v>0.61111111111111116</v>
      </c>
      <c r="K3868" s="20" t="str">
        <f t="shared" si="181"/>
        <v>2nd Shift</v>
      </c>
    </row>
    <row r="3869" spans="1:11" x14ac:dyDescent="0.25">
      <c r="A3869" s="1">
        <v>3868</v>
      </c>
      <c r="B3869" s="1">
        <v>6</v>
      </c>
      <c r="C3869" s="3">
        <v>6115271737808</v>
      </c>
      <c r="D3869" s="2">
        <v>44640.840277777781</v>
      </c>
      <c r="E3869" s="2">
        <v>44640.9375</v>
      </c>
      <c r="F3869" s="23">
        <f t="shared" si="180"/>
        <v>9.7222222218988463E-2</v>
      </c>
      <c r="G3869" s="24">
        <f t="shared" si="182"/>
        <v>128.57142857570506</v>
      </c>
      <c r="H3869" s="1" t="s">
        <v>1</v>
      </c>
      <c r="I3869" s="4" t="s">
        <v>2</v>
      </c>
      <c r="J3869" s="14">
        <v>0.84027777777777779</v>
      </c>
      <c r="K3869" s="20" t="str">
        <f t="shared" si="181"/>
        <v>2nd Shift</v>
      </c>
    </row>
    <row r="3870" spans="1:11" x14ac:dyDescent="0.25">
      <c r="A3870" s="1">
        <v>3869</v>
      </c>
      <c r="B3870" s="1">
        <v>3</v>
      </c>
      <c r="C3870" s="3">
        <v>3115270366901</v>
      </c>
      <c r="D3870" s="2">
        <v>44640.611111111109</v>
      </c>
      <c r="E3870" s="2">
        <v>44640.9375</v>
      </c>
      <c r="F3870" s="23">
        <f t="shared" si="180"/>
        <v>0.32638888889050577</v>
      </c>
      <c r="G3870" s="24">
        <f t="shared" si="182"/>
        <v>38.297872340235813</v>
      </c>
      <c r="H3870" s="1" t="s">
        <v>1</v>
      </c>
      <c r="I3870" s="4" t="s">
        <v>2</v>
      </c>
      <c r="J3870" s="14">
        <v>0.61111111111111116</v>
      </c>
      <c r="K3870" s="20" t="str">
        <f t="shared" si="181"/>
        <v>2nd Shift</v>
      </c>
    </row>
    <row r="3871" spans="1:11" x14ac:dyDescent="0.25">
      <c r="A3871" s="1">
        <v>3870</v>
      </c>
      <c r="B3871" s="1">
        <v>3</v>
      </c>
      <c r="C3871" s="3">
        <v>3115270306701</v>
      </c>
      <c r="D3871" s="2">
        <v>44640.611111111109</v>
      </c>
      <c r="E3871" s="2">
        <v>44640.9375</v>
      </c>
      <c r="F3871" s="23">
        <f t="shared" si="180"/>
        <v>0.32638888889050577</v>
      </c>
      <c r="G3871" s="24">
        <f t="shared" si="182"/>
        <v>38.297872340235813</v>
      </c>
      <c r="H3871" s="1" t="s">
        <v>1</v>
      </c>
      <c r="I3871" s="4" t="s">
        <v>2</v>
      </c>
      <c r="J3871" s="14">
        <v>0.61111111111111116</v>
      </c>
      <c r="K3871" s="20" t="str">
        <f t="shared" si="181"/>
        <v>2nd Shift</v>
      </c>
    </row>
    <row r="3872" spans="1:11" x14ac:dyDescent="0.25">
      <c r="A3872" s="1">
        <v>3871</v>
      </c>
      <c r="B3872" s="1">
        <v>1</v>
      </c>
      <c r="C3872" s="3">
        <v>1115270122500</v>
      </c>
      <c r="D3872" s="2">
        <v>44640.611111111109</v>
      </c>
      <c r="E3872" s="2">
        <v>44640.9375</v>
      </c>
      <c r="F3872" s="23">
        <f t="shared" si="180"/>
        <v>0.32638888889050577</v>
      </c>
      <c r="G3872" s="24">
        <f t="shared" si="182"/>
        <v>38.297872340235813</v>
      </c>
      <c r="H3872" s="1" t="s">
        <v>1</v>
      </c>
      <c r="I3872" s="4" t="s">
        <v>2</v>
      </c>
      <c r="J3872" s="14">
        <v>0.61111111111111116</v>
      </c>
      <c r="K3872" s="20" t="str">
        <f t="shared" si="181"/>
        <v>2nd Shift</v>
      </c>
    </row>
    <row r="3873" spans="1:11" x14ac:dyDescent="0.25">
      <c r="A3873" s="1">
        <v>3872</v>
      </c>
      <c r="B3873" s="1">
        <v>1</v>
      </c>
      <c r="C3873" s="3">
        <v>1115270079700</v>
      </c>
      <c r="D3873" s="2">
        <v>44640.768055555556</v>
      </c>
      <c r="E3873" s="2">
        <v>44640.9375</v>
      </c>
      <c r="F3873" s="23">
        <f t="shared" si="180"/>
        <v>0.16944444444379769</v>
      </c>
      <c r="G3873" s="24">
        <f t="shared" si="182"/>
        <v>73.770491803560262</v>
      </c>
      <c r="H3873" s="1" t="s">
        <v>1</v>
      </c>
      <c r="I3873" s="4" t="s">
        <v>2</v>
      </c>
      <c r="J3873" s="14">
        <v>0.7680555555555556</v>
      </c>
      <c r="K3873" s="20" t="str">
        <f t="shared" si="181"/>
        <v>2nd Shift</v>
      </c>
    </row>
    <row r="3874" spans="1:11" x14ac:dyDescent="0.25">
      <c r="A3874" s="1">
        <v>3873</v>
      </c>
      <c r="B3874" s="1">
        <v>1</v>
      </c>
      <c r="C3874" s="3">
        <v>1115270122500</v>
      </c>
      <c r="D3874" s="2">
        <v>44640.979166666664</v>
      </c>
      <c r="E3874" s="2">
        <v>44641.010416666664</v>
      </c>
      <c r="F3874" s="23">
        <f t="shared" si="180"/>
        <v>3.125E-2</v>
      </c>
      <c r="G3874" s="24">
        <f t="shared" si="182"/>
        <v>400</v>
      </c>
      <c r="H3874" s="1" t="s">
        <v>1</v>
      </c>
      <c r="I3874" s="4" t="s">
        <v>3</v>
      </c>
      <c r="J3874" s="14">
        <v>0.97916666666666663</v>
      </c>
      <c r="K3874" s="20" t="str">
        <f t="shared" si="181"/>
        <v>3rd Shift</v>
      </c>
    </row>
    <row r="3875" spans="1:11" x14ac:dyDescent="0.25">
      <c r="A3875" s="1">
        <v>3874</v>
      </c>
      <c r="B3875" s="1">
        <v>13</v>
      </c>
      <c r="C3875" s="3">
        <v>13115271592201</v>
      </c>
      <c r="D3875" s="2">
        <v>44641.03125</v>
      </c>
      <c r="E3875" s="2">
        <v>44641.065972222219</v>
      </c>
      <c r="F3875" s="23">
        <f t="shared" si="180"/>
        <v>3.4722222218988463E-2</v>
      </c>
      <c r="G3875" s="24">
        <f t="shared" si="182"/>
        <v>360.00000003352761</v>
      </c>
      <c r="H3875" s="1" t="s">
        <v>1</v>
      </c>
      <c r="I3875" s="4" t="s">
        <v>2</v>
      </c>
      <c r="J3875" s="14">
        <v>3.125E-2</v>
      </c>
      <c r="K3875" s="20" t="str">
        <f t="shared" si="181"/>
        <v>3rd Shift</v>
      </c>
    </row>
    <row r="3876" spans="1:11" x14ac:dyDescent="0.25">
      <c r="A3876" s="1">
        <v>3875</v>
      </c>
      <c r="B3876" s="1">
        <v>12</v>
      </c>
      <c r="C3876" s="3">
        <v>12115271575520</v>
      </c>
      <c r="D3876" s="2">
        <v>44641.03125</v>
      </c>
      <c r="E3876" s="2">
        <v>44641.065972222219</v>
      </c>
      <c r="F3876" s="23">
        <f t="shared" si="180"/>
        <v>3.4722222218988463E-2</v>
      </c>
      <c r="G3876" s="24">
        <f t="shared" si="182"/>
        <v>360.00000003352761</v>
      </c>
      <c r="H3876" s="1" t="s">
        <v>1</v>
      </c>
      <c r="I3876" s="4" t="s">
        <v>3</v>
      </c>
      <c r="J3876" s="14">
        <v>3.125E-2</v>
      </c>
      <c r="K3876" s="20" t="str">
        <f t="shared" si="181"/>
        <v>3rd Shift</v>
      </c>
    </row>
    <row r="3877" spans="1:11" x14ac:dyDescent="0.25">
      <c r="A3877" s="1">
        <v>3876</v>
      </c>
      <c r="B3877" s="1">
        <v>15</v>
      </c>
      <c r="C3877" s="3">
        <v>15115271743902</v>
      </c>
      <c r="D3877" s="2">
        <v>44641.090277777781</v>
      </c>
      <c r="E3877" s="2">
        <v>44641.159722222219</v>
      </c>
      <c r="F3877" s="23">
        <f t="shared" si="180"/>
        <v>6.9444444437976927E-2</v>
      </c>
      <c r="G3877" s="24">
        <f t="shared" si="182"/>
        <v>180.00000001676381</v>
      </c>
      <c r="H3877" s="1" t="s">
        <v>1</v>
      </c>
      <c r="I3877" s="4" t="s">
        <v>2</v>
      </c>
      <c r="J3877" s="14">
        <v>9.0277777777777776E-2</v>
      </c>
      <c r="K3877" s="20" t="str">
        <f t="shared" si="181"/>
        <v>3rd Shift</v>
      </c>
    </row>
    <row r="3878" spans="1:11" x14ac:dyDescent="0.25">
      <c r="A3878" s="1">
        <v>3877</v>
      </c>
      <c r="B3878" s="1">
        <v>11</v>
      </c>
      <c r="C3878" s="3">
        <v>11115271522200</v>
      </c>
      <c r="D3878" s="2">
        <v>44641.090277777781</v>
      </c>
      <c r="E3878" s="2">
        <v>44641.159722222219</v>
      </c>
      <c r="F3878" s="23">
        <f t="shared" si="180"/>
        <v>6.9444444437976927E-2</v>
      </c>
      <c r="G3878" s="24">
        <f t="shared" si="182"/>
        <v>180.00000001676381</v>
      </c>
      <c r="H3878" s="1" t="s">
        <v>1</v>
      </c>
      <c r="I3878" s="4" t="s">
        <v>2</v>
      </c>
      <c r="J3878" s="14">
        <v>9.0277777777777776E-2</v>
      </c>
      <c r="K3878" s="20" t="str">
        <f t="shared" si="181"/>
        <v>3rd Shift</v>
      </c>
    </row>
    <row r="3879" spans="1:11" x14ac:dyDescent="0.25">
      <c r="A3879" s="1">
        <v>3878</v>
      </c>
      <c r="B3879" s="1">
        <v>3</v>
      </c>
      <c r="C3879" s="3">
        <v>3115270308800</v>
      </c>
      <c r="D3879" s="2">
        <v>44641.090277777781</v>
      </c>
      <c r="E3879" s="2">
        <v>44641.159722222219</v>
      </c>
      <c r="F3879" s="23">
        <f t="shared" si="180"/>
        <v>6.9444444437976927E-2</v>
      </c>
      <c r="G3879" s="24">
        <f t="shared" si="182"/>
        <v>180.00000001676381</v>
      </c>
      <c r="H3879" s="1" t="s">
        <v>1</v>
      </c>
      <c r="I3879" s="4" t="s">
        <v>4</v>
      </c>
      <c r="J3879" s="14">
        <v>9.0277777777777776E-2</v>
      </c>
      <c r="K3879" s="20" t="str">
        <f t="shared" si="181"/>
        <v>3rd Shift</v>
      </c>
    </row>
    <row r="3880" spans="1:11" x14ac:dyDescent="0.25">
      <c r="A3880" s="1">
        <v>3879</v>
      </c>
      <c r="B3880" s="1">
        <v>12</v>
      </c>
      <c r="C3880" s="3">
        <v>12115271567008</v>
      </c>
      <c r="D3880" s="2">
        <v>44641.461805555555</v>
      </c>
      <c r="E3880" s="2">
        <v>44641.625</v>
      </c>
      <c r="F3880" s="23">
        <f t="shared" si="180"/>
        <v>0.16319444444525288</v>
      </c>
      <c r="G3880" s="24">
        <f t="shared" si="182"/>
        <v>76.595744680471626</v>
      </c>
      <c r="H3880" s="1" t="s">
        <v>1</v>
      </c>
      <c r="I3880" s="4" t="s">
        <v>3</v>
      </c>
      <c r="J3880" s="14">
        <v>0.46180555555555558</v>
      </c>
      <c r="K3880" s="20" t="str">
        <f t="shared" si="181"/>
        <v>1st Shift</v>
      </c>
    </row>
    <row r="3881" spans="1:11" x14ac:dyDescent="0.25">
      <c r="A3881" s="1">
        <v>3880</v>
      </c>
      <c r="B3881" s="1">
        <v>11</v>
      </c>
      <c r="C3881" s="3">
        <v>11115271522500</v>
      </c>
      <c r="D3881" s="2">
        <v>44641.461805555555</v>
      </c>
      <c r="E3881" s="2">
        <v>44641.625</v>
      </c>
      <c r="F3881" s="23">
        <f t="shared" si="180"/>
        <v>0.16319444444525288</v>
      </c>
      <c r="G3881" s="24">
        <f t="shared" si="182"/>
        <v>76.595744680471626</v>
      </c>
      <c r="H3881" s="1" t="s">
        <v>1</v>
      </c>
      <c r="I3881" s="4" t="s">
        <v>3</v>
      </c>
      <c r="J3881" s="14">
        <v>0.46180555555555558</v>
      </c>
      <c r="K3881" s="20" t="str">
        <f t="shared" si="181"/>
        <v>1st Shift</v>
      </c>
    </row>
    <row r="3882" spans="1:11" x14ac:dyDescent="0.25">
      <c r="A3882" s="1">
        <v>3881</v>
      </c>
      <c r="B3882" s="1">
        <v>7</v>
      </c>
      <c r="C3882" s="3">
        <v>7115271768107</v>
      </c>
      <c r="D3882" s="2">
        <v>44641.513888888891</v>
      </c>
      <c r="E3882" s="2">
        <v>44641.625</v>
      </c>
      <c r="F3882" s="23">
        <f t="shared" si="180"/>
        <v>0.11111111110949423</v>
      </c>
      <c r="G3882" s="24">
        <f t="shared" si="182"/>
        <v>112.50000000163709</v>
      </c>
      <c r="H3882" s="1" t="s">
        <v>1</v>
      </c>
      <c r="I3882" s="4" t="s">
        <v>3</v>
      </c>
      <c r="J3882" s="14">
        <v>0.51388888888888884</v>
      </c>
      <c r="K3882" s="20" t="str">
        <f t="shared" si="181"/>
        <v>1st Shift</v>
      </c>
    </row>
    <row r="3883" spans="1:11" x14ac:dyDescent="0.25">
      <c r="A3883" s="1">
        <v>3882</v>
      </c>
      <c r="B3883" s="1">
        <v>7</v>
      </c>
      <c r="C3883" s="3">
        <v>7115271761101</v>
      </c>
      <c r="D3883" s="2">
        <v>44641.461805555555</v>
      </c>
      <c r="E3883" s="2">
        <v>44641.625</v>
      </c>
      <c r="F3883" s="23">
        <f t="shared" si="180"/>
        <v>0.16319444444525288</v>
      </c>
      <c r="G3883" s="24">
        <f t="shared" si="182"/>
        <v>76.595744680471626</v>
      </c>
      <c r="H3883" s="1" t="s">
        <v>1</v>
      </c>
      <c r="I3883" s="4" t="s">
        <v>8</v>
      </c>
      <c r="J3883" s="14">
        <v>0.46180555555555558</v>
      </c>
      <c r="K3883" s="20" t="str">
        <f t="shared" si="181"/>
        <v>1st Shift</v>
      </c>
    </row>
    <row r="3884" spans="1:11" x14ac:dyDescent="0.25">
      <c r="A3884" s="1">
        <v>3883</v>
      </c>
      <c r="B3884" s="1">
        <v>6</v>
      </c>
      <c r="C3884" s="3">
        <v>6115271691300</v>
      </c>
      <c r="D3884" s="2">
        <v>44641.513888888891</v>
      </c>
      <c r="E3884" s="2">
        <v>44641.625</v>
      </c>
      <c r="F3884" s="23">
        <f t="shared" si="180"/>
        <v>0.11111111110949423</v>
      </c>
      <c r="G3884" s="24">
        <f t="shared" si="182"/>
        <v>112.50000000163709</v>
      </c>
      <c r="H3884" s="1" t="s">
        <v>1</v>
      </c>
      <c r="I3884" s="4" t="s">
        <v>3</v>
      </c>
      <c r="J3884" s="14">
        <v>0.51388888888888884</v>
      </c>
      <c r="K3884" s="20" t="str">
        <f t="shared" si="181"/>
        <v>1st Shift</v>
      </c>
    </row>
    <row r="3885" spans="1:11" x14ac:dyDescent="0.25">
      <c r="A3885" s="1">
        <v>3884</v>
      </c>
      <c r="B3885" s="1">
        <v>3</v>
      </c>
      <c r="C3885" s="3">
        <v>3115270856600</v>
      </c>
      <c r="D3885" s="2">
        <v>44641.354166666664</v>
      </c>
      <c r="E3885" s="2">
        <v>44641.625</v>
      </c>
      <c r="F3885" s="23">
        <f t="shared" si="180"/>
        <v>0.27083333333575865</v>
      </c>
      <c r="G3885" s="24">
        <f t="shared" si="182"/>
        <v>46.153846153432845</v>
      </c>
      <c r="H3885" s="1" t="s">
        <v>1</v>
      </c>
      <c r="I3885" s="4" t="s">
        <v>3</v>
      </c>
      <c r="J3885" s="14">
        <v>0.35416666666666669</v>
      </c>
      <c r="K3885" s="20" t="str">
        <f t="shared" si="181"/>
        <v>1st Shift</v>
      </c>
    </row>
    <row r="3886" spans="1:11" x14ac:dyDescent="0.25">
      <c r="A3886" s="1">
        <v>3885</v>
      </c>
      <c r="B3886" s="1">
        <v>3</v>
      </c>
      <c r="C3886" s="3">
        <v>3115270423100</v>
      </c>
      <c r="D3886" s="2">
        <v>44641.416666666664</v>
      </c>
      <c r="E3886" s="2">
        <v>44641.625</v>
      </c>
      <c r="F3886" s="23">
        <f t="shared" si="180"/>
        <v>0.20833333333575865</v>
      </c>
      <c r="G3886" s="24">
        <f t="shared" si="182"/>
        <v>59.999999999301515</v>
      </c>
      <c r="H3886" s="1" t="s">
        <v>1</v>
      </c>
      <c r="I3886" s="4" t="s">
        <v>4</v>
      </c>
      <c r="J3886" s="14">
        <v>0.41666666666666669</v>
      </c>
      <c r="K3886" s="20" t="str">
        <f t="shared" si="181"/>
        <v>1st Shift</v>
      </c>
    </row>
    <row r="3887" spans="1:11" x14ac:dyDescent="0.25">
      <c r="A3887" s="1">
        <v>3886</v>
      </c>
      <c r="B3887" s="1">
        <v>3</v>
      </c>
      <c r="C3887" s="3">
        <v>3115270326700</v>
      </c>
      <c r="D3887" s="2">
        <v>44641.354166666664</v>
      </c>
      <c r="E3887" s="2">
        <v>44641.625</v>
      </c>
      <c r="F3887" s="23">
        <f t="shared" si="180"/>
        <v>0.27083333333575865</v>
      </c>
      <c r="G3887" s="24">
        <f t="shared" si="182"/>
        <v>46.153846153432845</v>
      </c>
      <c r="H3887" s="1" t="s">
        <v>1</v>
      </c>
      <c r="I3887" s="4" t="s">
        <v>2</v>
      </c>
      <c r="J3887" s="14">
        <v>0.35416666666666669</v>
      </c>
      <c r="K3887" s="20" t="str">
        <f t="shared" si="181"/>
        <v>1st Shift</v>
      </c>
    </row>
    <row r="3888" spans="1:11" x14ac:dyDescent="0.25">
      <c r="A3888" s="1">
        <v>3887</v>
      </c>
      <c r="B3888" s="1">
        <v>14</v>
      </c>
      <c r="C3888" s="3">
        <v>14115271672412</v>
      </c>
      <c r="D3888" s="2">
        <v>44641.638888888891</v>
      </c>
      <c r="E3888" s="2">
        <v>44641.770833333336</v>
      </c>
      <c r="F3888" s="23">
        <f t="shared" si="180"/>
        <v>0.13194444444525288</v>
      </c>
      <c r="G3888" s="24">
        <f t="shared" si="182"/>
        <v>94.736842104682694</v>
      </c>
      <c r="H3888" s="1" t="s">
        <v>1</v>
      </c>
      <c r="I3888" s="4" t="s">
        <v>3</v>
      </c>
      <c r="J3888" s="14">
        <v>0.63888888888888884</v>
      </c>
      <c r="K3888" s="20" t="str">
        <f t="shared" si="181"/>
        <v>2nd Shift</v>
      </c>
    </row>
    <row r="3889" spans="1:11" x14ac:dyDescent="0.25">
      <c r="A3889" s="1">
        <v>3888</v>
      </c>
      <c r="B3889" s="1">
        <v>3</v>
      </c>
      <c r="C3889" s="3">
        <v>3115270447400</v>
      </c>
      <c r="D3889" s="2">
        <v>44641.638888888891</v>
      </c>
      <c r="E3889" s="2">
        <v>44641.770833333336</v>
      </c>
      <c r="F3889" s="23">
        <f t="shared" si="180"/>
        <v>0.13194444444525288</v>
      </c>
      <c r="G3889" s="24">
        <f t="shared" si="182"/>
        <v>94.736842104682694</v>
      </c>
      <c r="H3889" s="1" t="s">
        <v>1</v>
      </c>
      <c r="I3889" s="4" t="s">
        <v>2</v>
      </c>
      <c r="J3889" s="14">
        <v>0.63888888888888884</v>
      </c>
      <c r="K3889" s="20" t="str">
        <f t="shared" si="181"/>
        <v>2nd Shift</v>
      </c>
    </row>
    <row r="3890" spans="1:11" x14ac:dyDescent="0.25">
      <c r="A3890" s="1">
        <v>3889</v>
      </c>
      <c r="B3890" s="1">
        <v>3</v>
      </c>
      <c r="C3890" s="3">
        <v>3115270392600</v>
      </c>
      <c r="D3890" s="2">
        <v>44641.638888888891</v>
      </c>
      <c r="E3890" s="2">
        <v>44641.770833333336</v>
      </c>
      <c r="F3890" s="23">
        <f t="shared" si="180"/>
        <v>0.13194444444525288</v>
      </c>
      <c r="G3890" s="24">
        <f t="shared" si="182"/>
        <v>94.736842104682694</v>
      </c>
      <c r="H3890" s="1" t="s">
        <v>1</v>
      </c>
      <c r="I3890" s="4" t="s">
        <v>2</v>
      </c>
      <c r="J3890" s="14">
        <v>0.63888888888888884</v>
      </c>
      <c r="K3890" s="20" t="str">
        <f t="shared" si="181"/>
        <v>2nd Shift</v>
      </c>
    </row>
    <row r="3891" spans="1:11" x14ac:dyDescent="0.25">
      <c r="A3891" s="1">
        <v>3890</v>
      </c>
      <c r="B3891" s="1">
        <v>3</v>
      </c>
      <c r="C3891" s="3">
        <v>3115270326500</v>
      </c>
      <c r="D3891" s="2">
        <v>44641.638888888891</v>
      </c>
      <c r="E3891" s="2">
        <v>44641.770833333336</v>
      </c>
      <c r="F3891" s="23">
        <f t="shared" si="180"/>
        <v>0.13194444444525288</v>
      </c>
      <c r="G3891" s="24">
        <f t="shared" si="182"/>
        <v>94.736842104682694</v>
      </c>
      <c r="H3891" s="1" t="s">
        <v>1</v>
      </c>
      <c r="I3891" s="4" t="s">
        <v>3</v>
      </c>
      <c r="J3891" s="14">
        <v>0.63888888888888884</v>
      </c>
      <c r="K3891" s="20" t="str">
        <f t="shared" si="181"/>
        <v>2nd Shift</v>
      </c>
    </row>
    <row r="3892" spans="1:11" x14ac:dyDescent="0.25">
      <c r="A3892" s="1">
        <v>3891</v>
      </c>
      <c r="B3892" s="1">
        <v>1</v>
      </c>
      <c r="C3892" s="3">
        <v>1115270066701</v>
      </c>
      <c r="D3892" s="2">
        <v>44641.638888888891</v>
      </c>
      <c r="E3892" s="2">
        <v>44641.770833333336</v>
      </c>
      <c r="F3892" s="23">
        <f t="shared" si="180"/>
        <v>0.13194444444525288</v>
      </c>
      <c r="G3892" s="24">
        <f t="shared" si="182"/>
        <v>94.736842104682694</v>
      </c>
      <c r="H3892" s="1" t="s">
        <v>1</v>
      </c>
      <c r="I3892" s="4" t="s">
        <v>2</v>
      </c>
      <c r="J3892" s="14">
        <v>0.63888888888888884</v>
      </c>
      <c r="K3892" s="20" t="str">
        <f t="shared" si="181"/>
        <v>2nd Shift</v>
      </c>
    </row>
    <row r="3893" spans="1:11" x14ac:dyDescent="0.25">
      <c r="A3893" s="1">
        <v>3892</v>
      </c>
      <c r="B3893" s="1">
        <v>14</v>
      </c>
      <c r="C3893" s="3">
        <v>14115271672700</v>
      </c>
      <c r="D3893" s="2">
        <v>44641.834722222222</v>
      </c>
      <c r="E3893" s="2">
        <v>44641.913194444445</v>
      </c>
      <c r="F3893" s="23">
        <f t="shared" si="180"/>
        <v>7.8472222223354038E-2</v>
      </c>
      <c r="G3893" s="24">
        <f t="shared" si="182"/>
        <v>159.2920353959326</v>
      </c>
      <c r="H3893" s="1" t="s">
        <v>1</v>
      </c>
      <c r="I3893" s="4" t="s">
        <v>3</v>
      </c>
      <c r="J3893" s="14">
        <v>0.83472222222222225</v>
      </c>
      <c r="K3893" s="20" t="str">
        <f t="shared" si="181"/>
        <v>2nd Shift</v>
      </c>
    </row>
    <row r="3894" spans="1:11" x14ac:dyDescent="0.25">
      <c r="A3894" s="1">
        <v>3893</v>
      </c>
      <c r="B3894" s="1">
        <v>12</v>
      </c>
      <c r="C3894" s="3">
        <v>12115271573419</v>
      </c>
      <c r="D3894" s="2">
        <v>44641.798611111109</v>
      </c>
      <c r="E3894" s="2">
        <v>44641.913194444445</v>
      </c>
      <c r="F3894" s="23">
        <f t="shared" si="180"/>
        <v>0.11458333333575865</v>
      </c>
      <c r="G3894" s="24">
        <f t="shared" si="182"/>
        <v>109.09090908860001</v>
      </c>
      <c r="H3894" s="1" t="s">
        <v>1</v>
      </c>
      <c r="I3894" s="4" t="s">
        <v>2</v>
      </c>
      <c r="J3894" s="14">
        <v>0.79861111111111116</v>
      </c>
      <c r="K3894" s="20" t="str">
        <f t="shared" si="181"/>
        <v>2nd Shift</v>
      </c>
    </row>
    <row r="3895" spans="1:11" x14ac:dyDescent="0.25">
      <c r="A3895" s="1">
        <v>3894</v>
      </c>
      <c r="B3895" s="1">
        <v>9</v>
      </c>
      <c r="C3895" s="3">
        <v>9115271936700</v>
      </c>
      <c r="D3895" s="2">
        <v>44641.798611111109</v>
      </c>
      <c r="E3895" s="2">
        <v>44641.913194444445</v>
      </c>
      <c r="F3895" s="23">
        <f t="shared" si="180"/>
        <v>0.11458333333575865</v>
      </c>
      <c r="G3895" s="24">
        <f t="shared" si="182"/>
        <v>109.09090908860001</v>
      </c>
      <c r="H3895" s="1" t="s">
        <v>1</v>
      </c>
      <c r="I3895" s="4" t="s">
        <v>3</v>
      </c>
      <c r="J3895" s="14">
        <v>0.79861111111111116</v>
      </c>
      <c r="K3895" s="20" t="str">
        <f t="shared" si="181"/>
        <v>2nd Shift</v>
      </c>
    </row>
    <row r="3896" spans="1:11" x14ac:dyDescent="0.25">
      <c r="A3896" s="1">
        <v>3895</v>
      </c>
      <c r="B3896" s="1">
        <v>3</v>
      </c>
      <c r="C3896" s="3">
        <v>3115270366501</v>
      </c>
      <c r="D3896" s="2">
        <v>44641.847222222219</v>
      </c>
      <c r="E3896" s="2">
        <v>44641.913194444445</v>
      </c>
      <c r="F3896" s="23">
        <f t="shared" si="180"/>
        <v>6.5972222226264421E-2</v>
      </c>
      <c r="G3896" s="24">
        <f t="shared" si="182"/>
        <v>189.47368419891703</v>
      </c>
      <c r="H3896" s="1" t="s">
        <v>1</v>
      </c>
      <c r="I3896" s="4" t="s">
        <v>4</v>
      </c>
      <c r="J3896" s="14">
        <v>0.84722222222222221</v>
      </c>
      <c r="K3896" s="20" t="str">
        <f t="shared" si="181"/>
        <v>2nd Shift</v>
      </c>
    </row>
    <row r="3897" spans="1:11" x14ac:dyDescent="0.25">
      <c r="A3897" s="1">
        <v>3896</v>
      </c>
      <c r="B3897" s="1">
        <v>5</v>
      </c>
      <c r="C3897" s="3">
        <v>5115271235500</v>
      </c>
      <c r="D3897" s="2">
        <v>44641.958333333336</v>
      </c>
      <c r="E3897" s="2">
        <v>44642.020833333336</v>
      </c>
      <c r="F3897" s="23">
        <f t="shared" si="180"/>
        <v>6.25E-2</v>
      </c>
      <c r="G3897" s="24">
        <f t="shared" si="182"/>
        <v>200</v>
      </c>
      <c r="H3897" s="1" t="s">
        <v>1</v>
      </c>
      <c r="I3897" s="4" t="s">
        <v>3</v>
      </c>
      <c r="J3897" s="14">
        <v>0.95833333333333337</v>
      </c>
      <c r="K3897" s="20" t="str">
        <f t="shared" si="181"/>
        <v>3rd Shift</v>
      </c>
    </row>
    <row r="3898" spans="1:11" x14ac:dyDescent="0.25">
      <c r="A3898" s="1">
        <v>3897</v>
      </c>
      <c r="B3898" s="1">
        <v>3</v>
      </c>
      <c r="C3898" s="3">
        <v>3115270352300</v>
      </c>
      <c r="D3898" s="2">
        <v>44641.958333333336</v>
      </c>
      <c r="E3898" s="2">
        <v>44642.020833333336</v>
      </c>
      <c r="F3898" s="23">
        <f t="shared" si="180"/>
        <v>6.25E-2</v>
      </c>
      <c r="G3898" s="24">
        <f t="shared" si="182"/>
        <v>200</v>
      </c>
      <c r="H3898" s="1" t="s">
        <v>1</v>
      </c>
      <c r="I3898" s="4" t="s">
        <v>3</v>
      </c>
      <c r="J3898" s="14">
        <v>0.95833333333333337</v>
      </c>
      <c r="K3898" s="20" t="str">
        <f t="shared" si="181"/>
        <v>3rd Shift</v>
      </c>
    </row>
    <row r="3899" spans="1:11" x14ac:dyDescent="0.25">
      <c r="A3899" s="1">
        <v>3898</v>
      </c>
      <c r="B3899" s="1">
        <v>12</v>
      </c>
      <c r="C3899" s="3">
        <v>12115271573400</v>
      </c>
      <c r="D3899" s="2">
        <v>44642.375</v>
      </c>
      <c r="E3899" s="2">
        <v>44642.5</v>
      </c>
      <c r="F3899" s="23">
        <f t="shared" si="180"/>
        <v>0.125</v>
      </c>
      <c r="G3899" s="24">
        <f t="shared" si="182"/>
        <v>100</v>
      </c>
      <c r="H3899" s="1" t="s">
        <v>1</v>
      </c>
      <c r="I3899" s="4" t="s">
        <v>3</v>
      </c>
      <c r="J3899" s="14">
        <v>0.375</v>
      </c>
      <c r="K3899" s="20" t="str">
        <f t="shared" si="181"/>
        <v>1st Shift</v>
      </c>
    </row>
    <row r="3900" spans="1:11" x14ac:dyDescent="0.25">
      <c r="A3900" s="1">
        <v>3899</v>
      </c>
      <c r="B3900" s="1">
        <v>3</v>
      </c>
      <c r="C3900" s="3">
        <v>3115270319100</v>
      </c>
      <c r="D3900" s="2">
        <v>44642.645833333336</v>
      </c>
      <c r="E3900" s="2">
        <v>44642.694444444445</v>
      </c>
      <c r="F3900" s="23">
        <f t="shared" si="180"/>
        <v>4.8611111109494232E-2</v>
      </c>
      <c r="G3900" s="24">
        <f t="shared" si="182"/>
        <v>257.14285715141011</v>
      </c>
      <c r="H3900" s="1" t="s">
        <v>1</v>
      </c>
      <c r="I3900" s="4" t="s">
        <v>3</v>
      </c>
      <c r="J3900" s="14">
        <v>0.64583333333333337</v>
      </c>
      <c r="K3900" s="20" t="str">
        <f t="shared" si="181"/>
        <v>2nd Shift</v>
      </c>
    </row>
    <row r="3901" spans="1:11" x14ac:dyDescent="0.25">
      <c r="A3901" s="1">
        <v>3900</v>
      </c>
      <c r="B3901" s="1">
        <v>1</v>
      </c>
      <c r="C3901" s="3">
        <v>1115270062102</v>
      </c>
      <c r="D3901" s="2">
        <v>44642.934027777781</v>
      </c>
      <c r="E3901" s="2">
        <v>44642.979166666664</v>
      </c>
      <c r="F3901" s="23">
        <f t="shared" si="180"/>
        <v>4.5138888883229811E-2</v>
      </c>
      <c r="G3901" s="24">
        <f t="shared" si="182"/>
        <v>276.92307695779488</v>
      </c>
      <c r="H3901" s="1" t="s">
        <v>1</v>
      </c>
      <c r="I3901" s="4" t="s">
        <v>3</v>
      </c>
      <c r="J3901" s="14">
        <v>0.93402777777777779</v>
      </c>
      <c r="K3901" s="20" t="str">
        <f t="shared" si="181"/>
        <v>3rd Shift</v>
      </c>
    </row>
    <row r="3902" spans="1:11" x14ac:dyDescent="0.25">
      <c r="A3902" s="1">
        <v>3901</v>
      </c>
      <c r="B3902" s="1">
        <v>6</v>
      </c>
      <c r="C3902" s="3">
        <v>6115271723900</v>
      </c>
      <c r="D3902" s="2">
        <v>44643.000011574077</v>
      </c>
      <c r="E3902" s="2">
        <v>44643.083333333336</v>
      </c>
      <c r="F3902" s="23">
        <f t="shared" si="180"/>
        <v>8.3321759258979E-2</v>
      </c>
      <c r="G3902" s="24">
        <f t="shared" si="182"/>
        <v>150.02083622775839</v>
      </c>
      <c r="H3902" s="1" t="s">
        <v>1</v>
      </c>
      <c r="I3902" s="4" t="s">
        <v>2</v>
      </c>
      <c r="J3902" s="14">
        <v>1.1574074074074073E-5</v>
      </c>
      <c r="K3902" s="20" t="str">
        <f t="shared" si="181"/>
        <v>3rd Shift</v>
      </c>
    </row>
    <row r="3903" spans="1:11" x14ac:dyDescent="0.25">
      <c r="A3903" s="1">
        <v>3902</v>
      </c>
      <c r="B3903" s="1">
        <v>12</v>
      </c>
      <c r="C3903" s="3">
        <v>12115271573307</v>
      </c>
      <c r="D3903" s="2">
        <v>44643.4375</v>
      </c>
      <c r="E3903" s="2">
        <v>44643.5</v>
      </c>
      <c r="F3903" s="23">
        <f t="shared" si="180"/>
        <v>6.25E-2</v>
      </c>
      <c r="G3903" s="24">
        <f t="shared" si="182"/>
        <v>200</v>
      </c>
      <c r="H3903" s="1" t="s">
        <v>1</v>
      </c>
      <c r="I3903" s="4" t="s">
        <v>2</v>
      </c>
      <c r="J3903" s="14">
        <v>0.4375</v>
      </c>
      <c r="K3903" s="20" t="str">
        <f t="shared" si="181"/>
        <v>1st Shift</v>
      </c>
    </row>
    <row r="3904" spans="1:11" x14ac:dyDescent="0.25">
      <c r="A3904" s="1">
        <v>3903</v>
      </c>
      <c r="B3904" s="1">
        <v>3</v>
      </c>
      <c r="C3904" s="3">
        <v>3115270815700</v>
      </c>
      <c r="D3904" s="2">
        <v>44643.4375</v>
      </c>
      <c r="E3904" s="2">
        <v>44643.5</v>
      </c>
      <c r="F3904" s="23">
        <f t="shared" si="180"/>
        <v>6.25E-2</v>
      </c>
      <c r="G3904" s="24">
        <f t="shared" si="182"/>
        <v>200</v>
      </c>
      <c r="H3904" s="1" t="s">
        <v>1</v>
      </c>
      <c r="I3904" s="4" t="s">
        <v>2</v>
      </c>
      <c r="J3904" s="14">
        <v>0.4375</v>
      </c>
      <c r="K3904" s="20" t="str">
        <f t="shared" si="181"/>
        <v>1st Shift</v>
      </c>
    </row>
    <row r="3905" spans="1:11" x14ac:dyDescent="0.25">
      <c r="A3905" s="1">
        <v>3904</v>
      </c>
      <c r="B3905" s="1">
        <v>15</v>
      </c>
      <c r="C3905" s="3">
        <v>15115271719272</v>
      </c>
      <c r="D3905" s="2">
        <v>44643.541666666664</v>
      </c>
      <c r="E3905" s="2">
        <v>44643.576388888891</v>
      </c>
      <c r="F3905" s="23">
        <f t="shared" si="180"/>
        <v>3.4722222226264421E-2</v>
      </c>
      <c r="G3905" s="24">
        <f t="shared" si="182"/>
        <v>359.99999995809048</v>
      </c>
      <c r="H3905" s="1" t="s">
        <v>1</v>
      </c>
      <c r="I3905" s="4" t="s">
        <v>3</v>
      </c>
      <c r="J3905" s="14">
        <v>0.54166666666666663</v>
      </c>
      <c r="K3905" s="20" t="str">
        <f t="shared" si="181"/>
        <v>1st Shift</v>
      </c>
    </row>
    <row r="3906" spans="1:11" x14ac:dyDescent="0.25">
      <c r="A3906" s="1">
        <v>3905</v>
      </c>
      <c r="B3906" s="1">
        <v>8</v>
      </c>
      <c r="C3906" s="3">
        <v>8115271820902</v>
      </c>
      <c r="D3906" s="2">
        <v>44643.541666666664</v>
      </c>
      <c r="E3906" s="2">
        <v>44643.576388888891</v>
      </c>
      <c r="F3906" s="23">
        <f t="shared" ref="F3906:F3969" si="183">E3906-D3906</f>
        <v>3.4722222226264421E-2</v>
      </c>
      <c r="G3906" s="24">
        <f t="shared" si="182"/>
        <v>359.99999995809048</v>
      </c>
      <c r="H3906" s="1" t="s">
        <v>1</v>
      </c>
      <c r="I3906" s="4" t="s">
        <v>2</v>
      </c>
      <c r="J3906" s="14">
        <v>0.54166666666666663</v>
      </c>
      <c r="K3906" s="20" t="str">
        <f t="shared" ref="K3906:K3969" si="184">IF(AND(J3906&gt;=$M$3,J3906&lt;$M$4),"1st Shift",IF(AND(J3906&gt;=$M$4,J3906&lt;$M$5),"2nd Shift","3rd Shift"))</f>
        <v>1st Shift</v>
      </c>
    </row>
    <row r="3907" spans="1:11" x14ac:dyDescent="0.25">
      <c r="A3907" s="1">
        <v>3906</v>
      </c>
      <c r="B3907" s="1">
        <v>14</v>
      </c>
      <c r="C3907" s="3">
        <v>14115271672501</v>
      </c>
      <c r="D3907" s="2">
        <v>44643.638888888891</v>
      </c>
      <c r="E3907" s="2">
        <v>44643.784722222219</v>
      </c>
      <c r="F3907" s="23">
        <f t="shared" si="183"/>
        <v>0.14583333332848269</v>
      </c>
      <c r="G3907" s="24">
        <f t="shared" ref="G3907:G3970" si="185">$M$9/F3907*100</f>
        <v>85.714285717136704</v>
      </c>
      <c r="H3907" s="1" t="s">
        <v>1</v>
      </c>
      <c r="I3907" s="4" t="s">
        <v>2</v>
      </c>
      <c r="J3907" s="14">
        <v>0.63888888888888884</v>
      </c>
      <c r="K3907" s="20" t="str">
        <f t="shared" si="184"/>
        <v>2nd Shift</v>
      </c>
    </row>
    <row r="3908" spans="1:11" x14ac:dyDescent="0.25">
      <c r="A3908" s="1">
        <v>3907</v>
      </c>
      <c r="B3908" s="1">
        <v>14</v>
      </c>
      <c r="C3908" s="3">
        <v>14115271672410</v>
      </c>
      <c r="D3908" s="2">
        <v>44643.638888888891</v>
      </c>
      <c r="E3908" s="2">
        <v>44643.784722222219</v>
      </c>
      <c r="F3908" s="23">
        <f t="shared" si="183"/>
        <v>0.14583333332848269</v>
      </c>
      <c r="G3908" s="24">
        <f t="shared" si="185"/>
        <v>85.714285717136704</v>
      </c>
      <c r="H3908" s="1" t="s">
        <v>1</v>
      </c>
      <c r="I3908" s="4" t="s">
        <v>4</v>
      </c>
      <c r="J3908" s="14">
        <v>0.63888888888888884</v>
      </c>
      <c r="K3908" s="20" t="str">
        <f t="shared" si="184"/>
        <v>2nd Shift</v>
      </c>
    </row>
    <row r="3909" spans="1:11" x14ac:dyDescent="0.25">
      <c r="A3909" s="1">
        <v>3908</v>
      </c>
      <c r="B3909" s="1">
        <v>11</v>
      </c>
      <c r="C3909" s="3">
        <v>11115271547105</v>
      </c>
      <c r="D3909" s="2">
        <v>44643.638888888891</v>
      </c>
      <c r="E3909" s="2">
        <v>44643.784722222219</v>
      </c>
      <c r="F3909" s="23">
        <f t="shared" si="183"/>
        <v>0.14583333332848269</v>
      </c>
      <c r="G3909" s="24">
        <f t="shared" si="185"/>
        <v>85.714285717136704</v>
      </c>
      <c r="H3909" s="1" t="s">
        <v>1</v>
      </c>
      <c r="I3909" s="4" t="s">
        <v>2</v>
      </c>
      <c r="J3909" s="14">
        <v>0.63888888888888884</v>
      </c>
      <c r="K3909" s="20" t="str">
        <f t="shared" si="184"/>
        <v>2nd Shift</v>
      </c>
    </row>
    <row r="3910" spans="1:11" x14ac:dyDescent="0.25">
      <c r="A3910" s="1">
        <v>3909</v>
      </c>
      <c r="B3910" s="1">
        <v>7</v>
      </c>
      <c r="C3910" s="3">
        <v>7115271787400</v>
      </c>
      <c r="D3910" s="2">
        <v>44643.638888888891</v>
      </c>
      <c r="E3910" s="2">
        <v>44643.784722222219</v>
      </c>
      <c r="F3910" s="23">
        <f t="shared" si="183"/>
        <v>0.14583333332848269</v>
      </c>
      <c r="G3910" s="24">
        <f t="shared" si="185"/>
        <v>85.714285717136704</v>
      </c>
      <c r="H3910" s="1" t="s">
        <v>1</v>
      </c>
      <c r="I3910" s="4" t="s">
        <v>4</v>
      </c>
      <c r="J3910" s="14">
        <v>0.63888888888888884</v>
      </c>
      <c r="K3910" s="20" t="str">
        <f t="shared" si="184"/>
        <v>2nd Shift</v>
      </c>
    </row>
    <row r="3911" spans="1:11" x14ac:dyDescent="0.25">
      <c r="A3911" s="1">
        <v>3910</v>
      </c>
      <c r="B3911" s="1">
        <v>1</v>
      </c>
      <c r="C3911" s="3">
        <v>1115270067502</v>
      </c>
      <c r="D3911" s="2">
        <v>44643.638888888891</v>
      </c>
      <c r="E3911" s="2">
        <v>44643.784722222219</v>
      </c>
      <c r="F3911" s="23">
        <f t="shared" si="183"/>
        <v>0.14583333332848269</v>
      </c>
      <c r="G3911" s="24">
        <f t="shared" si="185"/>
        <v>85.714285717136704</v>
      </c>
      <c r="H3911" s="1" t="s">
        <v>1</v>
      </c>
      <c r="I3911" s="4" t="s">
        <v>2</v>
      </c>
      <c r="J3911" s="14">
        <v>0.63888888888888884</v>
      </c>
      <c r="K3911" s="20" t="str">
        <f t="shared" si="184"/>
        <v>2nd Shift</v>
      </c>
    </row>
    <row r="3912" spans="1:11" x14ac:dyDescent="0.25">
      <c r="A3912" s="1">
        <v>3911</v>
      </c>
      <c r="B3912" s="1">
        <v>4</v>
      </c>
      <c r="C3912" s="3">
        <v>4115270833400</v>
      </c>
      <c r="D3912" s="2">
        <v>44643.815972222219</v>
      </c>
      <c r="E3912" s="2">
        <v>44643.861111111109</v>
      </c>
      <c r="F3912" s="23">
        <f t="shared" si="183"/>
        <v>4.5138888890505768E-2</v>
      </c>
      <c r="G3912" s="24">
        <f t="shared" si="185"/>
        <v>276.9230769131575</v>
      </c>
      <c r="H3912" s="1" t="s">
        <v>1</v>
      </c>
      <c r="I3912" s="4" t="s">
        <v>2</v>
      </c>
      <c r="J3912" s="14">
        <v>0.81597222222222221</v>
      </c>
      <c r="K3912" s="20" t="str">
        <f t="shared" si="184"/>
        <v>2nd Shift</v>
      </c>
    </row>
    <row r="3913" spans="1:11" x14ac:dyDescent="0.25">
      <c r="A3913" s="1">
        <v>3912</v>
      </c>
      <c r="B3913" s="1">
        <v>7</v>
      </c>
      <c r="C3913" s="3">
        <v>7115271757204</v>
      </c>
      <c r="D3913" s="2">
        <v>44643.989583333336</v>
      </c>
      <c r="E3913" s="2">
        <v>44644.020833333336</v>
      </c>
      <c r="F3913" s="23">
        <f t="shared" si="183"/>
        <v>3.125E-2</v>
      </c>
      <c r="G3913" s="24">
        <f t="shared" si="185"/>
        <v>400</v>
      </c>
      <c r="H3913" s="1" t="s">
        <v>1</v>
      </c>
      <c r="I3913" s="4" t="s">
        <v>2</v>
      </c>
      <c r="J3913" s="14">
        <v>0.98958333333333337</v>
      </c>
      <c r="K3913" s="20" t="str">
        <f t="shared" si="184"/>
        <v>3rd Shift</v>
      </c>
    </row>
    <row r="3914" spans="1:11" x14ac:dyDescent="0.25">
      <c r="A3914" s="1">
        <v>3913</v>
      </c>
      <c r="B3914" s="1">
        <v>6</v>
      </c>
      <c r="C3914" s="3">
        <v>6115271720809</v>
      </c>
      <c r="D3914" s="2">
        <v>44643.989583333336</v>
      </c>
      <c r="E3914" s="2">
        <v>44644.020833333336</v>
      </c>
      <c r="F3914" s="23">
        <f t="shared" si="183"/>
        <v>3.125E-2</v>
      </c>
      <c r="G3914" s="24">
        <f t="shared" si="185"/>
        <v>400</v>
      </c>
      <c r="H3914" s="1" t="s">
        <v>1</v>
      </c>
      <c r="I3914" s="4" t="s">
        <v>4</v>
      </c>
      <c r="J3914" s="14">
        <v>0.98958333333333337</v>
      </c>
      <c r="K3914" s="20" t="str">
        <f t="shared" si="184"/>
        <v>3rd Shift</v>
      </c>
    </row>
    <row r="3915" spans="1:11" x14ac:dyDescent="0.25">
      <c r="A3915" s="1">
        <v>3914</v>
      </c>
      <c r="B3915" s="1">
        <v>12</v>
      </c>
      <c r="C3915" s="3">
        <v>12115271571046</v>
      </c>
      <c r="D3915" s="2">
        <v>44644.368055555555</v>
      </c>
      <c r="E3915" s="2">
        <v>44644.434027777781</v>
      </c>
      <c r="F3915" s="23">
        <f t="shared" si="183"/>
        <v>6.5972222226264421E-2</v>
      </c>
      <c r="G3915" s="24">
        <f t="shared" si="185"/>
        <v>189.47368419891703</v>
      </c>
      <c r="H3915" s="1" t="s">
        <v>1</v>
      </c>
      <c r="I3915" s="4" t="s">
        <v>3</v>
      </c>
      <c r="J3915" s="14">
        <v>0.36805555555555558</v>
      </c>
      <c r="K3915" s="20" t="str">
        <f t="shared" si="184"/>
        <v>1st Shift</v>
      </c>
    </row>
    <row r="3916" spans="1:11" x14ac:dyDescent="0.25">
      <c r="A3916" s="1">
        <v>3915</v>
      </c>
      <c r="B3916" s="1">
        <v>11</v>
      </c>
      <c r="C3916" s="3">
        <v>11115271558003</v>
      </c>
      <c r="D3916" s="2">
        <v>44644.354166666664</v>
      </c>
      <c r="E3916" s="2">
        <v>44644.434027777781</v>
      </c>
      <c r="F3916" s="23">
        <f t="shared" si="183"/>
        <v>7.9861111116770189E-2</v>
      </c>
      <c r="G3916" s="24">
        <f t="shared" si="185"/>
        <v>156.52173911934341</v>
      </c>
      <c r="H3916" s="1" t="s">
        <v>1</v>
      </c>
      <c r="I3916" s="4" t="s">
        <v>3</v>
      </c>
      <c r="J3916" s="14">
        <v>0.35416666666666669</v>
      </c>
      <c r="K3916" s="20" t="str">
        <f t="shared" si="184"/>
        <v>1st Shift</v>
      </c>
    </row>
    <row r="3917" spans="1:11" x14ac:dyDescent="0.25">
      <c r="A3917" s="1">
        <v>3916</v>
      </c>
      <c r="B3917" s="1">
        <v>3</v>
      </c>
      <c r="C3917" s="3">
        <v>3115270385800</v>
      </c>
      <c r="D3917" s="2">
        <v>44644.368055555555</v>
      </c>
      <c r="E3917" s="2">
        <v>44644.434027777781</v>
      </c>
      <c r="F3917" s="23">
        <f t="shared" si="183"/>
        <v>6.5972222226264421E-2</v>
      </c>
      <c r="G3917" s="24">
        <f t="shared" si="185"/>
        <v>189.47368419891703</v>
      </c>
      <c r="H3917" s="1" t="s">
        <v>1</v>
      </c>
      <c r="I3917" s="4" t="s">
        <v>3</v>
      </c>
      <c r="J3917" s="14">
        <v>0.36805555555555558</v>
      </c>
      <c r="K3917" s="20" t="str">
        <f t="shared" si="184"/>
        <v>1st Shift</v>
      </c>
    </row>
    <row r="3918" spans="1:11" x14ac:dyDescent="0.25">
      <c r="A3918" s="1">
        <v>3917</v>
      </c>
      <c r="B3918" s="1">
        <v>1</v>
      </c>
      <c r="C3918" s="3">
        <v>1115270097300</v>
      </c>
      <c r="D3918" s="2">
        <v>44644.458333333336</v>
      </c>
      <c r="E3918" s="2">
        <v>44644.534722222219</v>
      </c>
      <c r="F3918" s="23">
        <f t="shared" si="183"/>
        <v>7.6388888883229811E-2</v>
      </c>
      <c r="G3918" s="24">
        <f t="shared" si="185"/>
        <v>163.63636364848622</v>
      </c>
      <c r="H3918" s="1" t="s">
        <v>1</v>
      </c>
      <c r="I3918" s="4" t="s">
        <v>3</v>
      </c>
      <c r="J3918" s="14">
        <v>0.45833333333333331</v>
      </c>
      <c r="K3918" s="20" t="str">
        <f t="shared" si="184"/>
        <v>1st Shift</v>
      </c>
    </row>
    <row r="3919" spans="1:11" x14ac:dyDescent="0.25">
      <c r="A3919" s="1">
        <v>3918</v>
      </c>
      <c r="B3919" s="1">
        <v>12</v>
      </c>
      <c r="C3919" s="3">
        <v>12115271566801</v>
      </c>
      <c r="D3919" s="2">
        <v>44644.503472222219</v>
      </c>
      <c r="E3919" s="2">
        <v>44644.579861111109</v>
      </c>
      <c r="F3919" s="23">
        <f t="shared" si="183"/>
        <v>7.6388888890505768E-2</v>
      </c>
      <c r="G3919" s="24">
        <f t="shared" si="185"/>
        <v>163.63636363290004</v>
      </c>
      <c r="H3919" s="1" t="s">
        <v>1</v>
      </c>
      <c r="I3919" s="4" t="s">
        <v>2</v>
      </c>
      <c r="J3919" s="14">
        <v>0.50347222222222221</v>
      </c>
      <c r="K3919" s="20" t="str">
        <f t="shared" si="184"/>
        <v>1st Shift</v>
      </c>
    </row>
    <row r="3920" spans="1:11" x14ac:dyDescent="0.25">
      <c r="A3920" s="1">
        <v>3919</v>
      </c>
      <c r="B3920" s="1">
        <v>12</v>
      </c>
      <c r="C3920" s="3">
        <v>12115271560130</v>
      </c>
      <c r="D3920" s="2">
        <v>44644.458333333336</v>
      </c>
      <c r="E3920" s="2">
        <v>44644.579861111109</v>
      </c>
      <c r="F3920" s="23">
        <f t="shared" si="183"/>
        <v>0.12152777777373558</v>
      </c>
      <c r="G3920" s="24">
        <f t="shared" si="185"/>
        <v>102.85714286056404</v>
      </c>
      <c r="H3920" s="1" t="s">
        <v>1</v>
      </c>
      <c r="I3920" s="4" t="s">
        <v>2</v>
      </c>
      <c r="J3920" s="14">
        <v>0.45833333333333331</v>
      </c>
      <c r="K3920" s="20" t="str">
        <f t="shared" si="184"/>
        <v>1st Shift</v>
      </c>
    </row>
    <row r="3921" spans="1:11" x14ac:dyDescent="0.25">
      <c r="A3921" s="1">
        <v>3920</v>
      </c>
      <c r="B3921" s="1">
        <v>11</v>
      </c>
      <c r="C3921" s="3">
        <v>11115271508501</v>
      </c>
      <c r="D3921" s="2">
        <v>44644.493055555555</v>
      </c>
      <c r="E3921" s="2">
        <v>44644.579861111109</v>
      </c>
      <c r="F3921" s="23">
        <f t="shared" si="183"/>
        <v>8.6805555554747116E-2</v>
      </c>
      <c r="G3921" s="24">
        <f t="shared" si="185"/>
        <v>144.00000000134111</v>
      </c>
      <c r="H3921" s="1" t="s">
        <v>1</v>
      </c>
      <c r="I3921" s="4" t="s">
        <v>3</v>
      </c>
      <c r="J3921" s="14">
        <v>0.49305555555555558</v>
      </c>
      <c r="K3921" s="20" t="str">
        <f t="shared" si="184"/>
        <v>1st Shift</v>
      </c>
    </row>
    <row r="3922" spans="1:11" x14ac:dyDescent="0.25">
      <c r="A3922" s="1">
        <v>3921</v>
      </c>
      <c r="B3922" s="1">
        <v>10</v>
      </c>
      <c r="C3922" s="3">
        <v>10115271476500</v>
      </c>
      <c r="D3922" s="2">
        <v>44644.493055555555</v>
      </c>
      <c r="E3922" s="2">
        <v>44644.579861111109</v>
      </c>
      <c r="F3922" s="23">
        <f t="shared" si="183"/>
        <v>8.6805555554747116E-2</v>
      </c>
      <c r="G3922" s="24">
        <f t="shared" si="185"/>
        <v>144.00000000134111</v>
      </c>
      <c r="H3922" s="1" t="s">
        <v>1</v>
      </c>
      <c r="I3922" s="4" t="s">
        <v>2</v>
      </c>
      <c r="J3922" s="14">
        <v>0.49305555555555558</v>
      </c>
      <c r="K3922" s="20" t="str">
        <f t="shared" si="184"/>
        <v>1st Shift</v>
      </c>
    </row>
    <row r="3923" spans="1:11" x14ac:dyDescent="0.25">
      <c r="A3923" s="1">
        <v>3922</v>
      </c>
      <c r="B3923" s="1">
        <v>6</v>
      </c>
      <c r="C3923" s="3">
        <v>6115271289400</v>
      </c>
      <c r="D3923" s="2">
        <v>44644.503472222219</v>
      </c>
      <c r="E3923" s="2">
        <v>44644.579861111109</v>
      </c>
      <c r="F3923" s="23">
        <f t="shared" si="183"/>
        <v>7.6388888890505768E-2</v>
      </c>
      <c r="G3923" s="24">
        <f t="shared" si="185"/>
        <v>163.63636363290004</v>
      </c>
      <c r="H3923" s="1" t="s">
        <v>1</v>
      </c>
      <c r="I3923" s="4" t="s">
        <v>3</v>
      </c>
      <c r="J3923" s="14">
        <v>0.50347222222222221</v>
      </c>
      <c r="K3923" s="20" t="str">
        <f t="shared" si="184"/>
        <v>1st Shift</v>
      </c>
    </row>
    <row r="3924" spans="1:11" x14ac:dyDescent="0.25">
      <c r="A3924" s="1">
        <v>3923</v>
      </c>
      <c r="B3924" s="1">
        <v>13</v>
      </c>
      <c r="C3924" s="3">
        <v>13115271607505</v>
      </c>
      <c r="D3924" s="2">
        <v>44644.65625</v>
      </c>
      <c r="E3924" s="2">
        <v>44644.895833333336</v>
      </c>
      <c r="F3924" s="23">
        <f t="shared" si="183"/>
        <v>0.23958333333575865</v>
      </c>
      <c r="G3924" s="24">
        <f t="shared" si="185"/>
        <v>52.173913042950105</v>
      </c>
      <c r="H3924" s="1" t="s">
        <v>1</v>
      </c>
      <c r="I3924" s="4" t="s">
        <v>2</v>
      </c>
      <c r="J3924" s="14">
        <v>0.65625</v>
      </c>
      <c r="K3924" s="20" t="str">
        <f t="shared" si="184"/>
        <v>2nd Shift</v>
      </c>
    </row>
    <row r="3925" spans="1:11" x14ac:dyDescent="0.25">
      <c r="A3925" s="1">
        <v>3924</v>
      </c>
      <c r="B3925" s="1">
        <v>13</v>
      </c>
      <c r="C3925" s="3">
        <v>13115271590508</v>
      </c>
      <c r="D3925" s="2">
        <v>44644.65625</v>
      </c>
      <c r="E3925" s="2">
        <v>44644.895833333336</v>
      </c>
      <c r="F3925" s="23">
        <f t="shared" si="183"/>
        <v>0.23958333333575865</v>
      </c>
      <c r="G3925" s="24">
        <f t="shared" si="185"/>
        <v>52.173913042950105</v>
      </c>
      <c r="H3925" s="1" t="s">
        <v>1</v>
      </c>
      <c r="I3925" s="4" t="s">
        <v>4</v>
      </c>
      <c r="J3925" s="14">
        <v>0.65625</v>
      </c>
      <c r="K3925" s="20" t="str">
        <f t="shared" si="184"/>
        <v>2nd Shift</v>
      </c>
    </row>
    <row r="3926" spans="1:11" x14ac:dyDescent="0.25">
      <c r="A3926" s="1">
        <v>3925</v>
      </c>
      <c r="B3926" s="1">
        <v>12</v>
      </c>
      <c r="C3926" s="3">
        <v>12115271569206</v>
      </c>
      <c r="D3926" s="2">
        <v>44644.635416666664</v>
      </c>
      <c r="E3926" s="2">
        <v>44644.895833333336</v>
      </c>
      <c r="F3926" s="23">
        <f t="shared" si="183"/>
        <v>0.26041666667151731</v>
      </c>
      <c r="G3926" s="24">
        <f t="shared" si="185"/>
        <v>47.999999999105931</v>
      </c>
      <c r="H3926" s="1" t="s">
        <v>1</v>
      </c>
      <c r="I3926" s="4" t="s">
        <v>4</v>
      </c>
      <c r="J3926" s="14">
        <v>0.63541666666666663</v>
      </c>
      <c r="K3926" s="20" t="str">
        <f t="shared" si="184"/>
        <v>2nd Shift</v>
      </c>
    </row>
    <row r="3927" spans="1:11" x14ac:dyDescent="0.25">
      <c r="A3927" s="1">
        <v>3926</v>
      </c>
      <c r="B3927" s="1">
        <v>3</v>
      </c>
      <c r="C3927" s="3">
        <v>3115270392900</v>
      </c>
      <c r="D3927" s="2">
        <v>44644.65625</v>
      </c>
      <c r="E3927" s="2">
        <v>44644.895833333336</v>
      </c>
      <c r="F3927" s="23">
        <f t="shared" si="183"/>
        <v>0.23958333333575865</v>
      </c>
      <c r="G3927" s="24">
        <f t="shared" si="185"/>
        <v>52.173913042950105</v>
      </c>
      <c r="H3927" s="1" t="s">
        <v>1</v>
      </c>
      <c r="I3927" s="4" t="s">
        <v>4</v>
      </c>
      <c r="J3927" s="14">
        <v>0.65625</v>
      </c>
      <c r="K3927" s="20" t="str">
        <f t="shared" si="184"/>
        <v>2nd Shift</v>
      </c>
    </row>
    <row r="3928" spans="1:11" x14ac:dyDescent="0.25">
      <c r="A3928" s="1">
        <v>3927</v>
      </c>
      <c r="B3928" s="1">
        <v>11</v>
      </c>
      <c r="C3928" s="3">
        <v>11115271051600</v>
      </c>
      <c r="D3928" s="2">
        <v>44644.902777777781</v>
      </c>
      <c r="E3928" s="2">
        <v>44644.951388888891</v>
      </c>
      <c r="F3928" s="23">
        <f t="shared" si="183"/>
        <v>4.8611111109494232E-2</v>
      </c>
      <c r="G3928" s="24">
        <f t="shared" si="185"/>
        <v>257.14285715141011</v>
      </c>
      <c r="H3928" s="1" t="s">
        <v>1</v>
      </c>
      <c r="I3928" s="4" t="s">
        <v>3</v>
      </c>
      <c r="J3928" s="14">
        <v>0.90277777777777779</v>
      </c>
      <c r="K3928" s="20" t="str">
        <f t="shared" si="184"/>
        <v>2nd Shift</v>
      </c>
    </row>
    <row r="3929" spans="1:11" x14ac:dyDescent="0.25">
      <c r="A3929" s="1">
        <v>3928</v>
      </c>
      <c r="B3929" s="1">
        <v>7</v>
      </c>
      <c r="C3929" s="3">
        <v>7115271766024</v>
      </c>
      <c r="D3929" s="2">
        <v>44644.902777777781</v>
      </c>
      <c r="E3929" s="2">
        <v>44644.951388888891</v>
      </c>
      <c r="F3929" s="23">
        <f t="shared" si="183"/>
        <v>4.8611111109494232E-2</v>
      </c>
      <c r="G3929" s="24">
        <f t="shared" si="185"/>
        <v>257.14285715141011</v>
      </c>
      <c r="H3929" s="1" t="s">
        <v>1</v>
      </c>
      <c r="I3929" s="4" t="s">
        <v>4</v>
      </c>
      <c r="J3929" s="14">
        <v>0.90277777777777779</v>
      </c>
      <c r="K3929" s="20" t="str">
        <f t="shared" si="184"/>
        <v>2nd Shift</v>
      </c>
    </row>
    <row r="3930" spans="1:11" x14ac:dyDescent="0.25">
      <c r="A3930" s="1">
        <v>3929</v>
      </c>
      <c r="B3930" s="1">
        <v>7</v>
      </c>
      <c r="C3930" s="3">
        <v>7115271769601</v>
      </c>
      <c r="D3930" s="2">
        <v>44644.96875</v>
      </c>
      <c r="E3930" s="2">
        <v>44645.000011574077</v>
      </c>
      <c r="F3930" s="23">
        <f t="shared" si="183"/>
        <v>3.1261574076779652E-2</v>
      </c>
      <c r="G3930" s="24">
        <f t="shared" si="185"/>
        <v>399.851906666616</v>
      </c>
      <c r="H3930" s="1" t="s">
        <v>1</v>
      </c>
      <c r="I3930" s="4" t="s">
        <v>2</v>
      </c>
      <c r="J3930" s="14">
        <v>0.96875</v>
      </c>
      <c r="K3930" s="20" t="str">
        <f t="shared" si="184"/>
        <v>3rd Shift</v>
      </c>
    </row>
    <row r="3931" spans="1:11" x14ac:dyDescent="0.25">
      <c r="A3931" s="1">
        <v>3930</v>
      </c>
      <c r="B3931" s="1">
        <v>5</v>
      </c>
      <c r="C3931" s="3">
        <v>5115271285700</v>
      </c>
      <c r="D3931" s="2">
        <v>44645.013888888891</v>
      </c>
      <c r="E3931" s="2">
        <v>44645.052083333336</v>
      </c>
      <c r="F3931" s="23">
        <f t="shared" si="183"/>
        <v>3.8194444445252884E-2</v>
      </c>
      <c r="G3931" s="24">
        <f t="shared" si="185"/>
        <v>327.27272726580009</v>
      </c>
      <c r="H3931" s="1" t="s">
        <v>1</v>
      </c>
      <c r="I3931" s="4" t="s">
        <v>2</v>
      </c>
      <c r="J3931" s="14">
        <v>1.3888888888888888E-2</v>
      </c>
      <c r="K3931" s="20" t="str">
        <f t="shared" si="184"/>
        <v>3rd Shift</v>
      </c>
    </row>
    <row r="3932" spans="1:11" x14ac:dyDescent="0.25">
      <c r="A3932" s="1">
        <v>3931</v>
      </c>
      <c r="B3932" s="1">
        <v>4</v>
      </c>
      <c r="C3932" s="3">
        <v>4115270868900</v>
      </c>
      <c r="D3932" s="2">
        <v>44645.323611111111</v>
      </c>
      <c r="E3932" s="2">
        <v>44645.350694444445</v>
      </c>
      <c r="F3932" s="23">
        <f t="shared" si="183"/>
        <v>2.7083333334303461E-2</v>
      </c>
      <c r="G3932" s="24">
        <f t="shared" si="185"/>
        <v>461.53846152192921</v>
      </c>
      <c r="H3932" s="1" t="s">
        <v>1</v>
      </c>
      <c r="I3932" s="4" t="s">
        <v>2</v>
      </c>
      <c r="J3932" s="14">
        <v>0.32361111111111113</v>
      </c>
      <c r="K3932" s="20" t="str">
        <f t="shared" si="184"/>
        <v>1st Shift</v>
      </c>
    </row>
    <row r="3933" spans="1:11" x14ac:dyDescent="0.25">
      <c r="A3933" s="1">
        <v>3932</v>
      </c>
      <c r="B3933" s="1">
        <v>11</v>
      </c>
      <c r="C3933" s="3">
        <v>11115271508101</v>
      </c>
      <c r="D3933" s="2">
        <v>44645.472222222219</v>
      </c>
      <c r="E3933" s="2">
        <v>44645.62222222222</v>
      </c>
      <c r="F3933" s="23">
        <f t="shared" si="183"/>
        <v>0.15000000000145519</v>
      </c>
      <c r="G3933" s="24">
        <f t="shared" si="185"/>
        <v>83.333333332524901</v>
      </c>
      <c r="H3933" s="1" t="s">
        <v>1</v>
      </c>
      <c r="I3933" s="4" t="s">
        <v>2</v>
      </c>
      <c r="J3933" s="14">
        <v>0.47222222222222221</v>
      </c>
      <c r="K3933" s="20" t="str">
        <f t="shared" si="184"/>
        <v>1st Shift</v>
      </c>
    </row>
    <row r="3934" spans="1:11" x14ac:dyDescent="0.25">
      <c r="A3934" s="1">
        <v>3933</v>
      </c>
      <c r="B3934" s="1">
        <v>8</v>
      </c>
      <c r="C3934" s="3">
        <v>8115271809908</v>
      </c>
      <c r="D3934" s="2">
        <v>44645.454861111109</v>
      </c>
      <c r="E3934" s="2">
        <v>44645.62222222222</v>
      </c>
      <c r="F3934" s="23">
        <f t="shared" si="183"/>
        <v>0.16736111111094942</v>
      </c>
      <c r="G3934" s="24">
        <f t="shared" si="185"/>
        <v>74.688796680570078</v>
      </c>
      <c r="H3934" s="1" t="s">
        <v>1</v>
      </c>
      <c r="I3934" s="4" t="s">
        <v>2</v>
      </c>
      <c r="J3934" s="14">
        <v>0.4548611111111111</v>
      </c>
      <c r="K3934" s="20" t="str">
        <f t="shared" si="184"/>
        <v>1st Shift</v>
      </c>
    </row>
    <row r="3935" spans="1:11" x14ac:dyDescent="0.25">
      <c r="A3935" s="1">
        <v>3934</v>
      </c>
      <c r="B3935" s="1">
        <v>3</v>
      </c>
      <c r="C3935" s="3">
        <v>3115270391800</v>
      </c>
      <c r="D3935" s="2">
        <v>44645.472222222219</v>
      </c>
      <c r="E3935" s="2">
        <v>44645.62222222222</v>
      </c>
      <c r="F3935" s="23">
        <f t="shared" si="183"/>
        <v>0.15000000000145519</v>
      </c>
      <c r="G3935" s="24">
        <f t="shared" si="185"/>
        <v>83.333333332524901</v>
      </c>
      <c r="H3935" s="1" t="s">
        <v>1</v>
      </c>
      <c r="I3935" s="4" t="s">
        <v>2</v>
      </c>
      <c r="J3935" s="14">
        <v>0.47222222222222221</v>
      </c>
      <c r="K3935" s="20" t="str">
        <f t="shared" si="184"/>
        <v>1st Shift</v>
      </c>
    </row>
    <row r="3936" spans="1:11" x14ac:dyDescent="0.25">
      <c r="A3936" s="1">
        <v>3935</v>
      </c>
      <c r="B3936" s="1">
        <v>15</v>
      </c>
      <c r="C3936" s="3">
        <v>15115271743403</v>
      </c>
      <c r="D3936" s="2">
        <v>44645.725694444445</v>
      </c>
      <c r="E3936" s="2">
        <v>44645.819444444445</v>
      </c>
      <c r="F3936" s="23">
        <f t="shared" si="183"/>
        <v>9.375E-2</v>
      </c>
      <c r="G3936" s="24">
        <f t="shared" si="185"/>
        <v>133.33333333333331</v>
      </c>
      <c r="H3936" s="1" t="s">
        <v>1</v>
      </c>
      <c r="I3936" s="4" t="s">
        <v>2</v>
      </c>
      <c r="J3936" s="14">
        <v>0.72569444444444442</v>
      </c>
      <c r="K3936" s="20" t="str">
        <f t="shared" si="184"/>
        <v>2nd Shift</v>
      </c>
    </row>
    <row r="3937" spans="1:11" x14ac:dyDescent="0.25">
      <c r="A3937" s="1">
        <v>3936</v>
      </c>
      <c r="B3937" s="1">
        <v>14</v>
      </c>
      <c r="C3937" s="3">
        <v>14115271675101</v>
      </c>
      <c r="D3937" s="2">
        <v>44645.725694444445</v>
      </c>
      <c r="E3937" s="2">
        <v>44645.819444444445</v>
      </c>
      <c r="F3937" s="23">
        <f t="shared" si="183"/>
        <v>9.375E-2</v>
      </c>
      <c r="G3937" s="24">
        <f t="shared" si="185"/>
        <v>133.33333333333331</v>
      </c>
      <c r="H3937" s="1" t="s">
        <v>1</v>
      </c>
      <c r="I3937" s="4" t="s">
        <v>3</v>
      </c>
      <c r="J3937" s="14">
        <v>0.72569444444444442</v>
      </c>
      <c r="K3937" s="20" t="str">
        <f t="shared" si="184"/>
        <v>2nd Shift</v>
      </c>
    </row>
    <row r="3938" spans="1:11" x14ac:dyDescent="0.25">
      <c r="A3938" s="1">
        <v>3937</v>
      </c>
      <c r="B3938" s="1">
        <v>10</v>
      </c>
      <c r="C3938" s="3">
        <v>10115271959001</v>
      </c>
      <c r="D3938" s="2">
        <v>44645.725694444445</v>
      </c>
      <c r="E3938" s="2">
        <v>44645.819444444445</v>
      </c>
      <c r="F3938" s="23">
        <f t="shared" si="183"/>
        <v>9.375E-2</v>
      </c>
      <c r="G3938" s="24">
        <f t="shared" si="185"/>
        <v>133.33333333333331</v>
      </c>
      <c r="H3938" s="1" t="s">
        <v>1</v>
      </c>
      <c r="I3938" s="4" t="s">
        <v>3</v>
      </c>
      <c r="J3938" s="14">
        <v>0.72569444444444442</v>
      </c>
      <c r="K3938" s="20" t="str">
        <f t="shared" si="184"/>
        <v>2nd Shift</v>
      </c>
    </row>
    <row r="3939" spans="1:11" x14ac:dyDescent="0.25">
      <c r="A3939" s="1">
        <v>3938</v>
      </c>
      <c r="B3939" s="1">
        <v>4</v>
      </c>
      <c r="C3939" s="3">
        <v>4115270825601</v>
      </c>
      <c r="D3939" s="2">
        <v>44645.725694444445</v>
      </c>
      <c r="E3939" s="2">
        <v>44645.819444444445</v>
      </c>
      <c r="F3939" s="23">
        <f t="shared" si="183"/>
        <v>9.375E-2</v>
      </c>
      <c r="G3939" s="24">
        <f t="shared" si="185"/>
        <v>133.33333333333331</v>
      </c>
      <c r="H3939" s="1" t="s">
        <v>1</v>
      </c>
      <c r="I3939" s="4" t="s">
        <v>3</v>
      </c>
      <c r="J3939" s="14">
        <v>0.72569444444444442</v>
      </c>
      <c r="K3939" s="20" t="str">
        <f t="shared" si="184"/>
        <v>2nd Shift</v>
      </c>
    </row>
    <row r="3940" spans="1:11" x14ac:dyDescent="0.25">
      <c r="A3940" s="1">
        <v>3939</v>
      </c>
      <c r="B3940" s="1">
        <v>3</v>
      </c>
      <c r="C3940" s="3">
        <v>3115270343700</v>
      </c>
      <c r="D3940" s="2">
        <v>44645.725694444445</v>
      </c>
      <c r="E3940" s="2">
        <v>44645.819444444445</v>
      </c>
      <c r="F3940" s="23">
        <f t="shared" si="183"/>
        <v>9.375E-2</v>
      </c>
      <c r="G3940" s="24">
        <f t="shared" si="185"/>
        <v>133.33333333333331</v>
      </c>
      <c r="H3940" s="1" t="s">
        <v>1</v>
      </c>
      <c r="I3940" s="4" t="s">
        <v>8</v>
      </c>
      <c r="J3940" s="14">
        <v>0.72569444444444442</v>
      </c>
      <c r="K3940" s="20" t="str">
        <f t="shared" si="184"/>
        <v>2nd Shift</v>
      </c>
    </row>
    <row r="3941" spans="1:11" x14ac:dyDescent="0.25">
      <c r="A3941" s="1">
        <v>3940</v>
      </c>
      <c r="B3941" s="1">
        <v>13</v>
      </c>
      <c r="C3941" s="3">
        <v>13115271633608</v>
      </c>
      <c r="D3941" s="2">
        <v>44645.854166666664</v>
      </c>
      <c r="E3941" s="2">
        <v>44645.909722222219</v>
      </c>
      <c r="F3941" s="23">
        <f t="shared" si="183"/>
        <v>5.5555555554747116E-2</v>
      </c>
      <c r="G3941" s="24">
        <f t="shared" si="185"/>
        <v>225.00000000327418</v>
      </c>
      <c r="H3941" s="1" t="s">
        <v>1</v>
      </c>
      <c r="I3941" s="4" t="s">
        <v>3</v>
      </c>
      <c r="J3941" s="14">
        <v>0.85416666666666663</v>
      </c>
      <c r="K3941" s="20" t="str">
        <f t="shared" si="184"/>
        <v>2nd Shift</v>
      </c>
    </row>
    <row r="3942" spans="1:11" x14ac:dyDescent="0.25">
      <c r="A3942" s="1">
        <v>3941</v>
      </c>
      <c r="B3942" s="1">
        <v>12</v>
      </c>
      <c r="C3942" s="3">
        <v>12115271588208</v>
      </c>
      <c r="D3942" s="2">
        <v>44645.854166666664</v>
      </c>
      <c r="E3942" s="2">
        <v>44645.909722222219</v>
      </c>
      <c r="F3942" s="23">
        <f t="shared" si="183"/>
        <v>5.5555555554747116E-2</v>
      </c>
      <c r="G3942" s="24">
        <f t="shared" si="185"/>
        <v>225.00000000327418</v>
      </c>
      <c r="H3942" s="1" t="s">
        <v>1</v>
      </c>
      <c r="I3942" s="4" t="s">
        <v>2</v>
      </c>
      <c r="J3942" s="14">
        <v>0.85416666666666663</v>
      </c>
      <c r="K3942" s="20" t="str">
        <f t="shared" si="184"/>
        <v>2nd Shift</v>
      </c>
    </row>
    <row r="3943" spans="1:11" x14ac:dyDescent="0.25">
      <c r="A3943" s="1">
        <v>3942</v>
      </c>
      <c r="B3943" s="1">
        <v>6</v>
      </c>
      <c r="C3943" s="3">
        <v>6115271690600</v>
      </c>
      <c r="D3943" s="2">
        <v>44645.958333333336</v>
      </c>
      <c r="E3943" s="2">
        <v>44645.986111111109</v>
      </c>
      <c r="F3943" s="23">
        <f t="shared" si="183"/>
        <v>2.7777777773735579E-2</v>
      </c>
      <c r="G3943" s="24">
        <f t="shared" si="185"/>
        <v>450.00000006548362</v>
      </c>
      <c r="H3943" s="1" t="s">
        <v>1</v>
      </c>
      <c r="I3943" s="4" t="s">
        <v>3</v>
      </c>
      <c r="J3943" s="14">
        <v>0.95833333333333337</v>
      </c>
      <c r="K3943" s="20" t="str">
        <f t="shared" si="184"/>
        <v>3rd Shift</v>
      </c>
    </row>
    <row r="3944" spans="1:11" x14ac:dyDescent="0.25">
      <c r="A3944" s="1">
        <v>3943</v>
      </c>
      <c r="B3944" s="1">
        <v>12</v>
      </c>
      <c r="C3944" s="3">
        <v>12115271587815</v>
      </c>
      <c r="D3944" s="2">
        <v>44646.013888888891</v>
      </c>
      <c r="E3944" s="2">
        <v>44646.090277777781</v>
      </c>
      <c r="F3944" s="23">
        <f t="shared" si="183"/>
        <v>7.6388888890505768E-2</v>
      </c>
      <c r="G3944" s="24">
        <f t="shared" si="185"/>
        <v>163.63636363290004</v>
      </c>
      <c r="H3944" s="1" t="s">
        <v>1</v>
      </c>
      <c r="I3944" s="4" t="s">
        <v>8</v>
      </c>
      <c r="J3944" s="14">
        <v>1.3888888888888888E-2</v>
      </c>
      <c r="K3944" s="20" t="str">
        <f t="shared" si="184"/>
        <v>3rd Shift</v>
      </c>
    </row>
    <row r="3945" spans="1:11" x14ac:dyDescent="0.25">
      <c r="A3945" s="1">
        <v>3944</v>
      </c>
      <c r="B3945" s="1">
        <v>7</v>
      </c>
      <c r="C3945" s="3">
        <v>7115271772308</v>
      </c>
      <c r="D3945" s="2">
        <v>44646.013888888891</v>
      </c>
      <c r="E3945" s="2">
        <v>44646.090277777781</v>
      </c>
      <c r="F3945" s="23">
        <f t="shared" si="183"/>
        <v>7.6388888890505768E-2</v>
      </c>
      <c r="G3945" s="24">
        <f t="shared" si="185"/>
        <v>163.63636363290004</v>
      </c>
      <c r="H3945" s="1" t="s">
        <v>1</v>
      </c>
      <c r="I3945" s="4" t="s">
        <v>8</v>
      </c>
      <c r="J3945" s="14">
        <v>1.3888888888888888E-2</v>
      </c>
      <c r="K3945" s="20" t="str">
        <f t="shared" si="184"/>
        <v>3rd Shift</v>
      </c>
    </row>
    <row r="3946" spans="1:11" x14ac:dyDescent="0.25">
      <c r="A3946" s="1">
        <v>3945</v>
      </c>
      <c r="B3946" s="1">
        <v>7</v>
      </c>
      <c r="C3946" s="3">
        <v>7115271758907</v>
      </c>
      <c r="D3946" s="2">
        <v>44646.013888888891</v>
      </c>
      <c r="E3946" s="2">
        <v>44646.090277777781</v>
      </c>
      <c r="F3946" s="23">
        <f t="shared" si="183"/>
        <v>7.6388888890505768E-2</v>
      </c>
      <c r="G3946" s="24">
        <f t="shared" si="185"/>
        <v>163.63636363290004</v>
      </c>
      <c r="H3946" s="1" t="s">
        <v>1</v>
      </c>
      <c r="I3946" s="4" t="s">
        <v>3</v>
      </c>
      <c r="J3946" s="14">
        <v>1.3888888888888888E-2</v>
      </c>
      <c r="K3946" s="20" t="str">
        <f t="shared" si="184"/>
        <v>3rd Shift</v>
      </c>
    </row>
    <row r="3947" spans="1:11" x14ac:dyDescent="0.25">
      <c r="A3947" s="1">
        <v>3946</v>
      </c>
      <c r="B3947" s="1">
        <v>14</v>
      </c>
      <c r="C3947" s="3">
        <v>14115271672405</v>
      </c>
      <c r="D3947" s="2">
        <v>44646.4375</v>
      </c>
      <c r="E3947" s="2">
        <v>44646.645833333336</v>
      </c>
      <c r="F3947" s="23">
        <f t="shared" si="183"/>
        <v>0.20833333333575865</v>
      </c>
      <c r="G3947" s="24">
        <f t="shared" si="185"/>
        <v>59.999999999301515</v>
      </c>
      <c r="H3947" s="1" t="s">
        <v>1</v>
      </c>
      <c r="I3947" s="4" t="s">
        <v>3</v>
      </c>
      <c r="J3947" s="14">
        <v>0.4375</v>
      </c>
      <c r="K3947" s="20" t="str">
        <f t="shared" si="184"/>
        <v>1st Shift</v>
      </c>
    </row>
    <row r="3948" spans="1:11" x14ac:dyDescent="0.25">
      <c r="A3948" s="1">
        <v>3947</v>
      </c>
      <c r="B3948" s="1">
        <v>10</v>
      </c>
      <c r="C3948" s="3">
        <v>10115271466102</v>
      </c>
      <c r="D3948" s="2">
        <v>44646.4375</v>
      </c>
      <c r="E3948" s="2">
        <v>44646.645833333336</v>
      </c>
      <c r="F3948" s="23">
        <f t="shared" si="183"/>
        <v>0.20833333333575865</v>
      </c>
      <c r="G3948" s="24">
        <f t="shared" si="185"/>
        <v>59.999999999301515</v>
      </c>
      <c r="H3948" s="1" t="s">
        <v>1</v>
      </c>
      <c r="I3948" s="4" t="s">
        <v>3</v>
      </c>
      <c r="J3948" s="14">
        <v>0.4375</v>
      </c>
      <c r="K3948" s="20" t="str">
        <f t="shared" si="184"/>
        <v>1st Shift</v>
      </c>
    </row>
    <row r="3949" spans="1:11" x14ac:dyDescent="0.25">
      <c r="A3949" s="1">
        <v>3948</v>
      </c>
      <c r="B3949" s="1">
        <v>4</v>
      </c>
      <c r="C3949" s="3">
        <v>4115270858601</v>
      </c>
      <c r="D3949" s="2">
        <v>44646.4375</v>
      </c>
      <c r="E3949" s="2">
        <v>44646.645833333336</v>
      </c>
      <c r="F3949" s="23">
        <f t="shared" si="183"/>
        <v>0.20833333333575865</v>
      </c>
      <c r="G3949" s="24">
        <f t="shared" si="185"/>
        <v>59.999999999301515</v>
      </c>
      <c r="H3949" s="1" t="s">
        <v>1</v>
      </c>
      <c r="I3949" s="4" t="s">
        <v>3</v>
      </c>
      <c r="J3949" s="14">
        <v>0.4375</v>
      </c>
      <c r="K3949" s="20" t="str">
        <f t="shared" si="184"/>
        <v>1st Shift</v>
      </c>
    </row>
    <row r="3950" spans="1:11" x14ac:dyDescent="0.25">
      <c r="A3950" s="1">
        <v>3949</v>
      </c>
      <c r="B3950" s="1">
        <v>3</v>
      </c>
      <c r="C3950" s="3">
        <v>3115272351400</v>
      </c>
      <c r="D3950" s="2">
        <v>44646.4375</v>
      </c>
      <c r="E3950" s="2">
        <v>44646.645833333336</v>
      </c>
      <c r="F3950" s="23">
        <f t="shared" si="183"/>
        <v>0.20833333333575865</v>
      </c>
      <c r="G3950" s="24">
        <f t="shared" si="185"/>
        <v>59.999999999301515</v>
      </c>
      <c r="H3950" s="1" t="s">
        <v>1</v>
      </c>
      <c r="I3950" s="4" t="s">
        <v>4</v>
      </c>
      <c r="J3950" s="14">
        <v>0.4375</v>
      </c>
      <c r="K3950" s="20" t="str">
        <f t="shared" si="184"/>
        <v>1st Shift</v>
      </c>
    </row>
    <row r="3951" spans="1:11" x14ac:dyDescent="0.25">
      <c r="A3951" s="1">
        <v>3950</v>
      </c>
      <c r="B3951" s="1">
        <v>3</v>
      </c>
      <c r="C3951" s="3">
        <v>3115270393001</v>
      </c>
      <c r="D3951" s="2">
        <v>44646.4375</v>
      </c>
      <c r="E3951" s="2">
        <v>44646.645833333336</v>
      </c>
      <c r="F3951" s="23">
        <f t="shared" si="183"/>
        <v>0.20833333333575865</v>
      </c>
      <c r="G3951" s="24">
        <f t="shared" si="185"/>
        <v>59.999999999301515</v>
      </c>
      <c r="H3951" s="1" t="s">
        <v>1</v>
      </c>
      <c r="I3951" s="4" t="s">
        <v>3</v>
      </c>
      <c r="J3951" s="14">
        <v>0.4375</v>
      </c>
      <c r="K3951" s="20" t="str">
        <f t="shared" si="184"/>
        <v>1st Shift</v>
      </c>
    </row>
    <row r="3952" spans="1:11" x14ac:dyDescent="0.25">
      <c r="A3952" s="1">
        <v>3951</v>
      </c>
      <c r="B3952" s="1">
        <v>3</v>
      </c>
      <c r="C3952" s="3">
        <v>3115270344700</v>
      </c>
      <c r="D3952" s="2">
        <v>44646.4375</v>
      </c>
      <c r="E3952" s="2">
        <v>44646.645833333336</v>
      </c>
      <c r="F3952" s="23">
        <f t="shared" si="183"/>
        <v>0.20833333333575865</v>
      </c>
      <c r="G3952" s="24">
        <f t="shared" si="185"/>
        <v>59.999999999301515</v>
      </c>
      <c r="H3952" s="1" t="s">
        <v>1</v>
      </c>
      <c r="I3952" s="4" t="s">
        <v>3</v>
      </c>
      <c r="J3952" s="14">
        <v>0.4375</v>
      </c>
      <c r="K3952" s="20" t="str">
        <f t="shared" si="184"/>
        <v>1st Shift</v>
      </c>
    </row>
    <row r="3953" spans="1:11" x14ac:dyDescent="0.25">
      <c r="A3953" s="1">
        <v>3952</v>
      </c>
      <c r="B3953" s="1">
        <v>1</v>
      </c>
      <c r="C3953" s="3">
        <v>1115270029200</v>
      </c>
      <c r="D3953" s="2">
        <v>44646.4375</v>
      </c>
      <c r="E3953" s="2">
        <v>44646.645833333336</v>
      </c>
      <c r="F3953" s="23">
        <f t="shared" si="183"/>
        <v>0.20833333333575865</v>
      </c>
      <c r="G3953" s="24">
        <f t="shared" si="185"/>
        <v>59.999999999301515</v>
      </c>
      <c r="H3953" s="1" t="s">
        <v>1</v>
      </c>
      <c r="I3953" s="4" t="s">
        <v>3</v>
      </c>
      <c r="J3953" s="14">
        <v>0.4375</v>
      </c>
      <c r="K3953" s="20" t="str">
        <f t="shared" si="184"/>
        <v>1st Shift</v>
      </c>
    </row>
    <row r="3954" spans="1:11" x14ac:dyDescent="0.25">
      <c r="A3954" s="1">
        <v>3953</v>
      </c>
      <c r="B3954" s="1">
        <v>15</v>
      </c>
      <c r="C3954" s="3">
        <v>15115271743401</v>
      </c>
      <c r="D3954" s="2">
        <v>44646.795138888891</v>
      </c>
      <c r="E3954" s="2">
        <v>44646.864583333336</v>
      </c>
      <c r="F3954" s="23">
        <f t="shared" si="183"/>
        <v>6.9444444445252884E-2</v>
      </c>
      <c r="G3954" s="24">
        <f t="shared" si="185"/>
        <v>179.99999999790452</v>
      </c>
      <c r="H3954" s="1" t="s">
        <v>1</v>
      </c>
      <c r="I3954" s="4" t="s">
        <v>2</v>
      </c>
      <c r="J3954" s="14">
        <v>0.79513888888888884</v>
      </c>
      <c r="K3954" s="20" t="str">
        <f t="shared" si="184"/>
        <v>2nd Shift</v>
      </c>
    </row>
    <row r="3955" spans="1:11" x14ac:dyDescent="0.25">
      <c r="A3955" s="1">
        <v>3954</v>
      </c>
      <c r="B3955" s="1">
        <v>14</v>
      </c>
      <c r="C3955" s="3">
        <v>14115271687625</v>
      </c>
      <c r="D3955" s="2">
        <v>44646.795138888891</v>
      </c>
      <c r="E3955" s="2">
        <v>44646.864583333336</v>
      </c>
      <c r="F3955" s="23">
        <f t="shared" si="183"/>
        <v>6.9444444445252884E-2</v>
      </c>
      <c r="G3955" s="24">
        <f t="shared" si="185"/>
        <v>179.99999999790452</v>
      </c>
      <c r="H3955" s="1" t="s">
        <v>1</v>
      </c>
      <c r="I3955" s="4" t="s">
        <v>3</v>
      </c>
      <c r="J3955" s="14">
        <v>0.79513888888888884</v>
      </c>
      <c r="K3955" s="20" t="str">
        <f t="shared" si="184"/>
        <v>2nd Shift</v>
      </c>
    </row>
    <row r="3956" spans="1:11" x14ac:dyDescent="0.25">
      <c r="A3956" s="1">
        <v>3955</v>
      </c>
      <c r="B3956" s="1">
        <v>14</v>
      </c>
      <c r="C3956" s="3">
        <v>14115271672412</v>
      </c>
      <c r="D3956" s="2">
        <v>44646.635416666664</v>
      </c>
      <c r="E3956" s="2">
        <v>44646.864583333336</v>
      </c>
      <c r="F3956" s="23">
        <f t="shared" si="183"/>
        <v>0.22916666667151731</v>
      </c>
      <c r="G3956" s="24">
        <f t="shared" si="185"/>
        <v>54.545454544300007</v>
      </c>
      <c r="H3956" s="1" t="s">
        <v>1</v>
      </c>
      <c r="I3956" s="4" t="s">
        <v>2</v>
      </c>
      <c r="J3956" s="14">
        <v>0.63541666666666663</v>
      </c>
      <c r="K3956" s="20" t="str">
        <f t="shared" si="184"/>
        <v>2nd Shift</v>
      </c>
    </row>
    <row r="3957" spans="1:11" x14ac:dyDescent="0.25">
      <c r="A3957" s="1">
        <v>3956</v>
      </c>
      <c r="B3957" s="1">
        <v>12</v>
      </c>
      <c r="C3957" s="3">
        <v>12115271566803</v>
      </c>
      <c r="D3957" s="2">
        <v>44646.795138888891</v>
      </c>
      <c r="E3957" s="2">
        <v>44646.864583333336</v>
      </c>
      <c r="F3957" s="23">
        <f t="shared" si="183"/>
        <v>6.9444444445252884E-2</v>
      </c>
      <c r="G3957" s="24">
        <f t="shared" si="185"/>
        <v>179.99999999790452</v>
      </c>
      <c r="H3957" s="1" t="s">
        <v>1</v>
      </c>
      <c r="I3957" s="4" t="s">
        <v>3</v>
      </c>
      <c r="J3957" s="14">
        <v>0.79513888888888884</v>
      </c>
      <c r="K3957" s="20" t="str">
        <f t="shared" si="184"/>
        <v>2nd Shift</v>
      </c>
    </row>
    <row r="3958" spans="1:11" x14ac:dyDescent="0.25">
      <c r="A3958" s="1">
        <v>3957</v>
      </c>
      <c r="B3958" s="1">
        <v>11</v>
      </c>
      <c r="C3958" s="3">
        <v>11115271525600</v>
      </c>
      <c r="D3958" s="2">
        <v>44646.635416666664</v>
      </c>
      <c r="E3958" s="2">
        <v>44646.864583333336</v>
      </c>
      <c r="F3958" s="23">
        <f t="shared" si="183"/>
        <v>0.22916666667151731</v>
      </c>
      <c r="G3958" s="24">
        <f t="shared" si="185"/>
        <v>54.545454544300007</v>
      </c>
      <c r="H3958" s="1" t="s">
        <v>1</v>
      </c>
      <c r="I3958" s="4" t="s">
        <v>2</v>
      </c>
      <c r="J3958" s="14">
        <v>0.63541666666666663</v>
      </c>
      <c r="K3958" s="20" t="str">
        <f t="shared" si="184"/>
        <v>2nd Shift</v>
      </c>
    </row>
    <row r="3959" spans="1:11" x14ac:dyDescent="0.25">
      <c r="A3959" s="1">
        <v>3958</v>
      </c>
      <c r="B3959" s="1">
        <v>10</v>
      </c>
      <c r="C3959" s="3">
        <v>10115271958800</v>
      </c>
      <c r="D3959" s="2">
        <v>44646.635416666664</v>
      </c>
      <c r="E3959" s="2">
        <v>44646.864583333336</v>
      </c>
      <c r="F3959" s="23">
        <f t="shared" si="183"/>
        <v>0.22916666667151731</v>
      </c>
      <c r="G3959" s="24">
        <f t="shared" si="185"/>
        <v>54.545454544300007</v>
      </c>
      <c r="H3959" s="1" t="s">
        <v>1</v>
      </c>
      <c r="I3959" s="4" t="s">
        <v>2</v>
      </c>
      <c r="J3959" s="14">
        <v>0.63541666666666663</v>
      </c>
      <c r="K3959" s="20" t="str">
        <f t="shared" si="184"/>
        <v>2nd Shift</v>
      </c>
    </row>
    <row r="3960" spans="1:11" x14ac:dyDescent="0.25">
      <c r="A3960" s="1">
        <v>3959</v>
      </c>
      <c r="B3960" s="1">
        <v>7</v>
      </c>
      <c r="C3960" s="3">
        <v>7115271759006</v>
      </c>
      <c r="D3960" s="2">
        <v>44646.635416666664</v>
      </c>
      <c r="E3960" s="2">
        <v>44646.864583333336</v>
      </c>
      <c r="F3960" s="23">
        <f t="shared" si="183"/>
        <v>0.22916666667151731</v>
      </c>
      <c r="G3960" s="24">
        <f t="shared" si="185"/>
        <v>54.545454544300007</v>
      </c>
      <c r="H3960" s="1" t="s">
        <v>1</v>
      </c>
      <c r="I3960" s="4" t="s">
        <v>2</v>
      </c>
      <c r="J3960" s="14">
        <v>0.63541666666666663</v>
      </c>
      <c r="K3960" s="20" t="str">
        <f t="shared" si="184"/>
        <v>2nd Shift</v>
      </c>
    </row>
    <row r="3961" spans="1:11" x14ac:dyDescent="0.25">
      <c r="A3961" s="1">
        <v>3960</v>
      </c>
      <c r="B3961" s="1">
        <v>6</v>
      </c>
      <c r="C3961" s="3">
        <v>6115271723702</v>
      </c>
      <c r="D3961" s="2">
        <v>44646.635416666664</v>
      </c>
      <c r="E3961" s="2">
        <v>44646.864583333336</v>
      </c>
      <c r="F3961" s="23">
        <f t="shared" si="183"/>
        <v>0.22916666667151731</v>
      </c>
      <c r="G3961" s="24">
        <f t="shared" si="185"/>
        <v>54.545454544300007</v>
      </c>
      <c r="H3961" s="1" t="s">
        <v>1</v>
      </c>
      <c r="I3961" s="4" t="s">
        <v>3</v>
      </c>
      <c r="J3961" s="14">
        <v>0.63541666666666663</v>
      </c>
      <c r="K3961" s="20" t="str">
        <f t="shared" si="184"/>
        <v>2nd Shift</v>
      </c>
    </row>
    <row r="3962" spans="1:11" x14ac:dyDescent="0.25">
      <c r="A3962" s="1">
        <v>3961</v>
      </c>
      <c r="B3962" s="1">
        <v>3</v>
      </c>
      <c r="C3962" s="3">
        <v>3115270339900</v>
      </c>
      <c r="D3962" s="2">
        <v>44646.635416666664</v>
      </c>
      <c r="E3962" s="2">
        <v>44646.864583333336</v>
      </c>
      <c r="F3962" s="23">
        <f t="shared" si="183"/>
        <v>0.22916666667151731</v>
      </c>
      <c r="G3962" s="24">
        <f t="shared" si="185"/>
        <v>54.545454544300007</v>
      </c>
      <c r="H3962" s="1" t="s">
        <v>1</v>
      </c>
      <c r="I3962" s="4" t="s">
        <v>2</v>
      </c>
      <c r="J3962" s="14">
        <v>0.63541666666666663</v>
      </c>
      <c r="K3962" s="20" t="str">
        <f t="shared" si="184"/>
        <v>2nd Shift</v>
      </c>
    </row>
    <row r="3963" spans="1:11" x14ac:dyDescent="0.25">
      <c r="A3963" s="1">
        <v>3962</v>
      </c>
      <c r="B3963" s="1">
        <v>12</v>
      </c>
      <c r="C3963" s="3">
        <v>12115271574522</v>
      </c>
      <c r="D3963" s="2">
        <v>44646.986111111109</v>
      </c>
      <c r="E3963" s="2">
        <v>44647.020833333336</v>
      </c>
      <c r="F3963" s="23">
        <f t="shared" si="183"/>
        <v>3.4722222226264421E-2</v>
      </c>
      <c r="G3963" s="24">
        <f t="shared" si="185"/>
        <v>359.99999995809048</v>
      </c>
      <c r="H3963" s="1" t="s">
        <v>1</v>
      </c>
      <c r="I3963" s="4" t="s">
        <v>2</v>
      </c>
      <c r="J3963" s="14">
        <v>0.98611111111111116</v>
      </c>
      <c r="K3963" s="20" t="str">
        <f t="shared" si="184"/>
        <v>3rd Shift</v>
      </c>
    </row>
    <row r="3964" spans="1:11" x14ac:dyDescent="0.25">
      <c r="A3964" s="1">
        <v>3963</v>
      </c>
      <c r="B3964" s="1">
        <v>3</v>
      </c>
      <c r="C3964" s="3">
        <v>3115270366600</v>
      </c>
      <c r="D3964" s="2">
        <v>44646.9375</v>
      </c>
      <c r="E3964" s="2">
        <v>44647.020833333336</v>
      </c>
      <c r="F3964" s="23">
        <f t="shared" si="183"/>
        <v>8.3333333335758653E-2</v>
      </c>
      <c r="G3964" s="24">
        <f t="shared" si="185"/>
        <v>149.99999999563443</v>
      </c>
      <c r="H3964" s="1" t="s">
        <v>1</v>
      </c>
      <c r="I3964" s="4" t="s">
        <v>2</v>
      </c>
      <c r="J3964" s="14">
        <v>0.9375</v>
      </c>
      <c r="K3964" s="20" t="str">
        <f t="shared" si="184"/>
        <v>3rd Shift</v>
      </c>
    </row>
    <row r="3965" spans="1:11" x14ac:dyDescent="0.25">
      <c r="A3965" s="1">
        <v>3964</v>
      </c>
      <c r="B3965" s="1">
        <v>1</v>
      </c>
      <c r="C3965" s="3">
        <v>1115270127500</v>
      </c>
      <c r="D3965" s="2">
        <v>44646.9375</v>
      </c>
      <c r="E3965" s="2">
        <v>44647.020833333336</v>
      </c>
      <c r="F3965" s="23">
        <f t="shared" si="183"/>
        <v>8.3333333335758653E-2</v>
      </c>
      <c r="G3965" s="24">
        <f t="shared" si="185"/>
        <v>149.99999999563443</v>
      </c>
      <c r="H3965" s="1" t="s">
        <v>1</v>
      </c>
      <c r="I3965" s="4" t="s">
        <v>2</v>
      </c>
      <c r="J3965" s="14">
        <v>0.9375</v>
      </c>
      <c r="K3965" s="20" t="str">
        <f t="shared" si="184"/>
        <v>3rd Shift</v>
      </c>
    </row>
    <row r="3966" spans="1:11" x14ac:dyDescent="0.25">
      <c r="A3966" s="1">
        <v>3965</v>
      </c>
      <c r="B3966" s="1">
        <v>11</v>
      </c>
      <c r="C3966" s="3">
        <v>11115271542800</v>
      </c>
      <c r="D3966" s="2">
        <v>44647.038194444445</v>
      </c>
      <c r="E3966" s="2">
        <v>44647.076388888891</v>
      </c>
      <c r="F3966" s="23">
        <f t="shared" si="183"/>
        <v>3.8194444445252884E-2</v>
      </c>
      <c r="G3966" s="24">
        <f t="shared" si="185"/>
        <v>327.27272726580009</v>
      </c>
      <c r="H3966" s="1" t="s">
        <v>1</v>
      </c>
      <c r="I3966" s="4" t="s">
        <v>2</v>
      </c>
      <c r="J3966" s="14">
        <v>3.8194444444444448E-2</v>
      </c>
      <c r="K3966" s="20" t="str">
        <f t="shared" si="184"/>
        <v>3rd Shift</v>
      </c>
    </row>
    <row r="3967" spans="1:11" x14ac:dyDescent="0.25">
      <c r="A3967" s="1">
        <v>3966</v>
      </c>
      <c r="B3967" s="1">
        <v>13</v>
      </c>
      <c r="C3967" s="3">
        <v>13115271590301</v>
      </c>
      <c r="D3967" s="2">
        <v>44647.395833333336</v>
      </c>
      <c r="E3967" s="2">
        <v>44647.447916666664</v>
      </c>
      <c r="F3967" s="23">
        <f t="shared" si="183"/>
        <v>5.2083333328482695E-2</v>
      </c>
      <c r="G3967" s="24">
        <f t="shared" si="185"/>
        <v>240.00000002235174</v>
      </c>
      <c r="H3967" s="1" t="s">
        <v>1</v>
      </c>
      <c r="I3967" s="4" t="s">
        <v>8</v>
      </c>
      <c r="J3967" s="14">
        <v>0.39583333333333331</v>
      </c>
      <c r="K3967" s="20" t="str">
        <f t="shared" si="184"/>
        <v>1st Shift</v>
      </c>
    </row>
    <row r="3968" spans="1:11" x14ac:dyDescent="0.25">
      <c r="A3968" s="1">
        <v>3967</v>
      </c>
      <c r="B3968" s="1">
        <v>11</v>
      </c>
      <c r="C3968" s="3">
        <v>11115271553100</v>
      </c>
      <c r="D3968" s="2">
        <v>44647.395833333336</v>
      </c>
      <c r="E3968" s="2">
        <v>44647.447916666664</v>
      </c>
      <c r="F3968" s="23">
        <f t="shared" si="183"/>
        <v>5.2083333328482695E-2</v>
      </c>
      <c r="G3968" s="24">
        <f t="shared" si="185"/>
        <v>240.00000002235174</v>
      </c>
      <c r="H3968" s="1" t="s">
        <v>1</v>
      </c>
      <c r="I3968" s="4" t="s">
        <v>2</v>
      </c>
      <c r="J3968" s="14">
        <v>0.39583333333333331</v>
      </c>
      <c r="K3968" s="20" t="str">
        <f t="shared" si="184"/>
        <v>1st Shift</v>
      </c>
    </row>
    <row r="3969" spans="1:11" x14ac:dyDescent="0.25">
      <c r="A3969" s="1">
        <v>3968</v>
      </c>
      <c r="B3969" s="1">
        <v>13</v>
      </c>
      <c r="C3969" s="3">
        <v>13115271590401</v>
      </c>
      <c r="D3969" s="2">
        <v>44647.489583333336</v>
      </c>
      <c r="E3969" s="2">
        <v>44647.583333333336</v>
      </c>
      <c r="F3969" s="23">
        <f t="shared" si="183"/>
        <v>9.375E-2</v>
      </c>
      <c r="G3969" s="24">
        <f t="shared" si="185"/>
        <v>133.33333333333331</v>
      </c>
      <c r="H3969" s="1" t="s">
        <v>1</v>
      </c>
      <c r="I3969" s="4" t="s">
        <v>3</v>
      </c>
      <c r="J3969" s="14">
        <v>0.48958333333333331</v>
      </c>
      <c r="K3969" s="20" t="str">
        <f t="shared" si="184"/>
        <v>1st Shift</v>
      </c>
    </row>
    <row r="3970" spans="1:11" x14ac:dyDescent="0.25">
      <c r="A3970" s="1">
        <v>3969</v>
      </c>
      <c r="B3970" s="1">
        <v>12</v>
      </c>
      <c r="C3970" s="3">
        <v>12115271566604</v>
      </c>
      <c r="D3970" s="2">
        <v>44647.458333333336</v>
      </c>
      <c r="E3970" s="2">
        <v>44647.583333333336</v>
      </c>
      <c r="F3970" s="23">
        <f t="shared" ref="F3970:F4033" si="186">E3970-D3970</f>
        <v>0.125</v>
      </c>
      <c r="G3970" s="24">
        <f t="shared" si="185"/>
        <v>100</v>
      </c>
      <c r="H3970" s="1" t="s">
        <v>1</v>
      </c>
      <c r="I3970" s="4" t="s">
        <v>2</v>
      </c>
      <c r="J3970" s="14">
        <v>0.45833333333333331</v>
      </c>
      <c r="K3970" s="20" t="str">
        <f t="shared" ref="K3970:K4033" si="187">IF(AND(J3970&gt;=$M$3,J3970&lt;$M$4),"1st Shift",IF(AND(J3970&gt;=$M$4,J3970&lt;$M$5),"2nd Shift","3rd Shift"))</f>
        <v>1st Shift</v>
      </c>
    </row>
    <row r="3971" spans="1:11" x14ac:dyDescent="0.25">
      <c r="A3971" s="1">
        <v>3970</v>
      </c>
      <c r="B3971" s="1">
        <v>11</v>
      </c>
      <c r="C3971" s="3">
        <v>11115271554501</v>
      </c>
      <c r="D3971" s="2">
        <v>44647.489583333336</v>
      </c>
      <c r="E3971" s="2">
        <v>44647.583333333336</v>
      </c>
      <c r="F3971" s="23">
        <f t="shared" si="186"/>
        <v>9.375E-2</v>
      </c>
      <c r="G3971" s="24">
        <f t="shared" ref="G3971:G4034" si="188">$M$9/F3971*100</f>
        <v>133.33333333333331</v>
      </c>
      <c r="H3971" s="1" t="s">
        <v>1</v>
      </c>
      <c r="I3971" s="4" t="s">
        <v>2</v>
      </c>
      <c r="J3971" s="14">
        <v>0.48958333333333331</v>
      </c>
      <c r="K3971" s="20" t="str">
        <f t="shared" si="187"/>
        <v>1st Shift</v>
      </c>
    </row>
    <row r="3972" spans="1:11" x14ac:dyDescent="0.25">
      <c r="A3972" s="1">
        <v>3971</v>
      </c>
      <c r="B3972" s="1">
        <v>10</v>
      </c>
      <c r="C3972" s="3">
        <v>10115271964700</v>
      </c>
      <c r="D3972" s="2">
        <v>44647.734027777777</v>
      </c>
      <c r="E3972" s="2">
        <v>44647.888888888891</v>
      </c>
      <c r="F3972" s="23">
        <f t="shared" si="186"/>
        <v>0.15486111111385981</v>
      </c>
      <c r="G3972" s="24">
        <f t="shared" si="188"/>
        <v>80.717488787804982</v>
      </c>
      <c r="H3972" s="1" t="s">
        <v>1</v>
      </c>
      <c r="I3972" s="4" t="s">
        <v>3</v>
      </c>
      <c r="J3972" s="14">
        <v>0.73402777777777772</v>
      </c>
      <c r="K3972" s="20" t="str">
        <f t="shared" si="187"/>
        <v>2nd Shift</v>
      </c>
    </row>
    <row r="3973" spans="1:11" x14ac:dyDescent="0.25">
      <c r="A3973" s="1">
        <v>3972</v>
      </c>
      <c r="B3973" s="1">
        <v>7</v>
      </c>
      <c r="C3973" s="3">
        <v>7115271758505</v>
      </c>
      <c r="D3973" s="2">
        <v>44647.631944444445</v>
      </c>
      <c r="E3973" s="2">
        <v>44647.888888888891</v>
      </c>
      <c r="F3973" s="23">
        <f t="shared" si="186"/>
        <v>0.25694444444525288</v>
      </c>
      <c r="G3973" s="24">
        <f t="shared" si="188"/>
        <v>48.648648648495588</v>
      </c>
      <c r="H3973" s="1" t="s">
        <v>1</v>
      </c>
      <c r="I3973" s="4" t="s">
        <v>3</v>
      </c>
      <c r="J3973" s="14">
        <v>0.63194444444444442</v>
      </c>
      <c r="K3973" s="20" t="str">
        <f t="shared" si="187"/>
        <v>2nd Shift</v>
      </c>
    </row>
    <row r="3974" spans="1:11" x14ac:dyDescent="0.25">
      <c r="A3974" s="1">
        <v>3973</v>
      </c>
      <c r="B3974" s="1">
        <v>5</v>
      </c>
      <c r="C3974" s="3">
        <v>5115271239305</v>
      </c>
      <c r="D3974" s="2">
        <v>44647.631944444445</v>
      </c>
      <c r="E3974" s="2">
        <v>44647.888888888891</v>
      </c>
      <c r="F3974" s="23">
        <f t="shared" si="186"/>
        <v>0.25694444444525288</v>
      </c>
      <c r="G3974" s="24">
        <f t="shared" si="188"/>
        <v>48.648648648495588</v>
      </c>
      <c r="H3974" s="1" t="s">
        <v>1</v>
      </c>
      <c r="I3974" s="4" t="s">
        <v>3</v>
      </c>
      <c r="J3974" s="14">
        <v>0.63194444444444442</v>
      </c>
      <c r="K3974" s="20" t="str">
        <f t="shared" si="187"/>
        <v>2nd Shift</v>
      </c>
    </row>
    <row r="3975" spans="1:11" x14ac:dyDescent="0.25">
      <c r="A3975" s="1">
        <v>3974</v>
      </c>
      <c r="B3975" s="1">
        <v>3</v>
      </c>
      <c r="C3975" s="3">
        <v>3115270349200</v>
      </c>
      <c r="D3975" s="2">
        <v>44647.638888888891</v>
      </c>
      <c r="E3975" s="2">
        <v>44647.888888888891</v>
      </c>
      <c r="F3975" s="23">
        <f t="shared" si="186"/>
        <v>0.25</v>
      </c>
      <c r="G3975" s="24">
        <f t="shared" si="188"/>
        <v>50</v>
      </c>
      <c r="H3975" s="1" t="s">
        <v>1</v>
      </c>
      <c r="I3975" s="4" t="s">
        <v>2</v>
      </c>
      <c r="J3975" s="14">
        <v>0.63888888888888884</v>
      </c>
      <c r="K3975" s="20" t="str">
        <f t="shared" si="187"/>
        <v>2nd Shift</v>
      </c>
    </row>
    <row r="3976" spans="1:11" x14ac:dyDescent="0.25">
      <c r="A3976" s="1">
        <v>3975</v>
      </c>
      <c r="B3976" s="1">
        <v>3</v>
      </c>
      <c r="C3976" s="3">
        <v>3115270392200</v>
      </c>
      <c r="D3976" s="2">
        <v>44647.979166666664</v>
      </c>
      <c r="E3976" s="2">
        <v>44648.013888888891</v>
      </c>
      <c r="F3976" s="23">
        <f t="shared" si="186"/>
        <v>3.4722222226264421E-2</v>
      </c>
      <c r="G3976" s="24">
        <f t="shared" si="188"/>
        <v>359.99999995809048</v>
      </c>
      <c r="H3976" s="1" t="s">
        <v>1</v>
      </c>
      <c r="I3976" s="4" t="s">
        <v>2</v>
      </c>
      <c r="J3976" s="14">
        <v>0.97916666666666663</v>
      </c>
      <c r="K3976" s="20" t="str">
        <f t="shared" si="187"/>
        <v>3rd Shift</v>
      </c>
    </row>
    <row r="3977" spans="1:11" x14ac:dyDescent="0.25">
      <c r="A3977" s="1">
        <v>3976</v>
      </c>
      <c r="B3977" s="1">
        <v>7</v>
      </c>
      <c r="C3977" s="3">
        <v>7115271768300</v>
      </c>
      <c r="D3977" s="2">
        <v>44648.385416666664</v>
      </c>
      <c r="E3977" s="2">
        <v>44648.458333333336</v>
      </c>
      <c r="F3977" s="23">
        <f t="shared" si="186"/>
        <v>7.2916666671517305E-2</v>
      </c>
      <c r="G3977" s="24">
        <f t="shared" si="188"/>
        <v>171.42857141716746</v>
      </c>
      <c r="H3977" s="1" t="s">
        <v>1</v>
      </c>
      <c r="I3977" s="4" t="s">
        <v>2</v>
      </c>
      <c r="J3977" s="14">
        <v>0.38541666666666669</v>
      </c>
      <c r="K3977" s="20" t="str">
        <f t="shared" si="187"/>
        <v>1st Shift</v>
      </c>
    </row>
    <row r="3978" spans="1:11" x14ac:dyDescent="0.25">
      <c r="A3978" s="1">
        <v>3977</v>
      </c>
      <c r="B3978" s="1">
        <v>7</v>
      </c>
      <c r="C3978" s="3">
        <v>7115271758902</v>
      </c>
      <c r="D3978" s="2">
        <v>44648.385416666664</v>
      </c>
      <c r="E3978" s="2">
        <v>44648.458333333336</v>
      </c>
      <c r="F3978" s="23">
        <f t="shared" si="186"/>
        <v>7.2916666671517305E-2</v>
      </c>
      <c r="G3978" s="24">
        <f t="shared" si="188"/>
        <v>171.42857141716746</v>
      </c>
      <c r="H3978" s="1" t="s">
        <v>1</v>
      </c>
      <c r="I3978" s="4" t="s">
        <v>2</v>
      </c>
      <c r="J3978" s="14">
        <v>0.38541666666666669</v>
      </c>
      <c r="K3978" s="20" t="str">
        <f t="shared" si="187"/>
        <v>1st Shift</v>
      </c>
    </row>
    <row r="3979" spans="1:11" x14ac:dyDescent="0.25">
      <c r="A3979" s="1">
        <v>3978</v>
      </c>
      <c r="B3979" s="1">
        <v>6</v>
      </c>
      <c r="C3979" s="3">
        <v>6115271703500</v>
      </c>
      <c r="D3979" s="2">
        <v>44648.333333333336</v>
      </c>
      <c r="E3979" s="2">
        <v>44648.458333333336</v>
      </c>
      <c r="F3979" s="23">
        <f t="shared" si="186"/>
        <v>0.125</v>
      </c>
      <c r="G3979" s="24">
        <f t="shared" si="188"/>
        <v>100</v>
      </c>
      <c r="H3979" s="1" t="s">
        <v>1</v>
      </c>
      <c r="I3979" s="4" t="s">
        <v>2</v>
      </c>
      <c r="J3979" s="14">
        <v>0.33333333333333331</v>
      </c>
      <c r="K3979" s="20" t="str">
        <f t="shared" si="187"/>
        <v>1st Shift</v>
      </c>
    </row>
    <row r="3980" spans="1:11" x14ac:dyDescent="0.25">
      <c r="A3980" s="1">
        <v>3979</v>
      </c>
      <c r="B3980" s="1">
        <v>2</v>
      </c>
      <c r="C3980" s="3">
        <v>2115270271500</v>
      </c>
      <c r="D3980" s="2">
        <v>44648.333333333336</v>
      </c>
      <c r="E3980" s="2">
        <v>44648.458333333336</v>
      </c>
      <c r="F3980" s="23">
        <f t="shared" si="186"/>
        <v>0.125</v>
      </c>
      <c r="G3980" s="24">
        <f t="shared" si="188"/>
        <v>100</v>
      </c>
      <c r="H3980" s="1" t="s">
        <v>1</v>
      </c>
      <c r="I3980" s="4" t="s">
        <v>2</v>
      </c>
      <c r="J3980" s="14">
        <v>0.33333333333333331</v>
      </c>
      <c r="K3980" s="20" t="str">
        <f t="shared" si="187"/>
        <v>1st Shift</v>
      </c>
    </row>
    <row r="3981" spans="1:11" x14ac:dyDescent="0.25">
      <c r="A3981" s="1">
        <v>3980</v>
      </c>
      <c r="B3981" s="1">
        <v>14</v>
      </c>
      <c r="C3981" s="3">
        <v>14115271672299</v>
      </c>
      <c r="D3981" s="2">
        <v>44648.767361111109</v>
      </c>
      <c r="E3981" s="2">
        <v>44648.798611111109</v>
      </c>
      <c r="F3981" s="23">
        <f t="shared" si="186"/>
        <v>3.125E-2</v>
      </c>
      <c r="G3981" s="24">
        <f t="shared" si="188"/>
        <v>400</v>
      </c>
      <c r="H3981" s="1" t="s">
        <v>1</v>
      </c>
      <c r="I3981" s="4" t="s">
        <v>2</v>
      </c>
      <c r="J3981" s="14">
        <v>0.76736111111111116</v>
      </c>
      <c r="K3981" s="20" t="str">
        <f t="shared" si="187"/>
        <v>2nd Shift</v>
      </c>
    </row>
    <row r="3982" spans="1:11" x14ac:dyDescent="0.25">
      <c r="A3982" s="1">
        <v>3981</v>
      </c>
      <c r="B3982" s="1">
        <v>7</v>
      </c>
      <c r="C3982" s="3">
        <v>7115271758907</v>
      </c>
      <c r="D3982" s="2">
        <v>44649.322916666664</v>
      </c>
      <c r="E3982" s="2">
        <v>44649.375</v>
      </c>
      <c r="F3982" s="23">
        <f t="shared" si="186"/>
        <v>5.2083333335758653E-2</v>
      </c>
      <c r="G3982" s="24">
        <f t="shared" si="188"/>
        <v>239.99999998882413</v>
      </c>
      <c r="H3982" s="1" t="s">
        <v>1</v>
      </c>
      <c r="I3982" s="4" t="s">
        <v>2</v>
      </c>
      <c r="J3982" s="14">
        <v>0.32291666666666669</v>
      </c>
      <c r="K3982" s="20" t="str">
        <f t="shared" si="187"/>
        <v>1st Shift</v>
      </c>
    </row>
    <row r="3983" spans="1:11" x14ac:dyDescent="0.25">
      <c r="A3983" s="1">
        <v>3982</v>
      </c>
      <c r="B3983" s="1">
        <v>13</v>
      </c>
      <c r="C3983" s="3">
        <v>13115271591705</v>
      </c>
      <c r="D3983" s="2">
        <v>44649.381944444445</v>
      </c>
      <c r="E3983" s="2">
        <v>44649.434027777781</v>
      </c>
      <c r="F3983" s="23">
        <f t="shared" si="186"/>
        <v>5.2083333335758653E-2</v>
      </c>
      <c r="G3983" s="24">
        <f t="shared" si="188"/>
        <v>239.99999998882413</v>
      </c>
      <c r="H3983" s="1" t="s">
        <v>1</v>
      </c>
      <c r="I3983" s="4" t="s">
        <v>2</v>
      </c>
      <c r="J3983" s="14">
        <v>0.38194444444444442</v>
      </c>
      <c r="K3983" s="20" t="str">
        <f t="shared" si="187"/>
        <v>1st Shift</v>
      </c>
    </row>
    <row r="3984" spans="1:11" x14ac:dyDescent="0.25">
      <c r="A3984" s="1">
        <v>3983</v>
      </c>
      <c r="B3984" s="1">
        <v>14</v>
      </c>
      <c r="C3984" s="3">
        <v>14115271673113</v>
      </c>
      <c r="D3984" s="2">
        <v>44649.40625</v>
      </c>
      <c r="E3984" s="2">
        <v>44649.53125</v>
      </c>
      <c r="F3984" s="23">
        <f t="shared" si="186"/>
        <v>0.125</v>
      </c>
      <c r="G3984" s="24">
        <f t="shared" si="188"/>
        <v>100</v>
      </c>
      <c r="H3984" s="1" t="s">
        <v>1</v>
      </c>
      <c r="I3984" s="4" t="s">
        <v>3</v>
      </c>
      <c r="J3984" s="14">
        <v>0.40625</v>
      </c>
      <c r="K3984" s="20" t="str">
        <f t="shared" si="187"/>
        <v>1st Shift</v>
      </c>
    </row>
    <row r="3985" spans="1:11" x14ac:dyDescent="0.25">
      <c r="A3985" s="1">
        <v>3984</v>
      </c>
      <c r="B3985" s="1">
        <v>7</v>
      </c>
      <c r="C3985" s="3">
        <v>7115271776800</v>
      </c>
      <c r="D3985" s="2">
        <v>44649.40625</v>
      </c>
      <c r="E3985" s="2">
        <v>44649.53125</v>
      </c>
      <c r="F3985" s="23">
        <f t="shared" si="186"/>
        <v>0.125</v>
      </c>
      <c r="G3985" s="24">
        <f t="shared" si="188"/>
        <v>100</v>
      </c>
      <c r="H3985" s="1" t="s">
        <v>1</v>
      </c>
      <c r="I3985" s="4" t="s">
        <v>2</v>
      </c>
      <c r="J3985" s="14">
        <v>0.40625</v>
      </c>
      <c r="K3985" s="20" t="str">
        <f t="shared" si="187"/>
        <v>1st Shift</v>
      </c>
    </row>
    <row r="3986" spans="1:11" x14ac:dyDescent="0.25">
      <c r="A3986" s="1">
        <v>3985</v>
      </c>
      <c r="B3986" s="1">
        <v>7</v>
      </c>
      <c r="C3986" s="3">
        <v>7115271773704</v>
      </c>
      <c r="D3986" s="2">
        <v>44649.40625</v>
      </c>
      <c r="E3986" s="2">
        <v>44649.53125</v>
      </c>
      <c r="F3986" s="23">
        <f t="shared" si="186"/>
        <v>0.125</v>
      </c>
      <c r="G3986" s="24">
        <f t="shared" si="188"/>
        <v>100</v>
      </c>
      <c r="H3986" s="1" t="s">
        <v>1</v>
      </c>
      <c r="I3986" s="4" t="s">
        <v>3</v>
      </c>
      <c r="J3986" s="14">
        <v>0.40625</v>
      </c>
      <c r="K3986" s="20" t="str">
        <f t="shared" si="187"/>
        <v>1st Shift</v>
      </c>
    </row>
    <row r="3987" spans="1:11" x14ac:dyDescent="0.25">
      <c r="A3987" s="1">
        <v>3986</v>
      </c>
      <c r="B3987" s="1">
        <v>3</v>
      </c>
      <c r="C3987" s="3">
        <v>3115270363502</v>
      </c>
      <c r="D3987" s="2">
        <v>44649.40625</v>
      </c>
      <c r="E3987" s="2">
        <v>44649.53125</v>
      </c>
      <c r="F3987" s="23">
        <f t="shared" si="186"/>
        <v>0.125</v>
      </c>
      <c r="G3987" s="24">
        <f t="shared" si="188"/>
        <v>100</v>
      </c>
      <c r="H3987" s="1" t="s">
        <v>1</v>
      </c>
      <c r="I3987" s="4" t="s">
        <v>2</v>
      </c>
      <c r="J3987" s="14">
        <v>0.40625</v>
      </c>
      <c r="K3987" s="20" t="str">
        <f t="shared" si="187"/>
        <v>1st Shift</v>
      </c>
    </row>
    <row r="3988" spans="1:11" x14ac:dyDescent="0.25">
      <c r="A3988" s="1">
        <v>3987</v>
      </c>
      <c r="B3988" s="1">
        <v>8</v>
      </c>
      <c r="C3988" s="3">
        <v>8115271856201</v>
      </c>
      <c r="D3988" s="2">
        <v>44649.638888888891</v>
      </c>
      <c r="E3988" s="2">
        <v>44649.75</v>
      </c>
      <c r="F3988" s="23">
        <f t="shared" si="186"/>
        <v>0.11111111110949423</v>
      </c>
      <c r="G3988" s="24">
        <f t="shared" si="188"/>
        <v>112.50000000163709</v>
      </c>
      <c r="H3988" s="1" t="s">
        <v>1</v>
      </c>
      <c r="I3988" s="4" t="s">
        <v>2</v>
      </c>
      <c r="J3988" s="14">
        <v>0.63888888888888884</v>
      </c>
      <c r="K3988" s="20" t="str">
        <f t="shared" si="187"/>
        <v>2nd Shift</v>
      </c>
    </row>
    <row r="3989" spans="1:11" x14ac:dyDescent="0.25">
      <c r="A3989" s="1">
        <v>3988</v>
      </c>
      <c r="B3989" s="1">
        <v>6</v>
      </c>
      <c r="C3989" s="3">
        <v>6115271741600</v>
      </c>
      <c r="D3989" s="2">
        <v>44649.805555555555</v>
      </c>
      <c r="E3989" s="2">
        <v>44649.875</v>
      </c>
      <c r="F3989" s="23">
        <f t="shared" si="186"/>
        <v>6.9444444445252884E-2</v>
      </c>
      <c r="G3989" s="24">
        <f t="shared" si="188"/>
        <v>179.99999999790452</v>
      </c>
      <c r="H3989" s="1" t="s">
        <v>1</v>
      </c>
      <c r="I3989" s="4" t="s">
        <v>2</v>
      </c>
      <c r="J3989" s="14">
        <v>0.80555555555555558</v>
      </c>
      <c r="K3989" s="20" t="str">
        <f t="shared" si="187"/>
        <v>2nd Shift</v>
      </c>
    </row>
    <row r="3990" spans="1:11" x14ac:dyDescent="0.25">
      <c r="A3990" s="1">
        <v>3989</v>
      </c>
      <c r="B3990" s="1">
        <v>4</v>
      </c>
      <c r="C3990" s="3">
        <v>4115270854201</v>
      </c>
      <c r="D3990" s="2">
        <v>44649.989583333336</v>
      </c>
      <c r="E3990" s="2">
        <v>44650.027777777781</v>
      </c>
      <c r="F3990" s="23">
        <f t="shared" si="186"/>
        <v>3.8194444445252884E-2</v>
      </c>
      <c r="G3990" s="24">
        <f t="shared" si="188"/>
        <v>327.27272726580009</v>
      </c>
      <c r="H3990" s="1" t="s">
        <v>1</v>
      </c>
      <c r="I3990" s="4" t="s">
        <v>2</v>
      </c>
      <c r="J3990" s="14">
        <v>0.98958333333333337</v>
      </c>
      <c r="K3990" s="20" t="str">
        <f t="shared" si="187"/>
        <v>3rd Shift</v>
      </c>
    </row>
    <row r="3991" spans="1:11" x14ac:dyDescent="0.25">
      <c r="A3991" s="1">
        <v>3990</v>
      </c>
      <c r="B3991" s="1">
        <v>12</v>
      </c>
      <c r="C3991" s="3">
        <v>12115271569608</v>
      </c>
      <c r="D3991" s="2">
        <v>44650.34375</v>
      </c>
      <c r="E3991" s="2">
        <v>44650.454861111109</v>
      </c>
      <c r="F3991" s="23">
        <f t="shared" si="186"/>
        <v>0.11111111110949423</v>
      </c>
      <c r="G3991" s="24">
        <f t="shared" si="188"/>
        <v>112.50000000163709</v>
      </c>
      <c r="H3991" s="1" t="s">
        <v>1</v>
      </c>
      <c r="I3991" s="4" t="s">
        <v>4</v>
      </c>
      <c r="J3991" s="14">
        <v>0.34375</v>
      </c>
      <c r="K3991" s="20" t="str">
        <f t="shared" si="187"/>
        <v>1st Shift</v>
      </c>
    </row>
    <row r="3992" spans="1:11" x14ac:dyDescent="0.25">
      <c r="A3992" s="1">
        <v>3991</v>
      </c>
      <c r="B3992" s="1">
        <v>7</v>
      </c>
      <c r="C3992" s="3">
        <v>7115271769700</v>
      </c>
      <c r="D3992" s="2">
        <v>44650.368055555555</v>
      </c>
      <c r="E3992" s="2">
        <v>44650.454861111109</v>
      </c>
      <c r="F3992" s="23">
        <f t="shared" si="186"/>
        <v>8.6805555554747116E-2</v>
      </c>
      <c r="G3992" s="24">
        <f t="shared" si="188"/>
        <v>144.00000000134111</v>
      </c>
      <c r="H3992" s="1" t="s">
        <v>1</v>
      </c>
      <c r="I3992" s="4" t="s">
        <v>3</v>
      </c>
      <c r="J3992" s="14">
        <v>0.36805555555555558</v>
      </c>
      <c r="K3992" s="20" t="str">
        <f t="shared" si="187"/>
        <v>1st Shift</v>
      </c>
    </row>
    <row r="3993" spans="1:11" x14ac:dyDescent="0.25">
      <c r="A3993" s="1">
        <v>3992</v>
      </c>
      <c r="B3993" s="1">
        <v>1</v>
      </c>
      <c r="C3993" s="3">
        <v>1115270017900</v>
      </c>
      <c r="D3993" s="2">
        <v>44650.368055555555</v>
      </c>
      <c r="E3993" s="2">
        <v>44650.454861111109</v>
      </c>
      <c r="F3993" s="23">
        <f t="shared" si="186"/>
        <v>8.6805555554747116E-2</v>
      </c>
      <c r="G3993" s="24">
        <f t="shared" si="188"/>
        <v>144.00000000134111</v>
      </c>
      <c r="H3993" s="1" t="s">
        <v>1</v>
      </c>
      <c r="I3993" s="4" t="s">
        <v>2</v>
      </c>
      <c r="J3993" s="14">
        <v>0.36805555555555558</v>
      </c>
      <c r="K3993" s="20" t="str">
        <f t="shared" si="187"/>
        <v>1st Shift</v>
      </c>
    </row>
    <row r="3994" spans="1:11" x14ac:dyDescent="0.25">
      <c r="A3994" s="1">
        <v>3993</v>
      </c>
      <c r="B3994" s="1">
        <v>11</v>
      </c>
      <c r="C3994" s="3">
        <v>11115271552506</v>
      </c>
      <c r="D3994" s="2">
        <v>44650.479166666664</v>
      </c>
      <c r="E3994" s="2">
        <v>44650.581944444442</v>
      </c>
      <c r="F3994" s="23">
        <f t="shared" si="186"/>
        <v>0.10277777777810115</v>
      </c>
      <c r="G3994" s="24">
        <f t="shared" si="188"/>
        <v>121.62162162123894</v>
      </c>
      <c r="H3994" s="1" t="s">
        <v>1</v>
      </c>
      <c r="I3994" s="4" t="s">
        <v>2</v>
      </c>
      <c r="J3994" s="14">
        <v>0.47916666666666669</v>
      </c>
      <c r="K3994" s="20" t="str">
        <f t="shared" si="187"/>
        <v>1st Shift</v>
      </c>
    </row>
    <row r="3995" spans="1:11" x14ac:dyDescent="0.25">
      <c r="A3995" s="1">
        <v>3994</v>
      </c>
      <c r="B3995" s="1">
        <v>9</v>
      </c>
      <c r="C3995" s="3">
        <v>9115271934300</v>
      </c>
      <c r="D3995" s="2">
        <v>44650.517361111109</v>
      </c>
      <c r="E3995" s="2">
        <v>44650.581944444442</v>
      </c>
      <c r="F3995" s="23">
        <f t="shared" si="186"/>
        <v>6.4583333332848269E-2</v>
      </c>
      <c r="G3995" s="24">
        <f t="shared" si="188"/>
        <v>193.54838709822789</v>
      </c>
      <c r="H3995" s="1" t="s">
        <v>1</v>
      </c>
      <c r="I3995" s="4" t="s">
        <v>2</v>
      </c>
      <c r="J3995" s="14">
        <v>0.51736111111111116</v>
      </c>
      <c r="K3995" s="20" t="str">
        <f t="shared" si="187"/>
        <v>1st Shift</v>
      </c>
    </row>
    <row r="3996" spans="1:11" x14ac:dyDescent="0.25">
      <c r="A3996" s="1">
        <v>3995</v>
      </c>
      <c r="B3996" s="1">
        <v>7</v>
      </c>
      <c r="C3996" s="3">
        <v>7115271774706</v>
      </c>
      <c r="D3996" s="2">
        <v>44650.517361111109</v>
      </c>
      <c r="E3996" s="2">
        <v>44650.581944444442</v>
      </c>
      <c r="F3996" s="23">
        <f t="shared" si="186"/>
        <v>6.4583333332848269E-2</v>
      </c>
      <c r="G3996" s="24">
        <f t="shared" si="188"/>
        <v>193.54838709822789</v>
      </c>
      <c r="H3996" s="1" t="s">
        <v>1</v>
      </c>
      <c r="I3996" s="4" t="s">
        <v>2</v>
      </c>
      <c r="J3996" s="14">
        <v>0.51736111111111116</v>
      </c>
      <c r="K3996" s="20" t="str">
        <f t="shared" si="187"/>
        <v>1st Shift</v>
      </c>
    </row>
    <row r="3997" spans="1:11" x14ac:dyDescent="0.25">
      <c r="A3997" s="1">
        <v>3996</v>
      </c>
      <c r="B3997" s="1">
        <v>1</v>
      </c>
      <c r="C3997" s="3">
        <v>1115270067900</v>
      </c>
      <c r="D3997" s="2">
        <v>44650.503472222219</v>
      </c>
      <c r="E3997" s="2">
        <v>44650.581944444442</v>
      </c>
      <c r="F3997" s="23">
        <f t="shared" si="186"/>
        <v>7.8472222223354038E-2</v>
      </c>
      <c r="G3997" s="24">
        <f t="shared" si="188"/>
        <v>159.2920353959326</v>
      </c>
      <c r="H3997" s="1" t="s">
        <v>1</v>
      </c>
      <c r="I3997" s="4" t="s">
        <v>2</v>
      </c>
      <c r="J3997" s="14">
        <v>0.50347222222222221</v>
      </c>
      <c r="K3997" s="20" t="str">
        <f t="shared" si="187"/>
        <v>1st Shift</v>
      </c>
    </row>
    <row r="3998" spans="1:11" x14ac:dyDescent="0.25">
      <c r="A3998" s="1">
        <v>3997</v>
      </c>
      <c r="B3998" s="1">
        <v>9</v>
      </c>
      <c r="C3998" s="3">
        <v>9115271909402</v>
      </c>
      <c r="D3998" s="2">
        <v>44650.663194444445</v>
      </c>
      <c r="E3998" s="2">
        <v>44650.784722222219</v>
      </c>
      <c r="F3998" s="23">
        <f t="shared" si="186"/>
        <v>0.12152777777373558</v>
      </c>
      <c r="G3998" s="24">
        <f t="shared" si="188"/>
        <v>102.85714286056404</v>
      </c>
      <c r="H3998" s="1" t="s">
        <v>1</v>
      </c>
      <c r="I3998" s="4" t="s">
        <v>2</v>
      </c>
      <c r="J3998" s="14">
        <v>0.66319444444444442</v>
      </c>
      <c r="K3998" s="20" t="str">
        <f t="shared" si="187"/>
        <v>2nd Shift</v>
      </c>
    </row>
    <row r="3999" spans="1:11" x14ac:dyDescent="0.25">
      <c r="A3999" s="1">
        <v>3998</v>
      </c>
      <c r="B3999" s="1">
        <v>14</v>
      </c>
      <c r="C3999" s="3">
        <v>14115271703500</v>
      </c>
      <c r="D3999" s="2">
        <v>44650.802083333336</v>
      </c>
      <c r="E3999" s="2">
        <v>44650.895833333336</v>
      </c>
      <c r="F3999" s="23">
        <f t="shared" si="186"/>
        <v>9.375E-2</v>
      </c>
      <c r="G3999" s="24">
        <f t="shared" si="188"/>
        <v>133.33333333333331</v>
      </c>
      <c r="H3999" s="1" t="s">
        <v>1</v>
      </c>
      <c r="I3999" s="4" t="s">
        <v>3</v>
      </c>
      <c r="J3999" s="14">
        <v>0.80208333333333337</v>
      </c>
      <c r="K3999" s="20" t="str">
        <f t="shared" si="187"/>
        <v>2nd Shift</v>
      </c>
    </row>
    <row r="4000" spans="1:11" x14ac:dyDescent="0.25">
      <c r="A4000" s="1">
        <v>3999</v>
      </c>
      <c r="B4000" s="1">
        <v>7</v>
      </c>
      <c r="C4000" s="3">
        <v>7115271767803</v>
      </c>
      <c r="D4000" s="2">
        <v>44650.802083333336</v>
      </c>
      <c r="E4000" s="2">
        <v>44650.895833333336</v>
      </c>
      <c r="F4000" s="23">
        <f t="shared" si="186"/>
        <v>9.375E-2</v>
      </c>
      <c r="G4000" s="24">
        <f t="shared" si="188"/>
        <v>133.33333333333331</v>
      </c>
      <c r="H4000" s="1" t="s">
        <v>1</v>
      </c>
      <c r="I4000" s="4" t="s">
        <v>4</v>
      </c>
      <c r="J4000" s="14">
        <v>0.80208333333333337</v>
      </c>
      <c r="K4000" s="20" t="str">
        <f t="shared" si="187"/>
        <v>2nd Shift</v>
      </c>
    </row>
    <row r="4001" spans="1:11" x14ac:dyDescent="0.25">
      <c r="A4001" s="1">
        <v>4000</v>
      </c>
      <c r="B4001" s="1">
        <v>5</v>
      </c>
      <c r="C4001" s="3">
        <v>5115271259502</v>
      </c>
      <c r="D4001" s="2">
        <v>44650.802083333336</v>
      </c>
      <c r="E4001" s="2">
        <v>44650.895833333336</v>
      </c>
      <c r="F4001" s="23">
        <f t="shared" si="186"/>
        <v>9.375E-2</v>
      </c>
      <c r="G4001" s="24">
        <f t="shared" si="188"/>
        <v>133.33333333333331</v>
      </c>
      <c r="H4001" s="1" t="s">
        <v>1</v>
      </c>
      <c r="I4001" s="4" t="s">
        <v>3</v>
      </c>
      <c r="J4001" s="14">
        <v>0.80208333333333337</v>
      </c>
      <c r="K4001" s="20" t="str">
        <f t="shared" si="187"/>
        <v>2nd Shift</v>
      </c>
    </row>
    <row r="4002" spans="1:11" x14ac:dyDescent="0.25">
      <c r="A4002" s="1">
        <v>4001</v>
      </c>
      <c r="B4002" s="1">
        <v>5</v>
      </c>
      <c r="C4002" s="3">
        <v>5115271257608</v>
      </c>
      <c r="D4002" s="2">
        <v>44650.927083333336</v>
      </c>
      <c r="E4002" s="2">
        <v>44650.965277777781</v>
      </c>
      <c r="F4002" s="23">
        <f t="shared" si="186"/>
        <v>3.8194444445252884E-2</v>
      </c>
      <c r="G4002" s="24">
        <f t="shared" si="188"/>
        <v>327.27272726580009</v>
      </c>
      <c r="H4002" s="1" t="s">
        <v>1</v>
      </c>
      <c r="I4002" s="4" t="s">
        <v>2</v>
      </c>
      <c r="J4002" s="14">
        <v>0.92708333333333337</v>
      </c>
      <c r="K4002" s="20" t="str">
        <f t="shared" si="187"/>
        <v>3rd Shift</v>
      </c>
    </row>
    <row r="4003" spans="1:11" x14ac:dyDescent="0.25">
      <c r="A4003" s="1">
        <v>4002</v>
      </c>
      <c r="B4003" s="1">
        <v>13</v>
      </c>
      <c r="C4003" s="3">
        <v>13115271622400</v>
      </c>
      <c r="D4003" s="2">
        <v>44650.989583333336</v>
      </c>
      <c r="E4003" s="2">
        <v>44651.107638888891</v>
      </c>
      <c r="F4003" s="23">
        <f t="shared" si="186"/>
        <v>0.11805555555474712</v>
      </c>
      <c r="G4003" s="24">
        <f t="shared" si="188"/>
        <v>105.88235294190156</v>
      </c>
      <c r="H4003" s="1" t="s">
        <v>1</v>
      </c>
      <c r="I4003" s="4" t="s">
        <v>4</v>
      </c>
      <c r="J4003" s="14">
        <v>0.98958333333333337</v>
      </c>
      <c r="K4003" s="20" t="str">
        <f t="shared" si="187"/>
        <v>3rd Shift</v>
      </c>
    </row>
    <row r="4004" spans="1:11" x14ac:dyDescent="0.25">
      <c r="A4004" s="1">
        <v>4003</v>
      </c>
      <c r="B4004" s="1">
        <v>10</v>
      </c>
      <c r="C4004" s="3">
        <v>10115271452000</v>
      </c>
      <c r="D4004" s="2">
        <v>44650.989583333336</v>
      </c>
      <c r="E4004" s="2">
        <v>44651.107638888891</v>
      </c>
      <c r="F4004" s="23">
        <f t="shared" si="186"/>
        <v>0.11805555555474712</v>
      </c>
      <c r="G4004" s="24">
        <f t="shared" si="188"/>
        <v>105.88235294190156</v>
      </c>
      <c r="H4004" s="1" t="s">
        <v>1</v>
      </c>
      <c r="I4004" s="4" t="s">
        <v>2</v>
      </c>
      <c r="J4004" s="14">
        <v>0.98958333333333337</v>
      </c>
      <c r="K4004" s="20" t="str">
        <f t="shared" si="187"/>
        <v>3rd Shift</v>
      </c>
    </row>
    <row r="4005" spans="1:11" x14ac:dyDescent="0.25">
      <c r="A4005" s="1">
        <v>4004</v>
      </c>
      <c r="B4005" s="1">
        <v>6</v>
      </c>
      <c r="C4005" s="3">
        <v>6115271690510</v>
      </c>
      <c r="D4005" s="2">
        <v>44650.989583333336</v>
      </c>
      <c r="E4005" s="2">
        <v>44651.107638888891</v>
      </c>
      <c r="F4005" s="23">
        <f t="shared" si="186"/>
        <v>0.11805555555474712</v>
      </c>
      <c r="G4005" s="24">
        <f t="shared" si="188"/>
        <v>105.88235294190156</v>
      </c>
      <c r="H4005" s="1" t="s">
        <v>1</v>
      </c>
      <c r="I4005" s="4" t="s">
        <v>2</v>
      </c>
      <c r="J4005" s="14">
        <v>0.98958333333333337</v>
      </c>
      <c r="K4005" s="20" t="str">
        <f t="shared" si="187"/>
        <v>3rd Shift</v>
      </c>
    </row>
    <row r="4006" spans="1:11" x14ac:dyDescent="0.25">
      <c r="A4006" s="1">
        <v>4005</v>
      </c>
      <c r="B4006" s="1">
        <v>11</v>
      </c>
      <c r="C4006" s="3">
        <v>11115271500400</v>
      </c>
      <c r="D4006" s="2">
        <v>44651.329861111109</v>
      </c>
      <c r="E4006" s="2">
        <v>44651.472222222219</v>
      </c>
      <c r="F4006" s="23">
        <f t="shared" si="186"/>
        <v>0.14236111110949423</v>
      </c>
      <c r="G4006" s="24">
        <f t="shared" si="188"/>
        <v>87.804878049777741</v>
      </c>
      <c r="H4006" s="1" t="s">
        <v>1</v>
      </c>
      <c r="I4006" s="4" t="s">
        <v>2</v>
      </c>
      <c r="J4006" s="14">
        <v>0.3298611111111111</v>
      </c>
      <c r="K4006" s="20" t="str">
        <f t="shared" si="187"/>
        <v>1st Shift</v>
      </c>
    </row>
    <row r="4007" spans="1:11" x14ac:dyDescent="0.25">
      <c r="A4007" s="1">
        <v>4006</v>
      </c>
      <c r="B4007" s="1">
        <v>10</v>
      </c>
      <c r="C4007" s="3">
        <v>10115271952600</v>
      </c>
      <c r="D4007" s="2">
        <v>44651.3125</v>
      </c>
      <c r="E4007" s="2">
        <v>44651.472222222219</v>
      </c>
      <c r="F4007" s="23">
        <f t="shared" si="186"/>
        <v>0.15972222221898846</v>
      </c>
      <c r="G4007" s="24">
        <f t="shared" si="188"/>
        <v>78.260869566801873</v>
      </c>
      <c r="H4007" s="1" t="s">
        <v>1</v>
      </c>
      <c r="I4007" s="4" t="s">
        <v>2</v>
      </c>
      <c r="J4007" s="14">
        <v>0.3125</v>
      </c>
      <c r="K4007" s="20" t="str">
        <f t="shared" si="187"/>
        <v>1st Shift</v>
      </c>
    </row>
    <row r="4008" spans="1:11" x14ac:dyDescent="0.25">
      <c r="A4008" s="1">
        <v>4007</v>
      </c>
      <c r="B4008" s="1">
        <v>4</v>
      </c>
      <c r="C4008" s="3">
        <v>4115270826500</v>
      </c>
      <c r="D4008" s="2">
        <v>44651.3125</v>
      </c>
      <c r="E4008" s="2">
        <v>44651.472222222219</v>
      </c>
      <c r="F4008" s="23">
        <f t="shared" si="186"/>
        <v>0.15972222221898846</v>
      </c>
      <c r="G4008" s="24">
        <f t="shared" si="188"/>
        <v>78.260869566801873</v>
      </c>
      <c r="H4008" s="1" t="s">
        <v>1</v>
      </c>
      <c r="I4008" s="4" t="s">
        <v>2</v>
      </c>
      <c r="J4008" s="14">
        <v>0.3125</v>
      </c>
      <c r="K4008" s="20" t="str">
        <f t="shared" si="187"/>
        <v>1st Shift</v>
      </c>
    </row>
    <row r="4009" spans="1:11" x14ac:dyDescent="0.25">
      <c r="A4009" s="1">
        <v>4008</v>
      </c>
      <c r="B4009" s="1">
        <v>1</v>
      </c>
      <c r="C4009" s="3">
        <v>1115270022603</v>
      </c>
      <c r="D4009" s="2">
        <v>44651.347222222219</v>
      </c>
      <c r="E4009" s="2">
        <v>44651.472222222219</v>
      </c>
      <c r="F4009" s="23">
        <f t="shared" si="186"/>
        <v>0.125</v>
      </c>
      <c r="G4009" s="24">
        <f t="shared" si="188"/>
        <v>100</v>
      </c>
      <c r="H4009" s="1" t="s">
        <v>1</v>
      </c>
      <c r="I4009" s="4" t="s">
        <v>2</v>
      </c>
      <c r="J4009" s="14">
        <v>0.34722222222222221</v>
      </c>
      <c r="K4009" s="20" t="str">
        <f t="shared" si="187"/>
        <v>1st Shift</v>
      </c>
    </row>
    <row r="4010" spans="1:11" x14ac:dyDescent="0.25">
      <c r="A4010" s="1">
        <v>4009</v>
      </c>
      <c r="B4010" s="1">
        <v>12</v>
      </c>
      <c r="C4010" s="3">
        <v>12115271560196</v>
      </c>
      <c r="D4010" s="2">
        <v>44651.645833333336</v>
      </c>
      <c r="E4010" s="2">
        <v>44651.701388888891</v>
      </c>
      <c r="F4010" s="23">
        <f t="shared" si="186"/>
        <v>5.5555555554747116E-2</v>
      </c>
      <c r="G4010" s="24">
        <f t="shared" si="188"/>
        <v>225.00000000327418</v>
      </c>
      <c r="H4010" s="1" t="s">
        <v>1</v>
      </c>
      <c r="I4010" s="4" t="s">
        <v>3</v>
      </c>
      <c r="J4010" s="14">
        <v>0.64583333333333337</v>
      </c>
      <c r="K4010" s="20" t="str">
        <f t="shared" si="187"/>
        <v>2nd Shift</v>
      </c>
    </row>
    <row r="4011" spans="1:11" x14ac:dyDescent="0.25">
      <c r="A4011" s="1">
        <v>4010</v>
      </c>
      <c r="B4011" s="1">
        <v>11</v>
      </c>
      <c r="C4011" s="3">
        <v>11115271486300</v>
      </c>
      <c r="D4011" s="2">
        <v>44651.645833333336</v>
      </c>
      <c r="E4011" s="2">
        <v>44651.701388888891</v>
      </c>
      <c r="F4011" s="23">
        <f t="shared" si="186"/>
        <v>5.5555555554747116E-2</v>
      </c>
      <c r="G4011" s="24">
        <f t="shared" si="188"/>
        <v>225.00000000327418</v>
      </c>
      <c r="H4011" s="1" t="s">
        <v>1</v>
      </c>
      <c r="I4011" s="4" t="s">
        <v>2</v>
      </c>
      <c r="J4011" s="14">
        <v>0.64583333333333337</v>
      </c>
      <c r="K4011" s="20" t="str">
        <f t="shared" si="187"/>
        <v>2nd Shift</v>
      </c>
    </row>
    <row r="4012" spans="1:11" x14ac:dyDescent="0.25">
      <c r="A4012" s="1">
        <v>4011</v>
      </c>
      <c r="B4012" s="1">
        <v>9</v>
      </c>
      <c r="C4012" s="3">
        <v>9115271909406</v>
      </c>
      <c r="D4012" s="2">
        <v>44651.795138888891</v>
      </c>
      <c r="E4012" s="2">
        <v>44651.84375</v>
      </c>
      <c r="F4012" s="23">
        <f t="shared" si="186"/>
        <v>4.8611111109494232E-2</v>
      </c>
      <c r="G4012" s="24">
        <f t="shared" si="188"/>
        <v>257.14285715141011</v>
      </c>
      <c r="H4012" s="1" t="s">
        <v>1</v>
      </c>
      <c r="I4012" s="4" t="s">
        <v>2</v>
      </c>
      <c r="J4012" s="14">
        <v>0.79513888888888884</v>
      </c>
      <c r="K4012" s="20" t="str">
        <f t="shared" si="187"/>
        <v>2nd Shift</v>
      </c>
    </row>
    <row r="4013" spans="1:11" x14ac:dyDescent="0.25">
      <c r="A4013" s="1">
        <v>4012</v>
      </c>
      <c r="B4013" s="1">
        <v>6</v>
      </c>
      <c r="C4013" s="3">
        <v>6115271690607</v>
      </c>
      <c r="D4013" s="2">
        <v>44651.881944444445</v>
      </c>
      <c r="E4013" s="2">
        <v>44651.90625</v>
      </c>
      <c r="F4013" s="23">
        <f t="shared" si="186"/>
        <v>2.4305555554747116E-2</v>
      </c>
      <c r="G4013" s="24">
        <f t="shared" si="188"/>
        <v>514.28571430282022</v>
      </c>
      <c r="H4013" s="1" t="s">
        <v>1</v>
      </c>
      <c r="I4013" s="4" t="s">
        <v>2</v>
      </c>
      <c r="J4013" s="14">
        <v>0.88194444444444442</v>
      </c>
      <c r="K4013" s="20" t="str">
        <f t="shared" si="187"/>
        <v>2nd Shift</v>
      </c>
    </row>
    <row r="4014" spans="1:11" x14ac:dyDescent="0.25">
      <c r="A4014" s="1">
        <v>4013</v>
      </c>
      <c r="B4014" s="1">
        <v>8</v>
      </c>
      <c r="C4014" s="3">
        <v>8115271820700</v>
      </c>
      <c r="D4014" s="2">
        <v>44651.972222222219</v>
      </c>
      <c r="E4014" s="2">
        <v>44651.999305555553</v>
      </c>
      <c r="F4014" s="23">
        <f t="shared" si="186"/>
        <v>2.7083333334303461E-2</v>
      </c>
      <c r="G4014" s="24">
        <f t="shared" si="188"/>
        <v>461.53846152192921</v>
      </c>
      <c r="H4014" s="1" t="s">
        <v>1</v>
      </c>
      <c r="I4014" s="4" t="s">
        <v>2</v>
      </c>
      <c r="J4014" s="14">
        <v>0.97222222222222221</v>
      </c>
      <c r="K4014" s="20" t="str">
        <f t="shared" si="187"/>
        <v>3rd Shift</v>
      </c>
    </row>
    <row r="4015" spans="1:11" x14ac:dyDescent="0.25">
      <c r="A4015" s="1">
        <v>4014</v>
      </c>
      <c r="B4015" s="1">
        <v>1</v>
      </c>
      <c r="C4015" s="3">
        <v>1115270087900</v>
      </c>
      <c r="D4015" s="2">
        <v>44652.048611111109</v>
      </c>
      <c r="E4015" s="2">
        <v>44652.09375</v>
      </c>
      <c r="F4015" s="23">
        <f t="shared" si="186"/>
        <v>4.5138888890505768E-2</v>
      </c>
      <c r="G4015" s="24">
        <f t="shared" si="188"/>
        <v>276.9230769131575</v>
      </c>
      <c r="H4015" s="1" t="s">
        <v>1</v>
      </c>
      <c r="I4015" s="4" t="s">
        <v>3</v>
      </c>
      <c r="J4015" s="14">
        <v>4.8611111111111112E-2</v>
      </c>
      <c r="K4015" s="20" t="str">
        <f t="shared" si="187"/>
        <v>3rd Shift</v>
      </c>
    </row>
    <row r="4016" spans="1:11" x14ac:dyDescent="0.25">
      <c r="A4016" s="1">
        <v>4015</v>
      </c>
      <c r="B4016" s="1">
        <v>12</v>
      </c>
      <c r="C4016" s="3">
        <v>12115271567807</v>
      </c>
      <c r="D4016" s="2">
        <v>44652.541666666664</v>
      </c>
      <c r="E4016" s="2">
        <v>44652.579861111109</v>
      </c>
      <c r="F4016" s="23">
        <f t="shared" si="186"/>
        <v>3.8194444445252884E-2</v>
      </c>
      <c r="G4016" s="24">
        <f t="shared" si="188"/>
        <v>327.27272726580009</v>
      </c>
      <c r="H4016" s="1" t="s">
        <v>1</v>
      </c>
      <c r="I4016" s="4" t="s">
        <v>3</v>
      </c>
      <c r="J4016" s="14">
        <v>0.54166666666666663</v>
      </c>
      <c r="K4016" s="20" t="str">
        <f t="shared" si="187"/>
        <v>1st Shift</v>
      </c>
    </row>
    <row r="4017" spans="1:11" x14ac:dyDescent="0.25">
      <c r="A4017" s="1">
        <v>4016</v>
      </c>
      <c r="B4017" s="1">
        <v>12</v>
      </c>
      <c r="C4017" s="3">
        <v>12115271566220</v>
      </c>
      <c r="D4017" s="2">
        <v>44652.375</v>
      </c>
      <c r="E4017" s="2">
        <v>44652.579861111109</v>
      </c>
      <c r="F4017" s="23">
        <f t="shared" si="186"/>
        <v>0.20486111110949423</v>
      </c>
      <c r="G4017" s="24">
        <f t="shared" si="188"/>
        <v>61.016949153023958</v>
      </c>
      <c r="H4017" s="1" t="s">
        <v>1</v>
      </c>
      <c r="I4017" s="4" t="s">
        <v>5</v>
      </c>
      <c r="J4017" s="14">
        <v>0.375</v>
      </c>
      <c r="K4017" s="20" t="str">
        <f t="shared" si="187"/>
        <v>1st Shift</v>
      </c>
    </row>
    <row r="4018" spans="1:11" x14ac:dyDescent="0.25">
      <c r="A4018" s="1">
        <v>4017</v>
      </c>
      <c r="B4018" s="1">
        <v>12</v>
      </c>
      <c r="C4018" s="3">
        <v>12115271560189</v>
      </c>
      <c r="D4018" s="2">
        <v>44652.375</v>
      </c>
      <c r="E4018" s="2">
        <v>44652.579861111109</v>
      </c>
      <c r="F4018" s="23">
        <f t="shared" si="186"/>
        <v>0.20486111110949423</v>
      </c>
      <c r="G4018" s="24">
        <f t="shared" si="188"/>
        <v>61.016949153023958</v>
      </c>
      <c r="H4018" s="1" t="s">
        <v>1</v>
      </c>
      <c r="I4018" s="4" t="s">
        <v>2</v>
      </c>
      <c r="J4018" s="14">
        <v>0.375</v>
      </c>
      <c r="K4018" s="20" t="str">
        <f t="shared" si="187"/>
        <v>1st Shift</v>
      </c>
    </row>
    <row r="4019" spans="1:11" x14ac:dyDescent="0.25">
      <c r="A4019" s="1">
        <v>4018</v>
      </c>
      <c r="B4019" s="1">
        <v>8</v>
      </c>
      <c r="C4019" s="3">
        <v>8115271809908</v>
      </c>
      <c r="D4019" s="2">
        <v>44652.375</v>
      </c>
      <c r="E4019" s="2">
        <v>44652.579861111109</v>
      </c>
      <c r="F4019" s="23">
        <f t="shared" si="186"/>
        <v>0.20486111110949423</v>
      </c>
      <c r="G4019" s="24">
        <f t="shared" si="188"/>
        <v>61.016949153023958</v>
      </c>
      <c r="H4019" s="1" t="s">
        <v>1</v>
      </c>
      <c r="I4019" s="4" t="s">
        <v>2</v>
      </c>
      <c r="J4019" s="14">
        <v>0.375</v>
      </c>
      <c r="K4019" s="20" t="str">
        <f t="shared" si="187"/>
        <v>1st Shift</v>
      </c>
    </row>
    <row r="4020" spans="1:11" x14ac:dyDescent="0.25">
      <c r="A4020" s="1">
        <v>4019</v>
      </c>
      <c r="B4020" s="1">
        <v>4</v>
      </c>
      <c r="C4020" s="3">
        <v>4115270877400</v>
      </c>
      <c r="D4020" s="2">
        <v>44652.375</v>
      </c>
      <c r="E4020" s="2">
        <v>44652.579861111109</v>
      </c>
      <c r="F4020" s="23">
        <f t="shared" si="186"/>
        <v>0.20486111110949423</v>
      </c>
      <c r="G4020" s="24">
        <f t="shared" si="188"/>
        <v>61.016949153023958</v>
      </c>
      <c r="H4020" s="1" t="s">
        <v>1</v>
      </c>
      <c r="I4020" s="4" t="s">
        <v>4</v>
      </c>
      <c r="J4020" s="14">
        <v>0.375</v>
      </c>
      <c r="K4020" s="20" t="str">
        <f t="shared" si="187"/>
        <v>1st Shift</v>
      </c>
    </row>
    <row r="4021" spans="1:11" x14ac:dyDescent="0.25">
      <c r="A4021" s="1">
        <v>4020</v>
      </c>
      <c r="B4021" s="1">
        <v>2</v>
      </c>
      <c r="C4021" s="3">
        <v>2115270274600</v>
      </c>
      <c r="D4021" s="2">
        <v>44652.555555555555</v>
      </c>
      <c r="E4021" s="2">
        <v>44652.579861111109</v>
      </c>
      <c r="F4021" s="23">
        <f t="shared" si="186"/>
        <v>2.4305555554747116E-2</v>
      </c>
      <c r="G4021" s="24">
        <f t="shared" si="188"/>
        <v>514.28571430282022</v>
      </c>
      <c r="H4021" s="1" t="s">
        <v>1</v>
      </c>
      <c r="I4021" s="4" t="s">
        <v>5</v>
      </c>
      <c r="J4021" s="14">
        <v>0.55555555555555558</v>
      </c>
      <c r="K4021" s="20" t="str">
        <f t="shared" si="187"/>
        <v>1st Shift</v>
      </c>
    </row>
    <row r="4022" spans="1:11" x14ac:dyDescent="0.25">
      <c r="A4022" s="1">
        <v>4021</v>
      </c>
      <c r="B4022" s="1">
        <v>2</v>
      </c>
      <c r="C4022" s="3">
        <v>2115270217800</v>
      </c>
      <c r="D4022" s="2">
        <v>44652.527777777781</v>
      </c>
      <c r="E4022" s="2">
        <v>44652.579861111109</v>
      </c>
      <c r="F4022" s="23">
        <f t="shared" si="186"/>
        <v>5.2083333328482695E-2</v>
      </c>
      <c r="G4022" s="24">
        <f t="shared" si="188"/>
        <v>240.00000002235174</v>
      </c>
      <c r="H4022" s="1" t="s">
        <v>1</v>
      </c>
      <c r="I4022" s="4" t="s">
        <v>2</v>
      </c>
      <c r="J4022" s="14">
        <v>0.52777777777777779</v>
      </c>
      <c r="K4022" s="20" t="str">
        <f t="shared" si="187"/>
        <v>1st Shift</v>
      </c>
    </row>
    <row r="4023" spans="1:11" x14ac:dyDescent="0.25">
      <c r="A4023" s="1">
        <v>4022</v>
      </c>
      <c r="B4023" s="1">
        <v>9</v>
      </c>
      <c r="C4023" s="3">
        <v>9115271910401</v>
      </c>
      <c r="D4023" s="2">
        <v>44652.673611111109</v>
      </c>
      <c r="E4023" s="2">
        <v>44652.829861111109</v>
      </c>
      <c r="F4023" s="23">
        <f t="shared" si="186"/>
        <v>0.15625</v>
      </c>
      <c r="G4023" s="24">
        <f t="shared" si="188"/>
        <v>80</v>
      </c>
      <c r="H4023" s="1" t="s">
        <v>1</v>
      </c>
      <c r="I4023" s="4" t="s">
        <v>2</v>
      </c>
      <c r="J4023" s="14">
        <v>0.67361111111111116</v>
      </c>
      <c r="K4023" s="20" t="str">
        <f t="shared" si="187"/>
        <v>2nd Shift</v>
      </c>
    </row>
    <row r="4024" spans="1:11" x14ac:dyDescent="0.25">
      <c r="A4024" s="1">
        <v>4023</v>
      </c>
      <c r="B4024" s="1">
        <v>5</v>
      </c>
      <c r="C4024" s="3">
        <v>5115270974503</v>
      </c>
      <c r="D4024" s="2">
        <v>44652.673611111109</v>
      </c>
      <c r="E4024" s="2">
        <v>44652.829861111109</v>
      </c>
      <c r="F4024" s="23">
        <f t="shared" si="186"/>
        <v>0.15625</v>
      </c>
      <c r="G4024" s="24">
        <f t="shared" si="188"/>
        <v>80</v>
      </c>
      <c r="H4024" s="1" t="s">
        <v>1</v>
      </c>
      <c r="I4024" s="4" t="s">
        <v>2</v>
      </c>
      <c r="J4024" s="14">
        <v>0.67361111111111116</v>
      </c>
      <c r="K4024" s="20" t="str">
        <f t="shared" si="187"/>
        <v>2nd Shift</v>
      </c>
    </row>
    <row r="4025" spans="1:11" x14ac:dyDescent="0.25">
      <c r="A4025" s="1">
        <v>4024</v>
      </c>
      <c r="B4025" s="1">
        <v>2</v>
      </c>
      <c r="C4025" s="3">
        <v>2115270275200</v>
      </c>
      <c r="D4025" s="2">
        <v>44652.673611111109</v>
      </c>
      <c r="E4025" s="2">
        <v>44652.829861111109</v>
      </c>
      <c r="F4025" s="23">
        <f t="shared" si="186"/>
        <v>0.15625</v>
      </c>
      <c r="G4025" s="24">
        <f t="shared" si="188"/>
        <v>80</v>
      </c>
      <c r="H4025" s="1" t="s">
        <v>1</v>
      </c>
      <c r="I4025" s="4" t="s">
        <v>2</v>
      </c>
      <c r="J4025" s="14">
        <v>0.67361111111111116</v>
      </c>
      <c r="K4025" s="20" t="str">
        <f t="shared" si="187"/>
        <v>2nd Shift</v>
      </c>
    </row>
    <row r="4026" spans="1:11" x14ac:dyDescent="0.25">
      <c r="A4026" s="1">
        <v>4025</v>
      </c>
      <c r="B4026" s="1">
        <v>2</v>
      </c>
      <c r="C4026" s="3">
        <v>2115270168200</v>
      </c>
      <c r="D4026" s="2">
        <v>44652.715277777781</v>
      </c>
      <c r="E4026" s="2">
        <v>44652.829861111109</v>
      </c>
      <c r="F4026" s="23">
        <f t="shared" si="186"/>
        <v>0.11458333332848269</v>
      </c>
      <c r="G4026" s="24">
        <f t="shared" si="188"/>
        <v>109.09090909552721</v>
      </c>
      <c r="H4026" s="1" t="s">
        <v>1</v>
      </c>
      <c r="I4026" s="4" t="s">
        <v>2</v>
      </c>
      <c r="J4026" s="14">
        <v>0.71527777777777779</v>
      </c>
      <c r="K4026" s="20" t="str">
        <f t="shared" si="187"/>
        <v>2nd Shift</v>
      </c>
    </row>
    <row r="4027" spans="1:11" x14ac:dyDescent="0.25">
      <c r="A4027" s="1">
        <v>4026</v>
      </c>
      <c r="B4027" s="1">
        <v>1</v>
      </c>
      <c r="C4027" s="3">
        <v>1115270101100</v>
      </c>
      <c r="D4027" s="2">
        <v>44652.715277777781</v>
      </c>
      <c r="E4027" s="2">
        <v>44652.829861111109</v>
      </c>
      <c r="F4027" s="23">
        <f t="shared" si="186"/>
        <v>0.11458333332848269</v>
      </c>
      <c r="G4027" s="24">
        <f t="shared" si="188"/>
        <v>109.09090909552721</v>
      </c>
      <c r="H4027" s="1" t="s">
        <v>1</v>
      </c>
      <c r="I4027" s="4" t="s">
        <v>2</v>
      </c>
      <c r="J4027" s="14">
        <v>0.71527777777777779</v>
      </c>
      <c r="K4027" s="20" t="str">
        <f t="shared" si="187"/>
        <v>2nd Shift</v>
      </c>
    </row>
    <row r="4028" spans="1:11" x14ac:dyDescent="0.25">
      <c r="A4028" s="1">
        <v>4027</v>
      </c>
      <c r="B4028" s="1">
        <v>3</v>
      </c>
      <c r="C4028" s="3">
        <v>3115270447400</v>
      </c>
      <c r="D4028" s="2">
        <v>44652.854166666664</v>
      </c>
      <c r="E4028" s="2">
        <v>44652.913194444445</v>
      </c>
      <c r="F4028" s="23">
        <f t="shared" si="186"/>
        <v>5.9027777781011537E-2</v>
      </c>
      <c r="G4028" s="24">
        <f t="shared" si="188"/>
        <v>211.7647058707517</v>
      </c>
      <c r="H4028" s="1" t="s">
        <v>1</v>
      </c>
      <c r="I4028" s="4" t="s">
        <v>2</v>
      </c>
      <c r="J4028" s="14">
        <v>0.85416666666666663</v>
      </c>
      <c r="K4028" s="20" t="str">
        <f t="shared" si="187"/>
        <v>2nd Shift</v>
      </c>
    </row>
    <row r="4029" spans="1:11" x14ac:dyDescent="0.25">
      <c r="A4029" s="1">
        <v>4028</v>
      </c>
      <c r="B4029" s="1">
        <v>3</v>
      </c>
      <c r="C4029" s="3">
        <v>3115270341100</v>
      </c>
      <c r="D4029" s="2">
        <v>44652.854166666664</v>
      </c>
      <c r="E4029" s="2">
        <v>44652.913194444445</v>
      </c>
      <c r="F4029" s="23">
        <f t="shared" si="186"/>
        <v>5.9027777781011537E-2</v>
      </c>
      <c r="G4029" s="24">
        <f t="shared" si="188"/>
        <v>211.7647058707517</v>
      </c>
      <c r="H4029" s="1" t="s">
        <v>1</v>
      </c>
      <c r="I4029" s="4" t="s">
        <v>2</v>
      </c>
      <c r="J4029" s="14">
        <v>0.85416666666666663</v>
      </c>
      <c r="K4029" s="20" t="str">
        <f t="shared" si="187"/>
        <v>2nd Shift</v>
      </c>
    </row>
    <row r="4030" spans="1:11" x14ac:dyDescent="0.25">
      <c r="A4030" s="1">
        <v>4029</v>
      </c>
      <c r="B4030" s="1">
        <v>15</v>
      </c>
      <c r="C4030" s="3">
        <v>15115271793800</v>
      </c>
      <c r="D4030" s="2">
        <v>44653.42083333333</v>
      </c>
      <c r="E4030" s="2">
        <v>44653.60833333333</v>
      </c>
      <c r="F4030" s="23">
        <f t="shared" si="186"/>
        <v>0.1875</v>
      </c>
      <c r="G4030" s="24">
        <f t="shared" si="188"/>
        <v>66.666666666666657</v>
      </c>
      <c r="H4030" s="1" t="s">
        <v>1</v>
      </c>
      <c r="I4030" s="4" t="s">
        <v>4</v>
      </c>
      <c r="J4030" s="14">
        <v>0.42083333333333334</v>
      </c>
      <c r="K4030" s="20" t="str">
        <f t="shared" si="187"/>
        <v>1st Shift</v>
      </c>
    </row>
    <row r="4031" spans="1:11" x14ac:dyDescent="0.25">
      <c r="A4031" s="1">
        <v>4030</v>
      </c>
      <c r="B4031" s="1">
        <v>12</v>
      </c>
      <c r="C4031" s="3">
        <v>12115271571066</v>
      </c>
      <c r="D4031" s="2">
        <v>44653.42083333333</v>
      </c>
      <c r="E4031" s="2">
        <v>44653.60833333333</v>
      </c>
      <c r="F4031" s="23">
        <f t="shared" si="186"/>
        <v>0.1875</v>
      </c>
      <c r="G4031" s="24">
        <f t="shared" si="188"/>
        <v>66.666666666666657</v>
      </c>
      <c r="H4031" s="1" t="s">
        <v>1</v>
      </c>
      <c r="I4031" s="4" t="s">
        <v>3</v>
      </c>
      <c r="J4031" s="14">
        <v>0.42083333333333334</v>
      </c>
      <c r="K4031" s="20" t="str">
        <f t="shared" si="187"/>
        <v>1st Shift</v>
      </c>
    </row>
    <row r="4032" spans="1:11" x14ac:dyDescent="0.25">
      <c r="A4032" s="1">
        <v>4031</v>
      </c>
      <c r="B4032" s="1">
        <v>12</v>
      </c>
      <c r="C4032" s="3">
        <v>12115271566215</v>
      </c>
      <c r="D4032" s="2">
        <v>44653.42083333333</v>
      </c>
      <c r="E4032" s="2">
        <v>44653.60833333333</v>
      </c>
      <c r="F4032" s="23">
        <f t="shared" si="186"/>
        <v>0.1875</v>
      </c>
      <c r="G4032" s="24">
        <f t="shared" si="188"/>
        <v>66.666666666666657</v>
      </c>
      <c r="H4032" s="1" t="s">
        <v>1</v>
      </c>
      <c r="I4032" s="4" t="s">
        <v>3</v>
      </c>
      <c r="J4032" s="14">
        <v>0.42083333333333334</v>
      </c>
      <c r="K4032" s="20" t="str">
        <f t="shared" si="187"/>
        <v>1st Shift</v>
      </c>
    </row>
    <row r="4033" spans="1:11" x14ac:dyDescent="0.25">
      <c r="A4033" s="1">
        <v>4032</v>
      </c>
      <c r="B4033" s="1">
        <v>11</v>
      </c>
      <c r="C4033" s="3">
        <v>11115271520700</v>
      </c>
      <c r="D4033" s="2">
        <v>44653.42083333333</v>
      </c>
      <c r="E4033" s="2">
        <v>44653.60833333333</v>
      </c>
      <c r="F4033" s="23">
        <f t="shared" si="186"/>
        <v>0.1875</v>
      </c>
      <c r="G4033" s="24">
        <f t="shared" si="188"/>
        <v>66.666666666666657</v>
      </c>
      <c r="H4033" s="1" t="s">
        <v>1</v>
      </c>
      <c r="I4033" s="4" t="s">
        <v>4</v>
      </c>
      <c r="J4033" s="14">
        <v>0.42083333333333334</v>
      </c>
      <c r="K4033" s="20" t="str">
        <f t="shared" si="187"/>
        <v>1st Shift</v>
      </c>
    </row>
    <row r="4034" spans="1:11" x14ac:dyDescent="0.25">
      <c r="A4034" s="1">
        <v>4033</v>
      </c>
      <c r="B4034" s="1">
        <v>10</v>
      </c>
      <c r="C4034" s="3">
        <v>10115271452102</v>
      </c>
      <c r="D4034" s="2">
        <v>44653.42083333333</v>
      </c>
      <c r="E4034" s="2">
        <v>44653.60833333333</v>
      </c>
      <c r="F4034" s="23">
        <f t="shared" ref="F4034:F4097" si="189">E4034-D4034</f>
        <v>0.1875</v>
      </c>
      <c r="G4034" s="24">
        <f t="shared" si="188"/>
        <v>66.666666666666657</v>
      </c>
      <c r="H4034" s="1" t="s">
        <v>1</v>
      </c>
      <c r="I4034" s="4" t="s">
        <v>2</v>
      </c>
      <c r="J4034" s="14">
        <v>0.42083333333333334</v>
      </c>
      <c r="K4034" s="20" t="str">
        <f t="shared" ref="K4034:K4097" si="190">IF(AND(J4034&gt;=$M$3,J4034&lt;$M$4),"1st Shift",IF(AND(J4034&gt;=$M$4,J4034&lt;$M$5),"2nd Shift","3rd Shift"))</f>
        <v>1st Shift</v>
      </c>
    </row>
    <row r="4035" spans="1:11" x14ac:dyDescent="0.25">
      <c r="A4035" s="1">
        <v>4034</v>
      </c>
      <c r="B4035" s="1">
        <v>7</v>
      </c>
      <c r="C4035" s="3">
        <v>7115271777600</v>
      </c>
      <c r="D4035" s="2">
        <v>44653.42083333333</v>
      </c>
      <c r="E4035" s="2">
        <v>44653.60833333333</v>
      </c>
      <c r="F4035" s="23">
        <f t="shared" si="189"/>
        <v>0.1875</v>
      </c>
      <c r="G4035" s="24">
        <f t="shared" ref="G4035:G4098" si="191">$M$9/F4035*100</f>
        <v>66.666666666666657</v>
      </c>
      <c r="H4035" s="1" t="s">
        <v>1</v>
      </c>
      <c r="I4035" s="4" t="s">
        <v>3</v>
      </c>
      <c r="J4035" s="14">
        <v>0.42083333333333334</v>
      </c>
      <c r="K4035" s="20" t="str">
        <f t="shared" si="190"/>
        <v>1st Shift</v>
      </c>
    </row>
    <row r="4036" spans="1:11" x14ac:dyDescent="0.25">
      <c r="A4036" s="1">
        <v>4035</v>
      </c>
      <c r="B4036" s="1">
        <v>6</v>
      </c>
      <c r="C4036" s="3">
        <v>6115271741307</v>
      </c>
      <c r="D4036" s="2">
        <v>44653.42083333333</v>
      </c>
      <c r="E4036" s="2">
        <v>44653.60833333333</v>
      </c>
      <c r="F4036" s="23">
        <f t="shared" si="189"/>
        <v>0.1875</v>
      </c>
      <c r="G4036" s="24">
        <f t="shared" si="191"/>
        <v>66.666666666666657</v>
      </c>
      <c r="H4036" s="1" t="s">
        <v>1</v>
      </c>
      <c r="I4036" s="4" t="s">
        <v>2</v>
      </c>
      <c r="J4036" s="14">
        <v>0.42083333333333334</v>
      </c>
      <c r="K4036" s="20" t="str">
        <f t="shared" si="190"/>
        <v>1st Shift</v>
      </c>
    </row>
    <row r="4037" spans="1:11" x14ac:dyDescent="0.25">
      <c r="A4037" s="1">
        <v>4036</v>
      </c>
      <c r="B4037" s="1">
        <v>14</v>
      </c>
      <c r="C4037" s="3">
        <v>14115271673112</v>
      </c>
      <c r="D4037" s="2">
        <v>44653.694444444445</v>
      </c>
      <c r="E4037" s="2">
        <v>44653.78125</v>
      </c>
      <c r="F4037" s="23">
        <f t="shared" si="189"/>
        <v>8.6805555554747116E-2</v>
      </c>
      <c r="G4037" s="24">
        <f t="shared" si="191"/>
        <v>144.00000000134111</v>
      </c>
      <c r="H4037" s="1" t="s">
        <v>1</v>
      </c>
      <c r="I4037" s="4" t="s">
        <v>3</v>
      </c>
      <c r="J4037" s="14">
        <v>0.69444444444444442</v>
      </c>
      <c r="K4037" s="20" t="str">
        <f t="shared" si="190"/>
        <v>2nd Shift</v>
      </c>
    </row>
    <row r="4038" spans="1:11" x14ac:dyDescent="0.25">
      <c r="A4038" s="1">
        <v>4037</v>
      </c>
      <c r="B4038" s="1">
        <v>9</v>
      </c>
      <c r="C4038" s="3">
        <v>9115271909307</v>
      </c>
      <c r="D4038" s="2">
        <v>44653.694444444445</v>
      </c>
      <c r="E4038" s="2">
        <v>44653.78125</v>
      </c>
      <c r="F4038" s="23">
        <f t="shared" si="189"/>
        <v>8.6805555554747116E-2</v>
      </c>
      <c r="G4038" s="24">
        <f t="shared" si="191"/>
        <v>144.00000000134111</v>
      </c>
      <c r="H4038" s="1" t="s">
        <v>1</v>
      </c>
      <c r="I4038" s="4" t="s">
        <v>3</v>
      </c>
      <c r="J4038" s="14">
        <v>0.69444444444444442</v>
      </c>
      <c r="K4038" s="20" t="str">
        <f t="shared" si="190"/>
        <v>2nd Shift</v>
      </c>
    </row>
    <row r="4039" spans="1:11" x14ac:dyDescent="0.25">
      <c r="A4039" s="1">
        <v>4038</v>
      </c>
      <c r="B4039" s="1">
        <v>2</v>
      </c>
      <c r="C4039" s="3">
        <v>2115270297300</v>
      </c>
      <c r="D4039" s="2">
        <v>44653.694444444445</v>
      </c>
      <c r="E4039" s="2">
        <v>44653.78125</v>
      </c>
      <c r="F4039" s="23">
        <f t="shared" si="189"/>
        <v>8.6805555554747116E-2</v>
      </c>
      <c r="G4039" s="24">
        <f t="shared" si="191"/>
        <v>144.00000000134111</v>
      </c>
      <c r="H4039" s="1" t="s">
        <v>1</v>
      </c>
      <c r="I4039" s="4" t="s">
        <v>8</v>
      </c>
      <c r="J4039" s="14">
        <v>0.69444444444444442</v>
      </c>
      <c r="K4039" s="20" t="str">
        <f t="shared" si="190"/>
        <v>2nd Shift</v>
      </c>
    </row>
    <row r="4040" spans="1:11" x14ac:dyDescent="0.25">
      <c r="A4040" s="1">
        <v>4039</v>
      </c>
      <c r="B4040" s="1">
        <v>11</v>
      </c>
      <c r="C4040" s="3">
        <v>11115271552600</v>
      </c>
      <c r="D4040" s="2">
        <v>44653.784722222219</v>
      </c>
      <c r="E4040" s="2">
        <v>44653.861111111109</v>
      </c>
      <c r="F4040" s="23">
        <f t="shared" si="189"/>
        <v>7.6388888890505768E-2</v>
      </c>
      <c r="G4040" s="24">
        <f t="shared" si="191"/>
        <v>163.63636363290004</v>
      </c>
      <c r="H4040" s="1" t="s">
        <v>1</v>
      </c>
      <c r="I4040" s="4" t="s">
        <v>4</v>
      </c>
      <c r="J4040" s="14">
        <v>0.78472222222222221</v>
      </c>
      <c r="K4040" s="20" t="str">
        <f t="shared" si="190"/>
        <v>2nd Shift</v>
      </c>
    </row>
    <row r="4041" spans="1:11" x14ac:dyDescent="0.25">
      <c r="A4041" s="1">
        <v>4040</v>
      </c>
      <c r="B4041" s="1">
        <v>2</v>
      </c>
      <c r="C4041" s="3">
        <v>2115270156500</v>
      </c>
      <c r="D4041" s="2">
        <v>44653.965277777781</v>
      </c>
      <c r="E4041" s="2">
        <v>44653.993055555555</v>
      </c>
      <c r="F4041" s="23">
        <f t="shared" si="189"/>
        <v>2.7777777773735579E-2</v>
      </c>
      <c r="G4041" s="24">
        <f t="shared" si="191"/>
        <v>450.00000006548362</v>
      </c>
      <c r="H4041" s="1" t="s">
        <v>1</v>
      </c>
      <c r="I4041" s="4" t="s">
        <v>4</v>
      </c>
      <c r="J4041" s="14">
        <v>0.96527777777777779</v>
      </c>
      <c r="K4041" s="20" t="str">
        <f t="shared" si="190"/>
        <v>3rd Shift</v>
      </c>
    </row>
    <row r="4042" spans="1:11" x14ac:dyDescent="0.25">
      <c r="A4042" s="1">
        <v>4041</v>
      </c>
      <c r="B4042" s="1">
        <v>8</v>
      </c>
      <c r="C4042" s="3">
        <v>8115271835700</v>
      </c>
      <c r="D4042" s="2">
        <v>44654.000011574077</v>
      </c>
      <c r="E4042" s="2">
        <v>44654.045138888891</v>
      </c>
      <c r="F4042" s="23">
        <f t="shared" si="189"/>
        <v>4.5127314813726116E-2</v>
      </c>
      <c r="G4042" s="24">
        <f t="shared" si="191"/>
        <v>276.99410105823421</v>
      </c>
      <c r="H4042" s="1" t="s">
        <v>1</v>
      </c>
      <c r="I4042" s="4" t="s">
        <v>3</v>
      </c>
      <c r="J4042" s="14">
        <v>1.1574074074074073E-5</v>
      </c>
      <c r="K4042" s="20" t="str">
        <f t="shared" si="190"/>
        <v>3rd Shift</v>
      </c>
    </row>
    <row r="4043" spans="1:11" x14ac:dyDescent="0.25">
      <c r="A4043" s="1">
        <v>4042</v>
      </c>
      <c r="B4043" s="1">
        <v>12</v>
      </c>
      <c r="C4043" s="3">
        <v>12115271566214</v>
      </c>
      <c r="D4043" s="2">
        <v>44654.333333333336</v>
      </c>
      <c r="E4043" s="2">
        <v>44654.395833333336</v>
      </c>
      <c r="F4043" s="23">
        <f t="shared" si="189"/>
        <v>6.25E-2</v>
      </c>
      <c r="G4043" s="24">
        <f t="shared" si="191"/>
        <v>200</v>
      </c>
      <c r="H4043" s="1" t="s">
        <v>1</v>
      </c>
      <c r="I4043" s="4" t="s">
        <v>5</v>
      </c>
      <c r="J4043" s="14">
        <v>0.33333333333333331</v>
      </c>
      <c r="K4043" s="20" t="str">
        <f t="shared" si="190"/>
        <v>1st Shift</v>
      </c>
    </row>
    <row r="4044" spans="1:11" x14ac:dyDescent="0.25">
      <c r="A4044" s="1">
        <v>4043</v>
      </c>
      <c r="B4044" s="1">
        <v>11</v>
      </c>
      <c r="C4044" s="3">
        <v>11115271540300</v>
      </c>
      <c r="D4044" s="2">
        <v>44654.347222222219</v>
      </c>
      <c r="E4044" s="2">
        <v>44654.395833333336</v>
      </c>
      <c r="F4044" s="23">
        <f t="shared" si="189"/>
        <v>4.8611111116770189E-2</v>
      </c>
      <c r="G4044" s="24">
        <f t="shared" si="191"/>
        <v>257.14285711292177</v>
      </c>
      <c r="H4044" s="1" t="s">
        <v>1</v>
      </c>
      <c r="I4044" s="4" t="s">
        <v>2</v>
      </c>
      <c r="J4044" s="14">
        <v>0.34722222222222221</v>
      </c>
      <c r="K4044" s="20" t="str">
        <f t="shared" si="190"/>
        <v>1st Shift</v>
      </c>
    </row>
    <row r="4045" spans="1:11" x14ac:dyDescent="0.25">
      <c r="A4045" s="1">
        <v>4044</v>
      </c>
      <c r="B4045" s="1">
        <v>14</v>
      </c>
      <c r="C4045" s="3">
        <v>14115271673113</v>
      </c>
      <c r="D4045" s="2">
        <v>44654.513888888891</v>
      </c>
      <c r="E4045" s="2">
        <v>44654.583333333336</v>
      </c>
      <c r="F4045" s="23">
        <f t="shared" si="189"/>
        <v>6.9444444445252884E-2</v>
      </c>
      <c r="G4045" s="24">
        <f t="shared" si="191"/>
        <v>179.99999999790452</v>
      </c>
      <c r="H4045" s="1" t="s">
        <v>1</v>
      </c>
      <c r="I4045" s="4" t="s">
        <v>2</v>
      </c>
      <c r="J4045" s="14">
        <v>0.51388888888888884</v>
      </c>
      <c r="K4045" s="20" t="str">
        <f t="shared" si="190"/>
        <v>1st Shift</v>
      </c>
    </row>
    <row r="4046" spans="1:11" x14ac:dyDescent="0.25">
      <c r="A4046" s="1">
        <v>4045</v>
      </c>
      <c r="B4046" s="1">
        <v>6</v>
      </c>
      <c r="C4046" s="3">
        <v>6115271731201</v>
      </c>
      <c r="D4046" s="2">
        <v>44654.479166666664</v>
      </c>
      <c r="E4046" s="2">
        <v>44654.583333333336</v>
      </c>
      <c r="F4046" s="23">
        <f t="shared" si="189"/>
        <v>0.10416666667151731</v>
      </c>
      <c r="G4046" s="24">
        <f t="shared" si="191"/>
        <v>119.99999999441206</v>
      </c>
      <c r="H4046" s="1" t="s">
        <v>1</v>
      </c>
      <c r="I4046" s="4" t="s">
        <v>4</v>
      </c>
      <c r="J4046" s="14">
        <v>0.47916666666666669</v>
      </c>
      <c r="K4046" s="20" t="str">
        <f t="shared" si="190"/>
        <v>1st Shift</v>
      </c>
    </row>
    <row r="4047" spans="1:11" x14ac:dyDescent="0.25">
      <c r="A4047" s="1">
        <v>4046</v>
      </c>
      <c r="B4047" s="1">
        <v>4</v>
      </c>
      <c r="C4047" s="3">
        <v>4115270847506</v>
      </c>
      <c r="D4047" s="2">
        <v>44654.427083333336</v>
      </c>
      <c r="E4047" s="2">
        <v>44654.583333333336</v>
      </c>
      <c r="F4047" s="23">
        <f t="shared" si="189"/>
        <v>0.15625</v>
      </c>
      <c r="G4047" s="24">
        <f t="shared" si="191"/>
        <v>80</v>
      </c>
      <c r="H4047" s="1" t="s">
        <v>1</v>
      </c>
      <c r="I4047" s="4" t="s">
        <v>2</v>
      </c>
      <c r="J4047" s="14">
        <v>0.42708333333333331</v>
      </c>
      <c r="K4047" s="20" t="str">
        <f t="shared" si="190"/>
        <v>1st Shift</v>
      </c>
    </row>
    <row r="4048" spans="1:11" x14ac:dyDescent="0.25">
      <c r="A4048" s="1">
        <v>4047</v>
      </c>
      <c r="B4048" s="1">
        <v>15</v>
      </c>
      <c r="C4048" s="3">
        <v>15115271744101</v>
      </c>
      <c r="D4048" s="2">
        <v>44654.746527777781</v>
      </c>
      <c r="E4048" s="2">
        <v>44654.833333333336</v>
      </c>
      <c r="F4048" s="23">
        <f t="shared" si="189"/>
        <v>8.6805555554747116E-2</v>
      </c>
      <c r="G4048" s="24">
        <f t="shared" si="191"/>
        <v>144.00000000134111</v>
      </c>
      <c r="H4048" s="1" t="s">
        <v>1</v>
      </c>
      <c r="I4048" s="4" t="s">
        <v>4</v>
      </c>
      <c r="J4048" s="14">
        <v>0.74652777777777779</v>
      </c>
      <c r="K4048" s="20" t="str">
        <f t="shared" si="190"/>
        <v>2nd Shift</v>
      </c>
    </row>
    <row r="4049" spans="1:11" x14ac:dyDescent="0.25">
      <c r="A4049" s="1">
        <v>4048</v>
      </c>
      <c r="B4049" s="1">
        <v>6</v>
      </c>
      <c r="C4049" s="3">
        <v>6115271732100</v>
      </c>
      <c r="D4049" s="2">
        <v>44654.746527777781</v>
      </c>
      <c r="E4049" s="2">
        <v>44654.833333333336</v>
      </c>
      <c r="F4049" s="23">
        <f t="shared" si="189"/>
        <v>8.6805555554747116E-2</v>
      </c>
      <c r="G4049" s="24">
        <f t="shared" si="191"/>
        <v>144.00000000134111</v>
      </c>
      <c r="H4049" s="1" t="s">
        <v>1</v>
      </c>
      <c r="I4049" s="4" t="s">
        <v>3</v>
      </c>
      <c r="J4049" s="14">
        <v>0.74652777777777779</v>
      </c>
      <c r="K4049" s="20" t="str">
        <f t="shared" si="190"/>
        <v>2nd Shift</v>
      </c>
    </row>
    <row r="4050" spans="1:11" x14ac:dyDescent="0.25">
      <c r="A4050" s="1">
        <v>4049</v>
      </c>
      <c r="B4050" s="1">
        <v>9</v>
      </c>
      <c r="C4050" s="3">
        <v>9115271925000</v>
      </c>
      <c r="D4050" s="2">
        <v>44655.458333333336</v>
      </c>
      <c r="E4050" s="2">
        <v>44655.538194444445</v>
      </c>
      <c r="F4050" s="23">
        <f t="shared" si="189"/>
        <v>7.9861111109494232E-2</v>
      </c>
      <c r="G4050" s="24">
        <f t="shared" si="191"/>
        <v>156.52173913360375</v>
      </c>
      <c r="H4050" s="1" t="s">
        <v>1</v>
      </c>
      <c r="I4050" s="4" t="s">
        <v>2</v>
      </c>
      <c r="J4050" s="14">
        <v>0.45833333333333331</v>
      </c>
      <c r="K4050" s="20" t="str">
        <f t="shared" si="190"/>
        <v>1st Shift</v>
      </c>
    </row>
    <row r="4051" spans="1:11" x14ac:dyDescent="0.25">
      <c r="A4051" s="1">
        <v>4050</v>
      </c>
      <c r="B4051" s="1">
        <v>8</v>
      </c>
      <c r="C4051" s="3">
        <v>8115271809910</v>
      </c>
      <c r="D4051" s="2">
        <v>44655.427083333336</v>
      </c>
      <c r="E4051" s="2">
        <v>44655.46875</v>
      </c>
      <c r="F4051" s="23">
        <f t="shared" si="189"/>
        <v>4.1666666664241347E-2</v>
      </c>
      <c r="G4051" s="24">
        <f t="shared" si="191"/>
        <v>300.0000000174623</v>
      </c>
      <c r="H4051" s="1" t="s">
        <v>1</v>
      </c>
      <c r="I4051" s="4" t="s">
        <v>2</v>
      </c>
      <c r="J4051" s="14">
        <v>0.42708333333333331</v>
      </c>
      <c r="K4051" s="20" t="str">
        <f t="shared" si="190"/>
        <v>1st Shift</v>
      </c>
    </row>
    <row r="4052" spans="1:11" x14ac:dyDescent="0.25">
      <c r="A4052" s="1">
        <v>4051</v>
      </c>
      <c r="B4052" s="1">
        <v>3</v>
      </c>
      <c r="C4052" s="3">
        <v>3115270350300</v>
      </c>
      <c r="D4052" s="2">
        <v>44655.414583333331</v>
      </c>
      <c r="E4052" s="2">
        <v>44655.46875</v>
      </c>
      <c r="F4052" s="23">
        <f t="shared" si="189"/>
        <v>5.4166666668606922E-2</v>
      </c>
      <c r="G4052" s="24">
        <f t="shared" si="191"/>
        <v>230.7692307609646</v>
      </c>
      <c r="H4052" s="1" t="s">
        <v>1</v>
      </c>
      <c r="I4052" s="4" t="s">
        <v>2</v>
      </c>
      <c r="J4052" s="14">
        <v>0.41458333333333336</v>
      </c>
      <c r="K4052" s="20" t="str">
        <f t="shared" si="190"/>
        <v>1st Shift</v>
      </c>
    </row>
    <row r="4053" spans="1:11" x14ac:dyDescent="0.25">
      <c r="A4053" s="1">
        <v>4052</v>
      </c>
      <c r="B4053" s="1">
        <v>7</v>
      </c>
      <c r="C4053" s="3">
        <v>7115271785609</v>
      </c>
      <c r="D4053" s="2">
        <v>44655.489583333336</v>
      </c>
      <c r="E4053" s="2">
        <v>44655.576388888891</v>
      </c>
      <c r="F4053" s="23">
        <f t="shared" si="189"/>
        <v>8.6805555554747116E-2</v>
      </c>
      <c r="G4053" s="24">
        <f t="shared" si="191"/>
        <v>144.00000000134111</v>
      </c>
      <c r="H4053" s="1" t="s">
        <v>1</v>
      </c>
      <c r="I4053" s="4" t="s">
        <v>2</v>
      </c>
      <c r="J4053" s="14">
        <v>0.48958333333333331</v>
      </c>
      <c r="K4053" s="20" t="str">
        <f t="shared" si="190"/>
        <v>1st Shift</v>
      </c>
    </row>
    <row r="4054" spans="1:11" x14ac:dyDescent="0.25">
      <c r="A4054" s="1">
        <v>4053</v>
      </c>
      <c r="B4054" s="1">
        <v>5</v>
      </c>
      <c r="C4054" s="3">
        <v>5115271289400</v>
      </c>
      <c r="D4054" s="2">
        <v>44655.489583333336</v>
      </c>
      <c r="E4054" s="2">
        <v>44655.576388888891</v>
      </c>
      <c r="F4054" s="23">
        <f t="shared" si="189"/>
        <v>8.6805555554747116E-2</v>
      </c>
      <c r="G4054" s="24">
        <f t="shared" si="191"/>
        <v>144.00000000134111</v>
      </c>
      <c r="H4054" s="1" t="s">
        <v>1</v>
      </c>
      <c r="I4054" s="4" t="s">
        <v>2</v>
      </c>
      <c r="J4054" s="14">
        <v>0.48958333333333331</v>
      </c>
      <c r="K4054" s="20" t="str">
        <f t="shared" si="190"/>
        <v>1st Shift</v>
      </c>
    </row>
    <row r="4055" spans="1:11" x14ac:dyDescent="0.25">
      <c r="A4055" s="1">
        <v>4054</v>
      </c>
      <c r="B4055" s="1">
        <v>3</v>
      </c>
      <c r="C4055" s="3">
        <v>3115270366902</v>
      </c>
      <c r="D4055" s="2">
        <v>44655.489583333336</v>
      </c>
      <c r="E4055" s="2">
        <v>44655.576388888891</v>
      </c>
      <c r="F4055" s="23">
        <f t="shared" si="189"/>
        <v>8.6805555554747116E-2</v>
      </c>
      <c r="G4055" s="24">
        <f t="shared" si="191"/>
        <v>144.00000000134111</v>
      </c>
      <c r="H4055" s="1" t="s">
        <v>1</v>
      </c>
      <c r="I4055" s="4" t="s">
        <v>2</v>
      </c>
      <c r="J4055" s="14">
        <v>0.48958333333333331</v>
      </c>
      <c r="K4055" s="20" t="str">
        <f t="shared" si="190"/>
        <v>1st Shift</v>
      </c>
    </row>
    <row r="4056" spans="1:11" x14ac:dyDescent="0.25">
      <c r="A4056" s="1">
        <v>4055</v>
      </c>
      <c r="B4056" s="1">
        <v>3</v>
      </c>
      <c r="C4056" s="3">
        <v>3115270306902</v>
      </c>
      <c r="D4056" s="2">
        <v>44655.489583333336</v>
      </c>
      <c r="E4056" s="2">
        <v>44655.576388888891</v>
      </c>
      <c r="F4056" s="23">
        <f t="shared" si="189"/>
        <v>8.6805555554747116E-2</v>
      </c>
      <c r="G4056" s="24">
        <f t="shared" si="191"/>
        <v>144.00000000134111</v>
      </c>
      <c r="H4056" s="1" t="s">
        <v>1</v>
      </c>
      <c r="I4056" s="4" t="s">
        <v>2</v>
      </c>
      <c r="J4056" s="14">
        <v>0.48958333333333331</v>
      </c>
      <c r="K4056" s="20" t="str">
        <f t="shared" si="190"/>
        <v>1st Shift</v>
      </c>
    </row>
    <row r="4057" spans="1:11" x14ac:dyDescent="0.25">
      <c r="A4057" s="1">
        <v>4056</v>
      </c>
      <c r="B4057" s="1">
        <v>8</v>
      </c>
      <c r="C4057" s="3">
        <v>8115271830505</v>
      </c>
      <c r="D4057" s="2">
        <v>44655.65625</v>
      </c>
      <c r="E4057" s="2">
        <v>44655.802083333336</v>
      </c>
      <c r="F4057" s="23">
        <f t="shared" si="189"/>
        <v>0.14583333333575865</v>
      </c>
      <c r="G4057" s="24">
        <f t="shared" si="191"/>
        <v>85.714285712860217</v>
      </c>
      <c r="H4057" s="1" t="s">
        <v>1</v>
      </c>
      <c r="I4057" s="4" t="s">
        <v>3</v>
      </c>
      <c r="J4057" s="14">
        <v>0.65625</v>
      </c>
      <c r="K4057" s="20" t="str">
        <f t="shared" si="190"/>
        <v>2nd Shift</v>
      </c>
    </row>
    <row r="4058" spans="1:11" x14ac:dyDescent="0.25">
      <c r="A4058" s="1">
        <v>4057</v>
      </c>
      <c r="B4058" s="1">
        <v>7</v>
      </c>
      <c r="C4058" s="3">
        <v>7115271760901</v>
      </c>
      <c r="D4058" s="2">
        <v>44655.65625</v>
      </c>
      <c r="E4058" s="2">
        <v>44655.802083333336</v>
      </c>
      <c r="F4058" s="23">
        <f t="shared" si="189"/>
        <v>0.14583333333575865</v>
      </c>
      <c r="G4058" s="24">
        <f t="shared" si="191"/>
        <v>85.714285712860217</v>
      </c>
      <c r="H4058" s="1" t="s">
        <v>1</v>
      </c>
      <c r="I4058" s="4" t="s">
        <v>3</v>
      </c>
      <c r="J4058" s="14">
        <v>0.65625</v>
      </c>
      <c r="K4058" s="20" t="str">
        <f t="shared" si="190"/>
        <v>2nd Shift</v>
      </c>
    </row>
    <row r="4059" spans="1:11" x14ac:dyDescent="0.25">
      <c r="A4059" s="1">
        <v>4058</v>
      </c>
      <c r="B4059" s="1">
        <v>12</v>
      </c>
      <c r="C4059" s="3">
        <v>12115271560188</v>
      </c>
      <c r="D4059" s="2">
        <v>44655.826388888891</v>
      </c>
      <c r="E4059" s="2">
        <v>44655.854166666664</v>
      </c>
      <c r="F4059" s="23">
        <f t="shared" si="189"/>
        <v>2.7777777773735579E-2</v>
      </c>
      <c r="G4059" s="24">
        <f t="shared" si="191"/>
        <v>450.00000006548362</v>
      </c>
      <c r="H4059" s="1" t="s">
        <v>1</v>
      </c>
      <c r="I4059" s="4" t="s">
        <v>2</v>
      </c>
      <c r="J4059" s="14">
        <v>0.82638888888888884</v>
      </c>
      <c r="K4059" s="20" t="str">
        <f t="shared" si="190"/>
        <v>2nd Shift</v>
      </c>
    </row>
    <row r="4060" spans="1:11" x14ac:dyDescent="0.25">
      <c r="A4060" s="1">
        <v>4059</v>
      </c>
      <c r="B4060" s="1">
        <v>10</v>
      </c>
      <c r="C4060" s="3">
        <v>10115270954401</v>
      </c>
      <c r="D4060" s="2">
        <v>44655.826388888891</v>
      </c>
      <c r="E4060" s="2">
        <v>44655.854166666664</v>
      </c>
      <c r="F4060" s="23">
        <f t="shared" si="189"/>
        <v>2.7777777773735579E-2</v>
      </c>
      <c r="G4060" s="24">
        <f t="shared" si="191"/>
        <v>450.00000006548362</v>
      </c>
      <c r="H4060" s="1" t="s">
        <v>1</v>
      </c>
      <c r="I4060" s="4" t="s">
        <v>2</v>
      </c>
      <c r="J4060" s="14">
        <v>0.82638888888888884</v>
      </c>
      <c r="K4060" s="20" t="str">
        <f t="shared" si="190"/>
        <v>2nd Shift</v>
      </c>
    </row>
    <row r="4061" spans="1:11" x14ac:dyDescent="0.25">
      <c r="A4061" s="1">
        <v>4060</v>
      </c>
      <c r="B4061" s="1">
        <v>11</v>
      </c>
      <c r="C4061" s="3">
        <v>11115271552507</v>
      </c>
      <c r="D4061" s="2">
        <v>44655.989583333336</v>
      </c>
      <c r="E4061" s="2">
        <v>44656.017361111109</v>
      </c>
      <c r="F4061" s="23">
        <f t="shared" si="189"/>
        <v>2.7777777773735579E-2</v>
      </c>
      <c r="G4061" s="24">
        <f t="shared" si="191"/>
        <v>450.00000006548362</v>
      </c>
      <c r="H4061" s="1" t="s">
        <v>1</v>
      </c>
      <c r="I4061" s="4" t="s">
        <v>2</v>
      </c>
      <c r="J4061" s="14">
        <v>0.98958333333333337</v>
      </c>
      <c r="K4061" s="20" t="str">
        <f t="shared" si="190"/>
        <v>3rd Shift</v>
      </c>
    </row>
    <row r="4062" spans="1:11" x14ac:dyDescent="0.25">
      <c r="A4062" s="1">
        <v>4061</v>
      </c>
      <c r="B4062" s="1">
        <v>13</v>
      </c>
      <c r="C4062" s="3">
        <v>13115271602205</v>
      </c>
      <c r="D4062" s="2">
        <v>44656.052083333336</v>
      </c>
      <c r="E4062" s="2">
        <v>44656.097222222219</v>
      </c>
      <c r="F4062" s="23">
        <f t="shared" si="189"/>
        <v>4.5138888883229811E-2</v>
      </c>
      <c r="G4062" s="24">
        <f t="shared" si="191"/>
        <v>276.92307695779488</v>
      </c>
      <c r="H4062" s="1" t="s">
        <v>1</v>
      </c>
      <c r="I4062" s="4" t="s">
        <v>3</v>
      </c>
      <c r="J4062" s="14">
        <v>5.2083333333333336E-2</v>
      </c>
      <c r="K4062" s="20" t="str">
        <f t="shared" si="190"/>
        <v>3rd Shift</v>
      </c>
    </row>
    <row r="4063" spans="1:11" x14ac:dyDescent="0.25">
      <c r="A4063" s="1">
        <v>4062</v>
      </c>
      <c r="B4063" s="1">
        <v>12</v>
      </c>
      <c r="C4063" s="3">
        <v>12115271571052</v>
      </c>
      <c r="D4063" s="2">
        <v>44656.395833333336</v>
      </c>
      <c r="E4063" s="2">
        <v>44656.427083333336</v>
      </c>
      <c r="F4063" s="23">
        <f t="shared" si="189"/>
        <v>3.125E-2</v>
      </c>
      <c r="G4063" s="24">
        <f t="shared" si="191"/>
        <v>400</v>
      </c>
      <c r="H4063" s="1" t="s">
        <v>1</v>
      </c>
      <c r="I4063" s="4" t="s">
        <v>3</v>
      </c>
      <c r="J4063" s="14">
        <v>0.39583333333333331</v>
      </c>
      <c r="K4063" s="20" t="str">
        <f t="shared" si="190"/>
        <v>1st Shift</v>
      </c>
    </row>
    <row r="4064" spans="1:11" x14ac:dyDescent="0.25">
      <c r="A4064" s="1">
        <v>4063</v>
      </c>
      <c r="B4064" s="1">
        <v>8</v>
      </c>
      <c r="C4064" s="3">
        <v>8115271820402</v>
      </c>
      <c r="D4064" s="2">
        <v>44656.645833333336</v>
      </c>
      <c r="E4064" s="2">
        <v>44656.791666666664</v>
      </c>
      <c r="F4064" s="23">
        <f t="shared" si="189"/>
        <v>0.14583333332848269</v>
      </c>
      <c r="G4064" s="24">
        <f t="shared" si="191"/>
        <v>85.714285717136704</v>
      </c>
      <c r="H4064" s="1" t="s">
        <v>1</v>
      </c>
      <c r="I4064" s="4" t="s">
        <v>3</v>
      </c>
      <c r="J4064" s="14">
        <v>0.64583333333333337</v>
      </c>
      <c r="K4064" s="20" t="str">
        <f t="shared" si="190"/>
        <v>2nd Shift</v>
      </c>
    </row>
    <row r="4065" spans="1:11" x14ac:dyDescent="0.25">
      <c r="A4065" s="1">
        <v>4064</v>
      </c>
      <c r="B4065" s="1">
        <v>7</v>
      </c>
      <c r="C4065" s="3">
        <v>7115271776011</v>
      </c>
      <c r="D4065" s="2">
        <v>44656.645833333336</v>
      </c>
      <c r="E4065" s="2">
        <v>44656.791666666664</v>
      </c>
      <c r="F4065" s="23">
        <f t="shared" si="189"/>
        <v>0.14583333332848269</v>
      </c>
      <c r="G4065" s="24">
        <f t="shared" si="191"/>
        <v>85.714285717136704</v>
      </c>
      <c r="H4065" s="1" t="s">
        <v>1</v>
      </c>
      <c r="I4065" s="4" t="s">
        <v>2</v>
      </c>
      <c r="J4065" s="14">
        <v>0.64583333333333337</v>
      </c>
      <c r="K4065" s="20" t="str">
        <f t="shared" si="190"/>
        <v>2nd Shift</v>
      </c>
    </row>
    <row r="4066" spans="1:11" x14ac:dyDescent="0.25">
      <c r="A4066" s="1">
        <v>4065</v>
      </c>
      <c r="B4066" s="1">
        <v>5</v>
      </c>
      <c r="C4066" s="3">
        <v>5115271258103</v>
      </c>
      <c r="D4066" s="2">
        <v>44656.645833333336</v>
      </c>
      <c r="E4066" s="2">
        <v>44656.791666666664</v>
      </c>
      <c r="F4066" s="23">
        <f t="shared" si="189"/>
        <v>0.14583333332848269</v>
      </c>
      <c r="G4066" s="24">
        <f t="shared" si="191"/>
        <v>85.714285717136704</v>
      </c>
      <c r="H4066" s="1" t="s">
        <v>1</v>
      </c>
      <c r="I4066" s="4" t="s">
        <v>3</v>
      </c>
      <c r="J4066" s="14">
        <v>0.64583333333333337</v>
      </c>
      <c r="K4066" s="20" t="str">
        <f t="shared" si="190"/>
        <v>2nd Shift</v>
      </c>
    </row>
    <row r="4067" spans="1:11" x14ac:dyDescent="0.25">
      <c r="A4067" s="1">
        <v>4066</v>
      </c>
      <c r="B4067" s="1">
        <v>3</v>
      </c>
      <c r="C4067" s="3">
        <v>3115270306606</v>
      </c>
      <c r="D4067" s="2">
        <v>44656.645833333336</v>
      </c>
      <c r="E4067" s="2">
        <v>44656.791666666664</v>
      </c>
      <c r="F4067" s="23">
        <f t="shared" si="189"/>
        <v>0.14583333332848269</v>
      </c>
      <c r="G4067" s="24">
        <f t="shared" si="191"/>
        <v>85.714285717136704</v>
      </c>
      <c r="H4067" s="1" t="s">
        <v>1</v>
      </c>
      <c r="I4067" s="4" t="s">
        <v>4</v>
      </c>
      <c r="J4067" s="14">
        <v>0.64583333333333337</v>
      </c>
      <c r="K4067" s="20" t="str">
        <f t="shared" si="190"/>
        <v>2nd Shift</v>
      </c>
    </row>
    <row r="4068" spans="1:11" x14ac:dyDescent="0.25">
      <c r="A4068" s="1">
        <v>4067</v>
      </c>
      <c r="B4068" s="1">
        <v>1</v>
      </c>
      <c r="C4068" s="3">
        <v>1115270052501</v>
      </c>
      <c r="D4068" s="2">
        <v>44656.645833333336</v>
      </c>
      <c r="E4068" s="2">
        <v>44656.791666666664</v>
      </c>
      <c r="F4068" s="23">
        <f t="shared" si="189"/>
        <v>0.14583333332848269</v>
      </c>
      <c r="G4068" s="24">
        <f t="shared" si="191"/>
        <v>85.714285717136704</v>
      </c>
      <c r="H4068" s="1" t="s">
        <v>1</v>
      </c>
      <c r="I4068" s="4" t="s">
        <v>4</v>
      </c>
      <c r="J4068" s="14">
        <v>0.64583333333333337</v>
      </c>
      <c r="K4068" s="20" t="str">
        <f t="shared" si="190"/>
        <v>2nd Shift</v>
      </c>
    </row>
    <row r="4069" spans="1:11" x14ac:dyDescent="0.25">
      <c r="A4069" s="1">
        <v>4068</v>
      </c>
      <c r="B4069" s="1">
        <v>6</v>
      </c>
      <c r="C4069" s="3">
        <v>6115271741302</v>
      </c>
      <c r="D4069" s="2">
        <v>44656.930555555555</v>
      </c>
      <c r="E4069" s="2">
        <v>44656.979166666664</v>
      </c>
      <c r="F4069" s="23">
        <f t="shared" si="189"/>
        <v>4.8611111109494232E-2</v>
      </c>
      <c r="G4069" s="24">
        <f t="shared" si="191"/>
        <v>257.14285715141011</v>
      </c>
      <c r="H4069" s="1" t="s">
        <v>1</v>
      </c>
      <c r="I4069" s="4" t="s">
        <v>5</v>
      </c>
      <c r="J4069" s="14">
        <v>0.93055555555555558</v>
      </c>
      <c r="K4069" s="20" t="str">
        <f t="shared" si="190"/>
        <v>3rd Shift</v>
      </c>
    </row>
    <row r="4070" spans="1:11" x14ac:dyDescent="0.25">
      <c r="A4070" s="1">
        <v>4069</v>
      </c>
      <c r="B4070" s="1">
        <v>12</v>
      </c>
      <c r="C4070" s="3">
        <v>12115271572500</v>
      </c>
      <c r="D4070" s="2">
        <v>44656.982638888891</v>
      </c>
      <c r="E4070" s="2">
        <v>44657.013888888891</v>
      </c>
      <c r="F4070" s="23">
        <f t="shared" si="189"/>
        <v>3.125E-2</v>
      </c>
      <c r="G4070" s="24">
        <f t="shared" si="191"/>
        <v>400</v>
      </c>
      <c r="H4070" s="1" t="s">
        <v>1</v>
      </c>
      <c r="I4070" s="4" t="s">
        <v>2</v>
      </c>
      <c r="J4070" s="14">
        <v>0.98263888888888884</v>
      </c>
      <c r="K4070" s="20" t="str">
        <f t="shared" si="190"/>
        <v>3rd Shift</v>
      </c>
    </row>
    <row r="4071" spans="1:11" x14ac:dyDescent="0.25">
      <c r="A4071" s="1">
        <v>4070</v>
      </c>
      <c r="B4071" s="1">
        <v>10</v>
      </c>
      <c r="C4071" s="3">
        <v>10115271960400</v>
      </c>
      <c r="D4071" s="2">
        <v>44657.034722222219</v>
      </c>
      <c r="E4071" s="2">
        <v>44657.0625</v>
      </c>
      <c r="F4071" s="23">
        <f t="shared" si="189"/>
        <v>2.7777777781011537E-2</v>
      </c>
      <c r="G4071" s="24">
        <f t="shared" si="191"/>
        <v>449.99999994761311</v>
      </c>
      <c r="H4071" s="1" t="s">
        <v>1</v>
      </c>
      <c r="I4071" s="4" t="s">
        <v>3</v>
      </c>
      <c r="J4071" s="14">
        <v>3.4722222222222224E-2</v>
      </c>
      <c r="K4071" s="20" t="str">
        <f t="shared" si="190"/>
        <v>3rd Shift</v>
      </c>
    </row>
    <row r="4072" spans="1:11" x14ac:dyDescent="0.25">
      <c r="A4072" s="1">
        <v>4071</v>
      </c>
      <c r="B4072" s="1">
        <v>14</v>
      </c>
      <c r="C4072" s="3">
        <v>14115271703100</v>
      </c>
      <c r="D4072" s="2">
        <v>44657.319444444445</v>
      </c>
      <c r="E4072" s="2">
        <v>44657.395833333336</v>
      </c>
      <c r="F4072" s="23">
        <f t="shared" si="189"/>
        <v>7.6388888890505768E-2</v>
      </c>
      <c r="G4072" s="24">
        <f t="shared" si="191"/>
        <v>163.63636363290004</v>
      </c>
      <c r="H4072" s="1" t="s">
        <v>1</v>
      </c>
      <c r="I4072" s="4" t="s">
        <v>3</v>
      </c>
      <c r="J4072" s="14">
        <v>0.31944444444444442</v>
      </c>
      <c r="K4072" s="20" t="str">
        <f t="shared" si="190"/>
        <v>1st Shift</v>
      </c>
    </row>
    <row r="4073" spans="1:11" x14ac:dyDescent="0.25">
      <c r="A4073" s="1">
        <v>4072</v>
      </c>
      <c r="B4073" s="1">
        <v>12</v>
      </c>
      <c r="C4073" s="3">
        <v>12115271581300</v>
      </c>
      <c r="D4073" s="2">
        <v>44657.319444444445</v>
      </c>
      <c r="E4073" s="2">
        <v>44657.395833333336</v>
      </c>
      <c r="F4073" s="23">
        <f t="shared" si="189"/>
        <v>7.6388888890505768E-2</v>
      </c>
      <c r="G4073" s="24">
        <f t="shared" si="191"/>
        <v>163.63636363290004</v>
      </c>
      <c r="H4073" s="1" t="s">
        <v>1</v>
      </c>
      <c r="I4073" s="4" t="s">
        <v>2</v>
      </c>
      <c r="J4073" s="14">
        <v>0.31944444444444442</v>
      </c>
      <c r="K4073" s="20" t="str">
        <f t="shared" si="190"/>
        <v>1st Shift</v>
      </c>
    </row>
    <row r="4074" spans="1:11" x14ac:dyDescent="0.25">
      <c r="A4074" s="1">
        <v>4073</v>
      </c>
      <c r="B4074" s="1">
        <v>12</v>
      </c>
      <c r="C4074" s="3">
        <v>12115271560315</v>
      </c>
      <c r="D4074" s="2">
        <v>44657.427083333336</v>
      </c>
      <c r="E4074" s="2">
        <v>44657.583333333336</v>
      </c>
      <c r="F4074" s="23">
        <f t="shared" si="189"/>
        <v>0.15625</v>
      </c>
      <c r="G4074" s="24">
        <f t="shared" si="191"/>
        <v>80</v>
      </c>
      <c r="H4074" s="1" t="s">
        <v>1</v>
      </c>
      <c r="I4074" s="4" t="s">
        <v>2</v>
      </c>
      <c r="J4074" s="14">
        <v>0.42708333333333331</v>
      </c>
      <c r="K4074" s="20" t="str">
        <f t="shared" si="190"/>
        <v>1st Shift</v>
      </c>
    </row>
    <row r="4075" spans="1:11" x14ac:dyDescent="0.25">
      <c r="A4075" s="1">
        <v>4074</v>
      </c>
      <c r="B4075" s="1">
        <v>11</v>
      </c>
      <c r="C4075" s="3">
        <v>11115271508900</v>
      </c>
      <c r="D4075" s="2">
        <v>44657.427083333336</v>
      </c>
      <c r="E4075" s="2">
        <v>44657.583333333336</v>
      </c>
      <c r="F4075" s="23">
        <f t="shared" si="189"/>
        <v>0.15625</v>
      </c>
      <c r="G4075" s="24">
        <f t="shared" si="191"/>
        <v>80</v>
      </c>
      <c r="H4075" s="1" t="s">
        <v>1</v>
      </c>
      <c r="I4075" s="4" t="s">
        <v>4</v>
      </c>
      <c r="J4075" s="14">
        <v>0.42708333333333331</v>
      </c>
      <c r="K4075" s="20" t="str">
        <f t="shared" si="190"/>
        <v>1st Shift</v>
      </c>
    </row>
    <row r="4076" spans="1:11" x14ac:dyDescent="0.25">
      <c r="A4076" s="1">
        <v>4075</v>
      </c>
      <c r="B4076" s="1">
        <v>3</v>
      </c>
      <c r="C4076" s="3">
        <v>3115270366901</v>
      </c>
      <c r="D4076" s="2">
        <v>44657.427083333336</v>
      </c>
      <c r="E4076" s="2">
        <v>44657.583333333336</v>
      </c>
      <c r="F4076" s="23">
        <f t="shared" si="189"/>
        <v>0.15625</v>
      </c>
      <c r="G4076" s="24">
        <f t="shared" si="191"/>
        <v>80</v>
      </c>
      <c r="H4076" s="1" t="s">
        <v>1</v>
      </c>
      <c r="I4076" s="4" t="s">
        <v>3</v>
      </c>
      <c r="J4076" s="14">
        <v>0.42708333333333331</v>
      </c>
      <c r="K4076" s="20" t="str">
        <f t="shared" si="190"/>
        <v>1st Shift</v>
      </c>
    </row>
    <row r="4077" spans="1:11" x14ac:dyDescent="0.25">
      <c r="A4077" s="1">
        <v>4076</v>
      </c>
      <c r="B4077" s="1">
        <v>3</v>
      </c>
      <c r="C4077" s="3">
        <v>3115270340700</v>
      </c>
      <c r="D4077" s="2">
        <v>44657.427083333336</v>
      </c>
      <c r="E4077" s="2">
        <v>44657.583333333336</v>
      </c>
      <c r="F4077" s="23">
        <f t="shared" si="189"/>
        <v>0.15625</v>
      </c>
      <c r="G4077" s="24">
        <f t="shared" si="191"/>
        <v>80</v>
      </c>
      <c r="H4077" s="1" t="s">
        <v>1</v>
      </c>
      <c r="I4077" s="4" t="s">
        <v>4</v>
      </c>
      <c r="J4077" s="14">
        <v>0.42708333333333331</v>
      </c>
      <c r="K4077" s="20" t="str">
        <f t="shared" si="190"/>
        <v>1st Shift</v>
      </c>
    </row>
    <row r="4078" spans="1:11" x14ac:dyDescent="0.25">
      <c r="A4078" s="1">
        <v>4077</v>
      </c>
      <c r="B4078" s="1">
        <v>1</v>
      </c>
      <c r="C4078" s="3">
        <v>1115270052301</v>
      </c>
      <c r="D4078" s="2">
        <v>44657.427083333336</v>
      </c>
      <c r="E4078" s="2">
        <v>44657.583333333336</v>
      </c>
      <c r="F4078" s="23">
        <f t="shared" si="189"/>
        <v>0.15625</v>
      </c>
      <c r="G4078" s="24">
        <f t="shared" si="191"/>
        <v>80</v>
      </c>
      <c r="H4078" s="1" t="s">
        <v>1</v>
      </c>
      <c r="I4078" s="4" t="s">
        <v>3</v>
      </c>
      <c r="J4078" s="14">
        <v>0.42708333333333331</v>
      </c>
      <c r="K4078" s="20" t="str">
        <f t="shared" si="190"/>
        <v>1st Shift</v>
      </c>
    </row>
    <row r="4079" spans="1:11" x14ac:dyDescent="0.25">
      <c r="A4079" s="1">
        <v>4078</v>
      </c>
      <c r="B4079" s="1">
        <v>10</v>
      </c>
      <c r="C4079" s="3">
        <v>10115270963400</v>
      </c>
      <c r="D4079" s="2">
        <v>44657.802083333336</v>
      </c>
      <c r="E4079" s="2">
        <v>44657.854166666664</v>
      </c>
      <c r="F4079" s="23">
        <f t="shared" si="189"/>
        <v>5.2083333328482695E-2</v>
      </c>
      <c r="G4079" s="24">
        <f t="shared" si="191"/>
        <v>240.00000002235174</v>
      </c>
      <c r="H4079" s="1" t="s">
        <v>1</v>
      </c>
      <c r="I4079" s="4" t="s">
        <v>3</v>
      </c>
      <c r="J4079" s="14">
        <v>0.80208333333333337</v>
      </c>
      <c r="K4079" s="20" t="str">
        <f t="shared" si="190"/>
        <v>2nd Shift</v>
      </c>
    </row>
    <row r="4080" spans="1:11" x14ac:dyDescent="0.25">
      <c r="A4080" s="1">
        <v>4079</v>
      </c>
      <c r="B4080" s="1">
        <v>8</v>
      </c>
      <c r="C4080" s="3">
        <v>8115271820709</v>
      </c>
      <c r="D4080" s="2">
        <v>44657.701388888891</v>
      </c>
      <c r="E4080" s="2">
        <v>44657.854166666664</v>
      </c>
      <c r="F4080" s="23">
        <f t="shared" si="189"/>
        <v>0.15277777777373558</v>
      </c>
      <c r="G4080" s="24">
        <f t="shared" si="191"/>
        <v>81.818181820346567</v>
      </c>
      <c r="H4080" s="1" t="s">
        <v>1</v>
      </c>
      <c r="I4080" s="4" t="s">
        <v>3</v>
      </c>
      <c r="J4080" s="14">
        <v>0.70138888888888884</v>
      </c>
      <c r="K4080" s="20" t="str">
        <f t="shared" si="190"/>
        <v>2nd Shift</v>
      </c>
    </row>
    <row r="4081" spans="1:11" x14ac:dyDescent="0.25">
      <c r="A4081" s="1">
        <v>4080</v>
      </c>
      <c r="B4081" s="1">
        <v>7</v>
      </c>
      <c r="C4081" s="3">
        <v>7115271760900</v>
      </c>
      <c r="D4081" s="2">
        <v>44657.701388888891</v>
      </c>
      <c r="E4081" s="2">
        <v>44657.854166666664</v>
      </c>
      <c r="F4081" s="23">
        <f t="shared" si="189"/>
        <v>0.15277777777373558</v>
      </c>
      <c r="G4081" s="24">
        <f t="shared" si="191"/>
        <v>81.818181820346567</v>
      </c>
      <c r="H4081" s="1" t="s">
        <v>1</v>
      </c>
      <c r="I4081" s="4" t="s">
        <v>2</v>
      </c>
      <c r="J4081" s="14">
        <v>0.70138888888888884</v>
      </c>
      <c r="K4081" s="20" t="str">
        <f t="shared" si="190"/>
        <v>2nd Shift</v>
      </c>
    </row>
    <row r="4082" spans="1:11" x14ac:dyDescent="0.25">
      <c r="A4082" s="1">
        <v>4081</v>
      </c>
      <c r="B4082" s="1">
        <v>6</v>
      </c>
      <c r="C4082" s="3">
        <v>6115271731400</v>
      </c>
      <c r="D4082" s="2">
        <v>44657.802083333336</v>
      </c>
      <c r="E4082" s="2">
        <v>44657.854166666664</v>
      </c>
      <c r="F4082" s="23">
        <f t="shared" si="189"/>
        <v>5.2083333328482695E-2</v>
      </c>
      <c r="G4082" s="24">
        <f t="shared" si="191"/>
        <v>240.00000002235174</v>
      </c>
      <c r="H4082" s="1" t="s">
        <v>1</v>
      </c>
      <c r="I4082" s="4" t="s">
        <v>2</v>
      </c>
      <c r="J4082" s="14">
        <v>0.80208333333333337</v>
      </c>
      <c r="K4082" s="20" t="str">
        <f t="shared" si="190"/>
        <v>2nd Shift</v>
      </c>
    </row>
    <row r="4083" spans="1:11" x14ac:dyDescent="0.25">
      <c r="A4083" s="1">
        <v>4082</v>
      </c>
      <c r="B4083" s="1">
        <v>4</v>
      </c>
      <c r="C4083" s="3">
        <v>4115270888700</v>
      </c>
      <c r="D4083" s="2">
        <v>44657.701388888891</v>
      </c>
      <c r="E4083" s="2">
        <v>44657.854166666664</v>
      </c>
      <c r="F4083" s="23">
        <f t="shared" si="189"/>
        <v>0.15277777777373558</v>
      </c>
      <c r="G4083" s="24">
        <f t="shared" si="191"/>
        <v>81.818181820346567</v>
      </c>
      <c r="H4083" s="1" t="s">
        <v>1</v>
      </c>
      <c r="I4083" s="4" t="s">
        <v>3</v>
      </c>
      <c r="J4083" s="14">
        <v>0.70138888888888884</v>
      </c>
      <c r="K4083" s="20" t="str">
        <f t="shared" si="190"/>
        <v>2nd Shift</v>
      </c>
    </row>
    <row r="4084" spans="1:11" x14ac:dyDescent="0.25">
      <c r="A4084" s="1">
        <v>4083</v>
      </c>
      <c r="B4084" s="1">
        <v>3</v>
      </c>
      <c r="C4084" s="3">
        <v>3115270386101</v>
      </c>
      <c r="D4084" s="2">
        <v>44657.711805555555</v>
      </c>
      <c r="E4084" s="2">
        <v>44657.854166666664</v>
      </c>
      <c r="F4084" s="23">
        <f t="shared" si="189"/>
        <v>0.14236111110949423</v>
      </c>
      <c r="G4084" s="24">
        <f t="shared" si="191"/>
        <v>87.804878049777741</v>
      </c>
      <c r="H4084" s="1" t="s">
        <v>1</v>
      </c>
      <c r="I4084" s="4" t="s">
        <v>4</v>
      </c>
      <c r="J4084" s="14">
        <v>0.71180555555555558</v>
      </c>
      <c r="K4084" s="20" t="str">
        <f t="shared" si="190"/>
        <v>2nd Shift</v>
      </c>
    </row>
    <row r="4085" spans="1:11" x14ac:dyDescent="0.25">
      <c r="A4085" s="1">
        <v>4084</v>
      </c>
      <c r="B4085" s="1">
        <v>5</v>
      </c>
      <c r="C4085" s="3">
        <v>5115271239202</v>
      </c>
      <c r="D4085" s="2">
        <v>44657.892361111109</v>
      </c>
      <c r="E4085" s="2">
        <v>44657.951388888891</v>
      </c>
      <c r="F4085" s="23">
        <f t="shared" si="189"/>
        <v>5.9027777781011537E-2</v>
      </c>
      <c r="G4085" s="24">
        <f t="shared" si="191"/>
        <v>211.7647058707517</v>
      </c>
      <c r="H4085" s="1" t="s">
        <v>1</v>
      </c>
      <c r="I4085" s="4" t="s">
        <v>3</v>
      </c>
      <c r="J4085" s="14">
        <v>0.89236111111111116</v>
      </c>
      <c r="K4085" s="20" t="str">
        <f t="shared" si="190"/>
        <v>2nd Shift</v>
      </c>
    </row>
    <row r="4086" spans="1:11" x14ac:dyDescent="0.25">
      <c r="A4086" s="1">
        <v>4085</v>
      </c>
      <c r="B4086" s="1">
        <v>13</v>
      </c>
      <c r="C4086" s="3">
        <v>13115271612604</v>
      </c>
      <c r="D4086" s="2">
        <v>44657.9375</v>
      </c>
      <c r="E4086" s="2">
        <v>44657.972222222219</v>
      </c>
      <c r="F4086" s="23">
        <f t="shared" si="189"/>
        <v>3.4722222218988463E-2</v>
      </c>
      <c r="G4086" s="24">
        <f t="shared" si="191"/>
        <v>360.00000003352761</v>
      </c>
      <c r="H4086" s="1" t="s">
        <v>1</v>
      </c>
      <c r="I4086" s="4" t="s">
        <v>8</v>
      </c>
      <c r="J4086" s="14">
        <v>0.9375</v>
      </c>
      <c r="K4086" s="20" t="str">
        <f t="shared" si="190"/>
        <v>3rd Shift</v>
      </c>
    </row>
    <row r="4087" spans="1:11" x14ac:dyDescent="0.25">
      <c r="A4087" s="1">
        <v>4086</v>
      </c>
      <c r="B4087" s="1">
        <v>13</v>
      </c>
      <c r="C4087" s="3">
        <v>13115271591709</v>
      </c>
      <c r="D4087" s="2">
        <v>44657.9375</v>
      </c>
      <c r="E4087" s="2">
        <v>44657.972222222219</v>
      </c>
      <c r="F4087" s="23">
        <f t="shared" si="189"/>
        <v>3.4722222218988463E-2</v>
      </c>
      <c r="G4087" s="24">
        <f t="shared" si="191"/>
        <v>360.00000003352761</v>
      </c>
      <c r="H4087" s="1" t="s">
        <v>1</v>
      </c>
      <c r="I4087" s="4" t="s">
        <v>3</v>
      </c>
      <c r="J4087" s="14">
        <v>0.9375</v>
      </c>
      <c r="K4087" s="20" t="str">
        <f t="shared" si="190"/>
        <v>3rd Shift</v>
      </c>
    </row>
    <row r="4088" spans="1:11" x14ac:dyDescent="0.25">
      <c r="A4088" s="1">
        <v>4087</v>
      </c>
      <c r="B4088" s="1">
        <v>13</v>
      </c>
      <c r="C4088" s="3">
        <v>13115271634302</v>
      </c>
      <c r="D4088" s="2">
        <v>44658.03125</v>
      </c>
      <c r="E4088" s="2">
        <v>44658.09375</v>
      </c>
      <c r="F4088" s="23">
        <f t="shared" si="189"/>
        <v>6.25E-2</v>
      </c>
      <c r="G4088" s="24">
        <f t="shared" si="191"/>
        <v>200</v>
      </c>
      <c r="H4088" s="1" t="s">
        <v>1</v>
      </c>
      <c r="I4088" s="4" t="s">
        <v>3</v>
      </c>
      <c r="J4088" s="14">
        <v>3.125E-2</v>
      </c>
      <c r="K4088" s="20" t="str">
        <f t="shared" si="190"/>
        <v>3rd Shift</v>
      </c>
    </row>
    <row r="4089" spans="1:11" x14ac:dyDescent="0.25">
      <c r="A4089" s="1">
        <v>4088</v>
      </c>
      <c r="B4089" s="1">
        <v>1</v>
      </c>
      <c r="C4089" s="3">
        <v>1115270127500</v>
      </c>
      <c r="D4089" s="2">
        <v>44658.03125</v>
      </c>
      <c r="E4089" s="2">
        <v>44658.09375</v>
      </c>
      <c r="F4089" s="23">
        <f t="shared" si="189"/>
        <v>6.25E-2</v>
      </c>
      <c r="G4089" s="24">
        <f t="shared" si="191"/>
        <v>200</v>
      </c>
      <c r="H4089" s="1" t="s">
        <v>1</v>
      </c>
      <c r="I4089" s="4" t="s">
        <v>3</v>
      </c>
      <c r="J4089" s="14">
        <v>3.125E-2</v>
      </c>
      <c r="K4089" s="20" t="str">
        <f t="shared" si="190"/>
        <v>3rd Shift</v>
      </c>
    </row>
    <row r="4090" spans="1:11" x14ac:dyDescent="0.25">
      <c r="A4090" s="1">
        <v>4089</v>
      </c>
      <c r="B4090" s="1">
        <v>13</v>
      </c>
      <c r="C4090" s="3">
        <v>13115271622300</v>
      </c>
      <c r="D4090" s="2">
        <v>44658.395833333336</v>
      </c>
      <c r="E4090" s="2">
        <v>44658.5625</v>
      </c>
      <c r="F4090" s="23">
        <f t="shared" si="189"/>
        <v>0.16666666666424135</v>
      </c>
      <c r="G4090" s="24">
        <f t="shared" si="191"/>
        <v>75.000000001091394</v>
      </c>
      <c r="H4090" s="1" t="s">
        <v>1</v>
      </c>
      <c r="I4090" s="4" t="s">
        <v>3</v>
      </c>
      <c r="J4090" s="14">
        <v>0.39583333333333331</v>
      </c>
      <c r="K4090" s="20" t="str">
        <f t="shared" si="190"/>
        <v>1st Shift</v>
      </c>
    </row>
    <row r="4091" spans="1:11" x14ac:dyDescent="0.25">
      <c r="A4091" s="1">
        <v>4090</v>
      </c>
      <c r="B4091" s="1">
        <v>12</v>
      </c>
      <c r="C4091" s="3">
        <v>12115271569911</v>
      </c>
      <c r="D4091" s="2">
        <v>44658.444444444445</v>
      </c>
      <c r="E4091" s="2">
        <v>44658.5625</v>
      </c>
      <c r="F4091" s="23">
        <f t="shared" si="189"/>
        <v>0.11805555555474712</v>
      </c>
      <c r="G4091" s="24">
        <f t="shared" si="191"/>
        <v>105.88235294190156</v>
      </c>
      <c r="H4091" s="1" t="s">
        <v>1</v>
      </c>
      <c r="I4091" s="4" t="s">
        <v>2</v>
      </c>
      <c r="J4091" s="14">
        <v>0.44444444444444442</v>
      </c>
      <c r="K4091" s="20" t="str">
        <f t="shared" si="190"/>
        <v>1st Shift</v>
      </c>
    </row>
    <row r="4092" spans="1:11" x14ac:dyDescent="0.25">
      <c r="A4092" s="1">
        <v>4091</v>
      </c>
      <c r="B4092" s="1">
        <v>6</v>
      </c>
      <c r="C4092" s="3">
        <v>6115271703600</v>
      </c>
      <c r="D4092" s="2">
        <v>44658.444444444445</v>
      </c>
      <c r="E4092" s="2">
        <v>44658.5625</v>
      </c>
      <c r="F4092" s="23">
        <f t="shared" si="189"/>
        <v>0.11805555555474712</v>
      </c>
      <c r="G4092" s="24">
        <f t="shared" si="191"/>
        <v>105.88235294190156</v>
      </c>
      <c r="H4092" s="1" t="s">
        <v>1</v>
      </c>
      <c r="I4092" s="4" t="s">
        <v>2</v>
      </c>
      <c r="J4092" s="14">
        <v>0.44444444444444442</v>
      </c>
      <c r="K4092" s="20" t="str">
        <f t="shared" si="190"/>
        <v>1st Shift</v>
      </c>
    </row>
    <row r="4093" spans="1:11" x14ac:dyDescent="0.25">
      <c r="A4093" s="1">
        <v>4092</v>
      </c>
      <c r="B4093" s="1">
        <v>3</v>
      </c>
      <c r="C4093" s="3">
        <v>3115270447600</v>
      </c>
      <c r="D4093" s="2">
        <v>44658.395833333336</v>
      </c>
      <c r="E4093" s="2">
        <v>44658.5625</v>
      </c>
      <c r="F4093" s="23">
        <f t="shared" si="189"/>
        <v>0.16666666666424135</v>
      </c>
      <c r="G4093" s="24">
        <f t="shared" si="191"/>
        <v>75.000000001091394</v>
      </c>
      <c r="H4093" s="1" t="s">
        <v>1</v>
      </c>
      <c r="I4093" s="4" t="s">
        <v>3</v>
      </c>
      <c r="J4093" s="14">
        <v>0.39583333333333331</v>
      </c>
      <c r="K4093" s="20" t="str">
        <f t="shared" si="190"/>
        <v>1st Shift</v>
      </c>
    </row>
    <row r="4094" spans="1:11" x14ac:dyDescent="0.25">
      <c r="A4094" s="1">
        <v>4093</v>
      </c>
      <c r="B4094" s="1">
        <v>3</v>
      </c>
      <c r="C4094" s="3">
        <v>3115270386200</v>
      </c>
      <c r="D4094" s="2">
        <v>44658.395833333336</v>
      </c>
      <c r="E4094" s="2">
        <v>44658.5625</v>
      </c>
      <c r="F4094" s="23">
        <f t="shared" si="189"/>
        <v>0.16666666666424135</v>
      </c>
      <c r="G4094" s="24">
        <f t="shared" si="191"/>
        <v>75.000000001091394</v>
      </c>
      <c r="H4094" s="1" t="s">
        <v>1</v>
      </c>
      <c r="I4094" s="4" t="s">
        <v>2</v>
      </c>
      <c r="J4094" s="14">
        <v>0.39583333333333331</v>
      </c>
      <c r="K4094" s="20" t="str">
        <f t="shared" si="190"/>
        <v>1st Shift</v>
      </c>
    </row>
    <row r="4095" spans="1:11" x14ac:dyDescent="0.25">
      <c r="A4095" s="1">
        <v>4094</v>
      </c>
      <c r="B4095" s="1">
        <v>1</v>
      </c>
      <c r="C4095" s="3">
        <v>1115270139800</v>
      </c>
      <c r="D4095" s="2">
        <v>44658.444444444445</v>
      </c>
      <c r="E4095" s="2">
        <v>44658.5625</v>
      </c>
      <c r="F4095" s="23">
        <f t="shared" si="189"/>
        <v>0.11805555555474712</v>
      </c>
      <c r="G4095" s="24">
        <f t="shared" si="191"/>
        <v>105.88235294190156</v>
      </c>
      <c r="H4095" s="1" t="s">
        <v>1</v>
      </c>
      <c r="I4095" s="4" t="s">
        <v>3</v>
      </c>
      <c r="J4095" s="14">
        <v>0.44444444444444442</v>
      </c>
      <c r="K4095" s="20" t="str">
        <f t="shared" si="190"/>
        <v>1st Shift</v>
      </c>
    </row>
    <row r="4096" spans="1:11" x14ac:dyDescent="0.25">
      <c r="A4096" s="1">
        <v>4095</v>
      </c>
      <c r="B4096" s="1">
        <v>1</v>
      </c>
      <c r="C4096" s="3">
        <v>1115270052501</v>
      </c>
      <c r="D4096" s="2">
        <v>44658.444444444445</v>
      </c>
      <c r="E4096" s="2">
        <v>44658.5625</v>
      </c>
      <c r="F4096" s="23">
        <f t="shared" si="189"/>
        <v>0.11805555555474712</v>
      </c>
      <c r="G4096" s="24">
        <f t="shared" si="191"/>
        <v>105.88235294190156</v>
      </c>
      <c r="H4096" s="1" t="s">
        <v>1</v>
      </c>
      <c r="I4096" s="4" t="s">
        <v>2</v>
      </c>
      <c r="J4096" s="14">
        <v>0.44444444444444442</v>
      </c>
      <c r="K4096" s="20" t="str">
        <f t="shared" si="190"/>
        <v>1st Shift</v>
      </c>
    </row>
    <row r="4097" spans="1:11" x14ac:dyDescent="0.25">
      <c r="A4097" s="1">
        <v>4096</v>
      </c>
      <c r="B4097" s="1">
        <v>14</v>
      </c>
      <c r="C4097" s="3">
        <v>14115271673113</v>
      </c>
      <c r="D4097" s="2">
        <v>44658.669444444444</v>
      </c>
      <c r="E4097" s="2">
        <v>44658.78125</v>
      </c>
      <c r="F4097" s="23">
        <f t="shared" si="189"/>
        <v>0.11180555555620231</v>
      </c>
      <c r="G4097" s="24">
        <f t="shared" si="191"/>
        <v>111.80124223537813</v>
      </c>
      <c r="H4097" s="1" t="s">
        <v>1</v>
      </c>
      <c r="I4097" s="4" t="s">
        <v>3</v>
      </c>
      <c r="J4097" s="14">
        <v>0.6694444444444444</v>
      </c>
      <c r="K4097" s="20" t="str">
        <f t="shared" si="190"/>
        <v>2nd Shift</v>
      </c>
    </row>
    <row r="4098" spans="1:11" x14ac:dyDescent="0.25">
      <c r="A4098" s="1">
        <v>4097</v>
      </c>
      <c r="B4098" s="1">
        <v>10</v>
      </c>
      <c r="C4098" s="3">
        <v>10115271426103</v>
      </c>
      <c r="D4098" s="2">
        <v>44658.642361111109</v>
      </c>
      <c r="E4098" s="2">
        <v>44658.78125</v>
      </c>
      <c r="F4098" s="23">
        <f t="shared" ref="F4098:F4161" si="192">E4098-D4098</f>
        <v>0.13888888889050577</v>
      </c>
      <c r="G4098" s="24">
        <f t="shared" si="191"/>
        <v>89.999999998952262</v>
      </c>
      <c r="H4098" s="1" t="s">
        <v>1</v>
      </c>
      <c r="I4098" s="4" t="s">
        <v>3</v>
      </c>
      <c r="J4098" s="14">
        <v>0.64236111111111116</v>
      </c>
      <c r="K4098" s="20" t="str">
        <f t="shared" ref="K4098:K4161" si="193">IF(AND(J4098&gt;=$M$3,J4098&lt;$M$4),"1st Shift",IF(AND(J4098&gt;=$M$4,J4098&lt;$M$5),"2nd Shift","3rd Shift"))</f>
        <v>2nd Shift</v>
      </c>
    </row>
    <row r="4099" spans="1:11" x14ac:dyDescent="0.25">
      <c r="A4099" s="1">
        <v>4098</v>
      </c>
      <c r="B4099" s="1">
        <v>7</v>
      </c>
      <c r="C4099" s="3">
        <v>7115271783718</v>
      </c>
      <c r="D4099" s="2">
        <v>44658.743055555555</v>
      </c>
      <c r="E4099" s="2">
        <v>44658.78125</v>
      </c>
      <c r="F4099" s="23">
        <f t="shared" si="192"/>
        <v>3.8194444445252884E-2</v>
      </c>
      <c r="G4099" s="24">
        <f t="shared" ref="G4099:G4162" si="194">$M$9/F4099*100</f>
        <v>327.27272726580009</v>
      </c>
      <c r="H4099" s="1" t="s">
        <v>1</v>
      </c>
      <c r="I4099" s="4" t="s">
        <v>3</v>
      </c>
      <c r="J4099" s="14">
        <v>0.74305555555555558</v>
      </c>
      <c r="K4099" s="20" t="str">
        <f t="shared" si="193"/>
        <v>2nd Shift</v>
      </c>
    </row>
    <row r="4100" spans="1:11" x14ac:dyDescent="0.25">
      <c r="A4100" s="1">
        <v>4099</v>
      </c>
      <c r="B4100" s="1">
        <v>7</v>
      </c>
      <c r="C4100" s="3">
        <v>7115271769604</v>
      </c>
      <c r="D4100" s="2">
        <v>44658.729166666664</v>
      </c>
      <c r="E4100" s="2">
        <v>44658.78125</v>
      </c>
      <c r="F4100" s="23">
        <f t="shared" si="192"/>
        <v>5.2083333335758653E-2</v>
      </c>
      <c r="G4100" s="24">
        <f t="shared" si="194"/>
        <v>239.99999998882413</v>
      </c>
      <c r="H4100" s="1" t="s">
        <v>1</v>
      </c>
      <c r="I4100" s="4" t="s">
        <v>3</v>
      </c>
      <c r="J4100" s="14">
        <v>0.72916666666666663</v>
      </c>
      <c r="K4100" s="20" t="str">
        <f t="shared" si="193"/>
        <v>2nd Shift</v>
      </c>
    </row>
    <row r="4101" spans="1:11" x14ac:dyDescent="0.25">
      <c r="A4101" s="1">
        <v>4100</v>
      </c>
      <c r="B4101" s="1">
        <v>2</v>
      </c>
      <c r="C4101" s="3">
        <v>2115270297501</v>
      </c>
      <c r="D4101" s="2">
        <v>44658.642361111109</v>
      </c>
      <c r="E4101" s="2">
        <v>44658.78125</v>
      </c>
      <c r="F4101" s="23">
        <f t="shared" si="192"/>
        <v>0.13888888889050577</v>
      </c>
      <c r="G4101" s="24">
        <f t="shared" si="194"/>
        <v>89.999999998952262</v>
      </c>
      <c r="H4101" s="1" t="s">
        <v>1</v>
      </c>
      <c r="I4101" s="4" t="s">
        <v>3</v>
      </c>
      <c r="J4101" s="14">
        <v>0.64236111111111116</v>
      </c>
      <c r="K4101" s="20" t="str">
        <f t="shared" si="193"/>
        <v>2nd Shift</v>
      </c>
    </row>
    <row r="4102" spans="1:11" x14ac:dyDescent="0.25">
      <c r="A4102" s="1">
        <v>4101</v>
      </c>
      <c r="B4102" s="1">
        <v>2</v>
      </c>
      <c r="C4102" s="3">
        <v>2115270274500</v>
      </c>
      <c r="D4102" s="2">
        <v>44658.989583333336</v>
      </c>
      <c r="E4102" s="2">
        <v>44659.013888888891</v>
      </c>
      <c r="F4102" s="23">
        <f t="shared" si="192"/>
        <v>2.4305555554747116E-2</v>
      </c>
      <c r="G4102" s="24">
        <f t="shared" si="194"/>
        <v>514.28571430282022</v>
      </c>
      <c r="H4102" s="1" t="s">
        <v>1</v>
      </c>
      <c r="I4102" s="4" t="s">
        <v>4</v>
      </c>
      <c r="J4102" s="14">
        <v>0.98958333333333337</v>
      </c>
      <c r="K4102" s="20" t="str">
        <f t="shared" si="193"/>
        <v>3rd Shift</v>
      </c>
    </row>
    <row r="4103" spans="1:11" x14ac:dyDescent="0.25">
      <c r="A4103" s="1">
        <v>4102</v>
      </c>
      <c r="B4103" s="1">
        <v>7</v>
      </c>
      <c r="C4103" s="3">
        <v>7115271777900</v>
      </c>
      <c r="D4103" s="2">
        <v>44659.024305555555</v>
      </c>
      <c r="E4103" s="2">
        <v>44659.048611111109</v>
      </c>
      <c r="F4103" s="23">
        <f t="shared" si="192"/>
        <v>2.4305555554747116E-2</v>
      </c>
      <c r="G4103" s="24">
        <f t="shared" si="194"/>
        <v>514.28571430282022</v>
      </c>
      <c r="H4103" s="1" t="s">
        <v>1</v>
      </c>
      <c r="I4103" s="4" t="s">
        <v>3</v>
      </c>
      <c r="J4103" s="14">
        <v>2.4305555555555556E-2</v>
      </c>
      <c r="K4103" s="20" t="str">
        <f t="shared" si="193"/>
        <v>3rd Shift</v>
      </c>
    </row>
    <row r="4104" spans="1:11" x14ac:dyDescent="0.25">
      <c r="A4104" s="1">
        <v>4103</v>
      </c>
      <c r="B4104" s="1">
        <v>6</v>
      </c>
      <c r="C4104" s="3">
        <v>6115271731602</v>
      </c>
      <c r="D4104" s="2">
        <v>44659.09375</v>
      </c>
      <c r="E4104" s="2">
        <v>44659.138888888891</v>
      </c>
      <c r="F4104" s="23">
        <f t="shared" si="192"/>
        <v>4.5138888890505768E-2</v>
      </c>
      <c r="G4104" s="24">
        <f t="shared" si="194"/>
        <v>276.9230769131575</v>
      </c>
      <c r="H4104" s="1" t="s">
        <v>1</v>
      </c>
      <c r="I4104" s="4" t="s">
        <v>3</v>
      </c>
      <c r="J4104" s="14">
        <v>9.375E-2</v>
      </c>
      <c r="K4104" s="20" t="str">
        <f t="shared" si="193"/>
        <v>3rd Shift</v>
      </c>
    </row>
    <row r="4105" spans="1:11" x14ac:dyDescent="0.25">
      <c r="A4105" s="1">
        <v>4104</v>
      </c>
      <c r="B4105" s="1">
        <v>11</v>
      </c>
      <c r="C4105" s="3">
        <v>11115271552302</v>
      </c>
      <c r="D4105" s="2">
        <v>44659.336805555555</v>
      </c>
      <c r="E4105" s="2">
        <v>44659.395833333336</v>
      </c>
      <c r="F4105" s="23">
        <f t="shared" si="192"/>
        <v>5.9027777781011537E-2</v>
      </c>
      <c r="G4105" s="24">
        <f t="shared" si="194"/>
        <v>211.7647058707517</v>
      </c>
      <c r="H4105" s="1" t="s">
        <v>1</v>
      </c>
      <c r="I4105" s="4" t="s">
        <v>2</v>
      </c>
      <c r="J4105" s="14">
        <v>0.33680555555555558</v>
      </c>
      <c r="K4105" s="20" t="str">
        <f t="shared" si="193"/>
        <v>1st Shift</v>
      </c>
    </row>
    <row r="4106" spans="1:11" x14ac:dyDescent="0.25">
      <c r="A4106" s="1">
        <v>4105</v>
      </c>
      <c r="B4106" s="1">
        <v>8</v>
      </c>
      <c r="C4106" s="3">
        <v>8115271809902</v>
      </c>
      <c r="D4106" s="2">
        <v>44659.336805555555</v>
      </c>
      <c r="E4106" s="2">
        <v>44659.395833333336</v>
      </c>
      <c r="F4106" s="23">
        <f t="shared" si="192"/>
        <v>5.9027777781011537E-2</v>
      </c>
      <c r="G4106" s="24">
        <f t="shared" si="194"/>
        <v>211.7647058707517</v>
      </c>
      <c r="H4106" s="1" t="s">
        <v>1</v>
      </c>
      <c r="I4106" s="4" t="s">
        <v>3</v>
      </c>
      <c r="J4106" s="14">
        <v>0.33680555555555558</v>
      </c>
      <c r="K4106" s="20" t="str">
        <f t="shared" si="193"/>
        <v>1st Shift</v>
      </c>
    </row>
    <row r="4107" spans="1:11" x14ac:dyDescent="0.25">
      <c r="A4107" s="1">
        <v>4106</v>
      </c>
      <c r="B4107" s="1">
        <v>5</v>
      </c>
      <c r="C4107" s="3">
        <v>5115271673200</v>
      </c>
      <c r="D4107" s="2">
        <v>44659.336805555555</v>
      </c>
      <c r="E4107" s="2">
        <v>44659.395833333336</v>
      </c>
      <c r="F4107" s="23">
        <f t="shared" si="192"/>
        <v>5.9027777781011537E-2</v>
      </c>
      <c r="G4107" s="24">
        <f t="shared" si="194"/>
        <v>211.7647058707517</v>
      </c>
      <c r="H4107" s="1" t="s">
        <v>1</v>
      </c>
      <c r="I4107" s="4" t="s">
        <v>3</v>
      </c>
      <c r="J4107" s="14">
        <v>0.33680555555555558</v>
      </c>
      <c r="K4107" s="20" t="str">
        <f t="shared" si="193"/>
        <v>1st Shift</v>
      </c>
    </row>
    <row r="4108" spans="1:11" x14ac:dyDescent="0.25">
      <c r="A4108" s="1">
        <v>4107</v>
      </c>
      <c r="B4108" s="1">
        <v>13</v>
      </c>
      <c r="C4108" s="3">
        <v>13115271635904</v>
      </c>
      <c r="D4108" s="2">
        <v>44659.489583333336</v>
      </c>
      <c r="E4108" s="2">
        <v>44659.614583333336</v>
      </c>
      <c r="F4108" s="23">
        <f t="shared" si="192"/>
        <v>0.125</v>
      </c>
      <c r="G4108" s="24">
        <f t="shared" si="194"/>
        <v>100</v>
      </c>
      <c r="H4108" s="1" t="s">
        <v>1</v>
      </c>
      <c r="I4108" s="4" t="s">
        <v>2</v>
      </c>
      <c r="J4108" s="14">
        <v>0.48958333333333331</v>
      </c>
      <c r="K4108" s="20" t="str">
        <f t="shared" si="193"/>
        <v>1st Shift</v>
      </c>
    </row>
    <row r="4109" spans="1:11" x14ac:dyDescent="0.25">
      <c r="A4109" s="1">
        <v>4108</v>
      </c>
      <c r="B4109" s="1">
        <v>11</v>
      </c>
      <c r="C4109" s="3">
        <v>11115271525500</v>
      </c>
      <c r="D4109" s="2">
        <v>44659.458333333336</v>
      </c>
      <c r="E4109" s="2">
        <v>44659.614583333336</v>
      </c>
      <c r="F4109" s="23">
        <f t="shared" si="192"/>
        <v>0.15625</v>
      </c>
      <c r="G4109" s="24">
        <f t="shared" si="194"/>
        <v>80</v>
      </c>
      <c r="H4109" s="1" t="s">
        <v>1</v>
      </c>
      <c r="I4109" s="4" t="s">
        <v>2</v>
      </c>
      <c r="J4109" s="14">
        <v>0.45833333333333331</v>
      </c>
      <c r="K4109" s="20" t="str">
        <f t="shared" si="193"/>
        <v>1st Shift</v>
      </c>
    </row>
    <row r="4110" spans="1:11" x14ac:dyDescent="0.25">
      <c r="A4110" s="1">
        <v>4109</v>
      </c>
      <c r="B4110" s="1">
        <v>7</v>
      </c>
      <c r="C4110" s="3">
        <v>7115271757000</v>
      </c>
      <c r="D4110" s="2">
        <v>44659.541666666664</v>
      </c>
      <c r="E4110" s="2">
        <v>44659.614583333336</v>
      </c>
      <c r="F4110" s="23">
        <f t="shared" si="192"/>
        <v>7.2916666671517305E-2</v>
      </c>
      <c r="G4110" s="24">
        <f t="shared" si="194"/>
        <v>171.42857141716746</v>
      </c>
      <c r="H4110" s="1" t="s">
        <v>1</v>
      </c>
      <c r="I4110" s="4" t="s">
        <v>3</v>
      </c>
      <c r="J4110" s="14">
        <v>0.54166666666666663</v>
      </c>
      <c r="K4110" s="20" t="str">
        <f t="shared" si="193"/>
        <v>1st Shift</v>
      </c>
    </row>
    <row r="4111" spans="1:11" x14ac:dyDescent="0.25">
      <c r="A4111" s="1">
        <v>4110</v>
      </c>
      <c r="B4111" s="1">
        <v>6</v>
      </c>
      <c r="C4111" s="3">
        <v>6115271703600</v>
      </c>
      <c r="D4111" s="2">
        <v>44659.541666666664</v>
      </c>
      <c r="E4111" s="2">
        <v>44659.614583333336</v>
      </c>
      <c r="F4111" s="23">
        <f t="shared" si="192"/>
        <v>7.2916666671517305E-2</v>
      </c>
      <c r="G4111" s="24">
        <f t="shared" si="194"/>
        <v>171.42857141716746</v>
      </c>
      <c r="H4111" s="1" t="s">
        <v>1</v>
      </c>
      <c r="I4111" s="4" t="s">
        <v>2</v>
      </c>
      <c r="J4111" s="14">
        <v>0.54166666666666663</v>
      </c>
      <c r="K4111" s="20" t="str">
        <f t="shared" si="193"/>
        <v>1st Shift</v>
      </c>
    </row>
    <row r="4112" spans="1:11" x14ac:dyDescent="0.25">
      <c r="A4112" s="1">
        <v>4111</v>
      </c>
      <c r="B4112" s="1">
        <v>5</v>
      </c>
      <c r="C4112" s="3">
        <v>5115271259502</v>
      </c>
      <c r="D4112" s="2">
        <v>44659.489583333336</v>
      </c>
      <c r="E4112" s="2">
        <v>44659.614583333336</v>
      </c>
      <c r="F4112" s="23">
        <f t="shared" si="192"/>
        <v>0.125</v>
      </c>
      <c r="G4112" s="24">
        <f t="shared" si="194"/>
        <v>100</v>
      </c>
      <c r="H4112" s="1" t="s">
        <v>1</v>
      </c>
      <c r="I4112" s="4" t="s">
        <v>2</v>
      </c>
      <c r="J4112" s="14">
        <v>0.48958333333333331</v>
      </c>
      <c r="K4112" s="20" t="str">
        <f t="shared" si="193"/>
        <v>1st Shift</v>
      </c>
    </row>
    <row r="4113" spans="1:11" x14ac:dyDescent="0.25">
      <c r="A4113" s="1">
        <v>4112</v>
      </c>
      <c r="B4113" s="1">
        <v>1</v>
      </c>
      <c r="C4113" s="3">
        <v>1115270088200</v>
      </c>
      <c r="D4113" s="2">
        <v>44659.711805555555</v>
      </c>
      <c r="E4113" s="2">
        <v>44659.777777777781</v>
      </c>
      <c r="F4113" s="23">
        <f t="shared" si="192"/>
        <v>6.5972222226264421E-2</v>
      </c>
      <c r="G4113" s="24">
        <f t="shared" si="194"/>
        <v>189.47368419891703</v>
      </c>
      <c r="H4113" s="1" t="s">
        <v>1</v>
      </c>
      <c r="I4113" s="4" t="s">
        <v>2</v>
      </c>
      <c r="J4113" s="14">
        <v>0.71180555555555558</v>
      </c>
      <c r="K4113" s="20" t="str">
        <f t="shared" si="193"/>
        <v>2nd Shift</v>
      </c>
    </row>
    <row r="4114" spans="1:11" x14ac:dyDescent="0.25">
      <c r="A4114" s="1">
        <v>4113</v>
      </c>
      <c r="B4114" s="1">
        <v>1</v>
      </c>
      <c r="C4114" s="3">
        <v>1115270054502</v>
      </c>
      <c r="D4114" s="2">
        <v>44659.711805555555</v>
      </c>
      <c r="E4114" s="2">
        <v>44659.777777777781</v>
      </c>
      <c r="F4114" s="23">
        <f t="shared" si="192"/>
        <v>6.5972222226264421E-2</v>
      </c>
      <c r="G4114" s="24">
        <f t="shared" si="194"/>
        <v>189.47368419891703</v>
      </c>
      <c r="H4114" s="1" t="s">
        <v>1</v>
      </c>
      <c r="I4114" s="4" t="s">
        <v>3</v>
      </c>
      <c r="J4114" s="14">
        <v>0.71180555555555558</v>
      </c>
      <c r="K4114" s="20" t="str">
        <f t="shared" si="193"/>
        <v>2nd Shift</v>
      </c>
    </row>
    <row r="4115" spans="1:11" x14ac:dyDescent="0.25">
      <c r="A4115" s="1">
        <v>4114</v>
      </c>
      <c r="B4115" s="1">
        <v>13</v>
      </c>
      <c r="C4115" s="3">
        <v>13115271591705</v>
      </c>
      <c r="D4115" s="2">
        <v>44660.048611111109</v>
      </c>
      <c r="E4115" s="2">
        <v>44660.09375</v>
      </c>
      <c r="F4115" s="23">
        <f t="shared" si="192"/>
        <v>4.5138888890505768E-2</v>
      </c>
      <c r="G4115" s="24">
        <f t="shared" si="194"/>
        <v>276.9230769131575</v>
      </c>
      <c r="H4115" s="1" t="s">
        <v>1</v>
      </c>
      <c r="I4115" s="4" t="s">
        <v>8</v>
      </c>
      <c r="J4115" s="14">
        <v>4.8611111111111112E-2</v>
      </c>
      <c r="K4115" s="20" t="str">
        <f t="shared" si="193"/>
        <v>3rd Shift</v>
      </c>
    </row>
    <row r="4116" spans="1:11" x14ac:dyDescent="0.25">
      <c r="A4116" s="1">
        <v>4115</v>
      </c>
      <c r="B4116" s="1">
        <v>11</v>
      </c>
      <c r="C4116" s="3">
        <v>11115271531105</v>
      </c>
      <c r="D4116" s="2">
        <v>44660.111111111109</v>
      </c>
      <c r="E4116" s="2">
        <v>44660.145833333336</v>
      </c>
      <c r="F4116" s="23">
        <f t="shared" si="192"/>
        <v>3.4722222226264421E-2</v>
      </c>
      <c r="G4116" s="24">
        <f t="shared" si="194"/>
        <v>359.99999995809048</v>
      </c>
      <c r="H4116" s="1" t="s">
        <v>1</v>
      </c>
      <c r="I4116" s="4" t="s">
        <v>3</v>
      </c>
      <c r="J4116" s="14">
        <v>0.1111111111111111</v>
      </c>
      <c r="K4116" s="20" t="str">
        <f t="shared" si="193"/>
        <v>3rd Shift</v>
      </c>
    </row>
    <row r="4117" spans="1:11" x14ac:dyDescent="0.25">
      <c r="A4117" s="1">
        <v>4116</v>
      </c>
      <c r="B4117" s="1">
        <v>12</v>
      </c>
      <c r="C4117" s="3">
        <v>12115271560309</v>
      </c>
      <c r="D4117" s="2">
        <v>44660.416666666664</v>
      </c>
      <c r="E4117" s="2">
        <v>44660.548611111109</v>
      </c>
      <c r="F4117" s="23">
        <f t="shared" si="192"/>
        <v>0.13194444444525288</v>
      </c>
      <c r="G4117" s="24">
        <f t="shared" si="194"/>
        <v>94.736842104682694</v>
      </c>
      <c r="H4117" s="1" t="s">
        <v>1</v>
      </c>
      <c r="I4117" s="4" t="s">
        <v>3</v>
      </c>
      <c r="J4117" s="14">
        <v>0.41666666666666669</v>
      </c>
      <c r="K4117" s="20" t="str">
        <f t="shared" si="193"/>
        <v>1st Shift</v>
      </c>
    </row>
    <row r="4118" spans="1:11" x14ac:dyDescent="0.25">
      <c r="A4118" s="1">
        <v>4117</v>
      </c>
      <c r="B4118" s="1">
        <v>10</v>
      </c>
      <c r="C4118" s="3">
        <v>10115270971901</v>
      </c>
      <c r="D4118" s="2">
        <v>44660.489583333336</v>
      </c>
      <c r="E4118" s="2">
        <v>44660.548611111109</v>
      </c>
      <c r="F4118" s="23">
        <f t="shared" si="192"/>
        <v>5.9027777773735579E-2</v>
      </c>
      <c r="G4118" s="24">
        <f t="shared" si="194"/>
        <v>211.76470589685451</v>
      </c>
      <c r="H4118" s="1" t="s">
        <v>1</v>
      </c>
      <c r="I4118" s="4" t="s">
        <v>2</v>
      </c>
      <c r="J4118" s="14">
        <v>0.48958333333333331</v>
      </c>
      <c r="K4118" s="20" t="str">
        <f t="shared" si="193"/>
        <v>1st Shift</v>
      </c>
    </row>
    <row r="4119" spans="1:11" x14ac:dyDescent="0.25">
      <c r="A4119" s="1">
        <v>4118</v>
      </c>
      <c r="B4119" s="1">
        <v>7</v>
      </c>
      <c r="C4119" s="3">
        <v>7115271766018</v>
      </c>
      <c r="D4119" s="2">
        <v>44660.489583333336</v>
      </c>
      <c r="E4119" s="2">
        <v>44660.548611111109</v>
      </c>
      <c r="F4119" s="23">
        <f t="shared" si="192"/>
        <v>5.9027777773735579E-2</v>
      </c>
      <c r="G4119" s="24">
        <f t="shared" si="194"/>
        <v>211.76470589685451</v>
      </c>
      <c r="H4119" s="1" t="s">
        <v>1</v>
      </c>
      <c r="I4119" s="4" t="s">
        <v>2</v>
      </c>
      <c r="J4119" s="14">
        <v>0.48958333333333331</v>
      </c>
      <c r="K4119" s="20" t="str">
        <f t="shared" si="193"/>
        <v>1st Shift</v>
      </c>
    </row>
    <row r="4120" spans="1:11" x14ac:dyDescent="0.25">
      <c r="A4120" s="1">
        <v>4119</v>
      </c>
      <c r="B4120" s="1">
        <v>1</v>
      </c>
      <c r="C4120" s="3">
        <v>1115270143500</v>
      </c>
      <c r="D4120" s="2">
        <v>44660.447916666664</v>
      </c>
      <c r="E4120" s="2">
        <v>44660.572916666664</v>
      </c>
      <c r="F4120" s="23">
        <f t="shared" si="192"/>
        <v>0.125</v>
      </c>
      <c r="G4120" s="24">
        <f t="shared" si="194"/>
        <v>100</v>
      </c>
      <c r="H4120" s="1" t="s">
        <v>1</v>
      </c>
      <c r="I4120" s="4" t="s">
        <v>3</v>
      </c>
      <c r="J4120" s="14">
        <v>0.44791666666666669</v>
      </c>
      <c r="K4120" s="20" t="str">
        <f t="shared" si="193"/>
        <v>1st Shift</v>
      </c>
    </row>
    <row r="4121" spans="1:11" x14ac:dyDescent="0.25">
      <c r="A4121" s="1">
        <v>4120</v>
      </c>
      <c r="B4121" s="1">
        <v>14</v>
      </c>
      <c r="C4121" s="3">
        <v>14115271681309</v>
      </c>
      <c r="D4121" s="2">
        <v>44660.790972222225</v>
      </c>
      <c r="E4121" s="2">
        <v>44660.913194444445</v>
      </c>
      <c r="F4121" s="23">
        <f t="shared" si="192"/>
        <v>0.12222222222044365</v>
      </c>
      <c r="G4121" s="24">
        <f t="shared" si="194"/>
        <v>102.27272727421554</v>
      </c>
      <c r="H4121" s="1" t="s">
        <v>1</v>
      </c>
      <c r="I4121" s="4" t="s">
        <v>8</v>
      </c>
      <c r="J4121" s="14">
        <v>0.79097222222222219</v>
      </c>
      <c r="K4121" s="20" t="str">
        <f t="shared" si="193"/>
        <v>2nd Shift</v>
      </c>
    </row>
    <row r="4122" spans="1:11" x14ac:dyDescent="0.25">
      <c r="A4122" s="1">
        <v>4121</v>
      </c>
      <c r="B4122" s="1">
        <v>12</v>
      </c>
      <c r="C4122" s="3">
        <v>12115271560148</v>
      </c>
      <c r="D4122" s="2">
        <v>44660.790972222225</v>
      </c>
      <c r="E4122" s="2">
        <v>44660.913194444445</v>
      </c>
      <c r="F4122" s="23">
        <f t="shared" si="192"/>
        <v>0.12222222222044365</v>
      </c>
      <c r="G4122" s="24">
        <f t="shared" si="194"/>
        <v>102.27272727421554</v>
      </c>
      <c r="H4122" s="1" t="s">
        <v>1</v>
      </c>
      <c r="I4122" s="4" t="s">
        <v>3</v>
      </c>
      <c r="J4122" s="14">
        <v>0.79097222222222219</v>
      </c>
      <c r="K4122" s="20" t="str">
        <f t="shared" si="193"/>
        <v>2nd Shift</v>
      </c>
    </row>
    <row r="4123" spans="1:11" x14ac:dyDescent="0.25">
      <c r="A4123" s="1">
        <v>4122</v>
      </c>
      <c r="B4123" s="1">
        <v>10</v>
      </c>
      <c r="C4123" s="3">
        <v>10115271432001</v>
      </c>
      <c r="D4123" s="2">
        <v>44660.708333333336</v>
      </c>
      <c r="E4123" s="2">
        <v>44660.913194444445</v>
      </c>
      <c r="F4123" s="23">
        <f t="shared" si="192"/>
        <v>0.20486111110949423</v>
      </c>
      <c r="G4123" s="24">
        <f t="shared" si="194"/>
        <v>61.016949153023958</v>
      </c>
      <c r="H4123" s="1" t="s">
        <v>1</v>
      </c>
      <c r="I4123" s="4" t="s">
        <v>3</v>
      </c>
      <c r="J4123" s="14">
        <v>0.70833333333333337</v>
      </c>
      <c r="K4123" s="20" t="str">
        <f t="shared" si="193"/>
        <v>2nd Shift</v>
      </c>
    </row>
    <row r="4124" spans="1:11" x14ac:dyDescent="0.25">
      <c r="A4124" s="1">
        <v>4123</v>
      </c>
      <c r="B4124" s="1">
        <v>1</v>
      </c>
      <c r="C4124" s="3">
        <v>1115270122700</v>
      </c>
      <c r="D4124" s="2">
        <v>44660.684027777781</v>
      </c>
      <c r="E4124" s="2">
        <v>44660.913194444445</v>
      </c>
      <c r="F4124" s="23">
        <f t="shared" si="192"/>
        <v>0.22916666666424135</v>
      </c>
      <c r="G4124" s="24">
        <f t="shared" si="194"/>
        <v>54.545454546031813</v>
      </c>
      <c r="H4124" s="1" t="s">
        <v>1</v>
      </c>
      <c r="I4124" s="4" t="s">
        <v>3</v>
      </c>
      <c r="J4124" s="14">
        <v>0.68402777777777779</v>
      </c>
      <c r="K4124" s="20" t="str">
        <f t="shared" si="193"/>
        <v>2nd Shift</v>
      </c>
    </row>
    <row r="4125" spans="1:11" x14ac:dyDescent="0.25">
      <c r="A4125" s="1">
        <v>4124</v>
      </c>
      <c r="B4125" s="1">
        <v>12</v>
      </c>
      <c r="C4125" s="3">
        <v>12115271571070</v>
      </c>
      <c r="D4125" s="2">
        <v>44661.055555555555</v>
      </c>
      <c r="E4125" s="2">
        <v>44661.118055555555</v>
      </c>
      <c r="F4125" s="23">
        <f t="shared" si="192"/>
        <v>6.25E-2</v>
      </c>
      <c r="G4125" s="24">
        <f t="shared" si="194"/>
        <v>200</v>
      </c>
      <c r="H4125" s="1" t="s">
        <v>1</v>
      </c>
      <c r="I4125" s="4" t="s">
        <v>3</v>
      </c>
      <c r="J4125" s="14">
        <v>5.5555555555555552E-2</v>
      </c>
      <c r="K4125" s="20" t="str">
        <f t="shared" si="193"/>
        <v>3rd Shift</v>
      </c>
    </row>
    <row r="4126" spans="1:11" x14ac:dyDescent="0.25">
      <c r="A4126" s="1">
        <v>4125</v>
      </c>
      <c r="B4126" s="1">
        <v>8</v>
      </c>
      <c r="C4126" s="3">
        <v>8115271820700</v>
      </c>
      <c r="D4126" s="2">
        <v>44661.020833333336</v>
      </c>
      <c r="E4126" s="2">
        <v>44661.118055555555</v>
      </c>
      <c r="F4126" s="23">
        <f t="shared" si="192"/>
        <v>9.7222222218988463E-2</v>
      </c>
      <c r="G4126" s="24">
        <f t="shared" si="194"/>
        <v>128.57142857570506</v>
      </c>
      <c r="H4126" s="1" t="s">
        <v>1</v>
      </c>
      <c r="I4126" s="4" t="s">
        <v>8</v>
      </c>
      <c r="J4126" s="14">
        <v>2.0833333333333332E-2</v>
      </c>
      <c r="K4126" s="20" t="str">
        <f t="shared" si="193"/>
        <v>3rd Shift</v>
      </c>
    </row>
    <row r="4127" spans="1:11" x14ac:dyDescent="0.25">
      <c r="A4127" s="1">
        <v>4126</v>
      </c>
      <c r="B4127" s="1">
        <v>3</v>
      </c>
      <c r="C4127" s="3">
        <v>3115270366500</v>
      </c>
      <c r="D4127" s="2">
        <v>44661.145833333336</v>
      </c>
      <c r="E4127" s="2">
        <v>44661.184027777781</v>
      </c>
      <c r="F4127" s="23">
        <f t="shared" si="192"/>
        <v>3.8194444445252884E-2</v>
      </c>
      <c r="G4127" s="24">
        <f t="shared" si="194"/>
        <v>327.27272726580009</v>
      </c>
      <c r="H4127" s="1" t="s">
        <v>1</v>
      </c>
      <c r="I4127" s="4" t="s">
        <v>3</v>
      </c>
      <c r="J4127" s="14">
        <v>0.14583333333333334</v>
      </c>
      <c r="K4127" s="20" t="str">
        <f t="shared" si="193"/>
        <v>3rd Shift</v>
      </c>
    </row>
    <row r="4128" spans="1:11" x14ac:dyDescent="0.25">
      <c r="A4128" s="1">
        <v>4127</v>
      </c>
      <c r="B4128" s="1">
        <v>14</v>
      </c>
      <c r="C4128" s="3">
        <v>14115271672700</v>
      </c>
      <c r="D4128" s="2">
        <v>44661.506944444445</v>
      </c>
      <c r="E4128" s="2">
        <v>44661.614583333336</v>
      </c>
      <c r="F4128" s="23">
        <f t="shared" si="192"/>
        <v>0.10763888889050577</v>
      </c>
      <c r="G4128" s="24">
        <f t="shared" si="194"/>
        <v>116.1290322563201</v>
      </c>
      <c r="H4128" s="1" t="s">
        <v>1</v>
      </c>
      <c r="I4128" s="4" t="s">
        <v>3</v>
      </c>
      <c r="J4128" s="14">
        <v>0.50694444444444442</v>
      </c>
      <c r="K4128" s="20" t="str">
        <f t="shared" si="193"/>
        <v>1st Shift</v>
      </c>
    </row>
    <row r="4129" spans="1:11" x14ac:dyDescent="0.25">
      <c r="A4129" s="1">
        <v>4128</v>
      </c>
      <c r="B4129" s="1">
        <v>13</v>
      </c>
      <c r="C4129" s="3">
        <v>13115271613800</v>
      </c>
      <c r="D4129" s="2">
        <v>44661.40625</v>
      </c>
      <c r="E4129" s="2">
        <v>44661.614583333336</v>
      </c>
      <c r="F4129" s="23">
        <f t="shared" si="192"/>
        <v>0.20833333333575865</v>
      </c>
      <c r="G4129" s="24">
        <f t="shared" si="194"/>
        <v>59.999999999301515</v>
      </c>
      <c r="H4129" s="1" t="s">
        <v>1</v>
      </c>
      <c r="I4129" s="4" t="s">
        <v>3</v>
      </c>
      <c r="J4129" s="14">
        <v>0.40625</v>
      </c>
      <c r="K4129" s="20" t="str">
        <f t="shared" si="193"/>
        <v>1st Shift</v>
      </c>
    </row>
    <row r="4130" spans="1:11" x14ac:dyDescent="0.25">
      <c r="A4130" s="1">
        <v>4129</v>
      </c>
      <c r="B4130" s="1">
        <v>12</v>
      </c>
      <c r="C4130" s="3">
        <v>12115271561615</v>
      </c>
      <c r="D4130" s="2">
        <v>44661.506944444445</v>
      </c>
      <c r="E4130" s="2">
        <v>44661.614583333336</v>
      </c>
      <c r="F4130" s="23">
        <f t="shared" si="192"/>
        <v>0.10763888889050577</v>
      </c>
      <c r="G4130" s="24">
        <f t="shared" si="194"/>
        <v>116.1290322563201</v>
      </c>
      <c r="H4130" s="1" t="s">
        <v>1</v>
      </c>
      <c r="I4130" s="4" t="s">
        <v>2</v>
      </c>
      <c r="J4130" s="14">
        <v>0.50694444444444442</v>
      </c>
      <c r="K4130" s="20" t="str">
        <f t="shared" si="193"/>
        <v>1st Shift</v>
      </c>
    </row>
    <row r="4131" spans="1:11" x14ac:dyDescent="0.25">
      <c r="A4131" s="1">
        <v>4130</v>
      </c>
      <c r="B4131" s="1">
        <v>7</v>
      </c>
      <c r="C4131" s="3">
        <v>7115271793804</v>
      </c>
      <c r="D4131" s="2">
        <v>44661.506944444445</v>
      </c>
      <c r="E4131" s="2">
        <v>44661.614583333336</v>
      </c>
      <c r="F4131" s="23">
        <f t="shared" si="192"/>
        <v>0.10763888889050577</v>
      </c>
      <c r="G4131" s="24">
        <f t="shared" si="194"/>
        <v>116.1290322563201</v>
      </c>
      <c r="H4131" s="1" t="s">
        <v>1</v>
      </c>
      <c r="I4131" s="4" t="s">
        <v>3</v>
      </c>
      <c r="J4131" s="14">
        <v>0.50694444444444442</v>
      </c>
      <c r="K4131" s="20" t="str">
        <f t="shared" si="193"/>
        <v>1st Shift</v>
      </c>
    </row>
    <row r="4132" spans="1:11" x14ac:dyDescent="0.25">
      <c r="A4132" s="1">
        <v>4131</v>
      </c>
      <c r="B4132" s="1">
        <v>7</v>
      </c>
      <c r="C4132" s="3">
        <v>7115271792504</v>
      </c>
      <c r="D4132" s="2">
        <v>44661.552083333336</v>
      </c>
      <c r="E4132" s="2">
        <v>44661.614583333336</v>
      </c>
      <c r="F4132" s="23">
        <f t="shared" si="192"/>
        <v>6.25E-2</v>
      </c>
      <c r="G4132" s="24">
        <f t="shared" si="194"/>
        <v>200</v>
      </c>
      <c r="H4132" s="1" t="s">
        <v>1</v>
      </c>
      <c r="I4132" s="4" t="s">
        <v>2</v>
      </c>
      <c r="J4132" s="14">
        <v>0.55208333333333337</v>
      </c>
      <c r="K4132" s="20" t="str">
        <f t="shared" si="193"/>
        <v>1st Shift</v>
      </c>
    </row>
    <row r="4133" spans="1:11" x14ac:dyDescent="0.25">
      <c r="A4133" s="1">
        <v>4132</v>
      </c>
      <c r="B4133" s="1">
        <v>7</v>
      </c>
      <c r="C4133" s="3">
        <v>7115271783101</v>
      </c>
      <c r="D4133" s="2">
        <v>44661.552083333336</v>
      </c>
      <c r="E4133" s="2">
        <v>44661.614583333336</v>
      </c>
      <c r="F4133" s="23">
        <f t="shared" si="192"/>
        <v>6.25E-2</v>
      </c>
      <c r="G4133" s="24">
        <f t="shared" si="194"/>
        <v>200</v>
      </c>
      <c r="H4133" s="1" t="s">
        <v>1</v>
      </c>
      <c r="I4133" s="4" t="s">
        <v>2</v>
      </c>
      <c r="J4133" s="14">
        <v>0.55208333333333337</v>
      </c>
      <c r="K4133" s="20" t="str">
        <f t="shared" si="193"/>
        <v>1st Shift</v>
      </c>
    </row>
    <row r="4134" spans="1:11" x14ac:dyDescent="0.25">
      <c r="A4134" s="1">
        <v>4133</v>
      </c>
      <c r="B4134" s="1">
        <v>2</v>
      </c>
      <c r="C4134" s="3">
        <v>2115270261500</v>
      </c>
      <c r="D4134" s="2">
        <v>44661.40625</v>
      </c>
      <c r="E4134" s="2">
        <v>44661.614583333336</v>
      </c>
      <c r="F4134" s="23">
        <f t="shared" si="192"/>
        <v>0.20833333333575865</v>
      </c>
      <c r="G4134" s="24">
        <f t="shared" si="194"/>
        <v>59.999999999301515</v>
      </c>
      <c r="H4134" s="1" t="s">
        <v>1</v>
      </c>
      <c r="I4134" s="4" t="s">
        <v>3</v>
      </c>
      <c r="J4134" s="14">
        <v>0.40625</v>
      </c>
      <c r="K4134" s="20" t="str">
        <f t="shared" si="193"/>
        <v>1st Shift</v>
      </c>
    </row>
    <row r="4135" spans="1:11" x14ac:dyDescent="0.25">
      <c r="A4135" s="1">
        <v>4134</v>
      </c>
      <c r="B4135" s="1">
        <v>2</v>
      </c>
      <c r="C4135" s="3">
        <v>2115270199000</v>
      </c>
      <c r="D4135" s="2">
        <v>44661.40625</v>
      </c>
      <c r="E4135" s="2">
        <v>44661.614583333336</v>
      </c>
      <c r="F4135" s="23">
        <f t="shared" si="192"/>
        <v>0.20833333333575865</v>
      </c>
      <c r="G4135" s="24">
        <f t="shared" si="194"/>
        <v>59.999999999301515</v>
      </c>
      <c r="H4135" s="1" t="s">
        <v>1</v>
      </c>
      <c r="I4135" s="4" t="s">
        <v>4</v>
      </c>
      <c r="J4135" s="14">
        <v>0.40625</v>
      </c>
      <c r="K4135" s="20" t="str">
        <f t="shared" si="193"/>
        <v>1st Shift</v>
      </c>
    </row>
    <row r="4136" spans="1:11" x14ac:dyDescent="0.25">
      <c r="A4136" s="1">
        <v>4135</v>
      </c>
      <c r="B4136" s="1">
        <v>2</v>
      </c>
      <c r="C4136" s="3">
        <v>2115270195800</v>
      </c>
      <c r="D4136" s="2">
        <v>44661.40625</v>
      </c>
      <c r="E4136" s="2">
        <v>44661.614583333336</v>
      </c>
      <c r="F4136" s="23">
        <f t="shared" si="192"/>
        <v>0.20833333333575865</v>
      </c>
      <c r="G4136" s="24">
        <f t="shared" si="194"/>
        <v>59.999999999301515</v>
      </c>
      <c r="H4136" s="1" t="s">
        <v>1</v>
      </c>
      <c r="I4136" s="4" t="s">
        <v>3</v>
      </c>
      <c r="J4136" s="14">
        <v>0.40625</v>
      </c>
      <c r="K4136" s="20" t="str">
        <f t="shared" si="193"/>
        <v>1st Shift</v>
      </c>
    </row>
    <row r="4137" spans="1:11" x14ac:dyDescent="0.25">
      <c r="A4137" s="1">
        <v>4136</v>
      </c>
      <c r="B4137" s="1">
        <v>9</v>
      </c>
      <c r="C4137" s="3">
        <v>9115271909400</v>
      </c>
      <c r="D4137" s="2">
        <v>44661.895833333336</v>
      </c>
      <c r="E4137" s="2">
        <v>44661.9375</v>
      </c>
      <c r="F4137" s="23">
        <f t="shared" si="192"/>
        <v>4.1666666664241347E-2</v>
      </c>
      <c r="G4137" s="24">
        <f t="shared" si="194"/>
        <v>300.0000000174623</v>
      </c>
      <c r="H4137" s="1" t="s">
        <v>1</v>
      </c>
      <c r="I4137" s="4" t="s">
        <v>2</v>
      </c>
      <c r="J4137" s="14">
        <v>0.89583333333333337</v>
      </c>
      <c r="K4137" s="20" t="str">
        <f t="shared" si="193"/>
        <v>2nd Shift</v>
      </c>
    </row>
    <row r="4138" spans="1:11" x14ac:dyDescent="0.25">
      <c r="A4138" s="1">
        <v>4137</v>
      </c>
      <c r="B4138" s="1">
        <v>5</v>
      </c>
      <c r="C4138" s="3">
        <v>5115271258100</v>
      </c>
      <c r="D4138" s="2">
        <v>44662.03125</v>
      </c>
      <c r="E4138" s="2">
        <v>44662.0625</v>
      </c>
      <c r="F4138" s="23">
        <f t="shared" si="192"/>
        <v>3.125E-2</v>
      </c>
      <c r="G4138" s="24">
        <f t="shared" si="194"/>
        <v>400</v>
      </c>
      <c r="H4138" s="1" t="s">
        <v>1</v>
      </c>
      <c r="I4138" s="4" t="s">
        <v>2</v>
      </c>
      <c r="J4138" s="14">
        <v>3.125E-2</v>
      </c>
      <c r="K4138" s="20" t="str">
        <f t="shared" si="193"/>
        <v>3rd Shift</v>
      </c>
    </row>
    <row r="4139" spans="1:11" x14ac:dyDescent="0.25">
      <c r="A4139" s="1">
        <v>4138</v>
      </c>
      <c r="B4139" s="1">
        <v>14</v>
      </c>
      <c r="C4139" s="3">
        <v>14115271711501</v>
      </c>
      <c r="D4139" s="2">
        <v>44662.447916666664</v>
      </c>
      <c r="E4139" s="2">
        <v>44662.579861111109</v>
      </c>
      <c r="F4139" s="23">
        <f t="shared" si="192"/>
        <v>0.13194444444525288</v>
      </c>
      <c r="G4139" s="24">
        <f t="shared" si="194"/>
        <v>94.736842104682694</v>
      </c>
      <c r="H4139" s="1" t="s">
        <v>1</v>
      </c>
      <c r="I4139" s="4" t="s">
        <v>3</v>
      </c>
      <c r="J4139" s="14">
        <v>0.44791666666666669</v>
      </c>
      <c r="K4139" s="20" t="str">
        <f t="shared" si="193"/>
        <v>1st Shift</v>
      </c>
    </row>
    <row r="4140" spans="1:11" x14ac:dyDescent="0.25">
      <c r="A4140" s="1">
        <v>4139</v>
      </c>
      <c r="B4140" s="1">
        <v>14</v>
      </c>
      <c r="C4140" s="3">
        <v>14115271672600</v>
      </c>
      <c r="D4140" s="2">
        <v>44662.394444444442</v>
      </c>
      <c r="E4140" s="2">
        <v>44662.579861111109</v>
      </c>
      <c r="F4140" s="23">
        <f t="shared" si="192"/>
        <v>0.18541666666715173</v>
      </c>
      <c r="G4140" s="24">
        <f t="shared" si="194"/>
        <v>67.415730336902286</v>
      </c>
      <c r="H4140" s="1" t="s">
        <v>1</v>
      </c>
      <c r="I4140" s="4" t="s">
        <v>3</v>
      </c>
      <c r="J4140" s="14">
        <v>0.39444444444444443</v>
      </c>
      <c r="K4140" s="20" t="str">
        <f t="shared" si="193"/>
        <v>1st Shift</v>
      </c>
    </row>
    <row r="4141" spans="1:11" x14ac:dyDescent="0.25">
      <c r="A4141" s="1">
        <v>4140</v>
      </c>
      <c r="B4141" s="1">
        <v>13</v>
      </c>
      <c r="C4141" s="3">
        <v>13115271591800</v>
      </c>
      <c r="D4141" s="2">
        <v>44662.552083333336</v>
      </c>
      <c r="E4141" s="2">
        <v>44662.579861111109</v>
      </c>
      <c r="F4141" s="23">
        <f t="shared" si="192"/>
        <v>2.7777777773735579E-2</v>
      </c>
      <c r="G4141" s="24">
        <f t="shared" si="194"/>
        <v>450.00000006548362</v>
      </c>
      <c r="H4141" s="1" t="s">
        <v>1</v>
      </c>
      <c r="I4141" s="4" t="s">
        <v>2</v>
      </c>
      <c r="J4141" s="14">
        <v>0.55208333333333337</v>
      </c>
      <c r="K4141" s="20" t="str">
        <f t="shared" si="193"/>
        <v>1st Shift</v>
      </c>
    </row>
    <row r="4142" spans="1:11" x14ac:dyDescent="0.25">
      <c r="A4142" s="1">
        <v>4141</v>
      </c>
      <c r="B4142" s="1">
        <v>11</v>
      </c>
      <c r="C4142" s="3">
        <v>11115271546201</v>
      </c>
      <c r="D4142" s="2">
        <v>44662.5</v>
      </c>
      <c r="E4142" s="2">
        <v>44662.579861111109</v>
      </c>
      <c r="F4142" s="23">
        <f t="shared" si="192"/>
        <v>7.9861111109494232E-2</v>
      </c>
      <c r="G4142" s="24">
        <f t="shared" si="194"/>
        <v>156.52173913360375</v>
      </c>
      <c r="H4142" s="1" t="s">
        <v>1</v>
      </c>
      <c r="I4142" s="4" t="s">
        <v>2</v>
      </c>
      <c r="J4142" s="14">
        <v>0.5</v>
      </c>
      <c r="K4142" s="20" t="str">
        <f t="shared" si="193"/>
        <v>1st Shift</v>
      </c>
    </row>
    <row r="4143" spans="1:11" x14ac:dyDescent="0.25">
      <c r="A4143" s="1">
        <v>4142</v>
      </c>
      <c r="B4143" s="1">
        <v>10</v>
      </c>
      <c r="C4143" s="3">
        <v>10115271962600</v>
      </c>
      <c r="D4143" s="2">
        <v>44662.5</v>
      </c>
      <c r="E4143" s="2">
        <v>44662.579861111109</v>
      </c>
      <c r="F4143" s="23">
        <f t="shared" si="192"/>
        <v>7.9861111109494232E-2</v>
      </c>
      <c r="G4143" s="24">
        <f t="shared" si="194"/>
        <v>156.52173913360375</v>
      </c>
      <c r="H4143" s="1" t="s">
        <v>1</v>
      </c>
      <c r="I4143" s="4" t="s">
        <v>2</v>
      </c>
      <c r="J4143" s="14">
        <v>0.5</v>
      </c>
      <c r="K4143" s="20" t="str">
        <f t="shared" si="193"/>
        <v>1st Shift</v>
      </c>
    </row>
    <row r="4144" spans="1:11" x14ac:dyDescent="0.25">
      <c r="A4144" s="1">
        <v>4143</v>
      </c>
      <c r="B4144" s="1">
        <v>7</v>
      </c>
      <c r="C4144" s="3">
        <v>7115271769515</v>
      </c>
      <c r="D4144" s="2">
        <v>44662.5</v>
      </c>
      <c r="E4144" s="2">
        <v>44662.579861111109</v>
      </c>
      <c r="F4144" s="23">
        <f t="shared" si="192"/>
        <v>7.9861111109494232E-2</v>
      </c>
      <c r="G4144" s="24">
        <f t="shared" si="194"/>
        <v>156.52173913360375</v>
      </c>
      <c r="H4144" s="1" t="s">
        <v>1</v>
      </c>
      <c r="I4144" s="4" t="s">
        <v>2</v>
      </c>
      <c r="J4144" s="14">
        <v>0.5</v>
      </c>
      <c r="K4144" s="20" t="str">
        <f t="shared" si="193"/>
        <v>1st Shift</v>
      </c>
    </row>
    <row r="4145" spans="1:11" x14ac:dyDescent="0.25">
      <c r="A4145" s="1">
        <v>4144</v>
      </c>
      <c r="B4145" s="1">
        <v>2</v>
      </c>
      <c r="C4145" s="3">
        <v>2115270194600</v>
      </c>
      <c r="D4145" s="2">
        <v>44662.46875</v>
      </c>
      <c r="E4145" s="2">
        <v>44662.579861111109</v>
      </c>
      <c r="F4145" s="23">
        <f t="shared" si="192"/>
        <v>0.11111111110949423</v>
      </c>
      <c r="G4145" s="24">
        <f t="shared" si="194"/>
        <v>112.50000000163709</v>
      </c>
      <c r="H4145" s="1" t="s">
        <v>1</v>
      </c>
      <c r="I4145" s="4" t="s">
        <v>2</v>
      </c>
      <c r="J4145" s="14">
        <v>0.46875</v>
      </c>
      <c r="K4145" s="20" t="str">
        <f t="shared" si="193"/>
        <v>1st Shift</v>
      </c>
    </row>
    <row r="4146" spans="1:11" x14ac:dyDescent="0.25">
      <c r="A4146" s="1">
        <v>4145</v>
      </c>
      <c r="B4146" s="1">
        <v>10</v>
      </c>
      <c r="C4146" s="3">
        <v>10115271960200</v>
      </c>
      <c r="D4146" s="2">
        <v>44662.847916666666</v>
      </c>
      <c r="E4146" s="2">
        <v>44662.927083333336</v>
      </c>
      <c r="F4146" s="23">
        <f t="shared" si="192"/>
        <v>7.9166666670062114E-2</v>
      </c>
      <c r="G4146" s="24">
        <f t="shared" si="194"/>
        <v>157.89473683533316</v>
      </c>
      <c r="H4146" s="1" t="s">
        <v>1</v>
      </c>
      <c r="I4146" s="4" t="s">
        <v>2</v>
      </c>
      <c r="J4146" s="14">
        <v>0.84791666666666665</v>
      </c>
      <c r="K4146" s="20" t="str">
        <f t="shared" si="193"/>
        <v>2nd Shift</v>
      </c>
    </row>
    <row r="4147" spans="1:11" x14ac:dyDescent="0.25">
      <c r="A4147" s="1">
        <v>4146</v>
      </c>
      <c r="B4147" s="1">
        <v>5</v>
      </c>
      <c r="C4147" s="3">
        <v>5115271259502</v>
      </c>
      <c r="D4147" s="2">
        <v>44662.847916666666</v>
      </c>
      <c r="E4147" s="2">
        <v>44662.927083333336</v>
      </c>
      <c r="F4147" s="23">
        <f t="shared" si="192"/>
        <v>7.9166666670062114E-2</v>
      </c>
      <c r="G4147" s="24">
        <f t="shared" si="194"/>
        <v>157.89473683533316</v>
      </c>
      <c r="H4147" s="1" t="s">
        <v>1</v>
      </c>
      <c r="I4147" s="4" t="s">
        <v>2</v>
      </c>
      <c r="J4147" s="14">
        <v>0.84791666666666665</v>
      </c>
      <c r="K4147" s="20" t="str">
        <f t="shared" si="193"/>
        <v>2nd Shift</v>
      </c>
    </row>
    <row r="4148" spans="1:11" x14ac:dyDescent="0.25">
      <c r="A4148" s="1">
        <v>4147</v>
      </c>
      <c r="B4148" s="1">
        <v>4</v>
      </c>
      <c r="C4148" s="3">
        <v>4115270826700</v>
      </c>
      <c r="D4148" s="2">
        <v>44662.847916666666</v>
      </c>
      <c r="E4148" s="2">
        <v>44662.927083333336</v>
      </c>
      <c r="F4148" s="23">
        <f t="shared" si="192"/>
        <v>7.9166666670062114E-2</v>
      </c>
      <c r="G4148" s="24">
        <f t="shared" si="194"/>
        <v>157.89473683533316</v>
      </c>
      <c r="H4148" s="1" t="s">
        <v>1</v>
      </c>
      <c r="I4148" s="4" t="s">
        <v>8</v>
      </c>
      <c r="J4148" s="14">
        <v>0.84791666666666665</v>
      </c>
      <c r="K4148" s="20" t="str">
        <f t="shared" si="193"/>
        <v>2nd Shift</v>
      </c>
    </row>
    <row r="4149" spans="1:11" x14ac:dyDescent="0.25">
      <c r="A4149" s="1">
        <v>4148</v>
      </c>
      <c r="B4149" s="1">
        <v>3</v>
      </c>
      <c r="C4149" s="3">
        <v>3115270340700</v>
      </c>
      <c r="D4149" s="2">
        <v>44662.847916666666</v>
      </c>
      <c r="E4149" s="2">
        <v>44662.927083333336</v>
      </c>
      <c r="F4149" s="23">
        <f t="shared" si="192"/>
        <v>7.9166666670062114E-2</v>
      </c>
      <c r="G4149" s="24">
        <f t="shared" si="194"/>
        <v>157.89473683533316</v>
      </c>
      <c r="H4149" s="1" t="s">
        <v>1</v>
      </c>
      <c r="I4149" s="4" t="s">
        <v>2</v>
      </c>
      <c r="J4149" s="14">
        <v>0.84791666666666665</v>
      </c>
      <c r="K4149" s="20" t="str">
        <f t="shared" si="193"/>
        <v>2nd Shift</v>
      </c>
    </row>
    <row r="4150" spans="1:11" x14ac:dyDescent="0.25">
      <c r="A4150" s="1">
        <v>4149</v>
      </c>
      <c r="B4150" s="1">
        <v>7</v>
      </c>
      <c r="C4150" s="3">
        <v>7115271769701</v>
      </c>
      <c r="D4150" s="2">
        <v>44663.000011574077</v>
      </c>
      <c r="E4150" s="2">
        <v>44663.020833333336</v>
      </c>
      <c r="F4150" s="23">
        <f t="shared" si="192"/>
        <v>2.0821759258979E-2</v>
      </c>
      <c r="G4150" s="24">
        <f t="shared" si="194"/>
        <v>600.3335186295368</v>
      </c>
      <c r="H4150" s="1" t="s">
        <v>1</v>
      </c>
      <c r="I4150" s="4" t="s">
        <v>3</v>
      </c>
      <c r="J4150" s="14">
        <v>1.1574074074074073E-5</v>
      </c>
      <c r="K4150" s="20" t="str">
        <f t="shared" si="193"/>
        <v>3rd Shift</v>
      </c>
    </row>
    <row r="4151" spans="1:11" x14ac:dyDescent="0.25">
      <c r="A4151" s="1">
        <v>4150</v>
      </c>
      <c r="B4151" s="1">
        <v>14</v>
      </c>
      <c r="C4151" s="3">
        <v>14115271693305</v>
      </c>
      <c r="D4151" s="2">
        <v>44663.052083333336</v>
      </c>
      <c r="E4151" s="2">
        <v>44663.104166666664</v>
      </c>
      <c r="F4151" s="23">
        <f t="shared" si="192"/>
        <v>5.2083333328482695E-2</v>
      </c>
      <c r="G4151" s="24">
        <f t="shared" si="194"/>
        <v>240.00000002235174</v>
      </c>
      <c r="H4151" s="1" t="s">
        <v>1</v>
      </c>
      <c r="I4151" s="4" t="s">
        <v>3</v>
      </c>
      <c r="J4151" s="14">
        <v>5.2083333333333336E-2</v>
      </c>
      <c r="K4151" s="20" t="str">
        <f t="shared" si="193"/>
        <v>3rd Shift</v>
      </c>
    </row>
    <row r="4152" spans="1:11" x14ac:dyDescent="0.25">
      <c r="A4152" s="1">
        <v>4151</v>
      </c>
      <c r="B4152" s="1">
        <v>3</v>
      </c>
      <c r="C4152" s="3">
        <v>3115270350300</v>
      </c>
      <c r="D4152" s="2">
        <v>44663.052083333336</v>
      </c>
      <c r="E4152" s="2">
        <v>44663.104166666664</v>
      </c>
      <c r="F4152" s="23">
        <f t="shared" si="192"/>
        <v>5.2083333328482695E-2</v>
      </c>
      <c r="G4152" s="24">
        <f t="shared" si="194"/>
        <v>240.00000002235174</v>
      </c>
      <c r="H4152" s="1" t="s">
        <v>1</v>
      </c>
      <c r="I4152" s="4" t="s">
        <v>3</v>
      </c>
      <c r="J4152" s="14">
        <v>5.2083333333333336E-2</v>
      </c>
      <c r="K4152" s="20" t="str">
        <f t="shared" si="193"/>
        <v>3rd Shift</v>
      </c>
    </row>
    <row r="4153" spans="1:11" x14ac:dyDescent="0.25">
      <c r="A4153" s="1">
        <v>4152</v>
      </c>
      <c r="B4153" s="1">
        <v>2</v>
      </c>
      <c r="C4153" s="3">
        <v>2115270185100</v>
      </c>
      <c r="D4153" s="2">
        <v>44663.451388888891</v>
      </c>
      <c r="E4153" s="2">
        <v>44663.506944444445</v>
      </c>
      <c r="F4153" s="23">
        <f t="shared" si="192"/>
        <v>5.5555555554747116E-2</v>
      </c>
      <c r="G4153" s="24">
        <f t="shared" si="194"/>
        <v>225.00000000327418</v>
      </c>
      <c r="H4153" s="1" t="s">
        <v>1</v>
      </c>
      <c r="I4153" s="4" t="s">
        <v>3</v>
      </c>
      <c r="J4153" s="14">
        <v>0.4513888888888889</v>
      </c>
      <c r="K4153" s="20" t="str">
        <f t="shared" si="193"/>
        <v>1st Shift</v>
      </c>
    </row>
    <row r="4154" spans="1:11" x14ac:dyDescent="0.25">
      <c r="A4154" s="1">
        <v>4153</v>
      </c>
      <c r="B4154" s="1">
        <v>1</v>
      </c>
      <c r="C4154" s="3">
        <v>1115270109700</v>
      </c>
      <c r="D4154" s="2">
        <v>44663.404861111114</v>
      </c>
      <c r="E4154" s="2">
        <v>44663.465277777781</v>
      </c>
      <c r="F4154" s="23">
        <f t="shared" si="192"/>
        <v>6.0416666667151731E-2</v>
      </c>
      <c r="G4154" s="24">
        <f t="shared" si="194"/>
        <v>206.89655172247683</v>
      </c>
      <c r="H4154" s="1" t="s">
        <v>1</v>
      </c>
      <c r="I4154" s="4" t="s">
        <v>2</v>
      </c>
      <c r="J4154" s="14">
        <v>0.40486111111111112</v>
      </c>
      <c r="K4154" s="20" t="str">
        <f t="shared" si="193"/>
        <v>1st Shift</v>
      </c>
    </row>
    <row r="4155" spans="1:11" x14ac:dyDescent="0.25">
      <c r="A4155" s="1">
        <v>4154</v>
      </c>
      <c r="B4155" s="1">
        <v>13</v>
      </c>
      <c r="C4155" s="3">
        <v>13115271591904</v>
      </c>
      <c r="D4155" s="2">
        <v>44663.482638888891</v>
      </c>
      <c r="E4155" s="2">
        <v>44663.531944444447</v>
      </c>
      <c r="F4155" s="23">
        <f t="shared" si="192"/>
        <v>4.9305555556202307E-2</v>
      </c>
      <c r="G4155" s="24">
        <f t="shared" si="194"/>
        <v>253.52112675723788</v>
      </c>
      <c r="H4155" s="1" t="s">
        <v>1</v>
      </c>
      <c r="I4155" s="4" t="s">
        <v>2</v>
      </c>
      <c r="J4155" s="14">
        <v>0.4826388888888889</v>
      </c>
      <c r="K4155" s="20" t="str">
        <f t="shared" si="193"/>
        <v>1st Shift</v>
      </c>
    </row>
    <row r="4156" spans="1:11" x14ac:dyDescent="0.25">
      <c r="A4156" s="1">
        <v>4155</v>
      </c>
      <c r="B4156" s="1">
        <v>7</v>
      </c>
      <c r="C4156" s="3">
        <v>7115271778100</v>
      </c>
      <c r="D4156" s="2">
        <v>44663.708333333336</v>
      </c>
      <c r="E4156" s="2">
        <v>44663.75</v>
      </c>
      <c r="F4156" s="23">
        <f t="shared" si="192"/>
        <v>4.1666666664241347E-2</v>
      </c>
      <c r="G4156" s="24">
        <f t="shared" si="194"/>
        <v>300.0000000174623</v>
      </c>
      <c r="H4156" s="1" t="s">
        <v>1</v>
      </c>
      <c r="I4156" s="4" t="s">
        <v>2</v>
      </c>
      <c r="J4156" s="14">
        <v>0.70833333333333337</v>
      </c>
      <c r="K4156" s="20" t="str">
        <f t="shared" si="193"/>
        <v>2nd Shift</v>
      </c>
    </row>
    <row r="4157" spans="1:11" x14ac:dyDescent="0.25">
      <c r="A4157" s="1">
        <v>4156</v>
      </c>
      <c r="B4157" s="1">
        <v>12</v>
      </c>
      <c r="C4157" s="3">
        <v>12115271566601</v>
      </c>
      <c r="D4157" s="2">
        <v>44663.78125</v>
      </c>
      <c r="E4157" s="2">
        <v>44663.8125</v>
      </c>
      <c r="F4157" s="23">
        <f t="shared" si="192"/>
        <v>3.125E-2</v>
      </c>
      <c r="G4157" s="24">
        <f t="shared" si="194"/>
        <v>400</v>
      </c>
      <c r="H4157" s="1" t="s">
        <v>1</v>
      </c>
      <c r="I4157" s="4" t="s">
        <v>2</v>
      </c>
      <c r="J4157" s="14">
        <v>0.78125</v>
      </c>
      <c r="K4157" s="20" t="str">
        <f t="shared" si="193"/>
        <v>2nd Shift</v>
      </c>
    </row>
    <row r="4158" spans="1:11" x14ac:dyDescent="0.25">
      <c r="A4158" s="1">
        <v>4157</v>
      </c>
      <c r="B4158" s="1">
        <v>12</v>
      </c>
      <c r="C4158" s="3">
        <v>12115271560318</v>
      </c>
      <c r="D4158" s="2">
        <v>44663.965277777781</v>
      </c>
      <c r="E4158" s="2">
        <v>44663.996527777781</v>
      </c>
      <c r="F4158" s="23">
        <f t="shared" si="192"/>
        <v>3.125E-2</v>
      </c>
      <c r="G4158" s="24">
        <f t="shared" si="194"/>
        <v>400</v>
      </c>
      <c r="H4158" s="1" t="s">
        <v>1</v>
      </c>
      <c r="I4158" s="4" t="s">
        <v>2</v>
      </c>
      <c r="J4158" s="14">
        <v>0.96527777777777779</v>
      </c>
      <c r="K4158" s="20" t="str">
        <f t="shared" si="193"/>
        <v>3rd Shift</v>
      </c>
    </row>
    <row r="4159" spans="1:11" x14ac:dyDescent="0.25">
      <c r="A4159" s="1">
        <v>4158</v>
      </c>
      <c r="B4159" s="1">
        <v>5</v>
      </c>
      <c r="C4159" s="3">
        <v>5115271682100</v>
      </c>
      <c r="D4159" s="2">
        <v>44664.347222222219</v>
      </c>
      <c r="E4159" s="2">
        <v>44664.392361111109</v>
      </c>
      <c r="F4159" s="23">
        <f t="shared" si="192"/>
        <v>4.5138888890505768E-2</v>
      </c>
      <c r="G4159" s="24">
        <f t="shared" si="194"/>
        <v>276.9230769131575</v>
      </c>
      <c r="H4159" s="1" t="s">
        <v>1</v>
      </c>
      <c r="I4159" s="4" t="s">
        <v>2</v>
      </c>
      <c r="J4159" s="14">
        <v>0.34722222222222221</v>
      </c>
      <c r="K4159" s="20" t="str">
        <f t="shared" si="193"/>
        <v>1st Shift</v>
      </c>
    </row>
    <row r="4160" spans="1:11" x14ac:dyDescent="0.25">
      <c r="A4160" s="1">
        <v>4159</v>
      </c>
      <c r="B4160" s="1">
        <v>14</v>
      </c>
      <c r="C4160" s="3">
        <v>14115271672609</v>
      </c>
      <c r="D4160" s="2">
        <v>44664.472222222219</v>
      </c>
      <c r="E4160" s="2">
        <v>44664.576388888891</v>
      </c>
      <c r="F4160" s="23">
        <f t="shared" si="192"/>
        <v>0.10416666667151731</v>
      </c>
      <c r="G4160" s="24">
        <f t="shared" si="194"/>
        <v>119.99999999441206</v>
      </c>
      <c r="H4160" s="1" t="s">
        <v>1</v>
      </c>
      <c r="I4160" s="4" t="s">
        <v>3</v>
      </c>
      <c r="J4160" s="14">
        <v>0.47222222222222221</v>
      </c>
      <c r="K4160" s="20" t="str">
        <f t="shared" si="193"/>
        <v>1st Shift</v>
      </c>
    </row>
    <row r="4161" spans="1:11" x14ac:dyDescent="0.25">
      <c r="A4161" s="1">
        <v>4160</v>
      </c>
      <c r="B4161" s="1">
        <v>14</v>
      </c>
      <c r="C4161" s="3">
        <v>14115271672605</v>
      </c>
      <c r="D4161" s="2">
        <v>44664.4375</v>
      </c>
      <c r="E4161" s="2">
        <v>44664.576388888891</v>
      </c>
      <c r="F4161" s="23">
        <f t="shared" si="192"/>
        <v>0.13888888889050577</v>
      </c>
      <c r="G4161" s="24">
        <f t="shared" si="194"/>
        <v>89.999999998952262</v>
      </c>
      <c r="H4161" s="1" t="s">
        <v>1</v>
      </c>
      <c r="I4161" s="4" t="s">
        <v>2</v>
      </c>
      <c r="J4161" s="14">
        <v>0.4375</v>
      </c>
      <c r="K4161" s="20" t="str">
        <f t="shared" si="193"/>
        <v>1st Shift</v>
      </c>
    </row>
    <row r="4162" spans="1:11" x14ac:dyDescent="0.25">
      <c r="A4162" s="1">
        <v>4161</v>
      </c>
      <c r="B4162" s="1">
        <v>3</v>
      </c>
      <c r="C4162" s="3">
        <v>3115270365200</v>
      </c>
      <c r="D4162" s="2">
        <v>44664.541666666664</v>
      </c>
      <c r="E4162" s="2">
        <v>44664.576388888891</v>
      </c>
      <c r="F4162" s="23">
        <f t="shared" ref="F4162:F4225" si="195">E4162-D4162</f>
        <v>3.4722222226264421E-2</v>
      </c>
      <c r="G4162" s="24">
        <f t="shared" si="194"/>
        <v>359.99999995809048</v>
      </c>
      <c r="H4162" s="1" t="s">
        <v>1</v>
      </c>
      <c r="I4162" s="4" t="s">
        <v>2</v>
      </c>
      <c r="J4162" s="14">
        <v>0.54166666666666663</v>
      </c>
      <c r="K4162" s="20" t="str">
        <f t="shared" ref="K4162:K4225" si="196">IF(AND(J4162&gt;=$M$3,J4162&lt;$M$4),"1st Shift",IF(AND(J4162&gt;=$M$4,J4162&lt;$M$5),"2nd Shift","3rd Shift"))</f>
        <v>1st Shift</v>
      </c>
    </row>
    <row r="4163" spans="1:11" x14ac:dyDescent="0.25">
      <c r="A4163" s="1">
        <v>4162</v>
      </c>
      <c r="B4163" s="1">
        <v>2</v>
      </c>
      <c r="C4163" s="3">
        <v>2115270291601</v>
      </c>
      <c r="D4163" s="2">
        <v>44664.4375</v>
      </c>
      <c r="E4163" s="2">
        <v>44664.576388888891</v>
      </c>
      <c r="F4163" s="23">
        <f t="shared" si="195"/>
        <v>0.13888888889050577</v>
      </c>
      <c r="G4163" s="24">
        <f t="shared" ref="G4163:G4226" si="197">$M$9/F4163*100</f>
        <v>89.999999998952262</v>
      </c>
      <c r="H4163" s="1" t="s">
        <v>1</v>
      </c>
      <c r="I4163" s="4" t="s">
        <v>2</v>
      </c>
      <c r="J4163" s="14">
        <v>0.4375</v>
      </c>
      <c r="K4163" s="20" t="str">
        <f t="shared" si="196"/>
        <v>1st Shift</v>
      </c>
    </row>
    <row r="4164" spans="1:11" x14ac:dyDescent="0.25">
      <c r="A4164" s="1">
        <v>4163</v>
      </c>
      <c r="B4164" s="1">
        <v>2</v>
      </c>
      <c r="C4164" s="3">
        <v>2115270263500</v>
      </c>
      <c r="D4164" s="2">
        <v>44664.472222222219</v>
      </c>
      <c r="E4164" s="2">
        <v>44664.576388888891</v>
      </c>
      <c r="F4164" s="23">
        <f t="shared" si="195"/>
        <v>0.10416666667151731</v>
      </c>
      <c r="G4164" s="24">
        <f t="shared" si="197"/>
        <v>119.99999999441206</v>
      </c>
      <c r="H4164" s="1" t="s">
        <v>1</v>
      </c>
      <c r="I4164" s="4" t="s">
        <v>2</v>
      </c>
      <c r="J4164" s="14">
        <v>0.47222222222222221</v>
      </c>
      <c r="K4164" s="20" t="str">
        <f t="shared" si="196"/>
        <v>1st Shift</v>
      </c>
    </row>
    <row r="4165" spans="1:11" x14ac:dyDescent="0.25">
      <c r="A4165" s="1">
        <v>4164</v>
      </c>
      <c r="B4165" s="1">
        <v>2</v>
      </c>
      <c r="C4165" s="3">
        <v>2115270221500</v>
      </c>
      <c r="D4165" s="2">
        <v>44664.413194444445</v>
      </c>
      <c r="E4165" s="2">
        <v>44664.576388888891</v>
      </c>
      <c r="F4165" s="23">
        <f t="shared" si="195"/>
        <v>0.16319444444525288</v>
      </c>
      <c r="G4165" s="24">
        <f t="shared" si="197"/>
        <v>76.595744680471626</v>
      </c>
      <c r="H4165" s="1" t="s">
        <v>1</v>
      </c>
      <c r="I4165" s="4" t="s">
        <v>2</v>
      </c>
      <c r="J4165" s="14">
        <v>0.41319444444444442</v>
      </c>
      <c r="K4165" s="20" t="str">
        <f t="shared" si="196"/>
        <v>1st Shift</v>
      </c>
    </row>
    <row r="4166" spans="1:11" x14ac:dyDescent="0.25">
      <c r="A4166" s="1">
        <v>4165</v>
      </c>
      <c r="B4166" s="1">
        <v>13</v>
      </c>
      <c r="C4166" s="3">
        <v>13115271600209</v>
      </c>
      <c r="D4166" s="2">
        <v>44664.753472222219</v>
      </c>
      <c r="E4166" s="2">
        <v>44664.805555555555</v>
      </c>
      <c r="F4166" s="23">
        <f t="shared" si="195"/>
        <v>5.2083333335758653E-2</v>
      </c>
      <c r="G4166" s="24">
        <f t="shared" si="197"/>
        <v>239.99999998882413</v>
      </c>
      <c r="H4166" s="1" t="s">
        <v>1</v>
      </c>
      <c r="I4166" s="4" t="s">
        <v>2</v>
      </c>
      <c r="J4166" s="14">
        <v>0.75347222222222221</v>
      </c>
      <c r="K4166" s="20" t="str">
        <f t="shared" si="196"/>
        <v>2nd Shift</v>
      </c>
    </row>
    <row r="4167" spans="1:11" x14ac:dyDescent="0.25">
      <c r="A4167" s="1">
        <v>4166</v>
      </c>
      <c r="B4167" s="1">
        <v>3</v>
      </c>
      <c r="C4167" s="3">
        <v>3115270421800</v>
      </c>
      <c r="D4167" s="2">
        <v>44664.753472222219</v>
      </c>
      <c r="E4167" s="2">
        <v>44664.805555555555</v>
      </c>
      <c r="F4167" s="23">
        <f t="shared" si="195"/>
        <v>5.2083333335758653E-2</v>
      </c>
      <c r="G4167" s="24">
        <f t="shared" si="197"/>
        <v>239.99999998882413</v>
      </c>
      <c r="H4167" s="1" t="s">
        <v>1</v>
      </c>
      <c r="I4167" s="4" t="s">
        <v>3</v>
      </c>
      <c r="J4167" s="14">
        <v>0.75347222222222221</v>
      </c>
      <c r="K4167" s="20" t="str">
        <f t="shared" si="196"/>
        <v>2nd Shift</v>
      </c>
    </row>
    <row r="4168" spans="1:11" x14ac:dyDescent="0.25">
      <c r="A4168" s="1">
        <v>4167</v>
      </c>
      <c r="B4168" s="1">
        <v>8</v>
      </c>
      <c r="C4168" s="3">
        <v>8115271825800</v>
      </c>
      <c r="D4168" s="2">
        <v>44664.875</v>
      </c>
      <c r="E4168" s="2">
        <v>44664.909722222219</v>
      </c>
      <c r="F4168" s="23">
        <f t="shared" si="195"/>
        <v>3.4722222218988463E-2</v>
      </c>
      <c r="G4168" s="24">
        <f t="shared" si="197"/>
        <v>360.00000003352761</v>
      </c>
      <c r="H4168" s="1" t="s">
        <v>1</v>
      </c>
      <c r="I4168" s="4" t="s">
        <v>2</v>
      </c>
      <c r="J4168" s="14">
        <v>0.875</v>
      </c>
      <c r="K4168" s="20" t="str">
        <f t="shared" si="196"/>
        <v>2nd Shift</v>
      </c>
    </row>
    <row r="4169" spans="1:11" x14ac:dyDescent="0.25">
      <c r="A4169" s="1">
        <v>4168</v>
      </c>
      <c r="B4169" s="1">
        <v>9</v>
      </c>
      <c r="C4169" s="3">
        <v>9115271934300</v>
      </c>
      <c r="D4169" s="2">
        <v>44665.020833333336</v>
      </c>
      <c r="E4169" s="2">
        <v>44665.059027777781</v>
      </c>
      <c r="F4169" s="23">
        <f t="shared" si="195"/>
        <v>3.8194444445252884E-2</v>
      </c>
      <c r="G4169" s="24">
        <f t="shared" si="197"/>
        <v>327.27272726580009</v>
      </c>
      <c r="H4169" s="1" t="s">
        <v>1</v>
      </c>
      <c r="I4169" s="4" t="s">
        <v>2</v>
      </c>
      <c r="J4169" s="14">
        <v>2.0833333333333332E-2</v>
      </c>
      <c r="K4169" s="20" t="str">
        <f t="shared" si="196"/>
        <v>3rd Shift</v>
      </c>
    </row>
    <row r="4170" spans="1:11" x14ac:dyDescent="0.25">
      <c r="A4170" s="1">
        <v>4169</v>
      </c>
      <c r="B4170" s="1">
        <v>2</v>
      </c>
      <c r="C4170" s="3">
        <v>2115270168000</v>
      </c>
      <c r="D4170" s="2">
        <v>44665.322916666664</v>
      </c>
      <c r="E4170" s="2">
        <v>44665.385416666664</v>
      </c>
      <c r="F4170" s="23">
        <f t="shared" si="195"/>
        <v>6.25E-2</v>
      </c>
      <c r="G4170" s="24">
        <f t="shared" si="197"/>
        <v>200</v>
      </c>
      <c r="H4170" s="1" t="s">
        <v>1</v>
      </c>
      <c r="I4170" s="4" t="s">
        <v>4</v>
      </c>
      <c r="J4170" s="14">
        <v>0.32291666666666669</v>
      </c>
      <c r="K4170" s="20" t="str">
        <f t="shared" si="196"/>
        <v>1st Shift</v>
      </c>
    </row>
    <row r="4171" spans="1:11" x14ac:dyDescent="0.25">
      <c r="A4171" s="1">
        <v>4170</v>
      </c>
      <c r="B4171" s="1">
        <v>14</v>
      </c>
      <c r="C4171" s="3">
        <v>14115271673205</v>
      </c>
      <c r="D4171" s="2">
        <v>44665.416666666664</v>
      </c>
      <c r="E4171" s="2">
        <v>44665.572916666664</v>
      </c>
      <c r="F4171" s="23">
        <f t="shared" si="195"/>
        <v>0.15625</v>
      </c>
      <c r="G4171" s="24">
        <f t="shared" si="197"/>
        <v>80</v>
      </c>
      <c r="H4171" s="1" t="s">
        <v>1</v>
      </c>
      <c r="I4171" s="4" t="s">
        <v>2</v>
      </c>
      <c r="J4171" s="14">
        <v>0.41666666666666669</v>
      </c>
      <c r="K4171" s="20" t="str">
        <f t="shared" si="196"/>
        <v>1st Shift</v>
      </c>
    </row>
    <row r="4172" spans="1:11" x14ac:dyDescent="0.25">
      <c r="A4172" s="1">
        <v>4171</v>
      </c>
      <c r="B4172" s="1">
        <v>11</v>
      </c>
      <c r="C4172" s="3">
        <v>11115271481100</v>
      </c>
      <c r="D4172" s="2">
        <v>44665.416666666664</v>
      </c>
      <c r="E4172" s="2">
        <v>44665.572916666664</v>
      </c>
      <c r="F4172" s="23">
        <f t="shared" si="195"/>
        <v>0.15625</v>
      </c>
      <c r="G4172" s="24">
        <f t="shared" si="197"/>
        <v>80</v>
      </c>
      <c r="H4172" s="1" t="s">
        <v>1</v>
      </c>
      <c r="I4172" s="4" t="s">
        <v>2</v>
      </c>
      <c r="J4172" s="14">
        <v>0.41666666666666669</v>
      </c>
      <c r="K4172" s="20" t="str">
        <f t="shared" si="196"/>
        <v>1st Shift</v>
      </c>
    </row>
    <row r="4173" spans="1:11" x14ac:dyDescent="0.25">
      <c r="A4173" s="1">
        <v>4172</v>
      </c>
      <c r="B4173" s="1">
        <v>8</v>
      </c>
      <c r="C4173" s="3">
        <v>8115271820400</v>
      </c>
      <c r="D4173" s="2">
        <v>44665.416666666664</v>
      </c>
      <c r="E4173" s="2">
        <v>44665.572916666664</v>
      </c>
      <c r="F4173" s="23">
        <f t="shared" si="195"/>
        <v>0.15625</v>
      </c>
      <c r="G4173" s="24">
        <f t="shared" si="197"/>
        <v>80</v>
      </c>
      <c r="H4173" s="1" t="s">
        <v>1</v>
      </c>
      <c r="I4173" s="4" t="s">
        <v>3</v>
      </c>
      <c r="J4173" s="14">
        <v>0.41666666666666669</v>
      </c>
      <c r="K4173" s="20" t="str">
        <f t="shared" si="196"/>
        <v>1st Shift</v>
      </c>
    </row>
    <row r="4174" spans="1:11" x14ac:dyDescent="0.25">
      <c r="A4174" s="1">
        <v>4173</v>
      </c>
      <c r="B4174" s="1">
        <v>7</v>
      </c>
      <c r="C4174" s="3">
        <v>7115271767805</v>
      </c>
      <c r="D4174" s="2">
        <v>44665.416666666664</v>
      </c>
      <c r="E4174" s="2">
        <v>44665.572916666664</v>
      </c>
      <c r="F4174" s="23">
        <f t="shared" si="195"/>
        <v>0.15625</v>
      </c>
      <c r="G4174" s="24">
        <f t="shared" si="197"/>
        <v>80</v>
      </c>
      <c r="H4174" s="1" t="s">
        <v>1</v>
      </c>
      <c r="I4174" s="4" t="s">
        <v>2</v>
      </c>
      <c r="J4174" s="14">
        <v>0.41666666666666669</v>
      </c>
      <c r="K4174" s="20" t="str">
        <f t="shared" si="196"/>
        <v>1st Shift</v>
      </c>
    </row>
    <row r="4175" spans="1:11" x14ac:dyDescent="0.25">
      <c r="A4175" s="1">
        <v>4174</v>
      </c>
      <c r="B4175" s="1">
        <v>7</v>
      </c>
      <c r="C4175" s="3">
        <v>7115271787212</v>
      </c>
      <c r="D4175" s="2">
        <v>44665.65625</v>
      </c>
      <c r="E4175" s="2">
        <v>44665.729166666664</v>
      </c>
      <c r="F4175" s="23">
        <f t="shared" si="195"/>
        <v>7.2916666664241347E-2</v>
      </c>
      <c r="G4175" s="24">
        <f t="shared" si="197"/>
        <v>171.42857143427341</v>
      </c>
      <c r="H4175" s="1" t="s">
        <v>1</v>
      </c>
      <c r="I4175" s="4" t="s">
        <v>2</v>
      </c>
      <c r="J4175" s="14">
        <v>0.65625</v>
      </c>
      <c r="K4175" s="20" t="str">
        <f t="shared" si="196"/>
        <v>2nd Shift</v>
      </c>
    </row>
    <row r="4176" spans="1:11" x14ac:dyDescent="0.25">
      <c r="A4176" s="1">
        <v>4175</v>
      </c>
      <c r="B4176" s="1">
        <v>3</v>
      </c>
      <c r="C4176" s="3">
        <v>3115270410500</v>
      </c>
      <c r="D4176" s="2">
        <v>44665.65625</v>
      </c>
      <c r="E4176" s="2">
        <v>44665.729166666664</v>
      </c>
      <c r="F4176" s="23">
        <f t="shared" si="195"/>
        <v>7.2916666664241347E-2</v>
      </c>
      <c r="G4176" s="24">
        <f t="shared" si="197"/>
        <v>171.42857143427341</v>
      </c>
      <c r="H4176" s="1" t="s">
        <v>1</v>
      </c>
      <c r="I4176" s="4" t="s">
        <v>2</v>
      </c>
      <c r="J4176" s="14">
        <v>0.65625</v>
      </c>
      <c r="K4176" s="20" t="str">
        <f t="shared" si="196"/>
        <v>2nd Shift</v>
      </c>
    </row>
    <row r="4177" spans="1:11" x14ac:dyDescent="0.25">
      <c r="A4177" s="1">
        <v>4176</v>
      </c>
      <c r="B4177" s="1">
        <v>15</v>
      </c>
      <c r="C4177" s="3">
        <v>15115271755600</v>
      </c>
      <c r="D4177" s="2">
        <v>44665.780555555553</v>
      </c>
      <c r="E4177" s="2">
        <v>44665.895833333336</v>
      </c>
      <c r="F4177" s="23">
        <f t="shared" si="195"/>
        <v>0.11527777778246673</v>
      </c>
      <c r="G4177" s="24">
        <f t="shared" si="197"/>
        <v>108.43373493534847</v>
      </c>
      <c r="H4177" s="1" t="s">
        <v>1</v>
      </c>
      <c r="I4177" s="4" t="s">
        <v>4</v>
      </c>
      <c r="J4177" s="14">
        <v>0.78055555555555556</v>
      </c>
      <c r="K4177" s="20" t="str">
        <f t="shared" si="196"/>
        <v>2nd Shift</v>
      </c>
    </row>
    <row r="4178" spans="1:11" x14ac:dyDescent="0.25">
      <c r="A4178" s="1">
        <v>4177</v>
      </c>
      <c r="B4178" s="1">
        <v>13</v>
      </c>
      <c r="C4178" s="3">
        <v>13115271602201</v>
      </c>
      <c r="D4178" s="2">
        <v>44665.780555555553</v>
      </c>
      <c r="E4178" s="2">
        <v>44665.895833333336</v>
      </c>
      <c r="F4178" s="23">
        <f t="shared" si="195"/>
        <v>0.11527777778246673</v>
      </c>
      <c r="G4178" s="24">
        <f t="shared" si="197"/>
        <v>108.43373493534847</v>
      </c>
      <c r="H4178" s="1" t="s">
        <v>1</v>
      </c>
      <c r="I4178" s="4" t="s">
        <v>3</v>
      </c>
      <c r="J4178" s="14">
        <v>0.78055555555555556</v>
      </c>
      <c r="K4178" s="20" t="str">
        <f t="shared" si="196"/>
        <v>2nd Shift</v>
      </c>
    </row>
    <row r="4179" spans="1:11" x14ac:dyDescent="0.25">
      <c r="A4179" s="1">
        <v>4178</v>
      </c>
      <c r="B4179" s="1">
        <v>12</v>
      </c>
      <c r="C4179" s="3">
        <v>12115271560314</v>
      </c>
      <c r="D4179" s="2">
        <v>44665.780555555553</v>
      </c>
      <c r="E4179" s="2">
        <v>44665.895833333336</v>
      </c>
      <c r="F4179" s="23">
        <f t="shared" si="195"/>
        <v>0.11527777778246673</v>
      </c>
      <c r="G4179" s="24">
        <f t="shared" si="197"/>
        <v>108.43373493534847</v>
      </c>
      <c r="H4179" s="1" t="s">
        <v>1</v>
      </c>
      <c r="I4179" s="4" t="s">
        <v>2</v>
      </c>
      <c r="J4179" s="14">
        <v>0.78055555555555556</v>
      </c>
      <c r="K4179" s="20" t="str">
        <f t="shared" si="196"/>
        <v>2nd Shift</v>
      </c>
    </row>
    <row r="4180" spans="1:11" x14ac:dyDescent="0.25">
      <c r="A4180" s="1">
        <v>4179</v>
      </c>
      <c r="B4180" s="1">
        <v>15</v>
      </c>
      <c r="C4180" s="3">
        <v>15115271778006</v>
      </c>
      <c r="D4180" s="2">
        <v>44665.944444444445</v>
      </c>
      <c r="E4180" s="2">
        <v>44665.982638888891</v>
      </c>
      <c r="F4180" s="23">
        <f t="shared" si="195"/>
        <v>3.8194444445252884E-2</v>
      </c>
      <c r="G4180" s="24">
        <f t="shared" si="197"/>
        <v>327.27272726580009</v>
      </c>
      <c r="H4180" s="1" t="s">
        <v>1</v>
      </c>
      <c r="I4180" s="4" t="s">
        <v>3</v>
      </c>
      <c r="J4180" s="14">
        <v>0.94444444444444442</v>
      </c>
      <c r="K4180" s="20" t="str">
        <f t="shared" si="196"/>
        <v>3rd Shift</v>
      </c>
    </row>
    <row r="4181" spans="1:11" x14ac:dyDescent="0.25">
      <c r="A4181" s="1">
        <v>4180</v>
      </c>
      <c r="B4181" s="1">
        <v>13</v>
      </c>
      <c r="C4181" s="3">
        <v>13115271600229</v>
      </c>
      <c r="D4181" s="2">
        <v>44666.013888888891</v>
      </c>
      <c r="E4181" s="2">
        <v>44666.059027777781</v>
      </c>
      <c r="F4181" s="23">
        <f t="shared" si="195"/>
        <v>4.5138888890505768E-2</v>
      </c>
      <c r="G4181" s="24">
        <f t="shared" si="197"/>
        <v>276.9230769131575</v>
      </c>
      <c r="H4181" s="1" t="s">
        <v>1</v>
      </c>
      <c r="I4181" s="4" t="s">
        <v>2</v>
      </c>
      <c r="J4181" s="14">
        <v>1.3888888888888888E-2</v>
      </c>
      <c r="K4181" s="20" t="str">
        <f t="shared" si="196"/>
        <v>3rd Shift</v>
      </c>
    </row>
    <row r="4182" spans="1:11" x14ac:dyDescent="0.25">
      <c r="A4182" s="1">
        <v>4181</v>
      </c>
      <c r="B4182" s="1">
        <v>4</v>
      </c>
      <c r="C4182" s="3">
        <v>4115270828600</v>
      </c>
      <c r="D4182" s="2">
        <v>44666.111111111109</v>
      </c>
      <c r="E4182" s="2">
        <v>44666.145833333336</v>
      </c>
      <c r="F4182" s="23">
        <f t="shared" si="195"/>
        <v>3.4722222226264421E-2</v>
      </c>
      <c r="G4182" s="24">
        <f t="shared" si="197"/>
        <v>359.99999995809048</v>
      </c>
      <c r="H4182" s="1" t="s">
        <v>1</v>
      </c>
      <c r="I4182" s="4" t="s">
        <v>2</v>
      </c>
      <c r="J4182" s="14">
        <v>0.1111111111111111</v>
      </c>
      <c r="K4182" s="20" t="str">
        <f t="shared" si="196"/>
        <v>3rd Shift</v>
      </c>
    </row>
    <row r="4183" spans="1:11" x14ac:dyDescent="0.25">
      <c r="A4183" s="1">
        <v>4182</v>
      </c>
      <c r="B4183" s="1">
        <v>12</v>
      </c>
      <c r="C4183" s="3">
        <v>12115271572930</v>
      </c>
      <c r="D4183" s="2">
        <v>44666.381249999999</v>
      </c>
      <c r="E4183" s="2">
        <v>44666.430555555555</v>
      </c>
      <c r="F4183" s="23">
        <f t="shared" si="195"/>
        <v>4.9305555556202307E-2</v>
      </c>
      <c r="G4183" s="24">
        <f t="shared" si="197"/>
        <v>253.52112675723788</v>
      </c>
      <c r="H4183" s="1" t="s">
        <v>1</v>
      </c>
      <c r="I4183" s="4" t="s">
        <v>2</v>
      </c>
      <c r="J4183" s="14">
        <v>0.38124999999999998</v>
      </c>
      <c r="K4183" s="20" t="str">
        <f t="shared" si="196"/>
        <v>1st Shift</v>
      </c>
    </row>
    <row r="4184" spans="1:11" x14ac:dyDescent="0.25">
      <c r="A4184" s="1">
        <v>4183</v>
      </c>
      <c r="B4184" s="1">
        <v>12</v>
      </c>
      <c r="C4184" s="3">
        <v>12115271566514</v>
      </c>
      <c r="D4184" s="2">
        <v>44666.510416666664</v>
      </c>
      <c r="E4184" s="2">
        <v>44666.583333333336</v>
      </c>
      <c r="F4184" s="23">
        <f t="shared" si="195"/>
        <v>7.2916666671517305E-2</v>
      </c>
      <c r="G4184" s="24">
        <f t="shared" si="197"/>
        <v>171.42857141716746</v>
      </c>
      <c r="H4184" s="1" t="s">
        <v>1</v>
      </c>
      <c r="I4184" s="4" t="s">
        <v>2</v>
      </c>
      <c r="J4184" s="14">
        <v>0.51041666666666663</v>
      </c>
      <c r="K4184" s="20" t="str">
        <f t="shared" si="196"/>
        <v>1st Shift</v>
      </c>
    </row>
    <row r="4185" spans="1:11" x14ac:dyDescent="0.25">
      <c r="A4185" s="1">
        <v>4184</v>
      </c>
      <c r="B4185" s="1">
        <v>11</v>
      </c>
      <c r="C4185" s="3">
        <v>11115271552301</v>
      </c>
      <c r="D4185" s="2">
        <v>44666.510416666664</v>
      </c>
      <c r="E4185" s="2">
        <v>44666.583333333336</v>
      </c>
      <c r="F4185" s="23">
        <f t="shared" si="195"/>
        <v>7.2916666671517305E-2</v>
      </c>
      <c r="G4185" s="24">
        <f t="shared" si="197"/>
        <v>171.42857141716746</v>
      </c>
      <c r="H4185" s="1" t="s">
        <v>1</v>
      </c>
      <c r="I4185" s="4" t="s">
        <v>2</v>
      </c>
      <c r="J4185" s="14">
        <v>0.51041666666666663</v>
      </c>
      <c r="K4185" s="20" t="str">
        <f t="shared" si="196"/>
        <v>1st Shift</v>
      </c>
    </row>
    <row r="4186" spans="1:11" x14ac:dyDescent="0.25">
      <c r="A4186" s="1">
        <v>4185</v>
      </c>
      <c r="B4186" s="1">
        <v>11</v>
      </c>
      <c r="C4186" s="3">
        <v>11115271512600</v>
      </c>
      <c r="D4186" s="2">
        <v>44666.479166666664</v>
      </c>
      <c r="E4186" s="2">
        <v>44666.583333333336</v>
      </c>
      <c r="F4186" s="23">
        <f t="shared" si="195"/>
        <v>0.10416666667151731</v>
      </c>
      <c r="G4186" s="24">
        <f t="shared" si="197"/>
        <v>119.99999999441206</v>
      </c>
      <c r="H4186" s="1" t="s">
        <v>1</v>
      </c>
      <c r="I4186" s="4" t="s">
        <v>2</v>
      </c>
      <c r="J4186" s="14">
        <v>0.47916666666666669</v>
      </c>
      <c r="K4186" s="20" t="str">
        <f t="shared" si="196"/>
        <v>1st Shift</v>
      </c>
    </row>
    <row r="4187" spans="1:11" x14ac:dyDescent="0.25">
      <c r="A4187" s="1">
        <v>4186</v>
      </c>
      <c r="B4187" s="1">
        <v>10</v>
      </c>
      <c r="C4187" s="3">
        <v>10115271478000</v>
      </c>
      <c r="D4187" s="2">
        <v>44666.479166666664</v>
      </c>
      <c r="E4187" s="2">
        <v>44666.583333333336</v>
      </c>
      <c r="F4187" s="23">
        <f t="shared" si="195"/>
        <v>0.10416666667151731</v>
      </c>
      <c r="G4187" s="24">
        <f t="shared" si="197"/>
        <v>119.99999999441206</v>
      </c>
      <c r="H4187" s="1" t="s">
        <v>1</v>
      </c>
      <c r="I4187" s="4" t="s">
        <v>2</v>
      </c>
      <c r="J4187" s="14">
        <v>0.47916666666666669</v>
      </c>
      <c r="K4187" s="20" t="str">
        <f t="shared" si="196"/>
        <v>1st Shift</v>
      </c>
    </row>
    <row r="4188" spans="1:11" x14ac:dyDescent="0.25">
      <c r="A4188" s="1">
        <v>4187</v>
      </c>
      <c r="B4188" s="1">
        <v>7</v>
      </c>
      <c r="C4188" s="3">
        <v>7115271793205</v>
      </c>
      <c r="D4188" s="2">
        <v>44666.510416666664</v>
      </c>
      <c r="E4188" s="2">
        <v>44666.583333333336</v>
      </c>
      <c r="F4188" s="23">
        <f t="shared" si="195"/>
        <v>7.2916666671517305E-2</v>
      </c>
      <c r="G4188" s="24">
        <f t="shared" si="197"/>
        <v>171.42857141716746</v>
      </c>
      <c r="H4188" s="1" t="s">
        <v>1</v>
      </c>
      <c r="I4188" s="4" t="s">
        <v>2</v>
      </c>
      <c r="J4188" s="14">
        <v>0.51041666666666663</v>
      </c>
      <c r="K4188" s="20" t="str">
        <f t="shared" si="196"/>
        <v>1st Shift</v>
      </c>
    </row>
    <row r="4189" spans="1:11" x14ac:dyDescent="0.25">
      <c r="A4189" s="1">
        <v>4188</v>
      </c>
      <c r="B4189" s="1">
        <v>1</v>
      </c>
      <c r="C4189" s="3">
        <v>1115270093401</v>
      </c>
      <c r="D4189" s="2">
        <v>44666.454861111109</v>
      </c>
      <c r="E4189" s="2">
        <v>44666.583333333336</v>
      </c>
      <c r="F4189" s="23">
        <f t="shared" si="195"/>
        <v>0.12847222222626442</v>
      </c>
      <c r="G4189" s="24">
        <f t="shared" si="197"/>
        <v>97.297297294235975</v>
      </c>
      <c r="H4189" s="1" t="s">
        <v>1</v>
      </c>
      <c r="I4189" s="4" t="s">
        <v>4</v>
      </c>
      <c r="J4189" s="14">
        <v>0.4548611111111111</v>
      </c>
      <c r="K4189" s="20" t="str">
        <f t="shared" si="196"/>
        <v>1st Shift</v>
      </c>
    </row>
    <row r="4190" spans="1:11" x14ac:dyDescent="0.25">
      <c r="A4190" s="1">
        <v>4189</v>
      </c>
      <c r="B4190" s="1">
        <v>12</v>
      </c>
      <c r="C4190" s="3">
        <v>12115271567410</v>
      </c>
      <c r="D4190" s="2">
        <v>44666.628472222219</v>
      </c>
      <c r="E4190" s="2">
        <v>44666.673611111109</v>
      </c>
      <c r="F4190" s="23">
        <f t="shared" si="195"/>
        <v>4.5138888890505768E-2</v>
      </c>
      <c r="G4190" s="24">
        <f t="shared" si="197"/>
        <v>276.9230769131575</v>
      </c>
      <c r="H4190" s="1" t="s">
        <v>1</v>
      </c>
      <c r="I4190" s="4" t="s">
        <v>3</v>
      </c>
      <c r="J4190" s="14">
        <v>0.62847222222222221</v>
      </c>
      <c r="K4190" s="20" t="str">
        <f t="shared" si="196"/>
        <v>2nd Shift</v>
      </c>
    </row>
    <row r="4191" spans="1:11" x14ac:dyDescent="0.25">
      <c r="A4191" s="1">
        <v>4190</v>
      </c>
      <c r="B4191" s="1">
        <v>10</v>
      </c>
      <c r="C4191" s="3">
        <v>10115271467100</v>
      </c>
      <c r="D4191" s="2">
        <v>44666.760416666664</v>
      </c>
      <c r="E4191" s="2">
        <v>44666.895833333336</v>
      </c>
      <c r="F4191" s="23">
        <f t="shared" si="195"/>
        <v>0.13541666667151731</v>
      </c>
      <c r="G4191" s="24">
        <f t="shared" si="197"/>
        <v>92.307692304385839</v>
      </c>
      <c r="H4191" s="1" t="s">
        <v>1</v>
      </c>
      <c r="I4191" s="4" t="s">
        <v>4</v>
      </c>
      <c r="J4191" s="14">
        <v>0.76041666666666663</v>
      </c>
      <c r="K4191" s="20" t="str">
        <f t="shared" si="196"/>
        <v>2nd Shift</v>
      </c>
    </row>
    <row r="4192" spans="1:11" x14ac:dyDescent="0.25">
      <c r="A4192" s="1">
        <v>4191</v>
      </c>
      <c r="B4192" s="1">
        <v>7</v>
      </c>
      <c r="C4192" s="3">
        <v>7115271783001</v>
      </c>
      <c r="D4192" s="2">
        <v>44666.760416666664</v>
      </c>
      <c r="E4192" s="2">
        <v>44666.895833333336</v>
      </c>
      <c r="F4192" s="23">
        <f t="shared" si="195"/>
        <v>0.13541666667151731</v>
      </c>
      <c r="G4192" s="24">
        <f t="shared" si="197"/>
        <v>92.307692304385839</v>
      </c>
      <c r="H4192" s="1" t="s">
        <v>1</v>
      </c>
      <c r="I4192" s="4" t="s">
        <v>3</v>
      </c>
      <c r="J4192" s="14">
        <v>0.76041666666666663</v>
      </c>
      <c r="K4192" s="20" t="str">
        <f t="shared" si="196"/>
        <v>2nd Shift</v>
      </c>
    </row>
    <row r="4193" spans="1:11" x14ac:dyDescent="0.25">
      <c r="A4193" s="1">
        <v>4192</v>
      </c>
      <c r="B4193" s="1">
        <v>5</v>
      </c>
      <c r="C4193" s="3">
        <v>5115271259402</v>
      </c>
      <c r="D4193" s="2">
        <v>44666.760416666664</v>
      </c>
      <c r="E4193" s="2">
        <v>44666.895833333336</v>
      </c>
      <c r="F4193" s="23">
        <f t="shared" si="195"/>
        <v>0.13541666667151731</v>
      </c>
      <c r="G4193" s="24">
        <f t="shared" si="197"/>
        <v>92.307692304385839</v>
      </c>
      <c r="H4193" s="1" t="s">
        <v>1</v>
      </c>
      <c r="I4193" s="4" t="s">
        <v>2</v>
      </c>
      <c r="J4193" s="14">
        <v>0.76041666666666663</v>
      </c>
      <c r="K4193" s="20" t="str">
        <f t="shared" si="196"/>
        <v>2nd Shift</v>
      </c>
    </row>
    <row r="4194" spans="1:11" x14ac:dyDescent="0.25">
      <c r="A4194" s="1">
        <v>4193</v>
      </c>
      <c r="B4194" s="1">
        <v>2</v>
      </c>
      <c r="C4194" s="3">
        <v>2115270267900</v>
      </c>
      <c r="D4194" s="2">
        <v>44666.760416666664</v>
      </c>
      <c r="E4194" s="2">
        <v>44666.895833333336</v>
      </c>
      <c r="F4194" s="23">
        <f t="shared" si="195"/>
        <v>0.13541666667151731</v>
      </c>
      <c r="G4194" s="24">
        <f t="shared" si="197"/>
        <v>92.307692304385839</v>
      </c>
      <c r="H4194" s="1" t="s">
        <v>1</v>
      </c>
      <c r="I4194" s="4" t="s">
        <v>2</v>
      </c>
      <c r="J4194" s="14">
        <v>0.76041666666666663</v>
      </c>
      <c r="K4194" s="20" t="str">
        <f t="shared" si="196"/>
        <v>2nd Shift</v>
      </c>
    </row>
    <row r="4195" spans="1:11" x14ac:dyDescent="0.25">
      <c r="A4195" s="1">
        <v>4194</v>
      </c>
      <c r="B4195" s="1">
        <v>1</v>
      </c>
      <c r="C4195" s="3">
        <v>1115270062301</v>
      </c>
      <c r="D4195" s="2">
        <v>44666.760416666664</v>
      </c>
      <c r="E4195" s="2">
        <v>44666.895833333336</v>
      </c>
      <c r="F4195" s="23">
        <f t="shared" si="195"/>
        <v>0.13541666667151731</v>
      </c>
      <c r="G4195" s="24">
        <f t="shared" si="197"/>
        <v>92.307692304385839</v>
      </c>
      <c r="H4195" s="1" t="s">
        <v>1</v>
      </c>
      <c r="I4195" s="4" t="s">
        <v>2</v>
      </c>
      <c r="J4195" s="14">
        <v>0.76041666666666663</v>
      </c>
      <c r="K4195" s="20" t="str">
        <f t="shared" si="196"/>
        <v>2nd Shift</v>
      </c>
    </row>
    <row r="4196" spans="1:11" x14ac:dyDescent="0.25">
      <c r="A4196" s="1">
        <v>4195</v>
      </c>
      <c r="B4196" s="1">
        <v>10</v>
      </c>
      <c r="C4196" s="3">
        <v>10115271478000</v>
      </c>
      <c r="D4196" s="2">
        <v>44666.934027777781</v>
      </c>
      <c r="E4196" s="2">
        <v>44667.222222222219</v>
      </c>
      <c r="F4196" s="23">
        <f t="shared" si="195"/>
        <v>0.28819444443797693</v>
      </c>
      <c r="G4196" s="24">
        <f t="shared" si="197"/>
        <v>43.373493976876979</v>
      </c>
      <c r="H4196" s="1" t="s">
        <v>1</v>
      </c>
      <c r="I4196" s="4" t="s">
        <v>2</v>
      </c>
      <c r="J4196" s="14">
        <v>0.93402777777777779</v>
      </c>
      <c r="K4196" s="20" t="str">
        <f t="shared" si="196"/>
        <v>3rd Shift</v>
      </c>
    </row>
    <row r="4197" spans="1:11" x14ac:dyDescent="0.25">
      <c r="A4197" s="1">
        <v>4196</v>
      </c>
      <c r="B4197" s="1">
        <v>7</v>
      </c>
      <c r="C4197" s="3">
        <v>7115271783301</v>
      </c>
      <c r="D4197" s="2">
        <v>44666.934027777781</v>
      </c>
      <c r="E4197" s="2">
        <v>44667.222222222219</v>
      </c>
      <c r="F4197" s="23">
        <f t="shared" si="195"/>
        <v>0.28819444443797693</v>
      </c>
      <c r="G4197" s="24">
        <f t="shared" si="197"/>
        <v>43.373493976876979</v>
      </c>
      <c r="H4197" s="1" t="s">
        <v>1</v>
      </c>
      <c r="I4197" s="4" t="s">
        <v>5</v>
      </c>
      <c r="J4197" s="14">
        <v>0.93402777777777779</v>
      </c>
      <c r="K4197" s="20" t="str">
        <f t="shared" si="196"/>
        <v>3rd Shift</v>
      </c>
    </row>
    <row r="4198" spans="1:11" x14ac:dyDescent="0.25">
      <c r="A4198" s="1">
        <v>4197</v>
      </c>
      <c r="B4198" s="1">
        <v>7</v>
      </c>
      <c r="C4198" s="3">
        <v>7115271782201</v>
      </c>
      <c r="D4198" s="2">
        <v>44666.934027777781</v>
      </c>
      <c r="E4198" s="2">
        <v>44667.222222222219</v>
      </c>
      <c r="F4198" s="23">
        <f t="shared" si="195"/>
        <v>0.28819444443797693</v>
      </c>
      <c r="G4198" s="24">
        <f t="shared" si="197"/>
        <v>43.373493976876979</v>
      </c>
      <c r="H4198" s="1" t="s">
        <v>1</v>
      </c>
      <c r="I4198" s="4" t="s">
        <v>2</v>
      </c>
      <c r="J4198" s="14">
        <v>0.93402777777777779</v>
      </c>
      <c r="K4198" s="20" t="str">
        <f t="shared" si="196"/>
        <v>3rd Shift</v>
      </c>
    </row>
    <row r="4199" spans="1:11" x14ac:dyDescent="0.25">
      <c r="A4199" s="1">
        <v>4198</v>
      </c>
      <c r="B4199" s="1">
        <v>1</v>
      </c>
      <c r="C4199" s="3">
        <v>1115270062301</v>
      </c>
      <c r="D4199" s="2">
        <v>44666.934027777781</v>
      </c>
      <c r="E4199" s="2">
        <v>44667.222222222219</v>
      </c>
      <c r="F4199" s="23">
        <f t="shared" si="195"/>
        <v>0.28819444443797693</v>
      </c>
      <c r="G4199" s="24">
        <f t="shared" si="197"/>
        <v>43.373493976876979</v>
      </c>
      <c r="H4199" s="1" t="s">
        <v>1</v>
      </c>
      <c r="I4199" s="4" t="s">
        <v>2</v>
      </c>
      <c r="J4199" s="14">
        <v>0.93402777777777779</v>
      </c>
      <c r="K4199" s="20" t="str">
        <f t="shared" si="196"/>
        <v>3rd Shift</v>
      </c>
    </row>
    <row r="4200" spans="1:11" x14ac:dyDescent="0.25">
      <c r="A4200" s="1">
        <v>4199</v>
      </c>
      <c r="B4200" s="1">
        <v>27</v>
      </c>
      <c r="C4200" s="3">
        <v>27115270363104</v>
      </c>
      <c r="D4200" s="2">
        <v>44667.479166666664</v>
      </c>
      <c r="E4200" s="2">
        <v>44667.604166666664</v>
      </c>
      <c r="F4200" s="23">
        <f t="shared" si="195"/>
        <v>0.125</v>
      </c>
      <c r="G4200" s="24">
        <f t="shared" si="197"/>
        <v>100</v>
      </c>
      <c r="H4200" s="1" t="s">
        <v>1</v>
      </c>
      <c r="I4200" s="4" t="s">
        <v>3</v>
      </c>
      <c r="J4200" s="14">
        <v>0.47916666666666669</v>
      </c>
      <c r="K4200" s="20" t="str">
        <f t="shared" si="196"/>
        <v>1st Shift</v>
      </c>
    </row>
    <row r="4201" spans="1:11" x14ac:dyDescent="0.25">
      <c r="A4201" s="1">
        <v>4200</v>
      </c>
      <c r="B4201" s="1">
        <v>14</v>
      </c>
      <c r="C4201" s="3">
        <v>14115271730619</v>
      </c>
      <c r="D4201" s="2">
        <v>44667.479166666664</v>
      </c>
      <c r="E4201" s="2">
        <v>44667.604166666664</v>
      </c>
      <c r="F4201" s="23">
        <f t="shared" si="195"/>
        <v>0.125</v>
      </c>
      <c r="G4201" s="24">
        <f t="shared" si="197"/>
        <v>100</v>
      </c>
      <c r="H4201" s="1" t="s">
        <v>1</v>
      </c>
      <c r="I4201" s="4" t="s">
        <v>4</v>
      </c>
      <c r="J4201" s="14">
        <v>0.47916666666666669</v>
      </c>
      <c r="K4201" s="20" t="str">
        <f t="shared" si="196"/>
        <v>1st Shift</v>
      </c>
    </row>
    <row r="4202" spans="1:11" x14ac:dyDescent="0.25">
      <c r="A4202" s="1">
        <v>4201</v>
      </c>
      <c r="B4202" s="1">
        <v>14</v>
      </c>
      <c r="C4202" s="3">
        <v>14115271717311</v>
      </c>
      <c r="D4202" s="2">
        <v>44667.326388888891</v>
      </c>
      <c r="E4202" s="2">
        <v>44667.604166666664</v>
      </c>
      <c r="F4202" s="23">
        <f t="shared" si="195"/>
        <v>0.27777777777373558</v>
      </c>
      <c r="G4202" s="24">
        <f t="shared" si="197"/>
        <v>45.000000000654836</v>
      </c>
      <c r="H4202" s="1" t="s">
        <v>1</v>
      </c>
      <c r="I4202" s="4" t="s">
        <v>2</v>
      </c>
      <c r="J4202" s="14">
        <v>0.3263888888888889</v>
      </c>
      <c r="K4202" s="20" t="str">
        <f t="shared" si="196"/>
        <v>1st Shift</v>
      </c>
    </row>
    <row r="4203" spans="1:11" x14ac:dyDescent="0.25">
      <c r="A4203" s="1">
        <v>4202</v>
      </c>
      <c r="B4203" s="1">
        <v>11</v>
      </c>
      <c r="C4203" s="3">
        <v>11115271507100</v>
      </c>
      <c r="D4203" s="2">
        <v>44667.427083333336</v>
      </c>
      <c r="E4203" s="2">
        <v>44667.604166666664</v>
      </c>
      <c r="F4203" s="23">
        <f t="shared" si="195"/>
        <v>0.17708333332848269</v>
      </c>
      <c r="G4203" s="24">
        <f t="shared" si="197"/>
        <v>70.588235296051195</v>
      </c>
      <c r="H4203" s="1" t="s">
        <v>1</v>
      </c>
      <c r="I4203" s="4" t="s">
        <v>2</v>
      </c>
      <c r="J4203" s="14">
        <v>0.42708333333333331</v>
      </c>
      <c r="K4203" s="20" t="str">
        <f t="shared" si="196"/>
        <v>1st Shift</v>
      </c>
    </row>
    <row r="4204" spans="1:11" x14ac:dyDescent="0.25">
      <c r="A4204" s="1">
        <v>4203</v>
      </c>
      <c r="B4204" s="1">
        <v>9</v>
      </c>
      <c r="C4204" s="3">
        <v>9115271942200</v>
      </c>
      <c r="D4204" s="2">
        <v>44667.447916666664</v>
      </c>
      <c r="E4204" s="2">
        <v>44667.604166666664</v>
      </c>
      <c r="F4204" s="23">
        <f t="shared" si="195"/>
        <v>0.15625</v>
      </c>
      <c r="G4204" s="24">
        <f t="shared" si="197"/>
        <v>80</v>
      </c>
      <c r="H4204" s="1" t="s">
        <v>1</v>
      </c>
      <c r="I4204" s="4" t="s">
        <v>2</v>
      </c>
      <c r="J4204" s="14">
        <v>0.44791666666666669</v>
      </c>
      <c r="K4204" s="20" t="str">
        <f t="shared" si="196"/>
        <v>1st Shift</v>
      </c>
    </row>
    <row r="4205" spans="1:11" x14ac:dyDescent="0.25">
      <c r="A4205" s="1">
        <v>4204</v>
      </c>
      <c r="B4205" s="1">
        <v>8</v>
      </c>
      <c r="C4205" s="3">
        <v>8115271821700</v>
      </c>
      <c r="D4205" s="2">
        <v>44667.53125</v>
      </c>
      <c r="E4205" s="2">
        <v>44667.604166666664</v>
      </c>
      <c r="F4205" s="23">
        <f t="shared" si="195"/>
        <v>7.2916666664241347E-2</v>
      </c>
      <c r="G4205" s="24">
        <f t="shared" si="197"/>
        <v>171.42857143427341</v>
      </c>
      <c r="H4205" s="1" t="s">
        <v>1</v>
      </c>
      <c r="I4205" s="4" t="s">
        <v>4</v>
      </c>
      <c r="J4205" s="14">
        <v>0.53125</v>
      </c>
      <c r="K4205" s="20" t="str">
        <f t="shared" si="196"/>
        <v>1st Shift</v>
      </c>
    </row>
    <row r="4206" spans="1:11" x14ac:dyDescent="0.25">
      <c r="A4206" s="1">
        <v>4205</v>
      </c>
      <c r="B4206" s="1">
        <v>7</v>
      </c>
      <c r="C4206" s="3">
        <v>7115271768201</v>
      </c>
      <c r="D4206" s="2">
        <v>44667.53125</v>
      </c>
      <c r="E4206" s="2">
        <v>44667.604166666664</v>
      </c>
      <c r="F4206" s="23">
        <f t="shared" si="195"/>
        <v>7.2916666664241347E-2</v>
      </c>
      <c r="G4206" s="24">
        <f t="shared" si="197"/>
        <v>171.42857143427341</v>
      </c>
      <c r="H4206" s="1" t="s">
        <v>1</v>
      </c>
      <c r="I4206" s="4" t="s">
        <v>3</v>
      </c>
      <c r="J4206" s="14">
        <v>0.53125</v>
      </c>
      <c r="K4206" s="20" t="str">
        <f t="shared" si="196"/>
        <v>1st Shift</v>
      </c>
    </row>
    <row r="4207" spans="1:11" x14ac:dyDescent="0.25">
      <c r="A4207" s="1">
        <v>4206</v>
      </c>
      <c r="B4207" s="1">
        <v>6</v>
      </c>
      <c r="C4207" s="3">
        <v>6115271703400</v>
      </c>
      <c r="D4207" s="2">
        <v>44667.5</v>
      </c>
      <c r="E4207" s="2">
        <v>44667.604166666664</v>
      </c>
      <c r="F4207" s="23">
        <f t="shared" si="195"/>
        <v>0.10416666666424135</v>
      </c>
      <c r="G4207" s="24">
        <f t="shared" si="197"/>
        <v>120.00000000279397</v>
      </c>
      <c r="H4207" s="1" t="s">
        <v>1</v>
      </c>
      <c r="I4207" s="4" t="s">
        <v>3</v>
      </c>
      <c r="J4207" s="14">
        <v>0.5</v>
      </c>
      <c r="K4207" s="20" t="str">
        <f t="shared" si="196"/>
        <v>1st Shift</v>
      </c>
    </row>
    <row r="4208" spans="1:11" x14ac:dyDescent="0.25">
      <c r="A4208" s="1">
        <v>4207</v>
      </c>
      <c r="B4208" s="1">
        <v>5</v>
      </c>
      <c r="C4208" s="3">
        <v>5115271689501</v>
      </c>
      <c r="D4208" s="2">
        <v>44667.475694444445</v>
      </c>
      <c r="E4208" s="2">
        <v>44667.604166666664</v>
      </c>
      <c r="F4208" s="23">
        <f t="shared" si="195"/>
        <v>0.12847222221898846</v>
      </c>
      <c r="G4208" s="24">
        <f t="shared" si="197"/>
        <v>97.297297299746361</v>
      </c>
      <c r="H4208" s="1" t="s">
        <v>1</v>
      </c>
      <c r="I4208" s="4" t="s">
        <v>3</v>
      </c>
      <c r="J4208" s="14">
        <v>0.47569444444444442</v>
      </c>
      <c r="K4208" s="20" t="str">
        <f t="shared" si="196"/>
        <v>1st Shift</v>
      </c>
    </row>
    <row r="4209" spans="1:11" x14ac:dyDescent="0.25">
      <c r="A4209" s="1">
        <v>4208</v>
      </c>
      <c r="B4209" s="1">
        <v>5</v>
      </c>
      <c r="C4209" s="3">
        <v>5115271680213</v>
      </c>
      <c r="D4209" s="2">
        <v>44667.326388888891</v>
      </c>
      <c r="E4209" s="2">
        <v>44667.604166666664</v>
      </c>
      <c r="F4209" s="23">
        <f t="shared" si="195"/>
        <v>0.27777777777373558</v>
      </c>
      <c r="G4209" s="24">
        <f t="shared" si="197"/>
        <v>45.000000000654836</v>
      </c>
      <c r="H4209" s="1" t="s">
        <v>1</v>
      </c>
      <c r="I4209" s="4" t="s">
        <v>2</v>
      </c>
      <c r="J4209" s="14">
        <v>0.3263888888888889</v>
      </c>
      <c r="K4209" s="20" t="str">
        <f t="shared" si="196"/>
        <v>1st Shift</v>
      </c>
    </row>
    <row r="4210" spans="1:11" x14ac:dyDescent="0.25">
      <c r="A4210" s="1">
        <v>4209</v>
      </c>
      <c r="B4210" s="1">
        <v>5</v>
      </c>
      <c r="C4210" s="3">
        <v>5115271250700</v>
      </c>
      <c r="D4210" s="2">
        <v>44667.427083333336</v>
      </c>
      <c r="E4210" s="2">
        <v>44667.604166666664</v>
      </c>
      <c r="F4210" s="23">
        <f t="shared" si="195"/>
        <v>0.17708333332848269</v>
      </c>
      <c r="G4210" s="24">
        <f t="shared" si="197"/>
        <v>70.588235296051195</v>
      </c>
      <c r="H4210" s="1" t="s">
        <v>1</v>
      </c>
      <c r="I4210" s="4" t="s">
        <v>2</v>
      </c>
      <c r="J4210" s="14">
        <v>0.42708333333333331</v>
      </c>
      <c r="K4210" s="20" t="str">
        <f t="shared" si="196"/>
        <v>1st Shift</v>
      </c>
    </row>
    <row r="4211" spans="1:11" x14ac:dyDescent="0.25">
      <c r="A4211" s="1">
        <v>4210</v>
      </c>
      <c r="B4211" s="1">
        <v>4</v>
      </c>
      <c r="C4211" s="3">
        <v>4115270842600</v>
      </c>
      <c r="D4211" s="2">
        <v>44667.479166666664</v>
      </c>
      <c r="E4211" s="2">
        <v>44667.604166666664</v>
      </c>
      <c r="F4211" s="23">
        <f t="shared" si="195"/>
        <v>0.125</v>
      </c>
      <c r="G4211" s="24">
        <f t="shared" si="197"/>
        <v>100</v>
      </c>
      <c r="H4211" s="1" t="s">
        <v>1</v>
      </c>
      <c r="I4211" s="4" t="s">
        <v>2</v>
      </c>
      <c r="J4211" s="14">
        <v>0.47916666666666669</v>
      </c>
      <c r="K4211" s="20" t="str">
        <f t="shared" si="196"/>
        <v>1st Shift</v>
      </c>
    </row>
    <row r="4212" spans="1:11" x14ac:dyDescent="0.25">
      <c r="A4212" s="1">
        <v>4211</v>
      </c>
      <c r="B4212" s="1">
        <v>3</v>
      </c>
      <c r="C4212" s="3">
        <v>3115270392300</v>
      </c>
      <c r="D4212" s="2">
        <v>44667.458333333336</v>
      </c>
      <c r="E4212" s="2">
        <v>44667.604166666664</v>
      </c>
      <c r="F4212" s="23">
        <f t="shared" si="195"/>
        <v>0.14583333332848269</v>
      </c>
      <c r="G4212" s="24">
        <f t="shared" si="197"/>
        <v>85.714285717136704</v>
      </c>
      <c r="H4212" s="1" t="s">
        <v>1</v>
      </c>
      <c r="I4212" s="4" t="s">
        <v>2</v>
      </c>
      <c r="J4212" s="14">
        <v>0.45833333333333331</v>
      </c>
      <c r="K4212" s="20" t="str">
        <f t="shared" si="196"/>
        <v>1st Shift</v>
      </c>
    </row>
    <row r="4213" spans="1:11" x14ac:dyDescent="0.25">
      <c r="A4213" s="1">
        <v>4212</v>
      </c>
      <c r="B4213" s="1">
        <v>3</v>
      </c>
      <c r="C4213" s="3">
        <v>3115270341005</v>
      </c>
      <c r="D4213" s="2">
        <v>44667.302083333336</v>
      </c>
      <c r="E4213" s="2">
        <v>44667.604166666664</v>
      </c>
      <c r="F4213" s="23">
        <f t="shared" si="195"/>
        <v>0.30208333332848269</v>
      </c>
      <c r="G4213" s="24">
        <f t="shared" si="197"/>
        <v>41.37931034549203</v>
      </c>
      <c r="H4213" s="1" t="s">
        <v>1</v>
      </c>
      <c r="I4213" s="4" t="s">
        <v>5</v>
      </c>
      <c r="J4213" s="14">
        <v>0.30208333333333331</v>
      </c>
      <c r="K4213" s="20" t="str">
        <f t="shared" si="196"/>
        <v>1st Shift</v>
      </c>
    </row>
    <row r="4214" spans="1:11" x14ac:dyDescent="0.25">
      <c r="A4214" s="1">
        <v>4213</v>
      </c>
      <c r="B4214" s="1">
        <v>3</v>
      </c>
      <c r="C4214" s="3">
        <v>3115270324200</v>
      </c>
      <c r="D4214" s="2">
        <v>44667.447916666664</v>
      </c>
      <c r="E4214" s="2">
        <v>44667.604166666664</v>
      </c>
      <c r="F4214" s="23">
        <f t="shared" si="195"/>
        <v>0.15625</v>
      </c>
      <c r="G4214" s="24">
        <f t="shared" si="197"/>
        <v>80</v>
      </c>
      <c r="H4214" s="1" t="s">
        <v>1</v>
      </c>
      <c r="I4214" s="4" t="s">
        <v>2</v>
      </c>
      <c r="J4214" s="14">
        <v>0.44791666666666669</v>
      </c>
      <c r="K4214" s="20" t="str">
        <f t="shared" si="196"/>
        <v>1st Shift</v>
      </c>
    </row>
    <row r="4215" spans="1:11" x14ac:dyDescent="0.25">
      <c r="A4215" s="1">
        <v>4214</v>
      </c>
      <c r="B4215" s="1">
        <v>2</v>
      </c>
      <c r="C4215" s="3">
        <v>2115270267900</v>
      </c>
      <c r="D4215" s="2">
        <v>44667.302083333336</v>
      </c>
      <c r="E4215" s="2">
        <v>44667.604166666664</v>
      </c>
      <c r="F4215" s="23">
        <f t="shared" si="195"/>
        <v>0.30208333332848269</v>
      </c>
      <c r="G4215" s="24">
        <f t="shared" si="197"/>
        <v>41.37931034549203</v>
      </c>
      <c r="H4215" s="1" t="s">
        <v>1</v>
      </c>
      <c r="I4215" s="4" t="s">
        <v>3</v>
      </c>
      <c r="J4215" s="14">
        <v>0.30208333333333331</v>
      </c>
      <c r="K4215" s="20" t="str">
        <f t="shared" si="196"/>
        <v>1st Shift</v>
      </c>
    </row>
    <row r="4216" spans="1:11" x14ac:dyDescent="0.25">
      <c r="A4216" s="1">
        <v>4215</v>
      </c>
      <c r="B4216" s="1">
        <v>2</v>
      </c>
      <c r="C4216" s="3">
        <v>2115270263500</v>
      </c>
      <c r="D4216" s="2">
        <v>44667.53125</v>
      </c>
      <c r="E4216" s="2">
        <v>44667.604166666664</v>
      </c>
      <c r="F4216" s="23">
        <f t="shared" si="195"/>
        <v>7.2916666664241347E-2</v>
      </c>
      <c r="G4216" s="24">
        <f t="shared" si="197"/>
        <v>171.42857143427341</v>
      </c>
      <c r="H4216" s="1" t="s">
        <v>1</v>
      </c>
      <c r="I4216" s="4" t="s">
        <v>3</v>
      </c>
      <c r="J4216" s="14">
        <v>0.53125</v>
      </c>
      <c r="K4216" s="20" t="str">
        <f t="shared" si="196"/>
        <v>1st Shift</v>
      </c>
    </row>
    <row r="4217" spans="1:11" x14ac:dyDescent="0.25">
      <c r="A4217" s="1">
        <v>4216</v>
      </c>
      <c r="B4217" s="1">
        <v>2</v>
      </c>
      <c r="C4217" s="3">
        <v>2115270198500</v>
      </c>
      <c r="D4217" s="2">
        <v>44667.53125</v>
      </c>
      <c r="E4217" s="2">
        <v>44667.604166666664</v>
      </c>
      <c r="F4217" s="23">
        <f t="shared" si="195"/>
        <v>7.2916666664241347E-2</v>
      </c>
      <c r="G4217" s="24">
        <f t="shared" si="197"/>
        <v>171.42857143427341</v>
      </c>
      <c r="H4217" s="1" t="s">
        <v>1</v>
      </c>
      <c r="I4217" s="4" t="s">
        <v>8</v>
      </c>
      <c r="J4217" s="14">
        <v>0.53125</v>
      </c>
      <c r="K4217" s="20" t="str">
        <f t="shared" si="196"/>
        <v>1st Shift</v>
      </c>
    </row>
    <row r="4218" spans="1:11" x14ac:dyDescent="0.25">
      <c r="A4218" s="1">
        <v>4217</v>
      </c>
      <c r="B4218" s="1">
        <v>1</v>
      </c>
      <c r="C4218" s="3">
        <v>1115270067900</v>
      </c>
      <c r="D4218" s="2">
        <v>44667.53125</v>
      </c>
      <c r="E4218" s="2">
        <v>44667.604166666664</v>
      </c>
      <c r="F4218" s="23">
        <f t="shared" si="195"/>
        <v>7.2916666664241347E-2</v>
      </c>
      <c r="G4218" s="24">
        <f t="shared" si="197"/>
        <v>171.42857143427341</v>
      </c>
      <c r="H4218" s="1" t="s">
        <v>1</v>
      </c>
      <c r="I4218" s="4" t="s">
        <v>4</v>
      </c>
      <c r="J4218" s="14">
        <v>0.53125</v>
      </c>
      <c r="K4218" s="20" t="str">
        <f t="shared" si="196"/>
        <v>1st Shift</v>
      </c>
    </row>
    <row r="4219" spans="1:11" x14ac:dyDescent="0.25">
      <c r="A4219" s="1">
        <v>4218</v>
      </c>
      <c r="B4219" s="1">
        <v>1</v>
      </c>
      <c r="C4219" s="3">
        <v>1115270062301</v>
      </c>
      <c r="D4219" s="2">
        <v>44667.458333333336</v>
      </c>
      <c r="E4219" s="2">
        <v>44667.604166666664</v>
      </c>
      <c r="F4219" s="23">
        <f t="shared" si="195"/>
        <v>0.14583333332848269</v>
      </c>
      <c r="G4219" s="24">
        <f t="shared" si="197"/>
        <v>85.714285717136704</v>
      </c>
      <c r="H4219" s="1" t="s">
        <v>1</v>
      </c>
      <c r="I4219" s="4" t="s">
        <v>2</v>
      </c>
      <c r="J4219" s="14">
        <v>0.45833333333333331</v>
      </c>
      <c r="K4219" s="20" t="str">
        <f t="shared" si="196"/>
        <v>1st Shift</v>
      </c>
    </row>
    <row r="4220" spans="1:11" x14ac:dyDescent="0.25">
      <c r="A4220" s="1">
        <v>4219</v>
      </c>
      <c r="B4220" s="1">
        <v>14</v>
      </c>
      <c r="C4220" s="3">
        <v>14115271672605</v>
      </c>
      <c r="D4220" s="2">
        <v>44667.625</v>
      </c>
      <c r="E4220" s="2">
        <v>44667.916666666664</v>
      </c>
      <c r="F4220" s="23">
        <f t="shared" si="195"/>
        <v>0.29166666666424135</v>
      </c>
      <c r="G4220" s="24">
        <f t="shared" si="197"/>
        <v>42.857142857499234</v>
      </c>
      <c r="H4220" s="1" t="s">
        <v>1</v>
      </c>
      <c r="I4220" s="4" t="s">
        <v>4</v>
      </c>
      <c r="J4220" s="14">
        <v>0.625</v>
      </c>
      <c r="K4220" s="20" t="str">
        <f t="shared" si="196"/>
        <v>2nd Shift</v>
      </c>
    </row>
    <row r="4221" spans="1:11" x14ac:dyDescent="0.25">
      <c r="A4221" s="1">
        <v>4220</v>
      </c>
      <c r="B4221" s="1">
        <v>13</v>
      </c>
      <c r="C4221" s="3">
        <v>13115271612262</v>
      </c>
      <c r="D4221" s="2">
        <v>44667.75</v>
      </c>
      <c r="E4221" s="2">
        <v>44667.916666666664</v>
      </c>
      <c r="F4221" s="23">
        <f t="shared" si="195"/>
        <v>0.16666666666424135</v>
      </c>
      <c r="G4221" s="24">
        <f t="shared" si="197"/>
        <v>75.000000001091394</v>
      </c>
      <c r="H4221" s="1" t="s">
        <v>1</v>
      </c>
      <c r="I4221" s="4" t="s">
        <v>2</v>
      </c>
      <c r="J4221" s="14">
        <v>0.75</v>
      </c>
      <c r="K4221" s="20" t="str">
        <f t="shared" si="196"/>
        <v>2nd Shift</v>
      </c>
    </row>
    <row r="4222" spans="1:11" x14ac:dyDescent="0.25">
      <c r="A4222" s="1">
        <v>4221</v>
      </c>
      <c r="B4222" s="1">
        <v>13</v>
      </c>
      <c r="C4222" s="3">
        <v>13115271591300</v>
      </c>
      <c r="D4222" s="2">
        <v>44667.75</v>
      </c>
      <c r="E4222" s="2">
        <v>44667.916666666664</v>
      </c>
      <c r="F4222" s="23">
        <f t="shared" si="195"/>
        <v>0.16666666666424135</v>
      </c>
      <c r="G4222" s="24">
        <f t="shared" si="197"/>
        <v>75.000000001091394</v>
      </c>
      <c r="H4222" s="1" t="s">
        <v>1</v>
      </c>
      <c r="I4222" s="4" t="s">
        <v>3</v>
      </c>
      <c r="J4222" s="14">
        <v>0.75</v>
      </c>
      <c r="K4222" s="20" t="str">
        <f t="shared" si="196"/>
        <v>2nd Shift</v>
      </c>
    </row>
    <row r="4223" spans="1:11" x14ac:dyDescent="0.25">
      <c r="A4223" s="1">
        <v>4222</v>
      </c>
      <c r="B4223" s="1">
        <v>12</v>
      </c>
      <c r="C4223" s="3">
        <v>12115271580200</v>
      </c>
      <c r="D4223" s="2">
        <v>44667.625</v>
      </c>
      <c r="E4223" s="2">
        <v>44667.916666666664</v>
      </c>
      <c r="F4223" s="23">
        <f t="shared" si="195"/>
        <v>0.29166666666424135</v>
      </c>
      <c r="G4223" s="24">
        <f t="shared" si="197"/>
        <v>42.857142857499234</v>
      </c>
      <c r="H4223" s="1" t="s">
        <v>1</v>
      </c>
      <c r="I4223" s="4" t="s">
        <v>3</v>
      </c>
      <c r="J4223" s="14">
        <v>0.625</v>
      </c>
      <c r="K4223" s="20" t="str">
        <f t="shared" si="196"/>
        <v>2nd Shift</v>
      </c>
    </row>
    <row r="4224" spans="1:11" x14ac:dyDescent="0.25">
      <c r="A4224" s="1">
        <v>4223</v>
      </c>
      <c r="B4224" s="1">
        <v>12</v>
      </c>
      <c r="C4224" s="3">
        <v>12115271579807</v>
      </c>
      <c r="D4224" s="2">
        <v>44667.625</v>
      </c>
      <c r="E4224" s="2">
        <v>44667.916666666664</v>
      </c>
      <c r="F4224" s="23">
        <f t="shared" si="195"/>
        <v>0.29166666666424135</v>
      </c>
      <c r="G4224" s="24">
        <f t="shared" si="197"/>
        <v>42.857142857499234</v>
      </c>
      <c r="H4224" s="1" t="s">
        <v>1</v>
      </c>
      <c r="I4224" s="4" t="s">
        <v>2</v>
      </c>
      <c r="J4224" s="14">
        <v>0.625</v>
      </c>
      <c r="K4224" s="20" t="str">
        <f t="shared" si="196"/>
        <v>2nd Shift</v>
      </c>
    </row>
    <row r="4225" spans="1:11" x14ac:dyDescent="0.25">
      <c r="A4225" s="1">
        <v>4224</v>
      </c>
      <c r="B4225" s="1">
        <v>12</v>
      </c>
      <c r="C4225" s="3">
        <v>12115271573202</v>
      </c>
      <c r="D4225" s="2">
        <v>44667.75</v>
      </c>
      <c r="E4225" s="2">
        <v>44667.916666666664</v>
      </c>
      <c r="F4225" s="23">
        <f t="shared" si="195"/>
        <v>0.16666666666424135</v>
      </c>
      <c r="G4225" s="24">
        <f t="shared" si="197"/>
        <v>75.000000001091394</v>
      </c>
      <c r="H4225" s="1" t="s">
        <v>1</v>
      </c>
      <c r="I4225" s="4" t="s">
        <v>3</v>
      </c>
      <c r="J4225" s="14">
        <v>0.75</v>
      </c>
      <c r="K4225" s="20" t="str">
        <f t="shared" si="196"/>
        <v>2nd Shift</v>
      </c>
    </row>
    <row r="4226" spans="1:11" x14ac:dyDescent="0.25">
      <c r="A4226" s="1">
        <v>4225</v>
      </c>
      <c r="B4226" s="1">
        <v>10</v>
      </c>
      <c r="C4226" s="3">
        <v>10115271453806</v>
      </c>
      <c r="D4226" s="2">
        <v>44667.625</v>
      </c>
      <c r="E4226" s="2">
        <v>44667.916666666664</v>
      </c>
      <c r="F4226" s="23">
        <f t="shared" ref="F4226:F4289" si="198">E4226-D4226</f>
        <v>0.29166666666424135</v>
      </c>
      <c r="G4226" s="24">
        <f t="shared" si="197"/>
        <v>42.857142857499234</v>
      </c>
      <c r="H4226" s="1" t="s">
        <v>1</v>
      </c>
      <c r="I4226" s="4" t="s">
        <v>4</v>
      </c>
      <c r="J4226" s="14">
        <v>0.625</v>
      </c>
      <c r="K4226" s="20" t="str">
        <f t="shared" ref="K4226:K4289" si="199">IF(AND(J4226&gt;=$M$3,J4226&lt;$M$4),"1st Shift",IF(AND(J4226&gt;=$M$4,J4226&lt;$M$5),"2nd Shift","3rd Shift"))</f>
        <v>2nd Shift</v>
      </c>
    </row>
    <row r="4227" spans="1:11" x14ac:dyDescent="0.25">
      <c r="A4227" s="1">
        <v>4226</v>
      </c>
      <c r="B4227" s="1">
        <v>7</v>
      </c>
      <c r="C4227" s="3">
        <v>7115271783716</v>
      </c>
      <c r="D4227" s="2">
        <v>44667.625</v>
      </c>
      <c r="E4227" s="2">
        <v>44667.916666666664</v>
      </c>
      <c r="F4227" s="23">
        <f t="shared" si="198"/>
        <v>0.29166666666424135</v>
      </c>
      <c r="G4227" s="24">
        <f t="shared" ref="G4227:G4290" si="200">$M$9/F4227*100</f>
        <v>42.857142857499234</v>
      </c>
      <c r="H4227" s="1" t="s">
        <v>1</v>
      </c>
      <c r="I4227" s="4" t="s">
        <v>2</v>
      </c>
      <c r="J4227" s="14">
        <v>0.625</v>
      </c>
      <c r="K4227" s="20" t="str">
        <f t="shared" si="199"/>
        <v>2nd Shift</v>
      </c>
    </row>
    <row r="4228" spans="1:11" x14ac:dyDescent="0.25">
      <c r="A4228" s="1">
        <v>4227</v>
      </c>
      <c r="B4228" s="1">
        <v>7</v>
      </c>
      <c r="C4228" s="3">
        <v>7115271757102</v>
      </c>
      <c r="D4228" s="2">
        <v>44667.75</v>
      </c>
      <c r="E4228" s="2">
        <v>44667.916666666664</v>
      </c>
      <c r="F4228" s="23">
        <f t="shared" si="198"/>
        <v>0.16666666666424135</v>
      </c>
      <c r="G4228" s="24">
        <f t="shared" si="200"/>
        <v>75.000000001091394</v>
      </c>
      <c r="H4228" s="1" t="s">
        <v>1</v>
      </c>
      <c r="I4228" s="4" t="s">
        <v>2</v>
      </c>
      <c r="J4228" s="14">
        <v>0.75</v>
      </c>
      <c r="K4228" s="20" t="str">
        <f t="shared" si="199"/>
        <v>2nd Shift</v>
      </c>
    </row>
    <row r="4229" spans="1:11" x14ac:dyDescent="0.25">
      <c r="A4229" s="1">
        <v>4228</v>
      </c>
      <c r="B4229" s="1">
        <v>6</v>
      </c>
      <c r="C4229" s="3">
        <v>6115271741302</v>
      </c>
      <c r="D4229" s="2">
        <v>44667.625</v>
      </c>
      <c r="E4229" s="2">
        <v>44667.916666666664</v>
      </c>
      <c r="F4229" s="23">
        <f t="shared" si="198"/>
        <v>0.29166666666424135</v>
      </c>
      <c r="G4229" s="24">
        <f t="shared" si="200"/>
        <v>42.857142857499234</v>
      </c>
      <c r="H4229" s="1" t="s">
        <v>1</v>
      </c>
      <c r="I4229" s="4" t="s">
        <v>2</v>
      </c>
      <c r="J4229" s="14">
        <v>0.625</v>
      </c>
      <c r="K4229" s="20" t="str">
        <f t="shared" si="199"/>
        <v>2nd Shift</v>
      </c>
    </row>
    <row r="4230" spans="1:11" x14ac:dyDescent="0.25">
      <c r="A4230" s="1">
        <v>4229</v>
      </c>
      <c r="B4230" s="1">
        <v>6</v>
      </c>
      <c r="C4230" s="3">
        <v>6115271736601</v>
      </c>
      <c r="D4230" s="2">
        <v>44667.625</v>
      </c>
      <c r="E4230" s="2">
        <v>44667.916666666664</v>
      </c>
      <c r="F4230" s="23">
        <f t="shared" si="198"/>
        <v>0.29166666666424135</v>
      </c>
      <c r="G4230" s="24">
        <f t="shared" si="200"/>
        <v>42.857142857499234</v>
      </c>
      <c r="H4230" s="1" t="s">
        <v>1</v>
      </c>
      <c r="I4230" s="4" t="s">
        <v>5</v>
      </c>
      <c r="J4230" s="14">
        <v>0.625</v>
      </c>
      <c r="K4230" s="20" t="str">
        <f t="shared" si="199"/>
        <v>2nd Shift</v>
      </c>
    </row>
    <row r="4231" spans="1:11" x14ac:dyDescent="0.25">
      <c r="A4231" s="1">
        <v>4230</v>
      </c>
      <c r="B4231" s="1">
        <v>6</v>
      </c>
      <c r="C4231" s="3">
        <v>6115271733505</v>
      </c>
      <c r="D4231" s="2">
        <v>44667.666666666664</v>
      </c>
      <c r="E4231" s="2">
        <v>44667.916666666664</v>
      </c>
      <c r="F4231" s="23">
        <f t="shared" si="198"/>
        <v>0.25</v>
      </c>
      <c r="G4231" s="24">
        <f t="shared" si="200"/>
        <v>50</v>
      </c>
      <c r="H4231" s="1" t="s">
        <v>1</v>
      </c>
      <c r="I4231" s="4" t="s">
        <v>2</v>
      </c>
      <c r="J4231" s="14">
        <v>0.66666666666666663</v>
      </c>
      <c r="K4231" s="20" t="str">
        <f t="shared" si="199"/>
        <v>2nd Shift</v>
      </c>
    </row>
    <row r="4232" spans="1:11" x14ac:dyDescent="0.25">
      <c r="A4232" s="1">
        <v>4231</v>
      </c>
      <c r="B4232" s="1">
        <v>6</v>
      </c>
      <c r="C4232" s="3">
        <v>6115271733503</v>
      </c>
      <c r="D4232" s="2">
        <v>44667.625</v>
      </c>
      <c r="E4232" s="2">
        <v>44667.916666666664</v>
      </c>
      <c r="F4232" s="23">
        <f t="shared" si="198"/>
        <v>0.29166666666424135</v>
      </c>
      <c r="G4232" s="24">
        <f t="shared" si="200"/>
        <v>42.857142857499234</v>
      </c>
      <c r="H4232" s="1" t="s">
        <v>1</v>
      </c>
      <c r="I4232" s="4" t="s">
        <v>3</v>
      </c>
      <c r="J4232" s="14">
        <v>0.625</v>
      </c>
      <c r="K4232" s="20" t="str">
        <f t="shared" si="199"/>
        <v>2nd Shift</v>
      </c>
    </row>
    <row r="4233" spans="1:11" x14ac:dyDescent="0.25">
      <c r="A4233" s="1">
        <v>4232</v>
      </c>
      <c r="B4233" s="1">
        <v>5</v>
      </c>
      <c r="C4233" s="3">
        <v>5115271259502</v>
      </c>
      <c r="D4233" s="2">
        <v>44667.666666666664</v>
      </c>
      <c r="E4233" s="2">
        <v>44667.916666666664</v>
      </c>
      <c r="F4233" s="23">
        <f t="shared" si="198"/>
        <v>0.25</v>
      </c>
      <c r="G4233" s="24">
        <f t="shared" si="200"/>
        <v>50</v>
      </c>
      <c r="H4233" s="1" t="s">
        <v>1</v>
      </c>
      <c r="I4233" s="4" t="s">
        <v>2</v>
      </c>
      <c r="J4233" s="14">
        <v>0.66666666666666663</v>
      </c>
      <c r="K4233" s="20" t="str">
        <f t="shared" si="199"/>
        <v>2nd Shift</v>
      </c>
    </row>
    <row r="4234" spans="1:11" x14ac:dyDescent="0.25">
      <c r="A4234" s="1">
        <v>4233</v>
      </c>
      <c r="B4234" s="1">
        <v>3</v>
      </c>
      <c r="C4234" s="3">
        <v>3115270366500</v>
      </c>
      <c r="D4234" s="2">
        <v>44667.75</v>
      </c>
      <c r="E4234" s="2">
        <v>44667.916666666664</v>
      </c>
      <c r="F4234" s="23">
        <f t="shared" si="198"/>
        <v>0.16666666666424135</v>
      </c>
      <c r="G4234" s="24">
        <f t="shared" si="200"/>
        <v>75.000000001091394</v>
      </c>
      <c r="H4234" s="1" t="s">
        <v>1</v>
      </c>
      <c r="I4234" s="4" t="s">
        <v>2</v>
      </c>
      <c r="J4234" s="14">
        <v>0.75</v>
      </c>
      <c r="K4234" s="20" t="str">
        <f t="shared" si="199"/>
        <v>2nd Shift</v>
      </c>
    </row>
    <row r="4235" spans="1:11" x14ac:dyDescent="0.25">
      <c r="A4235" s="1">
        <v>4234</v>
      </c>
      <c r="B4235" s="1">
        <v>3</v>
      </c>
      <c r="C4235" s="3">
        <v>3115270341100</v>
      </c>
      <c r="D4235" s="2">
        <v>44667.666666666664</v>
      </c>
      <c r="E4235" s="2">
        <v>44667.916666666664</v>
      </c>
      <c r="F4235" s="23">
        <f t="shared" si="198"/>
        <v>0.25</v>
      </c>
      <c r="G4235" s="24">
        <f t="shared" si="200"/>
        <v>50</v>
      </c>
      <c r="H4235" s="1" t="s">
        <v>1</v>
      </c>
      <c r="I4235" s="4" t="s">
        <v>2</v>
      </c>
      <c r="J4235" s="14">
        <v>0.66666666666666663</v>
      </c>
      <c r="K4235" s="20" t="str">
        <f t="shared" si="199"/>
        <v>2nd Shift</v>
      </c>
    </row>
    <row r="4236" spans="1:11" x14ac:dyDescent="0.25">
      <c r="A4236" s="1">
        <v>4235</v>
      </c>
      <c r="B4236" s="1">
        <v>3</v>
      </c>
      <c r="C4236" s="3">
        <v>3115270321400</v>
      </c>
      <c r="D4236" s="2">
        <v>44667.75</v>
      </c>
      <c r="E4236" s="2">
        <v>44667.916666666664</v>
      </c>
      <c r="F4236" s="23">
        <f t="shared" si="198"/>
        <v>0.16666666666424135</v>
      </c>
      <c r="G4236" s="24">
        <f t="shared" si="200"/>
        <v>75.000000001091394</v>
      </c>
      <c r="H4236" s="1" t="s">
        <v>1</v>
      </c>
      <c r="I4236" s="4" t="s">
        <v>2</v>
      </c>
      <c r="J4236" s="14">
        <v>0.75</v>
      </c>
      <c r="K4236" s="20" t="str">
        <f t="shared" si="199"/>
        <v>2nd Shift</v>
      </c>
    </row>
    <row r="4237" spans="1:11" x14ac:dyDescent="0.25">
      <c r="A4237" s="1">
        <v>4236</v>
      </c>
      <c r="B4237" s="1">
        <v>2</v>
      </c>
      <c r="C4237" s="3">
        <v>2115270261500</v>
      </c>
      <c r="D4237" s="2">
        <v>44667.75</v>
      </c>
      <c r="E4237" s="2">
        <v>44667.916666666664</v>
      </c>
      <c r="F4237" s="23">
        <f t="shared" si="198"/>
        <v>0.16666666666424135</v>
      </c>
      <c r="G4237" s="24">
        <f t="shared" si="200"/>
        <v>75.000000001091394</v>
      </c>
      <c r="H4237" s="1" t="s">
        <v>1</v>
      </c>
      <c r="I4237" s="4" t="s">
        <v>2</v>
      </c>
      <c r="J4237" s="14">
        <v>0.75</v>
      </c>
      <c r="K4237" s="20" t="str">
        <f t="shared" si="199"/>
        <v>2nd Shift</v>
      </c>
    </row>
    <row r="4238" spans="1:11" x14ac:dyDescent="0.25">
      <c r="A4238" s="1">
        <v>4237</v>
      </c>
      <c r="B4238" s="1">
        <v>2</v>
      </c>
      <c r="C4238" s="3">
        <v>2115270222600</v>
      </c>
      <c r="D4238" s="2">
        <v>44667.625</v>
      </c>
      <c r="E4238" s="2">
        <v>44667.916666666664</v>
      </c>
      <c r="F4238" s="23">
        <f t="shared" si="198"/>
        <v>0.29166666666424135</v>
      </c>
      <c r="G4238" s="24">
        <f t="shared" si="200"/>
        <v>42.857142857499234</v>
      </c>
      <c r="H4238" s="1" t="s">
        <v>1</v>
      </c>
      <c r="I4238" s="4" t="s">
        <v>4</v>
      </c>
      <c r="J4238" s="14">
        <v>0.625</v>
      </c>
      <c r="K4238" s="20" t="str">
        <f t="shared" si="199"/>
        <v>2nd Shift</v>
      </c>
    </row>
    <row r="4239" spans="1:11" x14ac:dyDescent="0.25">
      <c r="A4239" s="1">
        <v>4238</v>
      </c>
      <c r="B4239" s="1">
        <v>14</v>
      </c>
      <c r="C4239" s="3">
        <v>14115271678703</v>
      </c>
      <c r="D4239" s="2">
        <v>44668.579861111109</v>
      </c>
      <c r="E4239" s="2">
        <v>44668.65625</v>
      </c>
      <c r="F4239" s="23">
        <f t="shared" si="198"/>
        <v>7.6388888890505768E-2</v>
      </c>
      <c r="G4239" s="24">
        <f t="shared" si="200"/>
        <v>163.63636363290004</v>
      </c>
      <c r="H4239" s="1" t="s">
        <v>1</v>
      </c>
      <c r="I4239" s="4" t="s">
        <v>2</v>
      </c>
      <c r="J4239" s="14">
        <v>0.57986111111111116</v>
      </c>
      <c r="K4239" s="20" t="str">
        <f t="shared" si="199"/>
        <v>1st Shift</v>
      </c>
    </row>
    <row r="4240" spans="1:11" x14ac:dyDescent="0.25">
      <c r="A4240" s="1">
        <v>4239</v>
      </c>
      <c r="B4240" s="1">
        <v>14</v>
      </c>
      <c r="C4240" s="3">
        <v>14115271674602</v>
      </c>
      <c r="D4240" s="2">
        <v>44668.4375</v>
      </c>
      <c r="E4240" s="2">
        <v>44668.65625</v>
      </c>
      <c r="F4240" s="23">
        <f t="shared" si="198"/>
        <v>0.21875</v>
      </c>
      <c r="G4240" s="24">
        <f t="shared" si="200"/>
        <v>57.142857142857139</v>
      </c>
      <c r="H4240" s="1" t="s">
        <v>1</v>
      </c>
      <c r="I4240" s="4" t="s">
        <v>3</v>
      </c>
      <c r="J4240" s="14">
        <v>0.4375</v>
      </c>
      <c r="K4240" s="20" t="str">
        <f t="shared" si="199"/>
        <v>1st Shift</v>
      </c>
    </row>
    <row r="4241" spans="1:11" x14ac:dyDescent="0.25">
      <c r="A4241" s="1">
        <v>4240</v>
      </c>
      <c r="B4241" s="1">
        <v>14</v>
      </c>
      <c r="C4241" s="3">
        <v>14115271672411</v>
      </c>
      <c r="D4241" s="2">
        <v>44668.395833333336</v>
      </c>
      <c r="E4241" s="2">
        <v>44668.65625</v>
      </c>
      <c r="F4241" s="23">
        <f t="shared" si="198"/>
        <v>0.26041666666424135</v>
      </c>
      <c r="G4241" s="24">
        <f t="shared" si="200"/>
        <v>48.000000000447038</v>
      </c>
      <c r="H4241" s="1" t="s">
        <v>1</v>
      </c>
      <c r="I4241" s="4" t="s">
        <v>2</v>
      </c>
      <c r="J4241" s="14">
        <v>0.39583333333333331</v>
      </c>
      <c r="K4241" s="20" t="str">
        <f t="shared" si="199"/>
        <v>1st Shift</v>
      </c>
    </row>
    <row r="4242" spans="1:11" x14ac:dyDescent="0.25">
      <c r="A4242" s="1">
        <v>4241</v>
      </c>
      <c r="B4242" s="1">
        <v>14</v>
      </c>
      <c r="C4242" s="3">
        <v>14115271672407</v>
      </c>
      <c r="D4242" s="2">
        <v>44668.4375</v>
      </c>
      <c r="E4242" s="2">
        <v>44668.65625</v>
      </c>
      <c r="F4242" s="23">
        <f t="shared" si="198"/>
        <v>0.21875</v>
      </c>
      <c r="G4242" s="24">
        <f t="shared" si="200"/>
        <v>57.142857142857139</v>
      </c>
      <c r="H4242" s="1" t="s">
        <v>1</v>
      </c>
      <c r="I4242" s="4" t="s">
        <v>2</v>
      </c>
      <c r="J4242" s="14">
        <v>0.4375</v>
      </c>
      <c r="K4242" s="20" t="str">
        <f t="shared" si="199"/>
        <v>1st Shift</v>
      </c>
    </row>
    <row r="4243" spans="1:11" x14ac:dyDescent="0.25">
      <c r="A4243" s="1">
        <v>4242</v>
      </c>
      <c r="B4243" s="1">
        <v>13</v>
      </c>
      <c r="C4243" s="3">
        <v>13115271634803</v>
      </c>
      <c r="D4243" s="2">
        <v>44668.395833333336</v>
      </c>
      <c r="E4243" s="2">
        <v>44668.65625</v>
      </c>
      <c r="F4243" s="23">
        <f t="shared" si="198"/>
        <v>0.26041666666424135</v>
      </c>
      <c r="G4243" s="24">
        <f t="shared" si="200"/>
        <v>48.000000000447038</v>
      </c>
      <c r="H4243" s="1" t="s">
        <v>1</v>
      </c>
      <c r="I4243" s="4" t="s">
        <v>3</v>
      </c>
      <c r="J4243" s="14">
        <v>0.39583333333333331</v>
      </c>
      <c r="K4243" s="20" t="str">
        <f t="shared" si="199"/>
        <v>1st Shift</v>
      </c>
    </row>
    <row r="4244" spans="1:11" x14ac:dyDescent="0.25">
      <c r="A4244" s="1">
        <v>4243</v>
      </c>
      <c r="B4244" s="1">
        <v>13</v>
      </c>
      <c r="C4244" s="3">
        <v>13115271634800</v>
      </c>
      <c r="D4244" s="2">
        <v>44668.597222222219</v>
      </c>
      <c r="E4244" s="2">
        <v>44668.65625</v>
      </c>
      <c r="F4244" s="23">
        <f t="shared" si="198"/>
        <v>5.9027777781011537E-2</v>
      </c>
      <c r="G4244" s="24">
        <f t="shared" si="200"/>
        <v>211.7647058707517</v>
      </c>
      <c r="H4244" s="1" t="s">
        <v>1</v>
      </c>
      <c r="I4244" s="4" t="s">
        <v>2</v>
      </c>
      <c r="J4244" s="14">
        <v>0.59722222222222221</v>
      </c>
      <c r="K4244" s="20" t="str">
        <f t="shared" si="199"/>
        <v>2nd Shift</v>
      </c>
    </row>
    <row r="4245" spans="1:11" x14ac:dyDescent="0.25">
      <c r="A4245" s="1">
        <v>4244</v>
      </c>
      <c r="B4245" s="1">
        <v>13</v>
      </c>
      <c r="C4245" s="3">
        <v>13115271612205</v>
      </c>
      <c r="D4245" s="2">
        <v>44668.395833333336</v>
      </c>
      <c r="E4245" s="2">
        <v>44668.65625</v>
      </c>
      <c r="F4245" s="23">
        <f t="shared" si="198"/>
        <v>0.26041666666424135</v>
      </c>
      <c r="G4245" s="24">
        <f t="shared" si="200"/>
        <v>48.000000000447038</v>
      </c>
      <c r="H4245" s="1" t="s">
        <v>1</v>
      </c>
      <c r="I4245" s="4" t="s">
        <v>4</v>
      </c>
      <c r="J4245" s="14">
        <v>0.39583333333333331</v>
      </c>
      <c r="K4245" s="20" t="str">
        <f t="shared" si="199"/>
        <v>1st Shift</v>
      </c>
    </row>
    <row r="4246" spans="1:11" x14ac:dyDescent="0.25">
      <c r="A4246" s="1">
        <v>4245</v>
      </c>
      <c r="B4246" s="1">
        <v>11</v>
      </c>
      <c r="C4246" s="3">
        <v>11115271487800</v>
      </c>
      <c r="D4246" s="2">
        <v>44668.395833333336</v>
      </c>
      <c r="E4246" s="2">
        <v>44668.65625</v>
      </c>
      <c r="F4246" s="23">
        <f t="shared" si="198"/>
        <v>0.26041666666424135</v>
      </c>
      <c r="G4246" s="24">
        <f t="shared" si="200"/>
        <v>48.000000000447038</v>
      </c>
      <c r="H4246" s="1" t="s">
        <v>1</v>
      </c>
      <c r="I4246" s="4" t="s">
        <v>4</v>
      </c>
      <c r="J4246" s="14">
        <v>0.39583333333333331</v>
      </c>
      <c r="K4246" s="20" t="str">
        <f t="shared" si="199"/>
        <v>1st Shift</v>
      </c>
    </row>
    <row r="4247" spans="1:11" x14ac:dyDescent="0.25">
      <c r="A4247" s="1">
        <v>4246</v>
      </c>
      <c r="B4247" s="1">
        <v>8</v>
      </c>
      <c r="C4247" s="3">
        <v>8115271820700</v>
      </c>
      <c r="D4247" s="2">
        <v>44668.493055555555</v>
      </c>
      <c r="E4247" s="2">
        <v>44668.65625</v>
      </c>
      <c r="F4247" s="23">
        <f t="shared" si="198"/>
        <v>0.16319444444525288</v>
      </c>
      <c r="G4247" s="24">
        <f t="shared" si="200"/>
        <v>76.595744680471626</v>
      </c>
      <c r="H4247" s="1" t="s">
        <v>1</v>
      </c>
      <c r="I4247" s="4" t="s">
        <v>3</v>
      </c>
      <c r="J4247" s="14">
        <v>0.49305555555555558</v>
      </c>
      <c r="K4247" s="20" t="str">
        <f t="shared" si="199"/>
        <v>1st Shift</v>
      </c>
    </row>
    <row r="4248" spans="1:11" x14ac:dyDescent="0.25">
      <c r="A4248" s="1">
        <v>4247</v>
      </c>
      <c r="B4248" s="1">
        <v>8</v>
      </c>
      <c r="C4248" s="3">
        <v>8115271809912</v>
      </c>
      <c r="D4248" s="2">
        <v>44668.395833333336</v>
      </c>
      <c r="E4248" s="2">
        <v>44668.65625</v>
      </c>
      <c r="F4248" s="23">
        <f t="shared" si="198"/>
        <v>0.26041666666424135</v>
      </c>
      <c r="G4248" s="24">
        <f t="shared" si="200"/>
        <v>48.000000000447038</v>
      </c>
      <c r="H4248" s="1" t="s">
        <v>1</v>
      </c>
      <c r="I4248" s="4" t="s">
        <v>3</v>
      </c>
      <c r="J4248" s="14">
        <v>0.39583333333333331</v>
      </c>
      <c r="K4248" s="20" t="str">
        <f t="shared" si="199"/>
        <v>1st Shift</v>
      </c>
    </row>
    <row r="4249" spans="1:11" x14ac:dyDescent="0.25">
      <c r="A4249" s="1">
        <v>4248</v>
      </c>
      <c r="B4249" s="1">
        <v>7</v>
      </c>
      <c r="C4249" s="3">
        <v>7115271787212</v>
      </c>
      <c r="D4249" s="2">
        <v>44668.4375</v>
      </c>
      <c r="E4249" s="2">
        <v>44668.65625</v>
      </c>
      <c r="F4249" s="23">
        <f t="shared" si="198"/>
        <v>0.21875</v>
      </c>
      <c r="G4249" s="24">
        <f t="shared" si="200"/>
        <v>57.142857142857139</v>
      </c>
      <c r="H4249" s="1" t="s">
        <v>1</v>
      </c>
      <c r="I4249" s="4" t="s">
        <v>5</v>
      </c>
      <c r="J4249" s="14">
        <v>0.4375</v>
      </c>
      <c r="K4249" s="20" t="str">
        <f t="shared" si="199"/>
        <v>1st Shift</v>
      </c>
    </row>
    <row r="4250" spans="1:11" x14ac:dyDescent="0.25">
      <c r="A4250" s="1">
        <v>4249</v>
      </c>
      <c r="B4250" s="1">
        <v>7</v>
      </c>
      <c r="C4250" s="3">
        <v>7115271781095</v>
      </c>
      <c r="D4250" s="2">
        <v>44668.5</v>
      </c>
      <c r="E4250" s="2">
        <v>44668.65625</v>
      </c>
      <c r="F4250" s="23">
        <f t="shared" si="198"/>
        <v>0.15625</v>
      </c>
      <c r="G4250" s="24">
        <f t="shared" si="200"/>
        <v>80</v>
      </c>
      <c r="H4250" s="1" t="s">
        <v>1</v>
      </c>
      <c r="I4250" s="4" t="s">
        <v>4</v>
      </c>
      <c r="J4250" s="14">
        <v>0.5</v>
      </c>
      <c r="K4250" s="20" t="str">
        <f t="shared" si="199"/>
        <v>1st Shift</v>
      </c>
    </row>
    <row r="4251" spans="1:11" x14ac:dyDescent="0.25">
      <c r="A4251" s="1">
        <v>4250</v>
      </c>
      <c r="B4251" s="1">
        <v>7</v>
      </c>
      <c r="C4251" s="3">
        <v>7115271780604</v>
      </c>
      <c r="D4251" s="2">
        <v>44668.541666666664</v>
      </c>
      <c r="E4251" s="2">
        <v>44668.65625</v>
      </c>
      <c r="F4251" s="23">
        <f t="shared" si="198"/>
        <v>0.11458333333575865</v>
      </c>
      <c r="G4251" s="24">
        <f t="shared" si="200"/>
        <v>109.09090908860001</v>
      </c>
      <c r="H4251" s="1" t="s">
        <v>1</v>
      </c>
      <c r="I4251" s="4" t="s">
        <v>4</v>
      </c>
      <c r="J4251" s="14">
        <v>0.54166666666666663</v>
      </c>
      <c r="K4251" s="20" t="str">
        <f t="shared" si="199"/>
        <v>1st Shift</v>
      </c>
    </row>
    <row r="4252" spans="1:11" x14ac:dyDescent="0.25">
      <c r="A4252" s="1">
        <v>4251</v>
      </c>
      <c r="B4252" s="1">
        <v>6</v>
      </c>
      <c r="C4252" s="3">
        <v>6115271741307</v>
      </c>
      <c r="D4252" s="2">
        <v>44668.59375</v>
      </c>
      <c r="E4252" s="2">
        <v>44668.65625</v>
      </c>
      <c r="F4252" s="23">
        <f t="shared" si="198"/>
        <v>6.25E-2</v>
      </c>
      <c r="G4252" s="24">
        <f t="shared" si="200"/>
        <v>200</v>
      </c>
      <c r="H4252" s="1" t="s">
        <v>1</v>
      </c>
      <c r="I4252" s="4" t="s">
        <v>3</v>
      </c>
      <c r="J4252" s="14">
        <v>0.59375</v>
      </c>
      <c r="K4252" s="20" t="str">
        <f t="shared" si="199"/>
        <v>2nd Shift</v>
      </c>
    </row>
    <row r="4253" spans="1:11" x14ac:dyDescent="0.25">
      <c r="A4253" s="1">
        <v>4252</v>
      </c>
      <c r="B4253" s="1">
        <v>5</v>
      </c>
      <c r="C4253" s="3">
        <v>5115270974400</v>
      </c>
      <c r="D4253" s="2">
        <v>44668.395833333336</v>
      </c>
      <c r="E4253" s="2">
        <v>44668.65625</v>
      </c>
      <c r="F4253" s="23">
        <f t="shared" si="198"/>
        <v>0.26041666666424135</v>
      </c>
      <c r="G4253" s="24">
        <f t="shared" si="200"/>
        <v>48.000000000447038</v>
      </c>
      <c r="H4253" s="1" t="s">
        <v>1</v>
      </c>
      <c r="I4253" s="4" t="s">
        <v>3</v>
      </c>
      <c r="J4253" s="14">
        <v>0.39583333333333331</v>
      </c>
      <c r="K4253" s="20" t="str">
        <f t="shared" si="199"/>
        <v>1st Shift</v>
      </c>
    </row>
    <row r="4254" spans="1:11" x14ac:dyDescent="0.25">
      <c r="A4254" s="1">
        <v>4253</v>
      </c>
      <c r="B4254" s="1">
        <v>3</v>
      </c>
      <c r="C4254" s="3">
        <v>3115270421800</v>
      </c>
      <c r="D4254" s="2">
        <v>44668.493055555555</v>
      </c>
      <c r="E4254" s="2">
        <v>44668.65625</v>
      </c>
      <c r="F4254" s="23">
        <f t="shared" si="198"/>
        <v>0.16319444444525288</v>
      </c>
      <c r="G4254" s="24">
        <f t="shared" si="200"/>
        <v>76.595744680471626</v>
      </c>
      <c r="H4254" s="1" t="s">
        <v>1</v>
      </c>
      <c r="I4254" s="4" t="s">
        <v>2</v>
      </c>
      <c r="J4254" s="14">
        <v>0.49305555555555558</v>
      </c>
      <c r="K4254" s="20" t="str">
        <f t="shared" si="199"/>
        <v>1st Shift</v>
      </c>
    </row>
    <row r="4255" spans="1:11" x14ac:dyDescent="0.25">
      <c r="A4255" s="1">
        <v>4254</v>
      </c>
      <c r="B4255" s="1">
        <v>3</v>
      </c>
      <c r="C4255" s="3">
        <v>3115270421300</v>
      </c>
      <c r="D4255" s="2">
        <v>44668.395833333336</v>
      </c>
      <c r="E4255" s="2">
        <v>44668.65625</v>
      </c>
      <c r="F4255" s="23">
        <f t="shared" si="198"/>
        <v>0.26041666666424135</v>
      </c>
      <c r="G4255" s="24">
        <f t="shared" si="200"/>
        <v>48.000000000447038</v>
      </c>
      <c r="H4255" s="1" t="s">
        <v>1</v>
      </c>
      <c r="I4255" s="4" t="s">
        <v>2</v>
      </c>
      <c r="J4255" s="14">
        <v>0.39583333333333331</v>
      </c>
      <c r="K4255" s="20" t="str">
        <f t="shared" si="199"/>
        <v>1st Shift</v>
      </c>
    </row>
    <row r="4256" spans="1:11" x14ac:dyDescent="0.25">
      <c r="A4256" s="1">
        <v>4255</v>
      </c>
      <c r="B4256" s="1">
        <v>3</v>
      </c>
      <c r="C4256" s="3">
        <v>3115270326700</v>
      </c>
      <c r="D4256" s="2">
        <v>44668.395833333336</v>
      </c>
      <c r="E4256" s="2">
        <v>44668.65625</v>
      </c>
      <c r="F4256" s="23">
        <f t="shared" si="198"/>
        <v>0.26041666666424135</v>
      </c>
      <c r="G4256" s="24">
        <f t="shared" si="200"/>
        <v>48.000000000447038</v>
      </c>
      <c r="H4256" s="1" t="s">
        <v>1</v>
      </c>
      <c r="I4256" s="4" t="s">
        <v>2</v>
      </c>
      <c r="J4256" s="14">
        <v>0.39583333333333331</v>
      </c>
      <c r="K4256" s="20" t="str">
        <f t="shared" si="199"/>
        <v>1st Shift</v>
      </c>
    </row>
    <row r="4257" spans="1:11" x14ac:dyDescent="0.25">
      <c r="A4257" s="1">
        <v>4256</v>
      </c>
      <c r="B4257" s="1">
        <v>2</v>
      </c>
      <c r="C4257" s="3">
        <v>2115270232000</v>
      </c>
      <c r="D4257" s="2">
        <v>44668.5</v>
      </c>
      <c r="E4257" s="2">
        <v>44668.65625</v>
      </c>
      <c r="F4257" s="23">
        <f t="shared" si="198"/>
        <v>0.15625</v>
      </c>
      <c r="G4257" s="24">
        <f t="shared" si="200"/>
        <v>80</v>
      </c>
      <c r="H4257" s="1" t="s">
        <v>1</v>
      </c>
      <c r="I4257" s="4" t="s">
        <v>3</v>
      </c>
      <c r="J4257" s="14">
        <v>0.5</v>
      </c>
      <c r="K4257" s="20" t="str">
        <f t="shared" si="199"/>
        <v>1st Shift</v>
      </c>
    </row>
    <row r="4258" spans="1:11" x14ac:dyDescent="0.25">
      <c r="A4258" s="1">
        <v>4257</v>
      </c>
      <c r="B4258" s="1">
        <v>1</v>
      </c>
      <c r="C4258" s="3">
        <v>1115270127800</v>
      </c>
      <c r="D4258" s="2">
        <v>44668.4375</v>
      </c>
      <c r="E4258" s="2">
        <v>44668.65625</v>
      </c>
      <c r="F4258" s="23">
        <f t="shared" si="198"/>
        <v>0.21875</v>
      </c>
      <c r="G4258" s="24">
        <f t="shared" si="200"/>
        <v>57.142857142857139</v>
      </c>
      <c r="H4258" s="1" t="s">
        <v>1</v>
      </c>
      <c r="I4258" s="4" t="s">
        <v>3</v>
      </c>
      <c r="J4258" s="14">
        <v>0.4375</v>
      </c>
      <c r="K4258" s="20" t="str">
        <f t="shared" si="199"/>
        <v>1st Shift</v>
      </c>
    </row>
    <row r="4259" spans="1:11" x14ac:dyDescent="0.25">
      <c r="A4259" s="1">
        <v>4258</v>
      </c>
      <c r="B4259" s="1">
        <v>1</v>
      </c>
      <c r="C4259" s="3">
        <v>1115270064500</v>
      </c>
      <c r="D4259" s="2">
        <v>44668.541666666664</v>
      </c>
      <c r="E4259" s="2">
        <v>44668.65625</v>
      </c>
      <c r="F4259" s="23">
        <f t="shared" si="198"/>
        <v>0.11458333333575865</v>
      </c>
      <c r="G4259" s="24">
        <f t="shared" si="200"/>
        <v>109.09090908860001</v>
      </c>
      <c r="H4259" s="1" t="s">
        <v>1</v>
      </c>
      <c r="I4259" s="4" t="s">
        <v>3</v>
      </c>
      <c r="J4259" s="14">
        <v>0.54166666666666663</v>
      </c>
      <c r="K4259" s="20" t="str">
        <f t="shared" si="199"/>
        <v>1st Shift</v>
      </c>
    </row>
    <row r="4260" spans="1:11" x14ac:dyDescent="0.25">
      <c r="A4260" s="1">
        <v>4259</v>
      </c>
      <c r="B4260" s="1">
        <v>14</v>
      </c>
      <c r="C4260" s="3">
        <v>14115271672500</v>
      </c>
      <c r="D4260" s="2">
        <v>44668.670138888891</v>
      </c>
      <c r="E4260" s="2">
        <v>44668.930555555555</v>
      </c>
      <c r="F4260" s="23">
        <f t="shared" si="198"/>
        <v>0.26041666666424135</v>
      </c>
      <c r="G4260" s="24">
        <f t="shared" si="200"/>
        <v>48.000000000447038</v>
      </c>
      <c r="H4260" s="1" t="s">
        <v>1</v>
      </c>
      <c r="I4260" s="4" t="s">
        <v>3</v>
      </c>
      <c r="J4260" s="14">
        <v>0.67013888888888884</v>
      </c>
      <c r="K4260" s="20" t="str">
        <f t="shared" si="199"/>
        <v>2nd Shift</v>
      </c>
    </row>
    <row r="4261" spans="1:11" x14ac:dyDescent="0.25">
      <c r="A4261" s="1">
        <v>4260</v>
      </c>
      <c r="B4261" s="1">
        <v>11</v>
      </c>
      <c r="C4261" s="3">
        <v>11115271533900</v>
      </c>
      <c r="D4261" s="2">
        <v>44668.670138888891</v>
      </c>
      <c r="E4261" s="2">
        <v>44668.930555555555</v>
      </c>
      <c r="F4261" s="23">
        <f t="shared" si="198"/>
        <v>0.26041666666424135</v>
      </c>
      <c r="G4261" s="24">
        <f t="shared" si="200"/>
        <v>48.000000000447038</v>
      </c>
      <c r="H4261" s="1" t="s">
        <v>1</v>
      </c>
      <c r="I4261" s="4" t="s">
        <v>3</v>
      </c>
      <c r="J4261" s="14">
        <v>0.67013888888888884</v>
      </c>
      <c r="K4261" s="20" t="str">
        <f t="shared" si="199"/>
        <v>2nd Shift</v>
      </c>
    </row>
    <row r="4262" spans="1:11" x14ac:dyDescent="0.25">
      <c r="A4262" s="1">
        <v>4261</v>
      </c>
      <c r="B4262" s="1">
        <v>8</v>
      </c>
      <c r="C4262" s="3">
        <v>8115271855800</v>
      </c>
      <c r="D4262" s="2">
        <v>44668.770833333336</v>
      </c>
      <c r="E4262" s="2">
        <v>44668.930555555555</v>
      </c>
      <c r="F4262" s="23">
        <f t="shared" si="198"/>
        <v>0.15972222221898846</v>
      </c>
      <c r="G4262" s="24">
        <f t="shared" si="200"/>
        <v>78.260869566801873</v>
      </c>
      <c r="H4262" s="1" t="s">
        <v>1</v>
      </c>
      <c r="I4262" s="4" t="s">
        <v>3</v>
      </c>
      <c r="J4262" s="14">
        <v>0.77083333333333337</v>
      </c>
      <c r="K4262" s="20" t="str">
        <f t="shared" si="199"/>
        <v>2nd Shift</v>
      </c>
    </row>
    <row r="4263" spans="1:11" x14ac:dyDescent="0.25">
      <c r="A4263" s="1">
        <v>4262</v>
      </c>
      <c r="B4263" s="1">
        <v>7</v>
      </c>
      <c r="C4263" s="3">
        <v>7115271776900</v>
      </c>
      <c r="D4263" s="2">
        <v>44668.670138888891</v>
      </c>
      <c r="E4263" s="2">
        <v>44668.930555555555</v>
      </c>
      <c r="F4263" s="23">
        <f t="shared" si="198"/>
        <v>0.26041666666424135</v>
      </c>
      <c r="G4263" s="24">
        <f t="shared" si="200"/>
        <v>48.000000000447038</v>
      </c>
      <c r="H4263" s="1" t="s">
        <v>1</v>
      </c>
      <c r="I4263" s="4" t="s">
        <v>3</v>
      </c>
      <c r="J4263" s="14">
        <v>0.67013888888888884</v>
      </c>
      <c r="K4263" s="20" t="str">
        <f t="shared" si="199"/>
        <v>2nd Shift</v>
      </c>
    </row>
    <row r="4264" spans="1:11" x14ac:dyDescent="0.25">
      <c r="A4264" s="1">
        <v>4263</v>
      </c>
      <c r="B4264" s="1">
        <v>7</v>
      </c>
      <c r="C4264" s="3">
        <v>7115271753900</v>
      </c>
      <c r="D4264" s="2">
        <v>44668.770833333336</v>
      </c>
      <c r="E4264" s="2">
        <v>44668.930555555555</v>
      </c>
      <c r="F4264" s="23">
        <f t="shared" si="198"/>
        <v>0.15972222221898846</v>
      </c>
      <c r="G4264" s="24">
        <f t="shared" si="200"/>
        <v>78.260869566801873</v>
      </c>
      <c r="H4264" s="1" t="s">
        <v>1</v>
      </c>
      <c r="I4264" s="4" t="s">
        <v>2</v>
      </c>
      <c r="J4264" s="14">
        <v>0.77083333333333337</v>
      </c>
      <c r="K4264" s="20" t="str">
        <f t="shared" si="199"/>
        <v>2nd Shift</v>
      </c>
    </row>
    <row r="4265" spans="1:11" x14ac:dyDescent="0.25">
      <c r="A4265" s="1">
        <v>4264</v>
      </c>
      <c r="B4265" s="1">
        <v>6</v>
      </c>
      <c r="C4265" s="3">
        <v>6115271745802</v>
      </c>
      <c r="D4265" s="2">
        <v>44668.670138888891</v>
      </c>
      <c r="E4265" s="2">
        <v>44668.930555555555</v>
      </c>
      <c r="F4265" s="23">
        <f t="shared" si="198"/>
        <v>0.26041666666424135</v>
      </c>
      <c r="G4265" s="24">
        <f t="shared" si="200"/>
        <v>48.000000000447038</v>
      </c>
      <c r="H4265" s="1" t="s">
        <v>1</v>
      </c>
      <c r="I4265" s="4" t="s">
        <v>2</v>
      </c>
      <c r="J4265" s="14">
        <v>0.67013888888888884</v>
      </c>
      <c r="K4265" s="20" t="str">
        <f t="shared" si="199"/>
        <v>2nd Shift</v>
      </c>
    </row>
    <row r="4266" spans="1:11" x14ac:dyDescent="0.25">
      <c r="A4266" s="1">
        <v>4265</v>
      </c>
      <c r="B4266" s="1">
        <v>5</v>
      </c>
      <c r="C4266" s="3">
        <v>5115271239500</v>
      </c>
      <c r="D4266" s="2">
        <v>44668.770833333336</v>
      </c>
      <c r="E4266" s="2">
        <v>44668.930555555555</v>
      </c>
      <c r="F4266" s="23">
        <f t="shared" si="198"/>
        <v>0.15972222221898846</v>
      </c>
      <c r="G4266" s="24">
        <f t="shared" si="200"/>
        <v>78.260869566801873</v>
      </c>
      <c r="H4266" s="1" t="s">
        <v>1</v>
      </c>
      <c r="I4266" s="4" t="s">
        <v>3</v>
      </c>
      <c r="J4266" s="14">
        <v>0.77083333333333337</v>
      </c>
      <c r="K4266" s="20" t="str">
        <f t="shared" si="199"/>
        <v>2nd Shift</v>
      </c>
    </row>
    <row r="4267" spans="1:11" x14ac:dyDescent="0.25">
      <c r="A4267" s="1">
        <v>4266</v>
      </c>
      <c r="B4267" s="1">
        <v>3</v>
      </c>
      <c r="C4267" s="3">
        <v>3115270386302</v>
      </c>
      <c r="D4267" s="2">
        <v>44668.670138888891</v>
      </c>
      <c r="E4267" s="2">
        <v>44668.930555555555</v>
      </c>
      <c r="F4267" s="23">
        <f t="shared" si="198"/>
        <v>0.26041666666424135</v>
      </c>
      <c r="G4267" s="24">
        <f t="shared" si="200"/>
        <v>48.000000000447038</v>
      </c>
      <c r="H4267" s="1" t="s">
        <v>1</v>
      </c>
      <c r="I4267" s="4" t="s">
        <v>4</v>
      </c>
      <c r="J4267" s="14">
        <v>0.67013888888888884</v>
      </c>
      <c r="K4267" s="20" t="str">
        <f t="shared" si="199"/>
        <v>2nd Shift</v>
      </c>
    </row>
    <row r="4268" spans="1:11" x14ac:dyDescent="0.25">
      <c r="A4268" s="1">
        <v>4267</v>
      </c>
      <c r="B4268" s="1">
        <v>2</v>
      </c>
      <c r="C4268" s="3">
        <v>2115270272800</v>
      </c>
      <c r="D4268" s="2">
        <v>44668.670138888891</v>
      </c>
      <c r="E4268" s="2">
        <v>44668.930555555555</v>
      </c>
      <c r="F4268" s="23">
        <f t="shared" si="198"/>
        <v>0.26041666666424135</v>
      </c>
      <c r="G4268" s="24">
        <f t="shared" si="200"/>
        <v>48.000000000447038</v>
      </c>
      <c r="H4268" s="1" t="s">
        <v>1</v>
      </c>
      <c r="I4268" s="4" t="s">
        <v>3</v>
      </c>
      <c r="J4268" s="14">
        <v>0.67013888888888884</v>
      </c>
      <c r="K4268" s="20" t="str">
        <f t="shared" si="199"/>
        <v>2nd Shift</v>
      </c>
    </row>
    <row r="4269" spans="1:11" x14ac:dyDescent="0.25">
      <c r="A4269" s="1">
        <v>4268</v>
      </c>
      <c r="B4269" s="1">
        <v>2</v>
      </c>
      <c r="C4269" s="3">
        <v>2115270230100</v>
      </c>
      <c r="D4269" s="2">
        <v>44668.770833333336</v>
      </c>
      <c r="E4269" s="2">
        <v>44668.930555555555</v>
      </c>
      <c r="F4269" s="23">
        <f t="shared" si="198"/>
        <v>0.15972222221898846</v>
      </c>
      <c r="G4269" s="24">
        <f t="shared" si="200"/>
        <v>78.260869566801873</v>
      </c>
      <c r="H4269" s="1" t="s">
        <v>1</v>
      </c>
      <c r="I4269" s="4" t="s">
        <v>8</v>
      </c>
      <c r="J4269" s="14">
        <v>0.77083333333333337</v>
      </c>
      <c r="K4269" s="20" t="str">
        <f t="shared" si="199"/>
        <v>2nd Shift</v>
      </c>
    </row>
    <row r="4270" spans="1:11" x14ac:dyDescent="0.25">
      <c r="A4270" s="1">
        <v>4269</v>
      </c>
      <c r="B4270" s="1">
        <v>11</v>
      </c>
      <c r="C4270" s="3">
        <v>11115271547404</v>
      </c>
      <c r="D4270" s="2">
        <v>44668.951388888891</v>
      </c>
      <c r="E4270" s="2">
        <v>44669.000011574077</v>
      </c>
      <c r="F4270" s="23">
        <f t="shared" si="198"/>
        <v>4.8622685186273884E-2</v>
      </c>
      <c r="G4270" s="24">
        <f t="shared" si="200"/>
        <v>257.0816472210945</v>
      </c>
      <c r="H4270" s="1" t="s">
        <v>1</v>
      </c>
      <c r="I4270" s="4" t="s">
        <v>2</v>
      </c>
      <c r="J4270" s="14">
        <v>0.95138888888888884</v>
      </c>
      <c r="K4270" s="20" t="str">
        <f t="shared" si="199"/>
        <v>3rd Shift</v>
      </c>
    </row>
    <row r="4271" spans="1:11" x14ac:dyDescent="0.25">
      <c r="A4271" s="1">
        <v>4270</v>
      </c>
      <c r="B4271" s="1">
        <v>6</v>
      </c>
      <c r="C4271" s="3">
        <v>6115271690602</v>
      </c>
      <c r="D4271" s="2">
        <v>44668.951388888891</v>
      </c>
      <c r="E4271" s="2">
        <v>44669.000011574077</v>
      </c>
      <c r="F4271" s="23">
        <f t="shared" si="198"/>
        <v>4.8622685186273884E-2</v>
      </c>
      <c r="G4271" s="24">
        <f t="shared" si="200"/>
        <v>257.0816472210945</v>
      </c>
      <c r="H4271" s="1" t="s">
        <v>1</v>
      </c>
      <c r="I4271" s="4" t="s">
        <v>3</v>
      </c>
      <c r="J4271" s="14">
        <v>0.95138888888888884</v>
      </c>
      <c r="K4271" s="20" t="str">
        <f t="shared" si="199"/>
        <v>3rd Shift</v>
      </c>
    </row>
    <row r="4272" spans="1:11" x14ac:dyDescent="0.25">
      <c r="A4272" s="1">
        <v>4271</v>
      </c>
      <c r="B4272" s="1">
        <v>12</v>
      </c>
      <c r="C4272" s="3">
        <v>12115271560119</v>
      </c>
      <c r="D4272" s="2">
        <v>44669.017361111109</v>
      </c>
      <c r="E4272" s="2">
        <v>44669.09375</v>
      </c>
      <c r="F4272" s="23">
        <f t="shared" si="198"/>
        <v>7.6388888890505768E-2</v>
      </c>
      <c r="G4272" s="24">
        <f t="shared" si="200"/>
        <v>163.63636363290004</v>
      </c>
      <c r="H4272" s="1" t="s">
        <v>1</v>
      </c>
      <c r="I4272" s="4" t="s">
        <v>2</v>
      </c>
      <c r="J4272" s="14">
        <v>1.7361111111111112E-2</v>
      </c>
      <c r="K4272" s="20" t="str">
        <f t="shared" si="199"/>
        <v>3rd Shift</v>
      </c>
    </row>
    <row r="4273" spans="1:11" x14ac:dyDescent="0.25">
      <c r="A4273" s="1">
        <v>4272</v>
      </c>
      <c r="B4273" s="1">
        <v>7</v>
      </c>
      <c r="C4273" s="3">
        <v>7115271769701</v>
      </c>
      <c r="D4273" s="2">
        <v>44669.017361111109</v>
      </c>
      <c r="E4273" s="2">
        <v>44669.09375</v>
      </c>
      <c r="F4273" s="23">
        <f t="shared" si="198"/>
        <v>7.6388888890505768E-2</v>
      </c>
      <c r="G4273" s="24">
        <f t="shared" si="200"/>
        <v>163.63636363290004</v>
      </c>
      <c r="H4273" s="1" t="s">
        <v>1</v>
      </c>
      <c r="I4273" s="4" t="s">
        <v>2</v>
      </c>
      <c r="J4273" s="14">
        <v>1.7361111111111112E-2</v>
      </c>
      <c r="K4273" s="20" t="str">
        <f t="shared" si="199"/>
        <v>3rd Shift</v>
      </c>
    </row>
    <row r="4274" spans="1:11" x14ac:dyDescent="0.25">
      <c r="A4274" s="1">
        <v>4273</v>
      </c>
      <c r="B4274" s="1">
        <v>3</v>
      </c>
      <c r="C4274" s="3">
        <v>3115270335900</v>
      </c>
      <c r="D4274" s="2">
        <v>44669.017361111109</v>
      </c>
      <c r="E4274" s="2">
        <v>44669.09375</v>
      </c>
      <c r="F4274" s="23">
        <f t="shared" si="198"/>
        <v>7.6388888890505768E-2</v>
      </c>
      <c r="G4274" s="24">
        <f t="shared" si="200"/>
        <v>163.63636363290004</v>
      </c>
      <c r="H4274" s="1" t="s">
        <v>1</v>
      </c>
      <c r="I4274" s="4" t="s">
        <v>3</v>
      </c>
      <c r="J4274" s="14">
        <v>1.7361111111111112E-2</v>
      </c>
      <c r="K4274" s="20" t="str">
        <f t="shared" si="199"/>
        <v>3rd Shift</v>
      </c>
    </row>
    <row r="4275" spans="1:11" x14ac:dyDescent="0.25">
      <c r="A4275" s="1">
        <v>4274</v>
      </c>
      <c r="B4275" s="1">
        <v>14</v>
      </c>
      <c r="C4275" s="3">
        <v>14115271672500</v>
      </c>
      <c r="D4275" s="2">
        <v>44669.375</v>
      </c>
      <c r="E4275" s="2">
        <v>44669.638888888891</v>
      </c>
      <c r="F4275" s="23">
        <f t="shared" si="198"/>
        <v>0.26388888889050577</v>
      </c>
      <c r="G4275" s="24">
        <f t="shared" si="200"/>
        <v>47.368421052341347</v>
      </c>
      <c r="H4275" s="1" t="s">
        <v>1</v>
      </c>
      <c r="I4275" s="4" t="s">
        <v>3</v>
      </c>
      <c r="J4275" s="14">
        <v>0.375</v>
      </c>
      <c r="K4275" s="20" t="str">
        <f t="shared" si="199"/>
        <v>1st Shift</v>
      </c>
    </row>
    <row r="4276" spans="1:11" x14ac:dyDescent="0.25">
      <c r="A4276" s="1">
        <v>4275</v>
      </c>
      <c r="B4276" s="1">
        <v>14</v>
      </c>
      <c r="C4276" s="3">
        <v>14115271672404</v>
      </c>
      <c r="D4276" s="2">
        <v>44669.552083333336</v>
      </c>
      <c r="E4276" s="2">
        <v>44669.638888888891</v>
      </c>
      <c r="F4276" s="23">
        <f t="shared" si="198"/>
        <v>8.6805555554747116E-2</v>
      </c>
      <c r="G4276" s="24">
        <f t="shared" si="200"/>
        <v>144.00000000134111</v>
      </c>
      <c r="H4276" s="1" t="s">
        <v>1</v>
      </c>
      <c r="I4276" s="4" t="s">
        <v>2</v>
      </c>
      <c r="J4276" s="14">
        <v>0.55208333333333337</v>
      </c>
      <c r="K4276" s="20" t="str">
        <f t="shared" si="199"/>
        <v>1st Shift</v>
      </c>
    </row>
    <row r="4277" spans="1:11" x14ac:dyDescent="0.25">
      <c r="A4277" s="1">
        <v>4276</v>
      </c>
      <c r="B4277" s="1">
        <v>12</v>
      </c>
      <c r="C4277" s="3">
        <v>12115271566706</v>
      </c>
      <c r="D4277" s="2">
        <v>44669.5</v>
      </c>
      <c r="E4277" s="2">
        <v>44669.638888888891</v>
      </c>
      <c r="F4277" s="23">
        <f t="shared" si="198"/>
        <v>0.13888888889050577</v>
      </c>
      <c r="G4277" s="24">
        <f t="shared" si="200"/>
        <v>89.999999998952262</v>
      </c>
      <c r="H4277" s="1" t="s">
        <v>1</v>
      </c>
      <c r="I4277" s="4" t="s">
        <v>3</v>
      </c>
      <c r="J4277" s="14">
        <v>0.5</v>
      </c>
      <c r="K4277" s="20" t="str">
        <f t="shared" si="199"/>
        <v>1st Shift</v>
      </c>
    </row>
    <row r="4278" spans="1:11" x14ac:dyDescent="0.25">
      <c r="A4278" s="1">
        <v>4277</v>
      </c>
      <c r="B4278" s="1">
        <v>12</v>
      </c>
      <c r="C4278" s="3">
        <v>12115271560164</v>
      </c>
      <c r="D4278" s="2">
        <v>44669.46875</v>
      </c>
      <c r="E4278" s="2">
        <v>44669.638888888891</v>
      </c>
      <c r="F4278" s="23">
        <f t="shared" si="198"/>
        <v>0.17013888889050577</v>
      </c>
      <c r="G4278" s="24">
        <f t="shared" si="200"/>
        <v>73.46938775440384</v>
      </c>
      <c r="H4278" s="1" t="s">
        <v>1</v>
      </c>
      <c r="I4278" s="4" t="s">
        <v>3</v>
      </c>
      <c r="J4278" s="14">
        <v>0.46875</v>
      </c>
      <c r="K4278" s="20" t="str">
        <f t="shared" si="199"/>
        <v>1st Shift</v>
      </c>
    </row>
    <row r="4279" spans="1:11" x14ac:dyDescent="0.25">
      <c r="A4279" s="1">
        <v>4278</v>
      </c>
      <c r="B4279" s="1">
        <v>10</v>
      </c>
      <c r="C4279" s="3">
        <v>10115271452800</v>
      </c>
      <c r="D4279" s="2">
        <v>44669.5</v>
      </c>
      <c r="E4279" s="2">
        <v>44669.638888888891</v>
      </c>
      <c r="F4279" s="23">
        <f t="shared" si="198"/>
        <v>0.13888888889050577</v>
      </c>
      <c r="G4279" s="24">
        <f t="shared" si="200"/>
        <v>89.999999998952262</v>
      </c>
      <c r="H4279" s="1" t="s">
        <v>1</v>
      </c>
      <c r="I4279" s="4" t="s">
        <v>3</v>
      </c>
      <c r="J4279" s="14">
        <v>0.5</v>
      </c>
      <c r="K4279" s="20" t="str">
        <f t="shared" si="199"/>
        <v>1st Shift</v>
      </c>
    </row>
    <row r="4280" spans="1:11" x14ac:dyDescent="0.25">
      <c r="A4280" s="1">
        <v>4279</v>
      </c>
      <c r="B4280" s="1">
        <v>9</v>
      </c>
      <c r="C4280" s="3">
        <v>9115271953400</v>
      </c>
      <c r="D4280" s="2">
        <v>44669.46875</v>
      </c>
      <c r="E4280" s="2">
        <v>44669.638888888891</v>
      </c>
      <c r="F4280" s="23">
        <f t="shared" si="198"/>
        <v>0.17013888889050577</v>
      </c>
      <c r="G4280" s="24">
        <f t="shared" si="200"/>
        <v>73.46938775440384</v>
      </c>
      <c r="H4280" s="1" t="s">
        <v>1</v>
      </c>
      <c r="I4280" s="4" t="s">
        <v>4</v>
      </c>
      <c r="J4280" s="14">
        <v>0.46875</v>
      </c>
      <c r="K4280" s="20" t="str">
        <f t="shared" si="199"/>
        <v>1st Shift</v>
      </c>
    </row>
    <row r="4281" spans="1:11" x14ac:dyDescent="0.25">
      <c r="A4281" s="1">
        <v>4280</v>
      </c>
      <c r="B4281" s="1">
        <v>8</v>
      </c>
      <c r="C4281" s="3">
        <v>8115271820900</v>
      </c>
      <c r="D4281" s="2">
        <v>44669.375</v>
      </c>
      <c r="E4281" s="2">
        <v>44669.638888888891</v>
      </c>
      <c r="F4281" s="23">
        <f t="shared" si="198"/>
        <v>0.26388888889050577</v>
      </c>
      <c r="G4281" s="24">
        <f t="shared" si="200"/>
        <v>47.368421052341347</v>
      </c>
      <c r="H4281" s="1" t="s">
        <v>1</v>
      </c>
      <c r="I4281" s="4" t="s">
        <v>3</v>
      </c>
      <c r="J4281" s="14">
        <v>0.375</v>
      </c>
      <c r="K4281" s="20" t="str">
        <f t="shared" si="199"/>
        <v>1st Shift</v>
      </c>
    </row>
    <row r="4282" spans="1:11" x14ac:dyDescent="0.25">
      <c r="A4282" s="1">
        <v>4281</v>
      </c>
      <c r="B4282" s="1">
        <v>7</v>
      </c>
      <c r="C4282" s="3">
        <v>7115271769604</v>
      </c>
      <c r="D4282" s="2">
        <v>44669.5625</v>
      </c>
      <c r="E4282" s="2">
        <v>44669.638888888891</v>
      </c>
      <c r="F4282" s="23">
        <f t="shared" si="198"/>
        <v>7.6388888890505768E-2</v>
      </c>
      <c r="G4282" s="24">
        <f t="shared" si="200"/>
        <v>163.63636363290004</v>
      </c>
      <c r="H4282" s="1" t="s">
        <v>1</v>
      </c>
      <c r="I4282" s="4" t="s">
        <v>2</v>
      </c>
      <c r="J4282" s="14">
        <v>0.5625</v>
      </c>
      <c r="K4282" s="20" t="str">
        <f t="shared" si="199"/>
        <v>1st Shift</v>
      </c>
    </row>
    <row r="4283" spans="1:11" x14ac:dyDescent="0.25">
      <c r="A4283" s="1">
        <v>4282</v>
      </c>
      <c r="B4283" s="1">
        <v>6</v>
      </c>
      <c r="C4283" s="3">
        <v>6115271729700</v>
      </c>
      <c r="D4283" s="2">
        <v>44669.375</v>
      </c>
      <c r="E4283" s="2">
        <v>44669.638888888891</v>
      </c>
      <c r="F4283" s="23">
        <f t="shared" si="198"/>
        <v>0.26388888889050577</v>
      </c>
      <c r="G4283" s="24">
        <f t="shared" si="200"/>
        <v>47.368421052341347</v>
      </c>
      <c r="H4283" s="1" t="s">
        <v>1</v>
      </c>
      <c r="I4283" s="4" t="s">
        <v>3</v>
      </c>
      <c r="J4283" s="14">
        <v>0.375</v>
      </c>
      <c r="K4283" s="20" t="str">
        <f t="shared" si="199"/>
        <v>1st Shift</v>
      </c>
    </row>
    <row r="4284" spans="1:11" x14ac:dyDescent="0.25">
      <c r="A4284" s="1">
        <v>4283</v>
      </c>
      <c r="B4284" s="1">
        <v>5</v>
      </c>
      <c r="C4284" s="3">
        <v>5115271289900</v>
      </c>
      <c r="D4284" s="2">
        <v>44669.46875</v>
      </c>
      <c r="E4284" s="2">
        <v>44669.638888888891</v>
      </c>
      <c r="F4284" s="23">
        <f t="shared" si="198"/>
        <v>0.17013888889050577</v>
      </c>
      <c r="G4284" s="24">
        <f t="shared" si="200"/>
        <v>73.46938775440384</v>
      </c>
      <c r="H4284" s="1" t="s">
        <v>1</v>
      </c>
      <c r="I4284" s="4" t="s">
        <v>3</v>
      </c>
      <c r="J4284" s="14">
        <v>0.46875</v>
      </c>
      <c r="K4284" s="20" t="str">
        <f t="shared" si="199"/>
        <v>1st Shift</v>
      </c>
    </row>
    <row r="4285" spans="1:11" x14ac:dyDescent="0.25">
      <c r="A4285" s="1">
        <v>4284</v>
      </c>
      <c r="B4285" s="1">
        <v>3</v>
      </c>
      <c r="C4285" s="3">
        <v>3115270365100</v>
      </c>
      <c r="D4285" s="2">
        <v>44669.375</v>
      </c>
      <c r="E4285" s="2">
        <v>44669.638888888891</v>
      </c>
      <c r="F4285" s="23">
        <f t="shared" si="198"/>
        <v>0.26388888889050577</v>
      </c>
      <c r="G4285" s="24">
        <f t="shared" si="200"/>
        <v>47.368421052341347</v>
      </c>
      <c r="H4285" s="1" t="s">
        <v>1</v>
      </c>
      <c r="I4285" s="4" t="s">
        <v>3</v>
      </c>
      <c r="J4285" s="14">
        <v>0.375</v>
      </c>
      <c r="K4285" s="20" t="str">
        <f t="shared" si="199"/>
        <v>1st Shift</v>
      </c>
    </row>
    <row r="4286" spans="1:11" x14ac:dyDescent="0.25">
      <c r="A4286" s="1">
        <v>4285</v>
      </c>
      <c r="B4286" s="1">
        <v>3</v>
      </c>
      <c r="C4286" s="3">
        <v>3115270361500</v>
      </c>
      <c r="D4286" s="2">
        <v>44669.5</v>
      </c>
      <c r="E4286" s="2">
        <v>44669.638888888891</v>
      </c>
      <c r="F4286" s="23">
        <f t="shared" si="198"/>
        <v>0.13888888889050577</v>
      </c>
      <c r="G4286" s="24">
        <f t="shared" si="200"/>
        <v>89.999999998952262</v>
      </c>
      <c r="H4286" s="1" t="s">
        <v>1</v>
      </c>
      <c r="I4286" s="4" t="s">
        <v>3</v>
      </c>
      <c r="J4286" s="14">
        <v>0.5</v>
      </c>
      <c r="K4286" s="20" t="str">
        <f t="shared" si="199"/>
        <v>1st Shift</v>
      </c>
    </row>
    <row r="4287" spans="1:11" x14ac:dyDescent="0.25">
      <c r="A4287" s="1">
        <v>4286</v>
      </c>
      <c r="B4287" s="1">
        <v>1</v>
      </c>
      <c r="C4287" s="3">
        <v>1115270110700</v>
      </c>
      <c r="D4287" s="2">
        <v>44669.552083333336</v>
      </c>
      <c r="E4287" s="2">
        <v>44669.638888888891</v>
      </c>
      <c r="F4287" s="23">
        <f t="shared" si="198"/>
        <v>8.6805555554747116E-2</v>
      </c>
      <c r="G4287" s="24">
        <f t="shared" si="200"/>
        <v>144.00000000134111</v>
      </c>
      <c r="H4287" s="1" t="s">
        <v>1</v>
      </c>
      <c r="I4287" s="4" t="s">
        <v>2</v>
      </c>
      <c r="J4287" s="14">
        <v>0.55208333333333337</v>
      </c>
      <c r="K4287" s="20" t="str">
        <f t="shared" si="199"/>
        <v>1st Shift</v>
      </c>
    </row>
    <row r="4288" spans="1:11" x14ac:dyDescent="0.25">
      <c r="A4288" s="1">
        <v>4287</v>
      </c>
      <c r="B4288" s="1">
        <v>27</v>
      </c>
      <c r="C4288" s="3">
        <v>27115270386429</v>
      </c>
      <c r="D4288" s="2">
        <v>44669.652777777781</v>
      </c>
      <c r="E4288" s="2">
        <v>44669.84375</v>
      </c>
      <c r="F4288" s="23">
        <f t="shared" si="198"/>
        <v>0.19097222221898846</v>
      </c>
      <c r="G4288" s="24">
        <f t="shared" si="200"/>
        <v>65.4545454556538</v>
      </c>
      <c r="H4288" s="1" t="s">
        <v>1</v>
      </c>
      <c r="I4288" s="4" t="s">
        <v>3</v>
      </c>
      <c r="J4288" s="14">
        <v>0.65277777777777779</v>
      </c>
      <c r="K4288" s="20" t="str">
        <f t="shared" si="199"/>
        <v>2nd Shift</v>
      </c>
    </row>
    <row r="4289" spans="1:11" x14ac:dyDescent="0.25">
      <c r="A4289" s="1">
        <v>4288</v>
      </c>
      <c r="B4289" s="1">
        <v>10</v>
      </c>
      <c r="C4289" s="3">
        <v>10115271958203</v>
      </c>
      <c r="D4289" s="2">
        <v>44669.718055555553</v>
      </c>
      <c r="E4289" s="2">
        <v>44669.84375</v>
      </c>
      <c r="F4289" s="23">
        <f t="shared" si="198"/>
        <v>0.12569444444670808</v>
      </c>
      <c r="G4289" s="24">
        <f t="shared" si="200"/>
        <v>99.447513810363745</v>
      </c>
      <c r="H4289" s="1" t="s">
        <v>1</v>
      </c>
      <c r="I4289" s="4" t="s">
        <v>2</v>
      </c>
      <c r="J4289" s="14">
        <v>0.71805555555555556</v>
      </c>
      <c r="K4289" s="20" t="str">
        <f t="shared" si="199"/>
        <v>2nd Shift</v>
      </c>
    </row>
    <row r="4290" spans="1:11" x14ac:dyDescent="0.25">
      <c r="A4290" s="1">
        <v>4289</v>
      </c>
      <c r="B4290" s="1">
        <v>6</v>
      </c>
      <c r="C4290" s="3">
        <v>6115271691207</v>
      </c>
      <c r="D4290" s="2">
        <v>44669.652777777781</v>
      </c>
      <c r="E4290" s="2">
        <v>44669.84375</v>
      </c>
      <c r="F4290" s="23">
        <f t="shared" ref="F4290:F4353" si="201">E4290-D4290</f>
        <v>0.19097222221898846</v>
      </c>
      <c r="G4290" s="24">
        <f t="shared" si="200"/>
        <v>65.4545454556538</v>
      </c>
      <c r="H4290" s="1" t="s">
        <v>1</v>
      </c>
      <c r="I4290" s="4" t="s">
        <v>2</v>
      </c>
      <c r="J4290" s="14">
        <v>0.65277777777777779</v>
      </c>
      <c r="K4290" s="20" t="str">
        <f t="shared" ref="K4290:K4353" si="202">IF(AND(J4290&gt;=$M$3,J4290&lt;$M$4),"1st Shift",IF(AND(J4290&gt;=$M$4,J4290&lt;$M$5),"2nd Shift","3rd Shift"))</f>
        <v>2nd Shift</v>
      </c>
    </row>
    <row r="4291" spans="1:11" x14ac:dyDescent="0.25">
      <c r="A4291" s="1">
        <v>4290</v>
      </c>
      <c r="B4291" s="1">
        <v>2</v>
      </c>
      <c r="C4291" s="3">
        <v>2115270218100</v>
      </c>
      <c r="D4291" s="2">
        <v>44669.718055555553</v>
      </c>
      <c r="E4291" s="2">
        <v>44669.84375</v>
      </c>
      <c r="F4291" s="23">
        <f t="shared" si="201"/>
        <v>0.12569444444670808</v>
      </c>
      <c r="G4291" s="24">
        <f t="shared" ref="G4291:G4354" si="203">$M$9/F4291*100</f>
        <v>99.447513810363745</v>
      </c>
      <c r="H4291" s="1" t="s">
        <v>1</v>
      </c>
      <c r="I4291" s="4" t="s">
        <v>3</v>
      </c>
      <c r="J4291" s="14">
        <v>0.71805555555555556</v>
      </c>
      <c r="K4291" s="20" t="str">
        <f t="shared" si="202"/>
        <v>2nd Shift</v>
      </c>
    </row>
    <row r="4292" spans="1:11" x14ac:dyDescent="0.25">
      <c r="A4292" s="1">
        <v>4291</v>
      </c>
      <c r="B4292" s="1">
        <v>1</v>
      </c>
      <c r="C4292" s="3">
        <v>1115270088300</v>
      </c>
      <c r="D4292" s="2">
        <v>44669.652777777781</v>
      </c>
      <c r="E4292" s="2">
        <v>44669.84375</v>
      </c>
      <c r="F4292" s="23">
        <f t="shared" si="201"/>
        <v>0.19097222221898846</v>
      </c>
      <c r="G4292" s="24">
        <f t="shared" si="203"/>
        <v>65.4545454556538</v>
      </c>
      <c r="H4292" s="1" t="s">
        <v>1</v>
      </c>
      <c r="I4292" s="4" t="s">
        <v>2</v>
      </c>
      <c r="J4292" s="14">
        <v>0.65277777777777779</v>
      </c>
      <c r="K4292" s="20" t="str">
        <f t="shared" si="202"/>
        <v>2nd Shift</v>
      </c>
    </row>
    <row r="4293" spans="1:11" x14ac:dyDescent="0.25">
      <c r="A4293" s="1">
        <v>4292</v>
      </c>
      <c r="B4293" s="1">
        <v>7</v>
      </c>
      <c r="C4293" s="3">
        <v>7115271769500</v>
      </c>
      <c r="D4293" s="2">
        <v>44669.861111111109</v>
      </c>
      <c r="E4293" s="2">
        <v>44669.909722222219</v>
      </c>
      <c r="F4293" s="23">
        <f t="shared" si="201"/>
        <v>4.8611111109494232E-2</v>
      </c>
      <c r="G4293" s="24">
        <f t="shared" si="203"/>
        <v>257.14285715141011</v>
      </c>
      <c r="H4293" s="1" t="s">
        <v>1</v>
      </c>
      <c r="I4293" s="4" t="s">
        <v>4</v>
      </c>
      <c r="J4293" s="14">
        <v>0.86111111111111116</v>
      </c>
      <c r="K4293" s="20" t="str">
        <f t="shared" si="202"/>
        <v>2nd Shift</v>
      </c>
    </row>
    <row r="4294" spans="1:11" x14ac:dyDescent="0.25">
      <c r="A4294" s="1">
        <v>4293</v>
      </c>
      <c r="B4294" s="1">
        <v>3</v>
      </c>
      <c r="C4294" s="3">
        <v>3115270306605</v>
      </c>
      <c r="D4294" s="2">
        <v>44669.861111111109</v>
      </c>
      <c r="E4294" s="2">
        <v>44669.909722222219</v>
      </c>
      <c r="F4294" s="23">
        <f t="shared" si="201"/>
        <v>4.8611111109494232E-2</v>
      </c>
      <c r="G4294" s="24">
        <f t="shared" si="203"/>
        <v>257.14285715141011</v>
      </c>
      <c r="H4294" s="1" t="s">
        <v>1</v>
      </c>
      <c r="I4294" s="4" t="s">
        <v>5</v>
      </c>
      <c r="J4294" s="14">
        <v>0.86111111111111116</v>
      </c>
      <c r="K4294" s="20" t="str">
        <f t="shared" si="202"/>
        <v>2nd Shift</v>
      </c>
    </row>
    <row r="4295" spans="1:11" x14ac:dyDescent="0.25">
      <c r="A4295" s="1">
        <v>4294</v>
      </c>
      <c r="B4295" s="1">
        <v>15</v>
      </c>
      <c r="C4295" s="3">
        <v>15115271719272</v>
      </c>
      <c r="D4295" s="2">
        <v>44670.444444444445</v>
      </c>
      <c r="E4295" s="2">
        <v>44670.551388888889</v>
      </c>
      <c r="F4295" s="23">
        <f t="shared" si="201"/>
        <v>0.10694444444379769</v>
      </c>
      <c r="G4295" s="24">
        <f t="shared" si="203"/>
        <v>116.88311688382373</v>
      </c>
      <c r="H4295" s="1" t="s">
        <v>1</v>
      </c>
      <c r="I4295" s="4" t="s">
        <v>3</v>
      </c>
      <c r="J4295" s="14">
        <v>0.44444444444444442</v>
      </c>
      <c r="K4295" s="20" t="str">
        <f t="shared" si="202"/>
        <v>1st Shift</v>
      </c>
    </row>
    <row r="4296" spans="1:11" x14ac:dyDescent="0.25">
      <c r="A4296" s="1">
        <v>4295</v>
      </c>
      <c r="B4296" s="1">
        <v>14</v>
      </c>
      <c r="C4296" s="3">
        <v>14115271672605</v>
      </c>
      <c r="D4296" s="2">
        <v>44670.444444444445</v>
      </c>
      <c r="E4296" s="2">
        <v>44670.551388888889</v>
      </c>
      <c r="F4296" s="23">
        <f t="shared" si="201"/>
        <v>0.10694444444379769</v>
      </c>
      <c r="G4296" s="24">
        <f t="shared" si="203"/>
        <v>116.88311688382373</v>
      </c>
      <c r="H4296" s="1" t="s">
        <v>1</v>
      </c>
      <c r="I4296" s="4" t="s">
        <v>8</v>
      </c>
      <c r="J4296" s="14">
        <v>0.44444444444444442</v>
      </c>
      <c r="K4296" s="20" t="str">
        <f t="shared" si="202"/>
        <v>1st Shift</v>
      </c>
    </row>
    <row r="4297" spans="1:11" x14ac:dyDescent="0.25">
      <c r="A4297" s="1">
        <v>4296</v>
      </c>
      <c r="B4297" s="1">
        <v>12</v>
      </c>
      <c r="C4297" s="3">
        <v>12115271582001</v>
      </c>
      <c r="D4297" s="2">
        <v>44670.444444444445</v>
      </c>
      <c r="E4297" s="2">
        <v>44670.551388888889</v>
      </c>
      <c r="F4297" s="23">
        <f t="shared" si="201"/>
        <v>0.10694444444379769</v>
      </c>
      <c r="G4297" s="24">
        <f t="shared" si="203"/>
        <v>116.88311688382373</v>
      </c>
      <c r="H4297" s="1" t="s">
        <v>1</v>
      </c>
      <c r="I4297" s="4" t="s">
        <v>3</v>
      </c>
      <c r="J4297" s="14">
        <v>0.44444444444444442</v>
      </c>
      <c r="K4297" s="20" t="str">
        <f t="shared" si="202"/>
        <v>1st Shift</v>
      </c>
    </row>
    <row r="4298" spans="1:11" x14ac:dyDescent="0.25">
      <c r="A4298" s="1">
        <v>4297</v>
      </c>
      <c r="B4298" s="1">
        <v>12</v>
      </c>
      <c r="C4298" s="3">
        <v>12115271581917</v>
      </c>
      <c r="D4298" s="2">
        <v>44670.444444444445</v>
      </c>
      <c r="E4298" s="2">
        <v>44670.551388888889</v>
      </c>
      <c r="F4298" s="23">
        <f t="shared" si="201"/>
        <v>0.10694444444379769</v>
      </c>
      <c r="G4298" s="24">
        <f t="shared" si="203"/>
        <v>116.88311688382373</v>
      </c>
      <c r="H4298" s="1" t="s">
        <v>1</v>
      </c>
      <c r="I4298" s="4" t="s">
        <v>3</v>
      </c>
      <c r="J4298" s="14">
        <v>0.44444444444444442</v>
      </c>
      <c r="K4298" s="20" t="str">
        <f t="shared" si="202"/>
        <v>1st Shift</v>
      </c>
    </row>
    <row r="4299" spans="1:11" x14ac:dyDescent="0.25">
      <c r="A4299" s="1">
        <v>4298</v>
      </c>
      <c r="B4299" s="1">
        <v>7</v>
      </c>
      <c r="C4299" s="3">
        <v>7115271791006</v>
      </c>
      <c r="D4299" s="2">
        <v>44670.444444444445</v>
      </c>
      <c r="E4299" s="2">
        <v>44670.551388888889</v>
      </c>
      <c r="F4299" s="23">
        <f t="shared" si="201"/>
        <v>0.10694444444379769</v>
      </c>
      <c r="G4299" s="24">
        <f t="shared" si="203"/>
        <v>116.88311688382373</v>
      </c>
      <c r="H4299" s="1" t="s">
        <v>1</v>
      </c>
      <c r="I4299" s="4" t="s">
        <v>3</v>
      </c>
      <c r="J4299" s="14">
        <v>0.44444444444444442</v>
      </c>
      <c r="K4299" s="20" t="str">
        <f t="shared" si="202"/>
        <v>1st Shift</v>
      </c>
    </row>
    <row r="4300" spans="1:11" x14ac:dyDescent="0.25">
      <c r="A4300" s="1">
        <v>4299</v>
      </c>
      <c r="B4300" s="1">
        <v>5</v>
      </c>
      <c r="C4300" s="3">
        <v>5115271289401</v>
      </c>
      <c r="D4300" s="2">
        <v>44670.444444444445</v>
      </c>
      <c r="E4300" s="2">
        <v>44670.551388888889</v>
      </c>
      <c r="F4300" s="23">
        <f t="shared" si="201"/>
        <v>0.10694444444379769</v>
      </c>
      <c r="G4300" s="24">
        <f t="shared" si="203"/>
        <v>116.88311688382373</v>
      </c>
      <c r="H4300" s="1" t="s">
        <v>1</v>
      </c>
      <c r="I4300" s="4" t="s">
        <v>3</v>
      </c>
      <c r="J4300" s="14">
        <v>0.44444444444444442</v>
      </c>
      <c r="K4300" s="20" t="str">
        <f t="shared" si="202"/>
        <v>1st Shift</v>
      </c>
    </row>
    <row r="4301" spans="1:11" x14ac:dyDescent="0.25">
      <c r="A4301" s="1">
        <v>4300</v>
      </c>
      <c r="B4301" s="1">
        <v>3</v>
      </c>
      <c r="C4301" s="3">
        <v>3115270362300</v>
      </c>
      <c r="D4301" s="2">
        <v>44670.444444444445</v>
      </c>
      <c r="E4301" s="2">
        <v>44670.551388888889</v>
      </c>
      <c r="F4301" s="23">
        <f t="shared" si="201"/>
        <v>0.10694444444379769</v>
      </c>
      <c r="G4301" s="24">
        <f t="shared" si="203"/>
        <v>116.88311688382373</v>
      </c>
      <c r="H4301" s="1" t="s">
        <v>1</v>
      </c>
      <c r="I4301" s="4" t="s">
        <v>4</v>
      </c>
      <c r="J4301" s="14">
        <v>0.44444444444444442</v>
      </c>
      <c r="K4301" s="20" t="str">
        <f t="shared" si="202"/>
        <v>1st Shift</v>
      </c>
    </row>
    <row r="4302" spans="1:11" x14ac:dyDescent="0.25">
      <c r="A4302" s="1">
        <v>4301</v>
      </c>
      <c r="B4302" s="1">
        <v>12</v>
      </c>
      <c r="C4302" s="3">
        <v>12115271572313</v>
      </c>
      <c r="D4302" s="2">
        <v>44670.71875</v>
      </c>
      <c r="E4302" s="2">
        <v>44670.791666666664</v>
      </c>
      <c r="F4302" s="23">
        <f t="shared" si="201"/>
        <v>7.2916666664241347E-2</v>
      </c>
      <c r="G4302" s="24">
        <f t="shared" si="203"/>
        <v>171.42857143427341</v>
      </c>
      <c r="H4302" s="1" t="s">
        <v>1</v>
      </c>
      <c r="I4302" s="4" t="s">
        <v>2</v>
      </c>
      <c r="J4302" s="14">
        <v>0.71875</v>
      </c>
      <c r="K4302" s="20" t="str">
        <f t="shared" si="202"/>
        <v>2nd Shift</v>
      </c>
    </row>
    <row r="4303" spans="1:11" x14ac:dyDescent="0.25">
      <c r="A4303" s="1">
        <v>4302</v>
      </c>
      <c r="B4303" s="1">
        <v>6</v>
      </c>
      <c r="C4303" s="3">
        <v>6115271718602</v>
      </c>
      <c r="D4303" s="2">
        <v>44670.71875</v>
      </c>
      <c r="E4303" s="2">
        <v>44670.791666666664</v>
      </c>
      <c r="F4303" s="23">
        <f t="shared" si="201"/>
        <v>7.2916666664241347E-2</v>
      </c>
      <c r="G4303" s="24">
        <f t="shared" si="203"/>
        <v>171.42857143427341</v>
      </c>
      <c r="H4303" s="1" t="s">
        <v>1</v>
      </c>
      <c r="I4303" s="4" t="s">
        <v>3</v>
      </c>
      <c r="J4303" s="14">
        <v>0.71875</v>
      </c>
      <c r="K4303" s="20" t="str">
        <f t="shared" si="202"/>
        <v>2nd Shift</v>
      </c>
    </row>
    <row r="4304" spans="1:11" x14ac:dyDescent="0.25">
      <c r="A4304" s="1">
        <v>4303</v>
      </c>
      <c r="B4304" s="1">
        <v>14</v>
      </c>
      <c r="C4304" s="3">
        <v>14115271673113</v>
      </c>
      <c r="D4304" s="2">
        <v>44670.9375</v>
      </c>
      <c r="E4304" s="2">
        <v>44671.000011574077</v>
      </c>
      <c r="F4304" s="23">
        <f t="shared" si="201"/>
        <v>6.2511574076779652E-2</v>
      </c>
      <c r="G4304" s="24">
        <f t="shared" si="203"/>
        <v>199.96296981174899</v>
      </c>
      <c r="H4304" s="1" t="s">
        <v>1</v>
      </c>
      <c r="I4304" s="4" t="s">
        <v>2</v>
      </c>
      <c r="J4304" s="14">
        <v>0.9375</v>
      </c>
      <c r="K4304" s="20" t="str">
        <f t="shared" si="202"/>
        <v>3rd Shift</v>
      </c>
    </row>
    <row r="4305" spans="1:11" x14ac:dyDescent="0.25">
      <c r="A4305" s="1">
        <v>4304</v>
      </c>
      <c r="B4305" s="1">
        <v>14</v>
      </c>
      <c r="C4305" s="3">
        <v>14115271675202</v>
      </c>
      <c r="D4305" s="2">
        <v>44671.5</v>
      </c>
      <c r="E4305" s="2">
        <v>44671.614583333336</v>
      </c>
      <c r="F4305" s="23">
        <f t="shared" si="201"/>
        <v>0.11458333333575865</v>
      </c>
      <c r="G4305" s="24">
        <f t="shared" si="203"/>
        <v>109.09090908860001</v>
      </c>
      <c r="H4305" s="1" t="s">
        <v>1</v>
      </c>
      <c r="I4305" s="4" t="s">
        <v>2</v>
      </c>
      <c r="J4305" s="14">
        <v>0.5</v>
      </c>
      <c r="K4305" s="20" t="str">
        <f t="shared" si="202"/>
        <v>1st Shift</v>
      </c>
    </row>
    <row r="4306" spans="1:11" x14ac:dyDescent="0.25">
      <c r="A4306" s="1">
        <v>4305</v>
      </c>
      <c r="B4306" s="1">
        <v>12</v>
      </c>
      <c r="C4306" s="3">
        <v>12115271573214</v>
      </c>
      <c r="D4306" s="2">
        <v>44671.40902777778</v>
      </c>
      <c r="E4306" s="2">
        <v>44671.614583333336</v>
      </c>
      <c r="F4306" s="23">
        <f t="shared" si="201"/>
        <v>0.20555555555620231</v>
      </c>
      <c r="G4306" s="24">
        <f t="shared" si="203"/>
        <v>60.810810810619472</v>
      </c>
      <c r="H4306" s="1" t="s">
        <v>1</v>
      </c>
      <c r="I4306" s="4" t="s">
        <v>2</v>
      </c>
      <c r="J4306" s="14">
        <v>0.40902777777777777</v>
      </c>
      <c r="K4306" s="20" t="str">
        <f t="shared" si="202"/>
        <v>1st Shift</v>
      </c>
    </row>
    <row r="4307" spans="1:11" x14ac:dyDescent="0.25">
      <c r="A4307" s="1">
        <v>4306</v>
      </c>
      <c r="B4307" s="1">
        <v>7</v>
      </c>
      <c r="C4307" s="3">
        <v>7115271759014</v>
      </c>
      <c r="D4307" s="2">
        <v>44671.520833333336</v>
      </c>
      <c r="E4307" s="2">
        <v>44671.614583333336</v>
      </c>
      <c r="F4307" s="23">
        <f t="shared" si="201"/>
        <v>9.375E-2</v>
      </c>
      <c r="G4307" s="24">
        <f t="shared" si="203"/>
        <v>133.33333333333331</v>
      </c>
      <c r="H4307" s="1" t="s">
        <v>1</v>
      </c>
      <c r="I4307" s="4" t="s">
        <v>4</v>
      </c>
      <c r="J4307" s="14">
        <v>0.52083333333333337</v>
      </c>
      <c r="K4307" s="20" t="str">
        <f t="shared" si="202"/>
        <v>1st Shift</v>
      </c>
    </row>
    <row r="4308" spans="1:11" x14ac:dyDescent="0.25">
      <c r="A4308" s="1">
        <v>4307</v>
      </c>
      <c r="B4308" s="1">
        <v>7</v>
      </c>
      <c r="C4308" s="3">
        <v>7115271758506</v>
      </c>
      <c r="D4308" s="2">
        <v>44671.582638888889</v>
      </c>
      <c r="E4308" s="2">
        <v>44671.614583333336</v>
      </c>
      <c r="F4308" s="23">
        <f t="shared" si="201"/>
        <v>3.1944444446708076E-2</v>
      </c>
      <c r="G4308" s="24">
        <f t="shared" si="203"/>
        <v>391.30434779835855</v>
      </c>
      <c r="H4308" s="1" t="s">
        <v>1</v>
      </c>
      <c r="I4308" s="4" t="s">
        <v>3</v>
      </c>
      <c r="J4308" s="14">
        <v>0.58263888888888893</v>
      </c>
      <c r="K4308" s="20" t="str">
        <f t="shared" si="202"/>
        <v>1st Shift</v>
      </c>
    </row>
    <row r="4309" spans="1:11" x14ac:dyDescent="0.25">
      <c r="A4309" s="1">
        <v>4308</v>
      </c>
      <c r="B4309" s="1">
        <v>6</v>
      </c>
      <c r="C4309" s="3">
        <v>6115271715101</v>
      </c>
      <c r="D4309" s="2">
        <v>44671.520833333336</v>
      </c>
      <c r="E4309" s="2">
        <v>44671.614583333336</v>
      </c>
      <c r="F4309" s="23">
        <f t="shared" si="201"/>
        <v>9.375E-2</v>
      </c>
      <c r="G4309" s="24">
        <f t="shared" si="203"/>
        <v>133.33333333333331</v>
      </c>
      <c r="H4309" s="1" t="s">
        <v>1</v>
      </c>
      <c r="I4309" s="4" t="s">
        <v>5</v>
      </c>
      <c r="J4309" s="14">
        <v>0.52083333333333337</v>
      </c>
      <c r="K4309" s="20" t="str">
        <f t="shared" si="202"/>
        <v>1st Shift</v>
      </c>
    </row>
    <row r="4310" spans="1:11" x14ac:dyDescent="0.25">
      <c r="A4310" s="1">
        <v>4309</v>
      </c>
      <c r="B4310" s="1">
        <v>3</v>
      </c>
      <c r="C4310" s="3">
        <v>3115270366000</v>
      </c>
      <c r="D4310" s="2">
        <v>44671.40902777778</v>
      </c>
      <c r="E4310" s="2">
        <v>44671.614583333336</v>
      </c>
      <c r="F4310" s="23">
        <f t="shared" si="201"/>
        <v>0.20555555555620231</v>
      </c>
      <c r="G4310" s="24">
        <f t="shared" si="203"/>
        <v>60.810810810619472</v>
      </c>
      <c r="H4310" s="1" t="s">
        <v>1</v>
      </c>
      <c r="I4310" s="4" t="s">
        <v>4</v>
      </c>
      <c r="J4310" s="14">
        <v>0.40902777777777777</v>
      </c>
      <c r="K4310" s="20" t="str">
        <f t="shared" si="202"/>
        <v>1st Shift</v>
      </c>
    </row>
    <row r="4311" spans="1:11" x14ac:dyDescent="0.25">
      <c r="A4311" s="1">
        <v>4310</v>
      </c>
      <c r="B4311" s="1">
        <v>3</v>
      </c>
      <c r="C4311" s="3">
        <v>3115270355900</v>
      </c>
      <c r="D4311" s="2">
        <v>44671.40902777778</v>
      </c>
      <c r="E4311" s="2">
        <v>44671.614583333336</v>
      </c>
      <c r="F4311" s="23">
        <f t="shared" si="201"/>
        <v>0.20555555555620231</v>
      </c>
      <c r="G4311" s="24">
        <f t="shared" si="203"/>
        <v>60.810810810619472</v>
      </c>
      <c r="H4311" s="1" t="s">
        <v>1</v>
      </c>
      <c r="I4311" s="4" t="s">
        <v>2</v>
      </c>
      <c r="J4311" s="14">
        <v>0.40902777777777777</v>
      </c>
      <c r="K4311" s="20" t="str">
        <f t="shared" si="202"/>
        <v>1st Shift</v>
      </c>
    </row>
    <row r="4312" spans="1:11" x14ac:dyDescent="0.25">
      <c r="A4312" s="1">
        <v>4311</v>
      </c>
      <c r="B4312" s="1">
        <v>3</v>
      </c>
      <c r="C4312" s="3">
        <v>3115270306801</v>
      </c>
      <c r="D4312" s="2">
        <v>44671.40902777778</v>
      </c>
      <c r="E4312" s="2">
        <v>44671.614583333336</v>
      </c>
      <c r="F4312" s="23">
        <f t="shared" si="201"/>
        <v>0.20555555555620231</v>
      </c>
      <c r="G4312" s="24">
        <f t="shared" si="203"/>
        <v>60.810810810619472</v>
      </c>
      <c r="H4312" s="1" t="s">
        <v>1</v>
      </c>
      <c r="I4312" s="4" t="s">
        <v>3</v>
      </c>
      <c r="J4312" s="14">
        <v>0.40902777777777777</v>
      </c>
      <c r="K4312" s="20" t="str">
        <f t="shared" si="202"/>
        <v>1st Shift</v>
      </c>
    </row>
    <row r="4313" spans="1:11" x14ac:dyDescent="0.25">
      <c r="A4313" s="1">
        <v>4312</v>
      </c>
      <c r="B4313" s="1">
        <v>3</v>
      </c>
      <c r="C4313" s="3">
        <v>3115270305801</v>
      </c>
      <c r="D4313" s="2">
        <v>44671.40902777778</v>
      </c>
      <c r="E4313" s="2">
        <v>44671.614583333336</v>
      </c>
      <c r="F4313" s="23">
        <f t="shared" si="201"/>
        <v>0.20555555555620231</v>
      </c>
      <c r="G4313" s="24">
        <f t="shared" si="203"/>
        <v>60.810810810619472</v>
      </c>
      <c r="H4313" s="1" t="s">
        <v>1</v>
      </c>
      <c r="I4313" s="4" t="s">
        <v>3</v>
      </c>
      <c r="J4313" s="14">
        <v>0.40902777777777777</v>
      </c>
      <c r="K4313" s="20" t="str">
        <f t="shared" si="202"/>
        <v>1st Shift</v>
      </c>
    </row>
    <row r="4314" spans="1:11" x14ac:dyDescent="0.25">
      <c r="A4314" s="1">
        <v>4313</v>
      </c>
      <c r="B4314" s="1">
        <v>1</v>
      </c>
      <c r="C4314" s="3">
        <v>1115270001700</v>
      </c>
      <c r="D4314" s="2">
        <v>44671.552083333336</v>
      </c>
      <c r="E4314" s="2">
        <v>44671.614583333336</v>
      </c>
      <c r="F4314" s="23">
        <f t="shared" si="201"/>
        <v>6.25E-2</v>
      </c>
      <c r="G4314" s="24">
        <f t="shared" si="203"/>
        <v>200</v>
      </c>
      <c r="H4314" s="1" t="s">
        <v>1</v>
      </c>
      <c r="I4314" s="4" t="s">
        <v>2</v>
      </c>
      <c r="J4314" s="14">
        <v>0.55208333333333337</v>
      </c>
      <c r="K4314" s="20" t="str">
        <f t="shared" si="202"/>
        <v>1st Shift</v>
      </c>
    </row>
    <row r="4315" spans="1:11" x14ac:dyDescent="0.25">
      <c r="A4315" s="1">
        <v>4314</v>
      </c>
      <c r="B4315" s="1">
        <v>12</v>
      </c>
      <c r="C4315" s="3">
        <v>12115271565701</v>
      </c>
      <c r="D4315" s="2">
        <v>44671.666666666664</v>
      </c>
      <c r="E4315" s="2">
        <v>44671.930555555555</v>
      </c>
      <c r="F4315" s="23">
        <f t="shared" si="201"/>
        <v>0.26388888889050577</v>
      </c>
      <c r="G4315" s="24">
        <f t="shared" si="203"/>
        <v>47.368421052341347</v>
      </c>
      <c r="H4315" s="1" t="s">
        <v>1</v>
      </c>
      <c r="I4315" s="4" t="s">
        <v>3</v>
      </c>
      <c r="J4315" s="14">
        <v>0.66666666666666663</v>
      </c>
      <c r="K4315" s="20" t="str">
        <f t="shared" si="202"/>
        <v>2nd Shift</v>
      </c>
    </row>
    <row r="4316" spans="1:11" x14ac:dyDescent="0.25">
      <c r="A4316" s="1">
        <v>4315</v>
      </c>
      <c r="B4316" s="1">
        <v>10</v>
      </c>
      <c r="C4316" s="3">
        <v>10115271453401</v>
      </c>
      <c r="D4316" s="2">
        <v>44671.875</v>
      </c>
      <c r="E4316" s="2">
        <v>44671.930555555555</v>
      </c>
      <c r="F4316" s="23">
        <f t="shared" si="201"/>
        <v>5.5555555554747116E-2</v>
      </c>
      <c r="G4316" s="24">
        <f t="shared" si="203"/>
        <v>225.00000000327418</v>
      </c>
      <c r="H4316" s="1" t="s">
        <v>1</v>
      </c>
      <c r="I4316" s="4" t="s">
        <v>2</v>
      </c>
      <c r="J4316" s="14">
        <v>0.875</v>
      </c>
      <c r="K4316" s="20" t="str">
        <f t="shared" si="202"/>
        <v>2nd Shift</v>
      </c>
    </row>
    <row r="4317" spans="1:11" x14ac:dyDescent="0.25">
      <c r="A4317" s="1">
        <v>4316</v>
      </c>
      <c r="B4317" s="1">
        <v>9</v>
      </c>
      <c r="C4317" s="3">
        <v>9115271898700</v>
      </c>
      <c r="D4317" s="2">
        <v>44671.837500000001</v>
      </c>
      <c r="E4317" s="2">
        <v>44671.930555555555</v>
      </c>
      <c r="F4317" s="23">
        <f t="shared" si="201"/>
        <v>9.3055555553291924E-2</v>
      </c>
      <c r="G4317" s="24">
        <f t="shared" si="203"/>
        <v>134.32835821222284</v>
      </c>
      <c r="H4317" s="1" t="s">
        <v>1</v>
      </c>
      <c r="I4317" s="4" t="s">
        <v>2</v>
      </c>
      <c r="J4317" s="14">
        <v>0.83750000000000002</v>
      </c>
      <c r="K4317" s="20" t="str">
        <f t="shared" si="202"/>
        <v>2nd Shift</v>
      </c>
    </row>
    <row r="4318" spans="1:11" x14ac:dyDescent="0.25">
      <c r="A4318" s="1">
        <v>4317</v>
      </c>
      <c r="B4318" s="1">
        <v>8</v>
      </c>
      <c r="C4318" s="3">
        <v>8115271820503</v>
      </c>
      <c r="D4318" s="2">
        <v>44671.822916666664</v>
      </c>
      <c r="E4318" s="2">
        <v>44671.930555555555</v>
      </c>
      <c r="F4318" s="23">
        <f t="shared" si="201"/>
        <v>0.10763888889050577</v>
      </c>
      <c r="G4318" s="24">
        <f t="shared" si="203"/>
        <v>116.1290322563201</v>
      </c>
      <c r="H4318" s="1" t="s">
        <v>1</v>
      </c>
      <c r="I4318" s="4" t="s">
        <v>3</v>
      </c>
      <c r="J4318" s="14">
        <v>0.82291666666666663</v>
      </c>
      <c r="K4318" s="20" t="str">
        <f t="shared" si="202"/>
        <v>2nd Shift</v>
      </c>
    </row>
    <row r="4319" spans="1:11" x14ac:dyDescent="0.25">
      <c r="A4319" s="1">
        <v>4318</v>
      </c>
      <c r="B4319" s="1">
        <v>8</v>
      </c>
      <c r="C4319" s="3">
        <v>8115271810102</v>
      </c>
      <c r="D4319" s="2">
        <v>44671.666666666664</v>
      </c>
      <c r="E4319" s="2">
        <v>44671.930555555555</v>
      </c>
      <c r="F4319" s="23">
        <f t="shared" si="201"/>
        <v>0.26388888889050577</v>
      </c>
      <c r="G4319" s="24">
        <f t="shared" si="203"/>
        <v>47.368421052341347</v>
      </c>
      <c r="H4319" s="1" t="s">
        <v>1</v>
      </c>
      <c r="I4319" s="4" t="s">
        <v>2</v>
      </c>
      <c r="J4319" s="14">
        <v>0.66666666666666663</v>
      </c>
      <c r="K4319" s="20" t="str">
        <f t="shared" si="202"/>
        <v>2nd Shift</v>
      </c>
    </row>
    <row r="4320" spans="1:11" x14ac:dyDescent="0.25">
      <c r="A4320" s="1">
        <v>4319</v>
      </c>
      <c r="B4320" s="1">
        <v>1</v>
      </c>
      <c r="C4320" s="3">
        <v>1115270026803</v>
      </c>
      <c r="D4320" s="2">
        <v>44671.666666666664</v>
      </c>
      <c r="E4320" s="2">
        <v>44671.930555555555</v>
      </c>
      <c r="F4320" s="23">
        <f t="shared" si="201"/>
        <v>0.26388888889050577</v>
      </c>
      <c r="G4320" s="24">
        <f t="shared" si="203"/>
        <v>47.368421052341347</v>
      </c>
      <c r="H4320" s="1" t="s">
        <v>1</v>
      </c>
      <c r="I4320" s="4" t="s">
        <v>2</v>
      </c>
      <c r="J4320" s="14">
        <v>0.66666666666666663</v>
      </c>
      <c r="K4320" s="20" t="str">
        <f t="shared" si="202"/>
        <v>2nd Shift</v>
      </c>
    </row>
    <row r="4321" spans="1:11" x14ac:dyDescent="0.25">
      <c r="A4321" s="1">
        <v>4320</v>
      </c>
      <c r="B4321" s="1">
        <v>3</v>
      </c>
      <c r="C4321" s="3">
        <v>3115270360207</v>
      </c>
      <c r="D4321" s="2">
        <v>44672.364583333336</v>
      </c>
      <c r="E4321" s="2">
        <v>44672.395833333336</v>
      </c>
      <c r="F4321" s="23">
        <f t="shared" si="201"/>
        <v>3.125E-2</v>
      </c>
      <c r="G4321" s="24">
        <f t="shared" si="203"/>
        <v>400</v>
      </c>
      <c r="H4321" s="1" t="s">
        <v>1</v>
      </c>
      <c r="I4321" s="4" t="s">
        <v>3</v>
      </c>
      <c r="J4321" s="14">
        <v>0.36458333333333331</v>
      </c>
      <c r="K4321" s="20" t="str">
        <f t="shared" si="202"/>
        <v>1st Shift</v>
      </c>
    </row>
    <row r="4322" spans="1:11" x14ac:dyDescent="0.25">
      <c r="A4322" s="1">
        <v>4321</v>
      </c>
      <c r="B4322" s="1">
        <v>15</v>
      </c>
      <c r="C4322" s="3">
        <v>15115271778354</v>
      </c>
      <c r="D4322" s="2">
        <v>44672.493055555555</v>
      </c>
      <c r="E4322" s="2">
        <v>44672.572916666664</v>
      </c>
      <c r="F4322" s="23">
        <f t="shared" si="201"/>
        <v>7.9861111109494232E-2</v>
      </c>
      <c r="G4322" s="24">
        <f t="shared" si="203"/>
        <v>156.52173913360375</v>
      </c>
      <c r="H4322" s="1" t="s">
        <v>1</v>
      </c>
      <c r="I4322" s="4" t="s">
        <v>3</v>
      </c>
      <c r="J4322" s="14">
        <v>0.49305555555555558</v>
      </c>
      <c r="K4322" s="20" t="str">
        <f t="shared" si="202"/>
        <v>1st Shift</v>
      </c>
    </row>
    <row r="4323" spans="1:11" x14ac:dyDescent="0.25">
      <c r="A4323" s="1">
        <v>4322</v>
      </c>
      <c r="B4323" s="1">
        <v>12</v>
      </c>
      <c r="C4323" s="3">
        <v>12115271565702</v>
      </c>
      <c r="D4323" s="2">
        <v>44672.427083333336</v>
      </c>
      <c r="E4323" s="2">
        <v>44672.572916666664</v>
      </c>
      <c r="F4323" s="23">
        <f t="shared" si="201"/>
        <v>0.14583333332848269</v>
      </c>
      <c r="G4323" s="24">
        <f t="shared" si="203"/>
        <v>85.714285717136704</v>
      </c>
      <c r="H4323" s="1" t="s">
        <v>1</v>
      </c>
      <c r="I4323" s="4" t="s">
        <v>3</v>
      </c>
      <c r="J4323" s="14">
        <v>0.42708333333333331</v>
      </c>
      <c r="K4323" s="20" t="str">
        <f t="shared" si="202"/>
        <v>1st Shift</v>
      </c>
    </row>
    <row r="4324" spans="1:11" x14ac:dyDescent="0.25">
      <c r="A4324" s="1">
        <v>4323</v>
      </c>
      <c r="B4324" s="1">
        <v>11</v>
      </c>
      <c r="C4324" s="3">
        <v>11115271073301</v>
      </c>
      <c r="D4324" s="2">
        <v>44672.458333333336</v>
      </c>
      <c r="E4324" s="2">
        <v>44672.572916666664</v>
      </c>
      <c r="F4324" s="23">
        <f t="shared" si="201"/>
        <v>0.11458333332848269</v>
      </c>
      <c r="G4324" s="24">
        <f t="shared" si="203"/>
        <v>109.09090909552721</v>
      </c>
      <c r="H4324" s="1" t="s">
        <v>1</v>
      </c>
      <c r="I4324" s="4" t="s">
        <v>5</v>
      </c>
      <c r="J4324" s="14">
        <v>0.45833333333333331</v>
      </c>
      <c r="K4324" s="20" t="str">
        <f t="shared" si="202"/>
        <v>1st Shift</v>
      </c>
    </row>
    <row r="4325" spans="1:11" x14ac:dyDescent="0.25">
      <c r="A4325" s="1">
        <v>4324</v>
      </c>
      <c r="B4325" s="1">
        <v>7</v>
      </c>
      <c r="C4325" s="3">
        <v>7115271804518</v>
      </c>
      <c r="D4325" s="2">
        <v>44672.510416666664</v>
      </c>
      <c r="E4325" s="2">
        <v>44672.572916666664</v>
      </c>
      <c r="F4325" s="23">
        <f t="shared" si="201"/>
        <v>6.25E-2</v>
      </c>
      <c r="G4325" s="24">
        <f t="shared" si="203"/>
        <v>200</v>
      </c>
      <c r="H4325" s="1" t="s">
        <v>1</v>
      </c>
      <c r="I4325" s="4" t="s">
        <v>5</v>
      </c>
      <c r="J4325" s="14">
        <v>0.51041666666666663</v>
      </c>
      <c r="K4325" s="20" t="str">
        <f t="shared" si="202"/>
        <v>1st Shift</v>
      </c>
    </row>
    <row r="4326" spans="1:11" x14ac:dyDescent="0.25">
      <c r="A4326" s="1">
        <v>4325</v>
      </c>
      <c r="B4326" s="1">
        <v>15</v>
      </c>
      <c r="C4326" s="3">
        <v>15115271743402</v>
      </c>
      <c r="D4326" s="2">
        <v>44672.732638888891</v>
      </c>
      <c r="E4326" s="2">
        <v>44672.826388888891</v>
      </c>
      <c r="F4326" s="23">
        <f t="shared" si="201"/>
        <v>9.375E-2</v>
      </c>
      <c r="G4326" s="24">
        <f t="shared" si="203"/>
        <v>133.33333333333331</v>
      </c>
      <c r="H4326" s="1" t="s">
        <v>1</v>
      </c>
      <c r="I4326" s="4" t="s">
        <v>4</v>
      </c>
      <c r="J4326" s="14">
        <v>0.73263888888888884</v>
      </c>
      <c r="K4326" s="20" t="str">
        <f t="shared" si="202"/>
        <v>2nd Shift</v>
      </c>
    </row>
    <row r="4327" spans="1:11" x14ac:dyDescent="0.25">
      <c r="A4327" s="1">
        <v>4326</v>
      </c>
      <c r="B4327" s="1">
        <v>6</v>
      </c>
      <c r="C4327" s="3">
        <v>6115271736801</v>
      </c>
      <c r="D4327" s="2">
        <v>44672.732638888891</v>
      </c>
      <c r="E4327" s="2">
        <v>44672.826388888891</v>
      </c>
      <c r="F4327" s="23">
        <f t="shared" si="201"/>
        <v>9.375E-2</v>
      </c>
      <c r="G4327" s="24">
        <f t="shared" si="203"/>
        <v>133.33333333333331</v>
      </c>
      <c r="H4327" s="1" t="s">
        <v>1</v>
      </c>
      <c r="I4327" s="4" t="s">
        <v>2</v>
      </c>
      <c r="J4327" s="14">
        <v>0.73263888888888884</v>
      </c>
      <c r="K4327" s="20" t="str">
        <f t="shared" si="202"/>
        <v>2nd Shift</v>
      </c>
    </row>
    <row r="4328" spans="1:11" x14ac:dyDescent="0.25">
      <c r="A4328" s="1">
        <v>4327</v>
      </c>
      <c r="B4328" s="1">
        <v>3</v>
      </c>
      <c r="C4328" s="3">
        <v>3115270386200</v>
      </c>
      <c r="D4328" s="2">
        <v>44672.732638888891</v>
      </c>
      <c r="E4328" s="2">
        <v>44672.826388888891</v>
      </c>
      <c r="F4328" s="23">
        <f t="shared" si="201"/>
        <v>9.375E-2</v>
      </c>
      <c r="G4328" s="24">
        <f t="shared" si="203"/>
        <v>133.33333333333331</v>
      </c>
      <c r="H4328" s="1" t="s">
        <v>1</v>
      </c>
      <c r="I4328" s="4" t="s">
        <v>2</v>
      </c>
      <c r="J4328" s="14">
        <v>0.73263888888888884</v>
      </c>
      <c r="K4328" s="20" t="str">
        <f t="shared" si="202"/>
        <v>2nd Shift</v>
      </c>
    </row>
    <row r="4329" spans="1:11" x14ac:dyDescent="0.25">
      <c r="A4329" s="1">
        <v>4328</v>
      </c>
      <c r="B4329" s="1">
        <v>14</v>
      </c>
      <c r="C4329" s="3">
        <v>14115271672409</v>
      </c>
      <c r="D4329" s="2">
        <v>44672.868055555555</v>
      </c>
      <c r="E4329" s="2">
        <v>44672.909722222219</v>
      </c>
      <c r="F4329" s="23">
        <f t="shared" si="201"/>
        <v>4.1666666664241347E-2</v>
      </c>
      <c r="G4329" s="24">
        <f t="shared" si="203"/>
        <v>300.0000000174623</v>
      </c>
      <c r="H4329" s="1" t="s">
        <v>1</v>
      </c>
      <c r="I4329" s="4" t="s">
        <v>3</v>
      </c>
      <c r="J4329" s="14">
        <v>0.86805555555555558</v>
      </c>
      <c r="K4329" s="20" t="str">
        <f t="shared" si="202"/>
        <v>2nd Shift</v>
      </c>
    </row>
    <row r="4330" spans="1:11" x14ac:dyDescent="0.25">
      <c r="A4330" s="1">
        <v>4329</v>
      </c>
      <c r="B4330" s="1">
        <v>7</v>
      </c>
      <c r="C4330" s="3">
        <v>7115271804506</v>
      </c>
      <c r="D4330" s="2">
        <v>44672.9</v>
      </c>
      <c r="E4330" s="2">
        <v>44672.993055555555</v>
      </c>
      <c r="F4330" s="23">
        <f t="shared" si="201"/>
        <v>9.3055555553291924E-2</v>
      </c>
      <c r="G4330" s="24">
        <f t="shared" si="203"/>
        <v>134.32835821222284</v>
      </c>
      <c r="H4330" s="1" t="s">
        <v>1</v>
      </c>
      <c r="I4330" s="4" t="s">
        <v>2</v>
      </c>
      <c r="J4330" s="14">
        <v>0.9</v>
      </c>
      <c r="K4330" s="20" t="str">
        <f t="shared" si="202"/>
        <v>2nd Shift</v>
      </c>
    </row>
    <row r="4331" spans="1:11" x14ac:dyDescent="0.25">
      <c r="A4331" s="1">
        <v>4330</v>
      </c>
      <c r="B4331" s="1">
        <v>14</v>
      </c>
      <c r="C4331" s="3">
        <v>14115271674710</v>
      </c>
      <c r="D4331" s="2">
        <v>44672.986111111109</v>
      </c>
      <c r="E4331" s="2">
        <v>44673.104166666664</v>
      </c>
      <c r="F4331" s="23">
        <f t="shared" si="201"/>
        <v>0.11805555555474712</v>
      </c>
      <c r="G4331" s="24">
        <f t="shared" si="203"/>
        <v>105.88235294190156</v>
      </c>
      <c r="H4331" s="1" t="s">
        <v>1</v>
      </c>
      <c r="I4331" s="4" t="s">
        <v>2</v>
      </c>
      <c r="J4331" s="14">
        <v>0.98611111111111116</v>
      </c>
      <c r="K4331" s="20" t="str">
        <f t="shared" si="202"/>
        <v>3rd Shift</v>
      </c>
    </row>
    <row r="4332" spans="1:11" x14ac:dyDescent="0.25">
      <c r="A4332" s="1">
        <v>4331</v>
      </c>
      <c r="B4332" s="1">
        <v>12</v>
      </c>
      <c r="C4332" s="3">
        <v>12115271560173</v>
      </c>
      <c r="D4332" s="2">
        <v>44673.013888888891</v>
      </c>
      <c r="E4332" s="2">
        <v>44673.104166666664</v>
      </c>
      <c r="F4332" s="23">
        <f t="shared" si="201"/>
        <v>9.0277777773735579E-2</v>
      </c>
      <c r="G4332" s="24">
        <f t="shared" si="203"/>
        <v>138.46153846773811</v>
      </c>
      <c r="H4332" s="1" t="s">
        <v>1</v>
      </c>
      <c r="I4332" s="4" t="s">
        <v>3</v>
      </c>
      <c r="J4332" s="14">
        <v>1.3888888888888888E-2</v>
      </c>
      <c r="K4332" s="20" t="str">
        <f t="shared" si="202"/>
        <v>3rd Shift</v>
      </c>
    </row>
    <row r="4333" spans="1:11" x14ac:dyDescent="0.25">
      <c r="A4333" s="1">
        <v>4332</v>
      </c>
      <c r="B4333" s="1">
        <v>8</v>
      </c>
      <c r="C4333" s="3">
        <v>8115271820900</v>
      </c>
      <c r="D4333" s="2">
        <v>44673.052083333336</v>
      </c>
      <c r="E4333" s="2">
        <v>44673.104166666664</v>
      </c>
      <c r="F4333" s="23">
        <f t="shared" si="201"/>
        <v>5.2083333328482695E-2</v>
      </c>
      <c r="G4333" s="24">
        <f t="shared" si="203"/>
        <v>240.00000002235174</v>
      </c>
      <c r="H4333" s="1" t="s">
        <v>1</v>
      </c>
      <c r="I4333" s="4" t="s">
        <v>2</v>
      </c>
      <c r="J4333" s="14">
        <v>5.2083333333333336E-2</v>
      </c>
      <c r="K4333" s="20" t="str">
        <f t="shared" si="202"/>
        <v>3rd Shift</v>
      </c>
    </row>
    <row r="4334" spans="1:11" x14ac:dyDescent="0.25">
      <c r="A4334" s="1">
        <v>4333</v>
      </c>
      <c r="B4334" s="1">
        <v>3</v>
      </c>
      <c r="C4334" s="3">
        <v>3115270366700</v>
      </c>
      <c r="D4334" s="2">
        <v>44672.9375</v>
      </c>
      <c r="E4334" s="2">
        <v>44673.104166666664</v>
      </c>
      <c r="F4334" s="23">
        <f t="shared" si="201"/>
        <v>0.16666666666424135</v>
      </c>
      <c r="G4334" s="24">
        <f t="shared" si="203"/>
        <v>75.000000001091394</v>
      </c>
      <c r="H4334" s="1" t="s">
        <v>1</v>
      </c>
      <c r="I4334" s="4" t="s">
        <v>3</v>
      </c>
      <c r="J4334" s="14">
        <v>0.9375</v>
      </c>
      <c r="K4334" s="20" t="str">
        <f t="shared" si="202"/>
        <v>3rd Shift</v>
      </c>
    </row>
    <row r="4335" spans="1:11" x14ac:dyDescent="0.25">
      <c r="A4335" s="1">
        <v>4334</v>
      </c>
      <c r="B4335" s="1">
        <v>1</v>
      </c>
      <c r="C4335" s="3">
        <v>1115270097105</v>
      </c>
      <c r="D4335" s="2">
        <v>44672.9375</v>
      </c>
      <c r="E4335" s="2">
        <v>44673.104166666664</v>
      </c>
      <c r="F4335" s="23">
        <f t="shared" si="201"/>
        <v>0.16666666666424135</v>
      </c>
      <c r="G4335" s="24">
        <f t="shared" si="203"/>
        <v>75.000000001091394</v>
      </c>
      <c r="H4335" s="1" t="s">
        <v>1</v>
      </c>
      <c r="I4335" s="4" t="s">
        <v>2</v>
      </c>
      <c r="J4335" s="14">
        <v>0.9375</v>
      </c>
      <c r="K4335" s="20" t="str">
        <f t="shared" si="202"/>
        <v>3rd Shift</v>
      </c>
    </row>
    <row r="4336" spans="1:11" x14ac:dyDescent="0.25">
      <c r="A4336" s="1">
        <v>4335</v>
      </c>
      <c r="B4336" s="1">
        <v>1</v>
      </c>
      <c r="C4336" s="3">
        <v>1115270060900</v>
      </c>
      <c r="D4336" s="2">
        <v>44673.940972222219</v>
      </c>
      <c r="E4336" s="2">
        <v>44674.145833333336</v>
      </c>
      <c r="F4336" s="23">
        <f t="shared" si="201"/>
        <v>0.20486111111677019</v>
      </c>
      <c r="G4336" s="24">
        <f t="shared" si="203"/>
        <v>61.016949150856846</v>
      </c>
      <c r="H4336" s="1" t="s">
        <v>1</v>
      </c>
      <c r="I4336" s="4" t="s">
        <v>4</v>
      </c>
      <c r="J4336" s="14">
        <v>0.94097222222222221</v>
      </c>
      <c r="K4336" s="20" t="str">
        <f t="shared" si="202"/>
        <v>3rd Shift</v>
      </c>
    </row>
    <row r="4337" spans="1:11" x14ac:dyDescent="0.25">
      <c r="A4337" s="1">
        <v>4336</v>
      </c>
      <c r="B4337" s="1">
        <v>15</v>
      </c>
      <c r="C4337" s="3">
        <v>15115271746102</v>
      </c>
      <c r="D4337" s="2">
        <v>44673.552083333336</v>
      </c>
      <c r="E4337" s="2">
        <v>44673.611111111109</v>
      </c>
      <c r="F4337" s="23">
        <f t="shared" si="201"/>
        <v>5.9027777773735579E-2</v>
      </c>
      <c r="G4337" s="24">
        <f t="shared" si="203"/>
        <v>211.76470589685451</v>
      </c>
      <c r="H4337" s="1" t="s">
        <v>1</v>
      </c>
      <c r="I4337" s="4" t="s">
        <v>2</v>
      </c>
      <c r="J4337" s="14">
        <v>0.55208333333333337</v>
      </c>
      <c r="K4337" s="20" t="str">
        <f t="shared" si="202"/>
        <v>1st Shift</v>
      </c>
    </row>
    <row r="4338" spans="1:11" x14ac:dyDescent="0.25">
      <c r="A4338" s="1">
        <v>4337</v>
      </c>
      <c r="B4338" s="1">
        <v>11</v>
      </c>
      <c r="C4338" s="3">
        <v>11115271547400</v>
      </c>
      <c r="D4338" s="2">
        <v>44673.416666666664</v>
      </c>
      <c r="E4338" s="2">
        <v>44673.611111111109</v>
      </c>
      <c r="F4338" s="23">
        <f t="shared" si="201"/>
        <v>0.19444444444525288</v>
      </c>
      <c r="G4338" s="24">
        <f t="shared" si="203"/>
        <v>64.285714285447</v>
      </c>
      <c r="H4338" s="1" t="s">
        <v>1</v>
      </c>
      <c r="I4338" s="4" t="s">
        <v>5</v>
      </c>
      <c r="J4338" s="14">
        <v>0.41666666666666669</v>
      </c>
      <c r="K4338" s="20" t="str">
        <f t="shared" si="202"/>
        <v>1st Shift</v>
      </c>
    </row>
    <row r="4339" spans="1:11" x14ac:dyDescent="0.25">
      <c r="A4339" s="1">
        <v>4338</v>
      </c>
      <c r="B4339" s="1">
        <v>11</v>
      </c>
      <c r="C4339" s="3">
        <v>11115271508300</v>
      </c>
      <c r="D4339" s="2">
        <v>44673.416666666664</v>
      </c>
      <c r="E4339" s="2">
        <v>44673.611111111109</v>
      </c>
      <c r="F4339" s="23">
        <f t="shared" si="201"/>
        <v>0.19444444444525288</v>
      </c>
      <c r="G4339" s="24">
        <f t="shared" si="203"/>
        <v>64.285714285447</v>
      </c>
      <c r="H4339" s="1" t="s">
        <v>1</v>
      </c>
      <c r="I4339" s="4" t="s">
        <v>2</v>
      </c>
      <c r="J4339" s="14">
        <v>0.41666666666666669</v>
      </c>
      <c r="K4339" s="20" t="str">
        <f t="shared" si="202"/>
        <v>1st Shift</v>
      </c>
    </row>
    <row r="4340" spans="1:11" x14ac:dyDescent="0.25">
      <c r="A4340" s="1">
        <v>4339</v>
      </c>
      <c r="B4340" s="1">
        <v>10</v>
      </c>
      <c r="C4340" s="3">
        <v>10115271433500</v>
      </c>
      <c r="D4340" s="2">
        <v>44673.416666666664</v>
      </c>
      <c r="E4340" s="2">
        <v>44673.611111111109</v>
      </c>
      <c r="F4340" s="23">
        <f t="shared" si="201"/>
        <v>0.19444444444525288</v>
      </c>
      <c r="G4340" s="24">
        <f t="shared" si="203"/>
        <v>64.285714285447</v>
      </c>
      <c r="H4340" s="1" t="s">
        <v>1</v>
      </c>
      <c r="I4340" s="4" t="s">
        <v>3</v>
      </c>
      <c r="J4340" s="14">
        <v>0.41666666666666669</v>
      </c>
      <c r="K4340" s="20" t="str">
        <f t="shared" si="202"/>
        <v>1st Shift</v>
      </c>
    </row>
    <row r="4341" spans="1:11" x14ac:dyDescent="0.25">
      <c r="A4341" s="1">
        <v>4340</v>
      </c>
      <c r="B4341" s="1">
        <v>1</v>
      </c>
      <c r="C4341" s="3">
        <v>1115270052301</v>
      </c>
      <c r="D4341" s="2">
        <v>44673.416666666664</v>
      </c>
      <c r="E4341" s="2">
        <v>44673.611111111109</v>
      </c>
      <c r="F4341" s="23">
        <f t="shared" si="201"/>
        <v>0.19444444444525288</v>
      </c>
      <c r="G4341" s="24">
        <f t="shared" si="203"/>
        <v>64.285714285447</v>
      </c>
      <c r="H4341" s="1" t="s">
        <v>1</v>
      </c>
      <c r="I4341" s="4" t="s">
        <v>2</v>
      </c>
      <c r="J4341" s="14">
        <v>0.41666666666666669</v>
      </c>
      <c r="K4341" s="20" t="str">
        <f t="shared" si="202"/>
        <v>1st Shift</v>
      </c>
    </row>
    <row r="4342" spans="1:11" x14ac:dyDescent="0.25">
      <c r="A4342" s="1">
        <v>4341</v>
      </c>
      <c r="B4342" s="1">
        <v>14</v>
      </c>
      <c r="C4342" s="3">
        <v>14115271675406</v>
      </c>
      <c r="D4342" s="2">
        <v>44673.791666666664</v>
      </c>
      <c r="E4342" s="2">
        <v>44673.930555555555</v>
      </c>
      <c r="F4342" s="23">
        <f t="shared" si="201"/>
        <v>0.13888888889050577</v>
      </c>
      <c r="G4342" s="24">
        <f t="shared" si="203"/>
        <v>89.999999998952262</v>
      </c>
      <c r="H4342" s="1" t="s">
        <v>1</v>
      </c>
      <c r="I4342" s="4" t="s">
        <v>2</v>
      </c>
      <c r="J4342" s="14">
        <v>0.79166666666666663</v>
      </c>
      <c r="K4342" s="20" t="str">
        <f t="shared" si="202"/>
        <v>2nd Shift</v>
      </c>
    </row>
    <row r="4343" spans="1:11" x14ac:dyDescent="0.25">
      <c r="A4343" s="1">
        <v>4342</v>
      </c>
      <c r="B4343" s="1">
        <v>14</v>
      </c>
      <c r="C4343" s="3">
        <v>14115271672256</v>
      </c>
      <c r="D4343" s="2">
        <v>44673.666666666664</v>
      </c>
      <c r="E4343" s="2">
        <v>44673.930555555555</v>
      </c>
      <c r="F4343" s="23">
        <f t="shared" si="201"/>
        <v>0.26388888889050577</v>
      </c>
      <c r="G4343" s="24">
        <f t="shared" si="203"/>
        <v>47.368421052341347</v>
      </c>
      <c r="H4343" s="1" t="s">
        <v>1</v>
      </c>
      <c r="I4343" s="4" t="s">
        <v>2</v>
      </c>
      <c r="J4343" s="14">
        <v>0.66666666666666663</v>
      </c>
      <c r="K4343" s="20" t="str">
        <f t="shared" si="202"/>
        <v>2nd Shift</v>
      </c>
    </row>
    <row r="4344" spans="1:11" x14ac:dyDescent="0.25">
      <c r="A4344" s="1">
        <v>4343</v>
      </c>
      <c r="B4344" s="1">
        <v>3</v>
      </c>
      <c r="C4344" s="3">
        <v>3115270421800</v>
      </c>
      <c r="D4344" s="2">
        <v>44673.666666666664</v>
      </c>
      <c r="E4344" s="2">
        <v>44673.930555555555</v>
      </c>
      <c r="F4344" s="23">
        <f t="shared" si="201"/>
        <v>0.26388888889050577</v>
      </c>
      <c r="G4344" s="24">
        <f t="shared" si="203"/>
        <v>47.368421052341347</v>
      </c>
      <c r="H4344" s="1" t="s">
        <v>1</v>
      </c>
      <c r="I4344" s="4" t="s">
        <v>2</v>
      </c>
      <c r="J4344" s="14">
        <v>0.66666666666666663</v>
      </c>
      <c r="K4344" s="20" t="str">
        <f t="shared" si="202"/>
        <v>2nd Shift</v>
      </c>
    </row>
    <row r="4345" spans="1:11" x14ac:dyDescent="0.25">
      <c r="A4345" s="1">
        <v>4344</v>
      </c>
      <c r="B4345" s="1">
        <v>3</v>
      </c>
      <c r="C4345" s="3">
        <v>3115270365400</v>
      </c>
      <c r="D4345" s="2">
        <v>44673.666666666664</v>
      </c>
      <c r="E4345" s="2">
        <v>44673.930555555555</v>
      </c>
      <c r="F4345" s="23">
        <f t="shared" si="201"/>
        <v>0.26388888889050577</v>
      </c>
      <c r="G4345" s="24">
        <f t="shared" si="203"/>
        <v>47.368421052341347</v>
      </c>
      <c r="H4345" s="1" t="s">
        <v>1</v>
      </c>
      <c r="I4345" s="4" t="s">
        <v>2</v>
      </c>
      <c r="J4345" s="14">
        <v>0.66666666666666663</v>
      </c>
      <c r="K4345" s="20" t="str">
        <f t="shared" si="202"/>
        <v>2nd Shift</v>
      </c>
    </row>
    <row r="4346" spans="1:11" x14ac:dyDescent="0.25">
      <c r="A4346" s="1">
        <v>4345</v>
      </c>
      <c r="B4346" s="1">
        <v>14</v>
      </c>
      <c r="C4346" s="3">
        <v>14115271683700</v>
      </c>
      <c r="D4346" s="2">
        <v>44673.940972222219</v>
      </c>
      <c r="E4346" s="2">
        <v>44674.145833333336</v>
      </c>
      <c r="F4346" s="23">
        <f t="shared" si="201"/>
        <v>0.20486111111677019</v>
      </c>
      <c r="G4346" s="24">
        <f t="shared" si="203"/>
        <v>61.016949150856846</v>
      </c>
      <c r="H4346" s="1" t="s">
        <v>1</v>
      </c>
      <c r="I4346" s="4" t="s">
        <v>2</v>
      </c>
      <c r="J4346" s="14">
        <v>0.94097222222222221</v>
      </c>
      <c r="K4346" s="20" t="str">
        <f t="shared" si="202"/>
        <v>3rd Shift</v>
      </c>
    </row>
    <row r="4347" spans="1:11" x14ac:dyDescent="0.25">
      <c r="A4347" s="1">
        <v>4346</v>
      </c>
      <c r="B4347" s="1">
        <v>14</v>
      </c>
      <c r="C4347" s="3">
        <v>14115271673803</v>
      </c>
      <c r="D4347" s="2">
        <v>44673.940972222219</v>
      </c>
      <c r="E4347" s="2">
        <v>44674.145833333336</v>
      </c>
      <c r="F4347" s="23">
        <f t="shared" si="201"/>
        <v>0.20486111111677019</v>
      </c>
      <c r="G4347" s="24">
        <f t="shared" si="203"/>
        <v>61.016949150856846</v>
      </c>
      <c r="H4347" s="1" t="s">
        <v>1</v>
      </c>
      <c r="I4347" s="4" t="s">
        <v>3</v>
      </c>
      <c r="J4347" s="14">
        <v>0.94097222222222221</v>
      </c>
      <c r="K4347" s="20" t="str">
        <f t="shared" si="202"/>
        <v>3rd Shift</v>
      </c>
    </row>
    <row r="4348" spans="1:11" x14ac:dyDescent="0.25">
      <c r="A4348" s="1">
        <v>4347</v>
      </c>
      <c r="B4348" s="1">
        <v>14</v>
      </c>
      <c r="C4348" s="3">
        <v>14115271669001</v>
      </c>
      <c r="D4348" s="2">
        <v>44673.940972222219</v>
      </c>
      <c r="E4348" s="2">
        <v>44674.145833333336</v>
      </c>
      <c r="F4348" s="23">
        <f t="shared" si="201"/>
        <v>0.20486111111677019</v>
      </c>
      <c r="G4348" s="24">
        <f t="shared" si="203"/>
        <v>61.016949150856846</v>
      </c>
      <c r="H4348" s="1" t="s">
        <v>1</v>
      </c>
      <c r="I4348" s="4" t="s">
        <v>4</v>
      </c>
      <c r="J4348" s="14">
        <v>0.94097222222222221</v>
      </c>
      <c r="K4348" s="20" t="str">
        <f t="shared" si="202"/>
        <v>3rd Shift</v>
      </c>
    </row>
    <row r="4349" spans="1:11" x14ac:dyDescent="0.25">
      <c r="A4349" s="1">
        <v>4348</v>
      </c>
      <c r="B4349" s="1">
        <v>13</v>
      </c>
      <c r="C4349" s="3">
        <v>13115271634803</v>
      </c>
      <c r="D4349" s="2">
        <v>44674.013888888891</v>
      </c>
      <c r="E4349" s="2">
        <v>44674.145833333336</v>
      </c>
      <c r="F4349" s="23">
        <f t="shared" si="201"/>
        <v>0.13194444444525288</v>
      </c>
      <c r="G4349" s="24">
        <f t="shared" si="203"/>
        <v>94.736842104682694</v>
      </c>
      <c r="H4349" s="1" t="s">
        <v>1</v>
      </c>
      <c r="I4349" s="4" t="s">
        <v>2</v>
      </c>
      <c r="J4349" s="14">
        <v>1.3888888888888888E-2</v>
      </c>
      <c r="K4349" s="20" t="str">
        <f t="shared" si="202"/>
        <v>3rd Shift</v>
      </c>
    </row>
    <row r="4350" spans="1:11" x14ac:dyDescent="0.25">
      <c r="A4350" s="1">
        <v>4349</v>
      </c>
      <c r="B4350" s="1">
        <v>12</v>
      </c>
      <c r="C4350" s="3">
        <v>12115271581101</v>
      </c>
      <c r="D4350" s="2">
        <v>44674.041666666664</v>
      </c>
      <c r="E4350" s="2">
        <v>44674.145833333336</v>
      </c>
      <c r="F4350" s="23">
        <f t="shared" si="201"/>
        <v>0.10416666667151731</v>
      </c>
      <c r="G4350" s="24">
        <f t="shared" si="203"/>
        <v>119.99999999441206</v>
      </c>
      <c r="H4350" s="1" t="s">
        <v>1</v>
      </c>
      <c r="I4350" s="4" t="s">
        <v>2</v>
      </c>
      <c r="J4350" s="14">
        <v>4.1666666666666664E-2</v>
      </c>
      <c r="K4350" s="20" t="str">
        <f t="shared" si="202"/>
        <v>3rd Shift</v>
      </c>
    </row>
    <row r="4351" spans="1:11" x14ac:dyDescent="0.25">
      <c r="A4351" s="1">
        <v>4350</v>
      </c>
      <c r="B4351" s="1">
        <v>2</v>
      </c>
      <c r="C4351" s="3">
        <v>2115270261500</v>
      </c>
      <c r="D4351" s="2">
        <v>44673.986111111109</v>
      </c>
      <c r="E4351" s="2">
        <v>44674.145833333336</v>
      </c>
      <c r="F4351" s="23">
        <f t="shared" si="201"/>
        <v>0.15972222222626442</v>
      </c>
      <c r="G4351" s="24">
        <f t="shared" si="203"/>
        <v>78.260869563236795</v>
      </c>
      <c r="H4351" s="1" t="s">
        <v>1</v>
      </c>
      <c r="I4351" s="4" t="s">
        <v>2</v>
      </c>
      <c r="J4351" s="14">
        <v>0.98611111111111116</v>
      </c>
      <c r="K4351" s="20" t="str">
        <f t="shared" si="202"/>
        <v>3rd Shift</v>
      </c>
    </row>
    <row r="4352" spans="1:11" x14ac:dyDescent="0.25">
      <c r="A4352" s="1">
        <v>4351</v>
      </c>
      <c r="B4352" s="1">
        <v>1</v>
      </c>
      <c r="C4352" s="3">
        <v>1115270022309</v>
      </c>
      <c r="D4352" s="2">
        <v>44674.065972222219</v>
      </c>
      <c r="E4352" s="2">
        <v>44674.145833333336</v>
      </c>
      <c r="F4352" s="23">
        <f t="shared" si="201"/>
        <v>7.9861111116770189E-2</v>
      </c>
      <c r="G4352" s="24">
        <f t="shared" si="203"/>
        <v>156.52173911934341</v>
      </c>
      <c r="H4352" s="1" t="s">
        <v>1</v>
      </c>
      <c r="I4352" s="4" t="s">
        <v>2</v>
      </c>
      <c r="J4352" s="14">
        <v>6.5972222222222224E-2</v>
      </c>
      <c r="K4352" s="20" t="str">
        <f t="shared" si="202"/>
        <v>3rd Shift</v>
      </c>
    </row>
    <row r="4353" spans="1:11" x14ac:dyDescent="0.25">
      <c r="A4353" s="1">
        <v>4352</v>
      </c>
      <c r="B4353" s="1">
        <v>6</v>
      </c>
      <c r="C4353" s="3">
        <v>6115271741400</v>
      </c>
      <c r="D4353" s="2">
        <v>44674.5</v>
      </c>
      <c r="E4353" s="2">
        <v>44674.594444444447</v>
      </c>
      <c r="F4353" s="23">
        <f t="shared" si="201"/>
        <v>9.4444444446708076E-2</v>
      </c>
      <c r="G4353" s="24">
        <f t="shared" si="203"/>
        <v>132.35294117329838</v>
      </c>
      <c r="H4353" s="1" t="s">
        <v>1</v>
      </c>
      <c r="I4353" s="4" t="s">
        <v>2</v>
      </c>
      <c r="J4353" s="14">
        <v>0.5</v>
      </c>
      <c r="K4353" s="20" t="str">
        <f t="shared" si="202"/>
        <v>1st Shift</v>
      </c>
    </row>
    <row r="4354" spans="1:11" x14ac:dyDescent="0.25">
      <c r="A4354" s="1">
        <v>4353</v>
      </c>
      <c r="B4354" s="1">
        <v>5</v>
      </c>
      <c r="C4354" s="3">
        <v>5115271685022</v>
      </c>
      <c r="D4354" s="2">
        <v>44674.536111111112</v>
      </c>
      <c r="E4354" s="2">
        <v>44674.594444444447</v>
      </c>
      <c r="F4354" s="23">
        <f t="shared" ref="F4354:F4417" si="204">E4354-D4354</f>
        <v>5.8333333334303461E-2</v>
      </c>
      <c r="G4354" s="24">
        <f t="shared" si="203"/>
        <v>214.28571428215056</v>
      </c>
      <c r="H4354" s="1" t="s">
        <v>1</v>
      </c>
      <c r="I4354" s="4" t="s">
        <v>3</v>
      </c>
      <c r="J4354" s="14">
        <v>0.53611111111111109</v>
      </c>
      <c r="K4354" s="20" t="str">
        <f t="shared" ref="K4354:K4417" si="205">IF(AND(J4354&gt;=$M$3,J4354&lt;$M$4),"1st Shift",IF(AND(J4354&gt;=$M$4,J4354&lt;$M$5),"2nd Shift","3rd Shift"))</f>
        <v>1st Shift</v>
      </c>
    </row>
    <row r="4355" spans="1:11" x14ac:dyDescent="0.25">
      <c r="A4355" s="1">
        <v>4354</v>
      </c>
      <c r="B4355" s="1">
        <v>3</v>
      </c>
      <c r="C4355" s="3">
        <v>3115270366900</v>
      </c>
      <c r="D4355" s="2">
        <v>44674.5</v>
      </c>
      <c r="E4355" s="2">
        <v>44674.594444444447</v>
      </c>
      <c r="F4355" s="23">
        <f t="shared" si="204"/>
        <v>9.4444444446708076E-2</v>
      </c>
      <c r="G4355" s="24">
        <f t="shared" ref="G4355:G4418" si="206">$M$9/F4355*100</f>
        <v>132.35294117329838</v>
      </c>
      <c r="H4355" s="1" t="s">
        <v>1</v>
      </c>
      <c r="I4355" s="4" t="s">
        <v>2</v>
      </c>
      <c r="J4355" s="14">
        <v>0.5</v>
      </c>
      <c r="K4355" s="20" t="str">
        <f t="shared" si="205"/>
        <v>1st Shift</v>
      </c>
    </row>
    <row r="4356" spans="1:11" x14ac:dyDescent="0.25">
      <c r="A4356" s="1">
        <v>4355</v>
      </c>
      <c r="B4356" s="1">
        <v>1</v>
      </c>
      <c r="C4356" s="3">
        <v>1115270060900</v>
      </c>
      <c r="D4356" s="2">
        <v>44674.5</v>
      </c>
      <c r="E4356" s="2">
        <v>44674.594444444447</v>
      </c>
      <c r="F4356" s="23">
        <f t="shared" si="204"/>
        <v>9.4444444446708076E-2</v>
      </c>
      <c r="G4356" s="24">
        <f t="shared" si="206"/>
        <v>132.35294117329838</v>
      </c>
      <c r="H4356" s="1" t="s">
        <v>1</v>
      </c>
      <c r="I4356" s="4" t="s">
        <v>2</v>
      </c>
      <c r="J4356" s="14">
        <v>0.5</v>
      </c>
      <c r="K4356" s="20" t="str">
        <f t="shared" si="205"/>
        <v>1st Shift</v>
      </c>
    </row>
    <row r="4357" spans="1:11" x14ac:dyDescent="0.25">
      <c r="A4357" s="1">
        <v>4356</v>
      </c>
      <c r="B4357" s="1">
        <v>12</v>
      </c>
      <c r="C4357" s="3">
        <v>12115271580303</v>
      </c>
      <c r="D4357" s="2">
        <v>44674.6875</v>
      </c>
      <c r="E4357" s="2">
        <v>44674.888888888891</v>
      </c>
      <c r="F4357" s="23">
        <f t="shared" si="204"/>
        <v>0.20138888889050577</v>
      </c>
      <c r="G4357" s="24">
        <f t="shared" si="206"/>
        <v>62.068965516743049</v>
      </c>
      <c r="H4357" s="1" t="s">
        <v>1</v>
      </c>
      <c r="I4357" s="4" t="s">
        <v>2</v>
      </c>
      <c r="J4357" s="14">
        <v>0.6875</v>
      </c>
      <c r="K4357" s="20" t="str">
        <f t="shared" si="205"/>
        <v>2nd Shift</v>
      </c>
    </row>
    <row r="4358" spans="1:11" x14ac:dyDescent="0.25">
      <c r="A4358" s="1">
        <v>4357</v>
      </c>
      <c r="B4358" s="1">
        <v>3</v>
      </c>
      <c r="C4358" s="3">
        <v>3115270393400</v>
      </c>
      <c r="D4358" s="2">
        <v>44674.6875</v>
      </c>
      <c r="E4358" s="2">
        <v>44674.888888888891</v>
      </c>
      <c r="F4358" s="23">
        <f t="shared" si="204"/>
        <v>0.20138888889050577</v>
      </c>
      <c r="G4358" s="24">
        <f t="shared" si="206"/>
        <v>62.068965516743049</v>
      </c>
      <c r="H4358" s="1" t="s">
        <v>1</v>
      </c>
      <c r="I4358" s="4" t="s">
        <v>3</v>
      </c>
      <c r="J4358" s="14">
        <v>0.6875</v>
      </c>
      <c r="K4358" s="20" t="str">
        <f t="shared" si="205"/>
        <v>2nd Shift</v>
      </c>
    </row>
    <row r="4359" spans="1:11" x14ac:dyDescent="0.25">
      <c r="A4359" s="1">
        <v>4358</v>
      </c>
      <c r="B4359" s="1">
        <v>3</v>
      </c>
      <c r="C4359" s="3">
        <v>3115270360207</v>
      </c>
      <c r="D4359" s="2">
        <v>44674.6875</v>
      </c>
      <c r="E4359" s="2">
        <v>44674.888888888891</v>
      </c>
      <c r="F4359" s="23">
        <f t="shared" si="204"/>
        <v>0.20138888889050577</v>
      </c>
      <c r="G4359" s="24">
        <f t="shared" si="206"/>
        <v>62.068965516743049</v>
      </c>
      <c r="H4359" s="1" t="s">
        <v>1</v>
      </c>
      <c r="I4359" s="4" t="s">
        <v>2</v>
      </c>
      <c r="J4359" s="14">
        <v>0.6875</v>
      </c>
      <c r="K4359" s="20" t="str">
        <f t="shared" si="205"/>
        <v>2nd Shift</v>
      </c>
    </row>
    <row r="4360" spans="1:11" x14ac:dyDescent="0.25">
      <c r="A4360" s="1">
        <v>4359</v>
      </c>
      <c r="B4360" s="1">
        <v>2</v>
      </c>
      <c r="C4360" s="3">
        <v>2115270213304</v>
      </c>
      <c r="D4360" s="2">
        <v>44674.6875</v>
      </c>
      <c r="E4360" s="2">
        <v>44674.888888888891</v>
      </c>
      <c r="F4360" s="23">
        <f t="shared" si="204"/>
        <v>0.20138888889050577</v>
      </c>
      <c r="G4360" s="24">
        <f t="shared" si="206"/>
        <v>62.068965516743049</v>
      </c>
      <c r="H4360" s="1" t="s">
        <v>1</v>
      </c>
      <c r="I4360" s="4" t="s">
        <v>2</v>
      </c>
      <c r="J4360" s="14">
        <v>0.6875</v>
      </c>
      <c r="K4360" s="20" t="str">
        <f t="shared" si="205"/>
        <v>2nd Shift</v>
      </c>
    </row>
    <row r="4361" spans="1:11" x14ac:dyDescent="0.25">
      <c r="A4361" s="1">
        <v>4360</v>
      </c>
      <c r="B4361" s="1">
        <v>14</v>
      </c>
      <c r="C4361" s="3">
        <v>14115271572409</v>
      </c>
      <c r="D4361" s="2">
        <v>44674.951388888891</v>
      </c>
      <c r="E4361" s="2">
        <v>44674.979166666664</v>
      </c>
      <c r="F4361" s="23">
        <f t="shared" si="204"/>
        <v>2.7777777773735579E-2</v>
      </c>
      <c r="G4361" s="24">
        <f t="shared" si="206"/>
        <v>450.00000006548362</v>
      </c>
      <c r="H4361" s="1" t="s">
        <v>1</v>
      </c>
      <c r="I4361" s="4" t="s">
        <v>2</v>
      </c>
      <c r="J4361" s="14">
        <v>0.95138888888888884</v>
      </c>
      <c r="K4361" s="20" t="str">
        <f t="shared" si="205"/>
        <v>3rd Shift</v>
      </c>
    </row>
    <row r="4362" spans="1:11" x14ac:dyDescent="0.25">
      <c r="A4362" s="1">
        <v>4361</v>
      </c>
      <c r="B4362" s="1">
        <v>13</v>
      </c>
      <c r="C4362" s="3">
        <v>13115271590501</v>
      </c>
      <c r="D4362" s="2">
        <v>44675.965277777781</v>
      </c>
      <c r="E4362" s="2">
        <v>44676.111111111109</v>
      </c>
      <c r="F4362" s="23">
        <f t="shared" si="204"/>
        <v>0.14583333332848269</v>
      </c>
      <c r="G4362" s="24">
        <f t="shared" si="206"/>
        <v>85.714285717136704</v>
      </c>
      <c r="H4362" s="1" t="s">
        <v>1</v>
      </c>
      <c r="I4362" s="4" t="s">
        <v>3</v>
      </c>
      <c r="J4362" s="14">
        <v>0.96527777777777779</v>
      </c>
      <c r="K4362" s="20" t="str">
        <f t="shared" si="205"/>
        <v>3rd Shift</v>
      </c>
    </row>
    <row r="4363" spans="1:11" x14ac:dyDescent="0.25">
      <c r="A4363" s="1">
        <v>4362</v>
      </c>
      <c r="B4363" s="1">
        <v>12</v>
      </c>
      <c r="C4363" s="3">
        <v>12115271571634</v>
      </c>
      <c r="D4363" s="2">
        <v>44675.027777777781</v>
      </c>
      <c r="E4363" s="2">
        <v>44675.239583333336</v>
      </c>
      <c r="F4363" s="23">
        <f t="shared" si="204"/>
        <v>0.21180555555474712</v>
      </c>
      <c r="G4363" s="24">
        <f t="shared" si="206"/>
        <v>59.016393442848212</v>
      </c>
      <c r="H4363" s="1" t="s">
        <v>1</v>
      </c>
      <c r="I4363" s="4" t="s">
        <v>2</v>
      </c>
      <c r="J4363" s="14">
        <v>2.7777777777777776E-2</v>
      </c>
      <c r="K4363" s="20" t="str">
        <f t="shared" si="205"/>
        <v>3rd Shift</v>
      </c>
    </row>
    <row r="4364" spans="1:11" x14ac:dyDescent="0.25">
      <c r="A4364" s="1">
        <v>4363</v>
      </c>
      <c r="B4364" s="1">
        <v>12</v>
      </c>
      <c r="C4364" s="3">
        <v>12115271567452</v>
      </c>
      <c r="D4364" s="2">
        <v>44675.027777777781</v>
      </c>
      <c r="E4364" s="2">
        <v>44675.239583333336</v>
      </c>
      <c r="F4364" s="23">
        <f t="shared" si="204"/>
        <v>0.21180555555474712</v>
      </c>
      <c r="G4364" s="24">
        <f t="shared" si="206"/>
        <v>59.016393442848212</v>
      </c>
      <c r="H4364" s="1" t="s">
        <v>1</v>
      </c>
      <c r="I4364" s="4" t="s">
        <v>2</v>
      </c>
      <c r="J4364" s="14">
        <v>2.7777777777777776E-2</v>
      </c>
      <c r="K4364" s="20" t="str">
        <f t="shared" si="205"/>
        <v>3rd Shift</v>
      </c>
    </row>
    <row r="4365" spans="1:11" x14ac:dyDescent="0.25">
      <c r="A4365" s="1">
        <v>4364</v>
      </c>
      <c r="B4365" s="1">
        <v>8</v>
      </c>
      <c r="C4365" s="3">
        <v>8115271839800</v>
      </c>
      <c r="D4365" s="2">
        <v>44675.027777777781</v>
      </c>
      <c r="E4365" s="2">
        <v>44675.239583333336</v>
      </c>
      <c r="F4365" s="23">
        <f t="shared" si="204"/>
        <v>0.21180555555474712</v>
      </c>
      <c r="G4365" s="24">
        <f t="shared" si="206"/>
        <v>59.016393442848212</v>
      </c>
      <c r="H4365" s="1" t="s">
        <v>1</v>
      </c>
      <c r="I4365" s="4" t="s">
        <v>2</v>
      </c>
      <c r="J4365" s="14">
        <v>2.7777777777777776E-2</v>
      </c>
      <c r="K4365" s="20" t="str">
        <f t="shared" si="205"/>
        <v>3rd Shift</v>
      </c>
    </row>
    <row r="4366" spans="1:11" x14ac:dyDescent="0.25">
      <c r="A4366" s="1">
        <v>4365</v>
      </c>
      <c r="B4366" s="1">
        <v>8</v>
      </c>
      <c r="C4366" s="3">
        <v>8115271820500</v>
      </c>
      <c r="D4366" s="2">
        <v>44675.027777777781</v>
      </c>
      <c r="E4366" s="2">
        <v>44675.239583333336</v>
      </c>
      <c r="F4366" s="23">
        <f t="shared" si="204"/>
        <v>0.21180555555474712</v>
      </c>
      <c r="G4366" s="24">
        <f t="shared" si="206"/>
        <v>59.016393442848212</v>
      </c>
      <c r="H4366" s="1" t="s">
        <v>1</v>
      </c>
      <c r="I4366" s="4" t="s">
        <v>2</v>
      </c>
      <c r="J4366" s="14">
        <v>2.7777777777777776E-2</v>
      </c>
      <c r="K4366" s="20" t="str">
        <f t="shared" si="205"/>
        <v>3rd Shift</v>
      </c>
    </row>
    <row r="4367" spans="1:11" x14ac:dyDescent="0.25">
      <c r="A4367" s="1">
        <v>4366</v>
      </c>
      <c r="B4367" s="1">
        <v>6</v>
      </c>
      <c r="C4367" s="3">
        <v>6115271741600</v>
      </c>
      <c r="D4367" s="2">
        <v>44675.069444444445</v>
      </c>
      <c r="E4367" s="2">
        <v>44675.239583333336</v>
      </c>
      <c r="F4367" s="23">
        <f t="shared" si="204"/>
        <v>0.17013888889050577</v>
      </c>
      <c r="G4367" s="24">
        <f t="shared" si="206"/>
        <v>73.46938775440384</v>
      </c>
      <c r="H4367" s="1" t="s">
        <v>1</v>
      </c>
      <c r="I4367" s="4" t="s">
        <v>2</v>
      </c>
      <c r="J4367" s="14">
        <v>6.9444444444444448E-2</v>
      </c>
      <c r="K4367" s="20" t="str">
        <f t="shared" si="205"/>
        <v>3rd Shift</v>
      </c>
    </row>
    <row r="4368" spans="1:11" x14ac:dyDescent="0.25">
      <c r="A4368" s="1">
        <v>4367</v>
      </c>
      <c r="B4368" s="1">
        <v>5</v>
      </c>
      <c r="C4368" s="3">
        <v>5115271269900</v>
      </c>
      <c r="D4368" s="2">
        <v>44675.027777777781</v>
      </c>
      <c r="E4368" s="2">
        <v>44675.239583333336</v>
      </c>
      <c r="F4368" s="23">
        <f t="shared" si="204"/>
        <v>0.21180555555474712</v>
      </c>
      <c r="G4368" s="24">
        <f t="shared" si="206"/>
        <v>59.016393442848212</v>
      </c>
      <c r="H4368" s="1" t="s">
        <v>1</v>
      </c>
      <c r="I4368" s="4" t="s">
        <v>2</v>
      </c>
      <c r="J4368" s="14">
        <v>2.7777777777777776E-2</v>
      </c>
      <c r="K4368" s="20" t="str">
        <f t="shared" si="205"/>
        <v>3rd Shift</v>
      </c>
    </row>
    <row r="4369" spans="1:11" x14ac:dyDescent="0.25">
      <c r="A4369" s="1">
        <v>4368</v>
      </c>
      <c r="B4369" s="1">
        <v>4</v>
      </c>
      <c r="C4369" s="3">
        <v>4115270875800</v>
      </c>
      <c r="D4369" s="2">
        <v>44675.027777777781</v>
      </c>
      <c r="E4369" s="2">
        <v>44675.239583333336</v>
      </c>
      <c r="F4369" s="23">
        <f t="shared" si="204"/>
        <v>0.21180555555474712</v>
      </c>
      <c r="G4369" s="24">
        <f t="shared" si="206"/>
        <v>59.016393442848212</v>
      </c>
      <c r="H4369" s="1" t="s">
        <v>1</v>
      </c>
      <c r="I4369" s="4" t="s">
        <v>2</v>
      </c>
      <c r="J4369" s="14">
        <v>2.7777777777777776E-2</v>
      </c>
      <c r="K4369" s="20" t="str">
        <f t="shared" si="205"/>
        <v>3rd Shift</v>
      </c>
    </row>
    <row r="4370" spans="1:11" x14ac:dyDescent="0.25">
      <c r="A4370" s="1">
        <v>4369</v>
      </c>
      <c r="B4370" s="1">
        <v>3</v>
      </c>
      <c r="C4370" s="3">
        <v>3115270324301</v>
      </c>
      <c r="D4370" s="2">
        <v>44675.09375</v>
      </c>
      <c r="E4370" s="2">
        <v>44675.239583333336</v>
      </c>
      <c r="F4370" s="23">
        <f t="shared" si="204"/>
        <v>0.14583333333575865</v>
      </c>
      <c r="G4370" s="24">
        <f t="shared" si="206"/>
        <v>85.714285712860217</v>
      </c>
      <c r="H4370" s="1" t="s">
        <v>1</v>
      </c>
      <c r="I4370" s="4" t="s">
        <v>3</v>
      </c>
      <c r="J4370" s="14">
        <v>9.375E-2</v>
      </c>
      <c r="K4370" s="20" t="str">
        <f t="shared" si="205"/>
        <v>3rd Shift</v>
      </c>
    </row>
    <row r="4371" spans="1:11" x14ac:dyDescent="0.25">
      <c r="A4371" s="1">
        <v>4370</v>
      </c>
      <c r="B4371" s="1">
        <v>2</v>
      </c>
      <c r="C4371" s="3">
        <v>2115270221900</v>
      </c>
      <c r="D4371" s="2">
        <v>44675.142361111109</v>
      </c>
      <c r="E4371" s="2">
        <v>44675.239583333336</v>
      </c>
      <c r="F4371" s="23">
        <f t="shared" si="204"/>
        <v>9.7222222226264421E-2</v>
      </c>
      <c r="G4371" s="24">
        <f t="shared" si="206"/>
        <v>128.57142856608297</v>
      </c>
      <c r="H4371" s="1" t="s">
        <v>1</v>
      </c>
      <c r="I4371" s="4" t="s">
        <v>3</v>
      </c>
      <c r="J4371" s="14">
        <v>0.1423611111111111</v>
      </c>
      <c r="K4371" s="20" t="str">
        <f t="shared" si="205"/>
        <v>3rd Shift</v>
      </c>
    </row>
    <row r="4372" spans="1:11" x14ac:dyDescent="0.25">
      <c r="A4372" s="1">
        <v>4371</v>
      </c>
      <c r="B4372" s="1">
        <v>46</v>
      </c>
      <c r="C4372" s="3">
        <v>46115279656310</v>
      </c>
      <c r="D4372" s="2">
        <v>44675.4375</v>
      </c>
      <c r="E4372" s="2">
        <v>44675.590277777781</v>
      </c>
      <c r="F4372" s="23">
        <f t="shared" si="204"/>
        <v>0.15277777778101154</v>
      </c>
      <c r="G4372" s="24">
        <f t="shared" si="206"/>
        <v>81.818181816450021</v>
      </c>
      <c r="H4372" s="1" t="s">
        <v>1</v>
      </c>
      <c r="I4372" s="4" t="s">
        <v>3</v>
      </c>
      <c r="J4372" s="14">
        <v>0.4375</v>
      </c>
      <c r="K4372" s="20" t="str">
        <f t="shared" si="205"/>
        <v>1st Shift</v>
      </c>
    </row>
    <row r="4373" spans="1:11" x14ac:dyDescent="0.25">
      <c r="A4373" s="1">
        <v>4372</v>
      </c>
      <c r="B4373" s="1">
        <v>46</v>
      </c>
      <c r="C4373" s="3">
        <v>46115272423901</v>
      </c>
      <c r="D4373" s="2">
        <v>44675.4375</v>
      </c>
      <c r="E4373" s="2">
        <v>44675.590277777781</v>
      </c>
      <c r="F4373" s="23">
        <f t="shared" si="204"/>
        <v>0.15277777778101154</v>
      </c>
      <c r="G4373" s="24">
        <f t="shared" si="206"/>
        <v>81.818181816450021</v>
      </c>
      <c r="H4373" s="1" t="s">
        <v>1</v>
      </c>
      <c r="I4373" s="4" t="s">
        <v>2</v>
      </c>
      <c r="J4373" s="14">
        <v>0.4375</v>
      </c>
      <c r="K4373" s="20" t="str">
        <f t="shared" si="205"/>
        <v>1st Shift</v>
      </c>
    </row>
    <row r="4374" spans="1:11" x14ac:dyDescent="0.25">
      <c r="A4374" s="1">
        <v>4373</v>
      </c>
      <c r="B4374" s="1">
        <v>14</v>
      </c>
      <c r="C4374" s="3">
        <v>14115271724505</v>
      </c>
      <c r="D4374" s="2">
        <v>44675.479166666664</v>
      </c>
      <c r="E4374" s="2">
        <v>44675.590277777781</v>
      </c>
      <c r="F4374" s="23">
        <f t="shared" si="204"/>
        <v>0.11111111111677019</v>
      </c>
      <c r="G4374" s="24">
        <f t="shared" si="206"/>
        <v>112.49999999427018</v>
      </c>
      <c r="H4374" s="1" t="s">
        <v>1</v>
      </c>
      <c r="I4374" s="4" t="s">
        <v>3</v>
      </c>
      <c r="J4374" s="14">
        <v>0.47916666666666669</v>
      </c>
      <c r="K4374" s="20" t="str">
        <f t="shared" si="205"/>
        <v>1st Shift</v>
      </c>
    </row>
    <row r="4375" spans="1:11" x14ac:dyDescent="0.25">
      <c r="A4375" s="1">
        <v>4374</v>
      </c>
      <c r="B4375" s="1">
        <v>14</v>
      </c>
      <c r="C4375" s="3">
        <v>14115271672400</v>
      </c>
      <c r="D4375" s="2">
        <v>44675.520833333336</v>
      </c>
      <c r="E4375" s="2">
        <v>44675.590277777781</v>
      </c>
      <c r="F4375" s="23">
        <f t="shared" si="204"/>
        <v>6.9444444445252884E-2</v>
      </c>
      <c r="G4375" s="24">
        <f t="shared" si="206"/>
        <v>179.99999999790452</v>
      </c>
      <c r="H4375" s="1" t="s">
        <v>1</v>
      </c>
      <c r="I4375" s="4" t="s">
        <v>2</v>
      </c>
      <c r="J4375" s="14">
        <v>0.52083333333333337</v>
      </c>
      <c r="K4375" s="20" t="str">
        <f t="shared" si="205"/>
        <v>1st Shift</v>
      </c>
    </row>
    <row r="4376" spans="1:11" x14ac:dyDescent="0.25">
      <c r="A4376" s="1">
        <v>4375</v>
      </c>
      <c r="B4376" s="1">
        <v>13</v>
      </c>
      <c r="C4376" s="3">
        <v>13115271590400</v>
      </c>
      <c r="D4376" s="2">
        <v>44675.552083333336</v>
      </c>
      <c r="E4376" s="2">
        <v>44675.590277777781</v>
      </c>
      <c r="F4376" s="23">
        <f t="shared" si="204"/>
        <v>3.8194444445252884E-2</v>
      </c>
      <c r="G4376" s="24">
        <f t="shared" si="206"/>
        <v>327.27272726580009</v>
      </c>
      <c r="H4376" s="1" t="s">
        <v>1</v>
      </c>
      <c r="I4376" s="4" t="s">
        <v>2</v>
      </c>
      <c r="J4376" s="14">
        <v>0.55208333333333337</v>
      </c>
      <c r="K4376" s="20" t="str">
        <f t="shared" si="205"/>
        <v>1st Shift</v>
      </c>
    </row>
    <row r="4377" spans="1:11" x14ac:dyDescent="0.25">
      <c r="A4377" s="1">
        <v>4376</v>
      </c>
      <c r="B4377" s="1">
        <v>11</v>
      </c>
      <c r="C4377" s="3">
        <v>11115271536001</v>
      </c>
      <c r="D4377" s="2">
        <v>44675.350694444445</v>
      </c>
      <c r="E4377" s="2">
        <v>44675.590277777781</v>
      </c>
      <c r="F4377" s="23">
        <f t="shared" si="204"/>
        <v>0.23958333333575865</v>
      </c>
      <c r="G4377" s="24">
        <f t="shared" si="206"/>
        <v>52.173913042950105</v>
      </c>
      <c r="H4377" s="1" t="s">
        <v>1</v>
      </c>
      <c r="I4377" s="4" t="s">
        <v>2</v>
      </c>
      <c r="J4377" s="14">
        <v>0.35069444444444442</v>
      </c>
      <c r="K4377" s="20" t="str">
        <f t="shared" si="205"/>
        <v>1st Shift</v>
      </c>
    </row>
    <row r="4378" spans="1:11" x14ac:dyDescent="0.25">
      <c r="A4378" s="1">
        <v>4377</v>
      </c>
      <c r="B4378" s="1">
        <v>9</v>
      </c>
      <c r="C4378" s="3">
        <v>9115271909205</v>
      </c>
      <c r="D4378" s="2">
        <v>44675.552083333336</v>
      </c>
      <c r="E4378" s="2">
        <v>44675.590277777781</v>
      </c>
      <c r="F4378" s="23">
        <f t="shared" si="204"/>
        <v>3.8194444445252884E-2</v>
      </c>
      <c r="G4378" s="24">
        <f t="shared" si="206"/>
        <v>327.27272726580009</v>
      </c>
      <c r="H4378" s="1" t="s">
        <v>1</v>
      </c>
      <c r="I4378" s="4" t="s">
        <v>2</v>
      </c>
      <c r="J4378" s="14">
        <v>0.55208333333333337</v>
      </c>
      <c r="K4378" s="20" t="str">
        <f t="shared" si="205"/>
        <v>1st Shift</v>
      </c>
    </row>
    <row r="4379" spans="1:11" x14ac:dyDescent="0.25">
      <c r="A4379" s="1">
        <v>4378</v>
      </c>
      <c r="B4379" s="1">
        <v>7</v>
      </c>
      <c r="C4379" s="3">
        <v>7115271769521</v>
      </c>
      <c r="D4379" s="2">
        <v>44675.552083333336</v>
      </c>
      <c r="E4379" s="2">
        <v>44675.590277777781</v>
      </c>
      <c r="F4379" s="23">
        <f t="shared" si="204"/>
        <v>3.8194444445252884E-2</v>
      </c>
      <c r="G4379" s="24">
        <f t="shared" si="206"/>
        <v>327.27272726580009</v>
      </c>
      <c r="H4379" s="1" t="s">
        <v>1</v>
      </c>
      <c r="I4379" s="4" t="s">
        <v>2</v>
      </c>
      <c r="J4379" s="14">
        <v>0.55208333333333337</v>
      </c>
      <c r="K4379" s="20" t="str">
        <f t="shared" si="205"/>
        <v>1st Shift</v>
      </c>
    </row>
    <row r="4380" spans="1:11" x14ac:dyDescent="0.25">
      <c r="A4380" s="1">
        <v>4379</v>
      </c>
      <c r="B4380" s="1">
        <v>7</v>
      </c>
      <c r="C4380" s="3">
        <v>7115271758800</v>
      </c>
      <c r="D4380" s="2">
        <v>44675.29791666667</v>
      </c>
      <c r="E4380" s="2">
        <v>44675.590277777781</v>
      </c>
      <c r="F4380" s="23">
        <f t="shared" si="204"/>
        <v>0.29236111111094942</v>
      </c>
      <c r="G4380" s="24">
        <f t="shared" si="206"/>
        <v>42.7553444180759</v>
      </c>
      <c r="H4380" s="1" t="s">
        <v>1</v>
      </c>
      <c r="I4380" s="4" t="s">
        <v>3</v>
      </c>
      <c r="J4380" s="14">
        <v>0.29791666666666666</v>
      </c>
      <c r="K4380" s="20" t="str">
        <f t="shared" si="205"/>
        <v>1st Shift</v>
      </c>
    </row>
    <row r="4381" spans="1:11" x14ac:dyDescent="0.25">
      <c r="A4381" s="1">
        <v>4380</v>
      </c>
      <c r="B4381" s="1">
        <v>6</v>
      </c>
      <c r="C4381" s="3">
        <v>6115271690604</v>
      </c>
      <c r="D4381" s="2">
        <v>44675.29791666667</v>
      </c>
      <c r="E4381" s="2">
        <v>44675.590277777781</v>
      </c>
      <c r="F4381" s="23">
        <f t="shared" si="204"/>
        <v>0.29236111111094942</v>
      </c>
      <c r="G4381" s="24">
        <f t="shared" si="206"/>
        <v>42.7553444180759</v>
      </c>
      <c r="H4381" s="1" t="s">
        <v>1</v>
      </c>
      <c r="I4381" s="4" t="s">
        <v>5</v>
      </c>
      <c r="J4381" s="14">
        <v>0.29791666666666666</v>
      </c>
      <c r="K4381" s="20" t="str">
        <f t="shared" si="205"/>
        <v>1st Shift</v>
      </c>
    </row>
    <row r="4382" spans="1:11" x14ac:dyDescent="0.25">
      <c r="A4382" s="1">
        <v>4381</v>
      </c>
      <c r="B4382" s="1">
        <v>5</v>
      </c>
      <c r="C4382" s="3">
        <v>5115270974400</v>
      </c>
      <c r="D4382" s="2">
        <v>44675.416666666664</v>
      </c>
      <c r="E4382" s="2">
        <v>44675.590277777781</v>
      </c>
      <c r="F4382" s="23">
        <f t="shared" si="204"/>
        <v>0.17361111111677019</v>
      </c>
      <c r="G4382" s="24">
        <f t="shared" si="206"/>
        <v>71.999999997653063</v>
      </c>
      <c r="H4382" s="1" t="s">
        <v>1</v>
      </c>
      <c r="I4382" s="4" t="s">
        <v>4</v>
      </c>
      <c r="J4382" s="14">
        <v>0.41666666666666669</v>
      </c>
      <c r="K4382" s="20" t="str">
        <f t="shared" si="205"/>
        <v>1st Shift</v>
      </c>
    </row>
    <row r="4383" spans="1:11" x14ac:dyDescent="0.25">
      <c r="A4383" s="1">
        <v>4382</v>
      </c>
      <c r="B4383" s="1">
        <v>3</v>
      </c>
      <c r="C4383" s="3">
        <v>3115270421800</v>
      </c>
      <c r="D4383" s="2">
        <v>44675.29791666667</v>
      </c>
      <c r="E4383" s="2">
        <v>44675.590277777781</v>
      </c>
      <c r="F4383" s="23">
        <f t="shared" si="204"/>
        <v>0.29236111111094942</v>
      </c>
      <c r="G4383" s="24">
        <f t="shared" si="206"/>
        <v>42.7553444180759</v>
      </c>
      <c r="H4383" s="1" t="s">
        <v>1</v>
      </c>
      <c r="I4383" s="4" t="s">
        <v>3</v>
      </c>
      <c r="J4383" s="14">
        <v>0.29791666666666666</v>
      </c>
      <c r="K4383" s="20" t="str">
        <f t="shared" si="205"/>
        <v>1st Shift</v>
      </c>
    </row>
    <row r="4384" spans="1:11" x14ac:dyDescent="0.25">
      <c r="A4384" s="1">
        <v>4383</v>
      </c>
      <c r="B4384" s="1">
        <v>2</v>
      </c>
      <c r="C4384" s="3">
        <v>2115270222300</v>
      </c>
      <c r="D4384" s="2">
        <v>44675.552083333336</v>
      </c>
      <c r="E4384" s="2">
        <v>44675.590277777781</v>
      </c>
      <c r="F4384" s="23">
        <f t="shared" si="204"/>
        <v>3.8194444445252884E-2</v>
      </c>
      <c r="G4384" s="24">
        <f t="shared" si="206"/>
        <v>327.27272726580009</v>
      </c>
      <c r="H4384" s="1" t="s">
        <v>1</v>
      </c>
      <c r="I4384" s="4" t="s">
        <v>2</v>
      </c>
      <c r="J4384" s="14">
        <v>0.55208333333333337</v>
      </c>
      <c r="K4384" s="20" t="str">
        <f t="shared" si="205"/>
        <v>1st Shift</v>
      </c>
    </row>
    <row r="4385" spans="1:11" x14ac:dyDescent="0.25">
      <c r="A4385" s="1">
        <v>4384</v>
      </c>
      <c r="B4385" s="1">
        <v>1</v>
      </c>
      <c r="C4385" s="3">
        <v>1115270066500</v>
      </c>
      <c r="D4385" s="2">
        <v>44675.4375</v>
      </c>
      <c r="E4385" s="2">
        <v>44675.590277777781</v>
      </c>
      <c r="F4385" s="23">
        <f t="shared" si="204"/>
        <v>0.15277777778101154</v>
      </c>
      <c r="G4385" s="24">
        <f t="shared" si="206"/>
        <v>81.818181816450021</v>
      </c>
      <c r="H4385" s="1" t="s">
        <v>1</v>
      </c>
      <c r="I4385" s="4" t="s">
        <v>3</v>
      </c>
      <c r="J4385" s="14">
        <v>0.4375</v>
      </c>
      <c r="K4385" s="20" t="str">
        <f t="shared" si="205"/>
        <v>1st Shift</v>
      </c>
    </row>
    <row r="4386" spans="1:11" x14ac:dyDescent="0.25">
      <c r="A4386" s="1">
        <v>4385</v>
      </c>
      <c r="B4386" s="1">
        <v>1</v>
      </c>
      <c r="C4386" s="3">
        <v>1115270023602</v>
      </c>
      <c r="D4386" s="2">
        <v>44675.350694444445</v>
      </c>
      <c r="E4386" s="2">
        <v>44675.590277777781</v>
      </c>
      <c r="F4386" s="23">
        <f t="shared" si="204"/>
        <v>0.23958333333575865</v>
      </c>
      <c r="G4386" s="24">
        <f t="shared" si="206"/>
        <v>52.173913042950105</v>
      </c>
      <c r="H4386" s="1" t="s">
        <v>1</v>
      </c>
      <c r="I4386" s="4" t="s">
        <v>2</v>
      </c>
      <c r="J4386" s="14">
        <v>0.35069444444444442</v>
      </c>
      <c r="K4386" s="20" t="str">
        <f t="shared" si="205"/>
        <v>1st Shift</v>
      </c>
    </row>
    <row r="4387" spans="1:11" x14ac:dyDescent="0.25">
      <c r="A4387" s="1">
        <v>4386</v>
      </c>
      <c r="B4387" s="1">
        <v>13</v>
      </c>
      <c r="C4387" s="3">
        <v>13115271591107</v>
      </c>
      <c r="D4387" s="2">
        <v>44675.659722222219</v>
      </c>
      <c r="E4387" s="2">
        <v>44675.864583333336</v>
      </c>
      <c r="F4387" s="23">
        <f t="shared" si="204"/>
        <v>0.20486111111677019</v>
      </c>
      <c r="G4387" s="24">
        <f t="shared" si="206"/>
        <v>61.016949150856846</v>
      </c>
      <c r="H4387" s="1" t="s">
        <v>1</v>
      </c>
      <c r="I4387" s="4" t="s">
        <v>2</v>
      </c>
      <c r="J4387" s="14">
        <v>0.65972222222222221</v>
      </c>
      <c r="K4387" s="20" t="str">
        <f t="shared" si="205"/>
        <v>2nd Shift</v>
      </c>
    </row>
    <row r="4388" spans="1:11" x14ac:dyDescent="0.25">
      <c r="A4388" s="1">
        <v>4387</v>
      </c>
      <c r="B4388" s="1">
        <v>10</v>
      </c>
      <c r="C4388" s="3">
        <v>10115271963600</v>
      </c>
      <c r="D4388" s="2">
        <v>44675.659722222219</v>
      </c>
      <c r="E4388" s="2">
        <v>44675.864583333336</v>
      </c>
      <c r="F4388" s="23">
        <f t="shared" si="204"/>
        <v>0.20486111111677019</v>
      </c>
      <c r="G4388" s="24">
        <f t="shared" si="206"/>
        <v>61.016949150856846</v>
      </c>
      <c r="H4388" s="1" t="s">
        <v>1</v>
      </c>
      <c r="I4388" s="4" t="s">
        <v>3</v>
      </c>
      <c r="J4388" s="14">
        <v>0.65972222222222221</v>
      </c>
      <c r="K4388" s="20" t="str">
        <f t="shared" si="205"/>
        <v>2nd Shift</v>
      </c>
    </row>
    <row r="4389" spans="1:11" x14ac:dyDescent="0.25">
      <c r="A4389" s="1">
        <v>4388</v>
      </c>
      <c r="B4389" s="1">
        <v>9</v>
      </c>
      <c r="C4389" s="3">
        <v>9115271944300</v>
      </c>
      <c r="D4389" s="2">
        <v>44675.659722222219</v>
      </c>
      <c r="E4389" s="2">
        <v>44675.864583333336</v>
      </c>
      <c r="F4389" s="23">
        <f t="shared" si="204"/>
        <v>0.20486111111677019</v>
      </c>
      <c r="G4389" s="24">
        <f t="shared" si="206"/>
        <v>61.016949150856846</v>
      </c>
      <c r="H4389" s="1" t="s">
        <v>1</v>
      </c>
      <c r="I4389" s="4" t="s">
        <v>2</v>
      </c>
      <c r="J4389" s="14">
        <v>0.65972222222222221</v>
      </c>
      <c r="K4389" s="20" t="str">
        <f t="shared" si="205"/>
        <v>2nd Shift</v>
      </c>
    </row>
    <row r="4390" spans="1:11" x14ac:dyDescent="0.25">
      <c r="A4390" s="1">
        <v>4389</v>
      </c>
      <c r="B4390" s="1">
        <v>7</v>
      </c>
      <c r="C4390" s="3">
        <v>7115271804515</v>
      </c>
      <c r="D4390" s="2">
        <v>44675.659722222219</v>
      </c>
      <c r="E4390" s="2">
        <v>44675.864583333336</v>
      </c>
      <c r="F4390" s="23">
        <f t="shared" si="204"/>
        <v>0.20486111111677019</v>
      </c>
      <c r="G4390" s="24">
        <f t="shared" si="206"/>
        <v>61.016949150856846</v>
      </c>
      <c r="H4390" s="1" t="s">
        <v>1</v>
      </c>
      <c r="I4390" s="4" t="s">
        <v>3</v>
      </c>
      <c r="J4390" s="14">
        <v>0.65972222222222221</v>
      </c>
      <c r="K4390" s="20" t="str">
        <f t="shared" si="205"/>
        <v>2nd Shift</v>
      </c>
    </row>
    <row r="4391" spans="1:11" x14ac:dyDescent="0.25">
      <c r="A4391" s="1">
        <v>4390</v>
      </c>
      <c r="B4391" s="1">
        <v>7</v>
      </c>
      <c r="C4391" s="3">
        <v>7115271786606</v>
      </c>
      <c r="D4391" s="2">
        <v>44675.659722222219</v>
      </c>
      <c r="E4391" s="2">
        <v>44675.864583333336</v>
      </c>
      <c r="F4391" s="23">
        <f t="shared" si="204"/>
        <v>0.20486111111677019</v>
      </c>
      <c r="G4391" s="24">
        <f t="shared" si="206"/>
        <v>61.016949150856846</v>
      </c>
      <c r="H4391" s="1" t="s">
        <v>1</v>
      </c>
      <c r="I4391" s="4" t="s">
        <v>4</v>
      </c>
      <c r="J4391" s="14">
        <v>0.65972222222222221</v>
      </c>
      <c r="K4391" s="20" t="str">
        <f t="shared" si="205"/>
        <v>2nd Shift</v>
      </c>
    </row>
    <row r="4392" spans="1:11" x14ac:dyDescent="0.25">
      <c r="A4392" s="1">
        <v>4391</v>
      </c>
      <c r="B4392" s="1">
        <v>6</v>
      </c>
      <c r="C4392" s="3">
        <v>6115271733900</v>
      </c>
      <c r="D4392" s="2">
        <v>44675.659722222219</v>
      </c>
      <c r="E4392" s="2">
        <v>44675.864583333336</v>
      </c>
      <c r="F4392" s="23">
        <f t="shared" si="204"/>
        <v>0.20486111111677019</v>
      </c>
      <c r="G4392" s="24">
        <f t="shared" si="206"/>
        <v>61.016949150856846</v>
      </c>
      <c r="H4392" s="1" t="s">
        <v>1</v>
      </c>
      <c r="I4392" s="4" t="s">
        <v>3</v>
      </c>
      <c r="J4392" s="14">
        <v>0.65972222222222221</v>
      </c>
      <c r="K4392" s="20" t="str">
        <f t="shared" si="205"/>
        <v>2nd Shift</v>
      </c>
    </row>
    <row r="4393" spans="1:11" x14ac:dyDescent="0.25">
      <c r="A4393" s="1">
        <v>4392</v>
      </c>
      <c r="B4393" s="1">
        <v>4</v>
      </c>
      <c r="C4393" s="3">
        <v>4115270826600</v>
      </c>
      <c r="D4393" s="2">
        <v>44675.659722222219</v>
      </c>
      <c r="E4393" s="2">
        <v>44675.864583333336</v>
      </c>
      <c r="F4393" s="23">
        <f t="shared" si="204"/>
        <v>0.20486111111677019</v>
      </c>
      <c r="G4393" s="24">
        <f t="shared" si="206"/>
        <v>61.016949150856846</v>
      </c>
      <c r="H4393" s="1" t="s">
        <v>1</v>
      </c>
      <c r="I4393" s="4" t="s">
        <v>3</v>
      </c>
      <c r="J4393" s="14">
        <v>0.65972222222222221</v>
      </c>
      <c r="K4393" s="20" t="str">
        <f t="shared" si="205"/>
        <v>2nd Shift</v>
      </c>
    </row>
    <row r="4394" spans="1:11" x14ac:dyDescent="0.25">
      <c r="A4394" s="1">
        <v>4393</v>
      </c>
      <c r="B4394" s="1">
        <v>1</v>
      </c>
      <c r="C4394" s="3">
        <v>1115270112500</v>
      </c>
      <c r="D4394" s="2">
        <v>44675.659722222219</v>
      </c>
      <c r="E4394" s="2">
        <v>44675.864583333336</v>
      </c>
      <c r="F4394" s="23">
        <f t="shared" si="204"/>
        <v>0.20486111111677019</v>
      </c>
      <c r="G4394" s="24">
        <f t="shared" si="206"/>
        <v>61.016949150856846</v>
      </c>
      <c r="H4394" s="1" t="s">
        <v>1</v>
      </c>
      <c r="I4394" s="4" t="s">
        <v>2</v>
      </c>
      <c r="J4394" s="14">
        <v>0.65972222222222221</v>
      </c>
      <c r="K4394" s="20" t="str">
        <f t="shared" si="205"/>
        <v>2nd Shift</v>
      </c>
    </row>
    <row r="4395" spans="1:11" x14ac:dyDescent="0.25">
      <c r="A4395" s="1">
        <v>4394</v>
      </c>
      <c r="B4395" s="1">
        <v>10</v>
      </c>
      <c r="C4395" s="3">
        <v>10115271456900</v>
      </c>
      <c r="D4395" s="2">
        <v>44675.888888888891</v>
      </c>
      <c r="E4395" s="2">
        <v>44675.923611111109</v>
      </c>
      <c r="F4395" s="23">
        <f t="shared" si="204"/>
        <v>3.4722222218988463E-2</v>
      </c>
      <c r="G4395" s="24">
        <f t="shared" si="206"/>
        <v>360.00000003352761</v>
      </c>
      <c r="H4395" s="1" t="s">
        <v>1</v>
      </c>
      <c r="I4395" s="4" t="s">
        <v>2</v>
      </c>
      <c r="J4395" s="14">
        <v>0.88888888888888884</v>
      </c>
      <c r="K4395" s="20" t="str">
        <f t="shared" si="205"/>
        <v>2nd Shift</v>
      </c>
    </row>
    <row r="4396" spans="1:11" x14ac:dyDescent="0.25">
      <c r="A4396" s="1">
        <v>4395</v>
      </c>
      <c r="B4396" s="1">
        <v>3</v>
      </c>
      <c r="C4396" s="3">
        <v>3115270434400</v>
      </c>
      <c r="D4396" s="2">
        <v>44675.888888888891</v>
      </c>
      <c r="E4396" s="2">
        <v>44675.923611111109</v>
      </c>
      <c r="F4396" s="23">
        <f t="shared" si="204"/>
        <v>3.4722222218988463E-2</v>
      </c>
      <c r="G4396" s="24">
        <f t="shared" si="206"/>
        <v>360.00000003352761</v>
      </c>
      <c r="H4396" s="1" t="s">
        <v>1</v>
      </c>
      <c r="I4396" s="4" t="s">
        <v>2</v>
      </c>
      <c r="J4396" s="14">
        <v>0.88888888888888884</v>
      </c>
      <c r="K4396" s="20" t="str">
        <f t="shared" si="205"/>
        <v>2nd Shift</v>
      </c>
    </row>
    <row r="4397" spans="1:11" x14ac:dyDescent="0.25">
      <c r="A4397" s="1">
        <v>4396</v>
      </c>
      <c r="B4397" s="1">
        <v>12</v>
      </c>
      <c r="C4397" s="3">
        <v>12115271565904</v>
      </c>
      <c r="D4397" s="2">
        <v>44675.965277777781</v>
      </c>
      <c r="E4397" s="2">
        <v>44676.111111111109</v>
      </c>
      <c r="F4397" s="23">
        <f t="shared" si="204"/>
        <v>0.14583333332848269</v>
      </c>
      <c r="G4397" s="24">
        <f t="shared" si="206"/>
        <v>85.714285717136704</v>
      </c>
      <c r="H4397" s="1" t="s">
        <v>1</v>
      </c>
      <c r="I4397" s="4" t="s">
        <v>2</v>
      </c>
      <c r="J4397" s="14">
        <v>0.96527777777777779</v>
      </c>
      <c r="K4397" s="20" t="str">
        <f t="shared" si="205"/>
        <v>3rd Shift</v>
      </c>
    </row>
    <row r="4398" spans="1:11" x14ac:dyDescent="0.25">
      <c r="A4398" s="1">
        <v>4397</v>
      </c>
      <c r="B4398" s="1">
        <v>12</v>
      </c>
      <c r="C4398" s="3">
        <v>12115271561603</v>
      </c>
      <c r="D4398" s="2">
        <v>44675.965277777781</v>
      </c>
      <c r="E4398" s="2">
        <v>44676.111111111109</v>
      </c>
      <c r="F4398" s="23">
        <f t="shared" si="204"/>
        <v>0.14583333332848269</v>
      </c>
      <c r="G4398" s="24">
        <f t="shared" si="206"/>
        <v>85.714285717136704</v>
      </c>
      <c r="H4398" s="1" t="s">
        <v>1</v>
      </c>
      <c r="I4398" s="4" t="s">
        <v>3</v>
      </c>
      <c r="J4398" s="14">
        <v>0.96527777777777779</v>
      </c>
      <c r="K4398" s="20" t="str">
        <f t="shared" si="205"/>
        <v>3rd Shift</v>
      </c>
    </row>
    <row r="4399" spans="1:11" x14ac:dyDescent="0.25">
      <c r="A4399" s="1">
        <v>4398</v>
      </c>
      <c r="B4399" s="1">
        <v>8</v>
      </c>
      <c r="C4399" s="3">
        <v>8115271825800</v>
      </c>
      <c r="D4399" s="2">
        <v>44675.965277777781</v>
      </c>
      <c r="E4399" s="2">
        <v>44676.111111111109</v>
      </c>
      <c r="F4399" s="23">
        <f t="shared" si="204"/>
        <v>0.14583333332848269</v>
      </c>
      <c r="G4399" s="24">
        <f t="shared" si="206"/>
        <v>85.714285717136704</v>
      </c>
      <c r="H4399" s="1" t="s">
        <v>1</v>
      </c>
      <c r="I4399" s="4" t="s">
        <v>2</v>
      </c>
      <c r="J4399" s="14">
        <v>0.96527777777777779</v>
      </c>
      <c r="K4399" s="20" t="str">
        <f t="shared" si="205"/>
        <v>3rd Shift</v>
      </c>
    </row>
    <row r="4400" spans="1:11" x14ac:dyDescent="0.25">
      <c r="A4400" s="1">
        <v>4399</v>
      </c>
      <c r="B4400" s="1">
        <v>7</v>
      </c>
      <c r="C4400" s="3">
        <v>7115271757102</v>
      </c>
      <c r="D4400" s="2">
        <v>44675.965277777781</v>
      </c>
      <c r="E4400" s="2">
        <v>44676.111111111109</v>
      </c>
      <c r="F4400" s="23">
        <f t="shared" si="204"/>
        <v>0.14583333332848269</v>
      </c>
      <c r="G4400" s="24">
        <f t="shared" si="206"/>
        <v>85.714285717136704</v>
      </c>
      <c r="H4400" s="1" t="s">
        <v>1</v>
      </c>
      <c r="I4400" s="4" t="s">
        <v>2</v>
      </c>
      <c r="J4400" s="14">
        <v>0.96527777777777779</v>
      </c>
      <c r="K4400" s="20" t="str">
        <f t="shared" si="205"/>
        <v>3rd Shift</v>
      </c>
    </row>
    <row r="4401" spans="1:11" x14ac:dyDescent="0.25">
      <c r="A4401" s="1">
        <v>4400</v>
      </c>
      <c r="B4401" s="1">
        <v>11</v>
      </c>
      <c r="C4401" s="3">
        <v>11115271542703</v>
      </c>
      <c r="D4401" s="2">
        <v>44676.4375</v>
      </c>
      <c r="E4401" s="2">
        <v>44676.524305555555</v>
      </c>
      <c r="F4401" s="23">
        <f t="shared" si="204"/>
        <v>8.6805555554747116E-2</v>
      </c>
      <c r="G4401" s="24">
        <f t="shared" si="206"/>
        <v>144.00000000134111</v>
      </c>
      <c r="H4401" s="1" t="s">
        <v>1</v>
      </c>
      <c r="I4401" s="4" t="s">
        <v>3</v>
      </c>
      <c r="J4401" s="14">
        <v>0.4375</v>
      </c>
      <c r="K4401" s="20" t="str">
        <f t="shared" si="205"/>
        <v>1st Shift</v>
      </c>
    </row>
    <row r="4402" spans="1:11" x14ac:dyDescent="0.25">
      <c r="A4402" s="1">
        <v>4401</v>
      </c>
      <c r="B4402" s="1">
        <v>14</v>
      </c>
      <c r="C4402" s="3">
        <v>14115271675102</v>
      </c>
      <c r="D4402" s="2">
        <v>44676.375</v>
      </c>
      <c r="E4402" s="2">
        <v>44676.590277777781</v>
      </c>
      <c r="F4402" s="23">
        <f t="shared" si="204"/>
        <v>0.21527777778101154</v>
      </c>
      <c r="G4402" s="24">
        <f t="shared" si="206"/>
        <v>58.064516128160051</v>
      </c>
      <c r="H4402" s="1" t="s">
        <v>1</v>
      </c>
      <c r="I4402" s="4" t="s">
        <v>3</v>
      </c>
      <c r="J4402" s="14">
        <v>0.375</v>
      </c>
      <c r="K4402" s="20" t="str">
        <f t="shared" si="205"/>
        <v>1st Shift</v>
      </c>
    </row>
    <row r="4403" spans="1:11" x14ac:dyDescent="0.25">
      <c r="A4403" s="1">
        <v>4402</v>
      </c>
      <c r="B4403" s="1">
        <v>11</v>
      </c>
      <c r="C4403" s="3">
        <v>11115271542106</v>
      </c>
      <c r="D4403" s="2">
        <v>44676.444444444445</v>
      </c>
      <c r="E4403" s="2">
        <v>44676.590277777781</v>
      </c>
      <c r="F4403" s="23">
        <f t="shared" si="204"/>
        <v>0.14583333333575865</v>
      </c>
      <c r="G4403" s="24">
        <f t="shared" si="206"/>
        <v>85.714285712860217</v>
      </c>
      <c r="H4403" s="1" t="s">
        <v>1</v>
      </c>
      <c r="I4403" s="4" t="s">
        <v>2</v>
      </c>
      <c r="J4403" s="14">
        <v>0.44444444444444442</v>
      </c>
      <c r="K4403" s="20" t="str">
        <f t="shared" si="205"/>
        <v>1st Shift</v>
      </c>
    </row>
    <row r="4404" spans="1:11" x14ac:dyDescent="0.25">
      <c r="A4404" s="1">
        <v>4403</v>
      </c>
      <c r="B4404" s="1">
        <v>9</v>
      </c>
      <c r="C4404" s="3">
        <v>9115271909403</v>
      </c>
      <c r="D4404" s="2">
        <v>44676.444444444445</v>
      </c>
      <c r="E4404" s="2">
        <v>44676.590277777781</v>
      </c>
      <c r="F4404" s="23">
        <f t="shared" si="204"/>
        <v>0.14583333333575865</v>
      </c>
      <c r="G4404" s="24">
        <f t="shared" si="206"/>
        <v>85.714285712860217</v>
      </c>
      <c r="H4404" s="1" t="s">
        <v>1</v>
      </c>
      <c r="I4404" s="4" t="s">
        <v>3</v>
      </c>
      <c r="J4404" s="14">
        <v>0.44444444444444442</v>
      </c>
      <c r="K4404" s="20" t="str">
        <f t="shared" si="205"/>
        <v>1st Shift</v>
      </c>
    </row>
    <row r="4405" spans="1:11" x14ac:dyDescent="0.25">
      <c r="A4405" s="1">
        <v>4404</v>
      </c>
      <c r="B4405" s="1">
        <v>7</v>
      </c>
      <c r="C4405" s="3">
        <v>7115271768101</v>
      </c>
      <c r="D4405" s="2">
        <v>44676.444444444445</v>
      </c>
      <c r="E4405" s="2">
        <v>44676.590277777781</v>
      </c>
      <c r="F4405" s="23">
        <f t="shared" si="204"/>
        <v>0.14583333333575865</v>
      </c>
      <c r="G4405" s="24">
        <f t="shared" si="206"/>
        <v>85.714285712860217</v>
      </c>
      <c r="H4405" s="1" t="s">
        <v>1</v>
      </c>
      <c r="I4405" s="4" t="s">
        <v>2</v>
      </c>
      <c r="J4405" s="14">
        <v>0.44444444444444442</v>
      </c>
      <c r="K4405" s="20" t="str">
        <f t="shared" si="205"/>
        <v>1st Shift</v>
      </c>
    </row>
    <row r="4406" spans="1:11" x14ac:dyDescent="0.25">
      <c r="A4406" s="1">
        <v>4405</v>
      </c>
      <c r="B4406" s="1">
        <v>6</v>
      </c>
      <c r="C4406" s="3">
        <v>6115271744902</v>
      </c>
      <c r="D4406" s="2">
        <v>44676.416666666664</v>
      </c>
      <c r="E4406" s="2">
        <v>44676.590277777781</v>
      </c>
      <c r="F4406" s="23">
        <f t="shared" si="204"/>
        <v>0.17361111111677019</v>
      </c>
      <c r="G4406" s="24">
        <f t="shared" si="206"/>
        <v>71.999999997653063</v>
      </c>
      <c r="H4406" s="1" t="s">
        <v>1</v>
      </c>
      <c r="I4406" s="4" t="s">
        <v>2</v>
      </c>
      <c r="J4406" s="14">
        <v>0.41666666666666669</v>
      </c>
      <c r="K4406" s="20" t="str">
        <f t="shared" si="205"/>
        <v>1st Shift</v>
      </c>
    </row>
    <row r="4407" spans="1:11" x14ac:dyDescent="0.25">
      <c r="A4407" s="1">
        <v>4406</v>
      </c>
      <c r="B4407" s="1">
        <v>6</v>
      </c>
      <c r="C4407" s="3">
        <v>6115271733307</v>
      </c>
      <c r="D4407" s="2">
        <v>44676.416666666664</v>
      </c>
      <c r="E4407" s="2">
        <v>44676.590277777781</v>
      </c>
      <c r="F4407" s="23">
        <f t="shared" si="204"/>
        <v>0.17361111111677019</v>
      </c>
      <c r="G4407" s="24">
        <f t="shared" si="206"/>
        <v>71.999999997653063</v>
      </c>
      <c r="H4407" s="1" t="s">
        <v>1</v>
      </c>
      <c r="I4407" s="4" t="s">
        <v>2</v>
      </c>
      <c r="J4407" s="14">
        <v>0.41666666666666669</v>
      </c>
      <c r="K4407" s="20" t="str">
        <f t="shared" si="205"/>
        <v>1st Shift</v>
      </c>
    </row>
    <row r="4408" spans="1:11" x14ac:dyDescent="0.25">
      <c r="A4408" s="1">
        <v>4407</v>
      </c>
      <c r="B4408" s="1">
        <v>3</v>
      </c>
      <c r="C4408" s="3">
        <v>3115270316803</v>
      </c>
      <c r="D4408" s="2">
        <v>44676.375</v>
      </c>
      <c r="E4408" s="2">
        <v>44676.590277777781</v>
      </c>
      <c r="F4408" s="23">
        <f t="shared" si="204"/>
        <v>0.21527777778101154</v>
      </c>
      <c r="G4408" s="24">
        <f t="shared" si="206"/>
        <v>58.064516128160051</v>
      </c>
      <c r="H4408" s="1" t="s">
        <v>1</v>
      </c>
      <c r="I4408" s="4" t="s">
        <v>2</v>
      </c>
      <c r="J4408" s="14">
        <v>0.375</v>
      </c>
      <c r="K4408" s="20" t="str">
        <f t="shared" si="205"/>
        <v>1st Shift</v>
      </c>
    </row>
    <row r="4409" spans="1:11" x14ac:dyDescent="0.25">
      <c r="A4409" s="1">
        <v>4408</v>
      </c>
      <c r="B4409" s="1">
        <v>2</v>
      </c>
      <c r="C4409" s="3">
        <v>2115270167500</v>
      </c>
      <c r="D4409" s="2">
        <v>44676.444444444445</v>
      </c>
      <c r="E4409" s="2">
        <v>44676.590277777781</v>
      </c>
      <c r="F4409" s="23">
        <f t="shared" si="204"/>
        <v>0.14583333333575865</v>
      </c>
      <c r="G4409" s="24">
        <f t="shared" si="206"/>
        <v>85.714285712860217</v>
      </c>
      <c r="H4409" s="1" t="s">
        <v>1</v>
      </c>
      <c r="I4409" s="4" t="s">
        <v>3</v>
      </c>
      <c r="J4409" s="14">
        <v>0.44444444444444442</v>
      </c>
      <c r="K4409" s="20" t="str">
        <f t="shared" si="205"/>
        <v>1st Shift</v>
      </c>
    </row>
    <row r="4410" spans="1:11" x14ac:dyDescent="0.25">
      <c r="A4410" s="1">
        <v>4409</v>
      </c>
      <c r="B4410" s="1">
        <v>15</v>
      </c>
      <c r="C4410" s="3">
        <v>15115271743401</v>
      </c>
      <c r="D4410" s="2">
        <v>44676.800694444442</v>
      </c>
      <c r="E4410" s="2">
        <v>44676.874305555553</v>
      </c>
      <c r="F4410" s="23">
        <f t="shared" si="204"/>
        <v>7.3611111110949423E-2</v>
      </c>
      <c r="G4410" s="24">
        <f t="shared" si="206"/>
        <v>169.81132075508998</v>
      </c>
      <c r="H4410" s="1" t="s">
        <v>1</v>
      </c>
      <c r="I4410" s="4" t="s">
        <v>3</v>
      </c>
      <c r="J4410" s="14">
        <v>0.80069444444444449</v>
      </c>
      <c r="K4410" s="20" t="str">
        <f t="shared" si="205"/>
        <v>2nd Shift</v>
      </c>
    </row>
    <row r="4411" spans="1:11" x14ac:dyDescent="0.25">
      <c r="A4411" s="1">
        <v>4410</v>
      </c>
      <c r="B4411" s="1">
        <v>10</v>
      </c>
      <c r="C4411" s="3">
        <v>10115271433700</v>
      </c>
      <c r="D4411" s="2">
        <v>44676.690972222219</v>
      </c>
      <c r="E4411" s="2">
        <v>44676.874305555553</v>
      </c>
      <c r="F4411" s="23">
        <f t="shared" si="204"/>
        <v>0.18333333333430346</v>
      </c>
      <c r="G4411" s="24">
        <f t="shared" si="206"/>
        <v>68.181818181457388</v>
      </c>
      <c r="H4411" s="1" t="s">
        <v>1</v>
      </c>
      <c r="I4411" s="4" t="s">
        <v>2</v>
      </c>
      <c r="J4411" s="14">
        <v>0.69097222222222221</v>
      </c>
      <c r="K4411" s="20" t="str">
        <f t="shared" si="205"/>
        <v>2nd Shift</v>
      </c>
    </row>
    <row r="4412" spans="1:11" x14ac:dyDescent="0.25">
      <c r="A4412" s="1">
        <v>4411</v>
      </c>
      <c r="B4412" s="1">
        <v>8</v>
      </c>
      <c r="C4412" s="3">
        <v>8115271820402</v>
      </c>
      <c r="D4412" s="2">
        <v>44676.690972222219</v>
      </c>
      <c r="E4412" s="2">
        <v>44676.874305555553</v>
      </c>
      <c r="F4412" s="23">
        <f t="shared" si="204"/>
        <v>0.18333333333430346</v>
      </c>
      <c r="G4412" s="24">
        <f t="shared" si="206"/>
        <v>68.181818181457388</v>
      </c>
      <c r="H4412" s="1" t="s">
        <v>1</v>
      </c>
      <c r="I4412" s="4" t="s">
        <v>2</v>
      </c>
      <c r="J4412" s="14">
        <v>0.69097222222222221</v>
      </c>
      <c r="K4412" s="20" t="str">
        <f t="shared" si="205"/>
        <v>2nd Shift</v>
      </c>
    </row>
    <row r="4413" spans="1:11" x14ac:dyDescent="0.25">
      <c r="A4413" s="1">
        <v>4412</v>
      </c>
      <c r="B4413" s="1">
        <v>5</v>
      </c>
      <c r="C4413" s="3">
        <v>5115271238500</v>
      </c>
      <c r="D4413" s="2">
        <v>44676.690972222219</v>
      </c>
      <c r="E4413" s="2">
        <v>44676.874305555553</v>
      </c>
      <c r="F4413" s="23">
        <f t="shared" si="204"/>
        <v>0.18333333333430346</v>
      </c>
      <c r="G4413" s="24">
        <f t="shared" si="206"/>
        <v>68.181818181457388</v>
      </c>
      <c r="H4413" s="1" t="s">
        <v>1</v>
      </c>
      <c r="I4413" s="4" t="s">
        <v>2</v>
      </c>
      <c r="J4413" s="14">
        <v>0.69097222222222221</v>
      </c>
      <c r="K4413" s="20" t="str">
        <f t="shared" si="205"/>
        <v>2nd Shift</v>
      </c>
    </row>
    <row r="4414" spans="1:11" x14ac:dyDescent="0.25">
      <c r="A4414" s="1">
        <v>4413</v>
      </c>
      <c r="B4414" s="1">
        <v>14</v>
      </c>
      <c r="C4414" s="3">
        <v>14115271673113</v>
      </c>
      <c r="D4414" s="2">
        <v>44677.84375</v>
      </c>
      <c r="E4414" s="2">
        <v>44677.916666666664</v>
      </c>
      <c r="F4414" s="23">
        <f t="shared" si="204"/>
        <v>7.2916666664241347E-2</v>
      </c>
      <c r="G4414" s="24">
        <f t="shared" si="206"/>
        <v>171.42857143427341</v>
      </c>
      <c r="H4414" s="1" t="s">
        <v>1</v>
      </c>
      <c r="I4414" s="4" t="s">
        <v>3</v>
      </c>
      <c r="J4414" s="14">
        <v>0.84375</v>
      </c>
      <c r="K4414" s="20" t="str">
        <f t="shared" si="205"/>
        <v>2nd Shift</v>
      </c>
    </row>
    <row r="4415" spans="1:11" x14ac:dyDescent="0.25">
      <c r="A4415" s="1">
        <v>4414</v>
      </c>
      <c r="B4415" s="1">
        <v>2</v>
      </c>
      <c r="C4415" s="3">
        <v>2115270265100</v>
      </c>
      <c r="D4415" s="2">
        <v>44677.84375</v>
      </c>
      <c r="E4415" s="2">
        <v>44677.916666666664</v>
      </c>
      <c r="F4415" s="23">
        <f t="shared" si="204"/>
        <v>7.2916666664241347E-2</v>
      </c>
      <c r="G4415" s="24">
        <f t="shared" si="206"/>
        <v>171.42857143427341</v>
      </c>
      <c r="H4415" s="1" t="s">
        <v>1</v>
      </c>
      <c r="I4415" s="4" t="s">
        <v>2</v>
      </c>
      <c r="J4415" s="14">
        <v>0.84375</v>
      </c>
      <c r="K4415" s="20" t="str">
        <f t="shared" si="205"/>
        <v>2nd Shift</v>
      </c>
    </row>
    <row r="4416" spans="1:11" x14ac:dyDescent="0.25">
      <c r="A4416" s="1">
        <v>4415</v>
      </c>
      <c r="B4416" s="1">
        <v>3</v>
      </c>
      <c r="C4416" s="3">
        <v>3115270306602</v>
      </c>
      <c r="D4416" s="2">
        <v>44678.354166666664</v>
      </c>
      <c r="E4416" s="2">
        <v>44678.375</v>
      </c>
      <c r="F4416" s="23">
        <f t="shared" si="204"/>
        <v>2.0833333335758653E-2</v>
      </c>
      <c r="G4416" s="24">
        <f t="shared" si="206"/>
        <v>599.99999993015081</v>
      </c>
      <c r="H4416" s="1" t="s">
        <v>1</v>
      </c>
      <c r="I4416" s="4" t="s">
        <v>3</v>
      </c>
      <c r="J4416" s="14">
        <v>0.35416666666666669</v>
      </c>
      <c r="K4416" s="20" t="str">
        <f t="shared" si="205"/>
        <v>1st Shift</v>
      </c>
    </row>
    <row r="4417" spans="1:11" x14ac:dyDescent="0.25">
      <c r="A4417" s="1">
        <v>4416</v>
      </c>
      <c r="B4417" s="1">
        <v>15</v>
      </c>
      <c r="C4417" s="3">
        <v>15115271782108</v>
      </c>
      <c r="D4417" s="2">
        <v>44678.5</v>
      </c>
      <c r="E4417" s="2">
        <v>44678.586805555555</v>
      </c>
      <c r="F4417" s="23">
        <f t="shared" si="204"/>
        <v>8.6805555554747116E-2</v>
      </c>
      <c r="G4417" s="24">
        <f t="shared" si="206"/>
        <v>144.00000000134111</v>
      </c>
      <c r="H4417" s="1" t="s">
        <v>1</v>
      </c>
      <c r="I4417" s="4" t="s">
        <v>2</v>
      </c>
      <c r="J4417" s="14">
        <v>0.5</v>
      </c>
      <c r="K4417" s="20" t="str">
        <f t="shared" si="205"/>
        <v>1st Shift</v>
      </c>
    </row>
    <row r="4418" spans="1:11" x14ac:dyDescent="0.25">
      <c r="A4418" s="1">
        <v>4417</v>
      </c>
      <c r="B4418" s="1">
        <v>12</v>
      </c>
      <c r="C4418" s="3">
        <v>12115271579800</v>
      </c>
      <c r="D4418" s="2">
        <v>44678.5</v>
      </c>
      <c r="E4418" s="2">
        <v>44678.586805555555</v>
      </c>
      <c r="F4418" s="23">
        <f t="shared" ref="F4418:F4481" si="207">E4418-D4418</f>
        <v>8.6805555554747116E-2</v>
      </c>
      <c r="G4418" s="24">
        <f t="shared" si="206"/>
        <v>144.00000000134111</v>
      </c>
      <c r="H4418" s="1" t="s">
        <v>1</v>
      </c>
      <c r="I4418" s="4" t="s">
        <v>3</v>
      </c>
      <c r="J4418" s="14">
        <v>0.5</v>
      </c>
      <c r="K4418" s="20" t="str">
        <f t="shared" ref="K4418:K4481" si="208">IF(AND(J4418&gt;=$M$3,J4418&lt;$M$4),"1st Shift",IF(AND(J4418&gt;=$M$4,J4418&lt;$M$5),"2nd Shift","3rd Shift"))</f>
        <v>1st Shift</v>
      </c>
    </row>
    <row r="4419" spans="1:11" x14ac:dyDescent="0.25">
      <c r="A4419" s="1">
        <v>4418</v>
      </c>
      <c r="B4419" s="1">
        <v>10</v>
      </c>
      <c r="C4419" s="3">
        <v>10115271410100</v>
      </c>
      <c r="D4419" s="2">
        <v>44678.423611111109</v>
      </c>
      <c r="E4419" s="2">
        <v>44678.586805555555</v>
      </c>
      <c r="F4419" s="23">
        <f t="shared" si="207"/>
        <v>0.16319444444525288</v>
      </c>
      <c r="G4419" s="24">
        <f t="shared" ref="G4419:G4482" si="209">$M$9/F4419*100</f>
        <v>76.595744680471626</v>
      </c>
      <c r="H4419" s="1" t="s">
        <v>1</v>
      </c>
      <c r="I4419" s="4" t="s">
        <v>3</v>
      </c>
      <c r="J4419" s="14">
        <v>0.4236111111111111</v>
      </c>
      <c r="K4419" s="20" t="str">
        <f t="shared" si="208"/>
        <v>1st Shift</v>
      </c>
    </row>
    <row r="4420" spans="1:11" x14ac:dyDescent="0.25">
      <c r="A4420" s="1">
        <v>4419</v>
      </c>
      <c r="B4420" s="1">
        <v>7</v>
      </c>
      <c r="C4420" s="3">
        <v>7115271782902</v>
      </c>
      <c r="D4420" s="2">
        <v>44678.4375</v>
      </c>
      <c r="E4420" s="2">
        <v>44678.586805555555</v>
      </c>
      <c r="F4420" s="23">
        <f t="shared" si="207"/>
        <v>0.14930555555474712</v>
      </c>
      <c r="G4420" s="24">
        <f t="shared" si="209"/>
        <v>83.720930233011458</v>
      </c>
      <c r="H4420" s="1" t="s">
        <v>1</v>
      </c>
      <c r="I4420" s="4" t="s">
        <v>3</v>
      </c>
      <c r="J4420" s="14">
        <v>0.4375</v>
      </c>
      <c r="K4420" s="20" t="str">
        <f t="shared" si="208"/>
        <v>1st Shift</v>
      </c>
    </row>
    <row r="4421" spans="1:11" x14ac:dyDescent="0.25">
      <c r="A4421" s="1">
        <v>4420</v>
      </c>
      <c r="B4421" s="1">
        <v>6</v>
      </c>
      <c r="C4421" s="3">
        <v>6115271692206</v>
      </c>
      <c r="D4421" s="2">
        <v>44678.489583333336</v>
      </c>
      <c r="E4421" s="2">
        <v>44678.586805555555</v>
      </c>
      <c r="F4421" s="23">
        <f t="shared" si="207"/>
        <v>9.7222222218988463E-2</v>
      </c>
      <c r="G4421" s="24">
        <f t="shared" si="209"/>
        <v>128.57142857570506</v>
      </c>
      <c r="H4421" s="1" t="s">
        <v>1</v>
      </c>
      <c r="I4421" s="4" t="s">
        <v>3</v>
      </c>
      <c r="J4421" s="14">
        <v>0.48958333333333331</v>
      </c>
      <c r="K4421" s="20" t="str">
        <f t="shared" si="208"/>
        <v>1st Shift</v>
      </c>
    </row>
    <row r="4422" spans="1:11" x14ac:dyDescent="0.25">
      <c r="A4422" s="1">
        <v>4421</v>
      </c>
      <c r="B4422" s="1">
        <v>1</v>
      </c>
      <c r="C4422" s="3">
        <v>1115270063601</v>
      </c>
      <c r="D4422" s="2">
        <v>44678.5</v>
      </c>
      <c r="E4422" s="2">
        <v>44678.586805555555</v>
      </c>
      <c r="F4422" s="23">
        <f t="shared" si="207"/>
        <v>8.6805555554747116E-2</v>
      </c>
      <c r="G4422" s="24">
        <f t="shared" si="209"/>
        <v>144.00000000134111</v>
      </c>
      <c r="H4422" s="1" t="s">
        <v>1</v>
      </c>
      <c r="I4422" s="4" t="s">
        <v>2</v>
      </c>
      <c r="J4422" s="14">
        <v>0.5</v>
      </c>
      <c r="K4422" s="20" t="str">
        <f t="shared" si="208"/>
        <v>1st Shift</v>
      </c>
    </row>
    <row r="4423" spans="1:11" x14ac:dyDescent="0.25">
      <c r="A4423" s="1">
        <v>4422</v>
      </c>
      <c r="B4423" s="1">
        <v>13</v>
      </c>
      <c r="C4423" s="3">
        <v>13115271655301</v>
      </c>
      <c r="D4423" s="2">
        <v>44678.875</v>
      </c>
      <c r="E4423" s="2">
        <v>44678.927083333336</v>
      </c>
      <c r="F4423" s="23">
        <f t="shared" si="207"/>
        <v>5.2083333335758653E-2</v>
      </c>
      <c r="G4423" s="24">
        <f t="shared" si="209"/>
        <v>239.99999998882413</v>
      </c>
      <c r="H4423" s="1" t="s">
        <v>1</v>
      </c>
      <c r="I4423" s="4" t="s">
        <v>2</v>
      </c>
      <c r="J4423" s="14">
        <v>0.875</v>
      </c>
      <c r="K4423" s="20" t="str">
        <f t="shared" si="208"/>
        <v>2nd Shift</v>
      </c>
    </row>
    <row r="4424" spans="1:11" x14ac:dyDescent="0.25">
      <c r="A4424" s="1">
        <v>4423</v>
      </c>
      <c r="B4424" s="1">
        <v>12</v>
      </c>
      <c r="C4424" s="3">
        <v>12115271581900</v>
      </c>
      <c r="D4424" s="2">
        <v>44678.770833333336</v>
      </c>
      <c r="E4424" s="2">
        <v>44678.927083333336</v>
      </c>
      <c r="F4424" s="23">
        <f t="shared" si="207"/>
        <v>0.15625</v>
      </c>
      <c r="G4424" s="24">
        <f t="shared" si="209"/>
        <v>80</v>
      </c>
      <c r="H4424" s="1" t="s">
        <v>1</v>
      </c>
      <c r="I4424" s="4" t="s">
        <v>3</v>
      </c>
      <c r="J4424" s="14">
        <v>0.77083333333333337</v>
      </c>
      <c r="K4424" s="20" t="str">
        <f t="shared" si="208"/>
        <v>2nd Shift</v>
      </c>
    </row>
    <row r="4425" spans="1:11" x14ac:dyDescent="0.25">
      <c r="A4425" s="1">
        <v>4424</v>
      </c>
      <c r="B4425" s="1">
        <v>7</v>
      </c>
      <c r="C4425" s="3">
        <v>7115271771010</v>
      </c>
      <c r="D4425" s="2">
        <v>44678.770833333336</v>
      </c>
      <c r="E4425" s="2">
        <v>44678.927083333336</v>
      </c>
      <c r="F4425" s="23">
        <f t="shared" si="207"/>
        <v>0.15625</v>
      </c>
      <c r="G4425" s="24">
        <f t="shared" si="209"/>
        <v>80</v>
      </c>
      <c r="H4425" s="1" t="s">
        <v>1</v>
      </c>
      <c r="I4425" s="4" t="s">
        <v>2</v>
      </c>
      <c r="J4425" s="14">
        <v>0.77083333333333337</v>
      </c>
      <c r="K4425" s="20" t="str">
        <f t="shared" si="208"/>
        <v>2nd Shift</v>
      </c>
    </row>
    <row r="4426" spans="1:11" x14ac:dyDescent="0.25">
      <c r="A4426" s="1">
        <v>4425</v>
      </c>
      <c r="B4426" s="1">
        <v>6</v>
      </c>
      <c r="C4426" s="3">
        <v>6115271698300</v>
      </c>
      <c r="D4426" s="2">
        <v>44678.770833333336</v>
      </c>
      <c r="E4426" s="2">
        <v>44678.927083333336</v>
      </c>
      <c r="F4426" s="23">
        <f t="shared" si="207"/>
        <v>0.15625</v>
      </c>
      <c r="G4426" s="24">
        <f t="shared" si="209"/>
        <v>80</v>
      </c>
      <c r="H4426" s="1" t="s">
        <v>1</v>
      </c>
      <c r="I4426" s="4" t="s">
        <v>3</v>
      </c>
      <c r="J4426" s="14">
        <v>0.77083333333333337</v>
      </c>
      <c r="K4426" s="20" t="str">
        <f t="shared" si="208"/>
        <v>2nd Shift</v>
      </c>
    </row>
    <row r="4427" spans="1:11" x14ac:dyDescent="0.25">
      <c r="A4427" s="1">
        <v>4426</v>
      </c>
      <c r="B4427" s="1">
        <v>1</v>
      </c>
      <c r="C4427" s="3">
        <v>1115270032100</v>
      </c>
      <c r="D4427" s="2">
        <v>44678.821527777778</v>
      </c>
      <c r="E4427" s="2">
        <v>44678.927083333336</v>
      </c>
      <c r="F4427" s="23">
        <f t="shared" si="207"/>
        <v>0.1055555555576575</v>
      </c>
      <c r="G4427" s="24">
        <f t="shared" si="209"/>
        <v>118.4210526292208</v>
      </c>
      <c r="H4427" s="1" t="s">
        <v>1</v>
      </c>
      <c r="I4427" s="4" t="s">
        <v>8</v>
      </c>
      <c r="J4427" s="14">
        <v>0.82152777777777775</v>
      </c>
      <c r="K4427" s="20" t="str">
        <f t="shared" si="208"/>
        <v>2nd Shift</v>
      </c>
    </row>
    <row r="4428" spans="1:11" x14ac:dyDescent="0.25">
      <c r="A4428" s="1">
        <v>4427</v>
      </c>
      <c r="B4428" s="1">
        <v>10</v>
      </c>
      <c r="C4428" s="3">
        <v>10115271958401</v>
      </c>
      <c r="D4428" s="2">
        <v>44679.055555555555</v>
      </c>
      <c r="E4428" s="2">
        <v>44679.111111111109</v>
      </c>
      <c r="F4428" s="23">
        <f t="shared" si="207"/>
        <v>5.5555555554747116E-2</v>
      </c>
      <c r="G4428" s="24">
        <f t="shared" si="209"/>
        <v>225.00000000327418</v>
      </c>
      <c r="H4428" s="1" t="s">
        <v>1</v>
      </c>
      <c r="I4428" s="4" t="s">
        <v>2</v>
      </c>
      <c r="J4428" s="14">
        <v>5.5555555555555552E-2</v>
      </c>
      <c r="K4428" s="20" t="str">
        <f t="shared" si="208"/>
        <v>3rd Shift</v>
      </c>
    </row>
    <row r="4429" spans="1:11" x14ac:dyDescent="0.25">
      <c r="A4429" s="1">
        <v>4428</v>
      </c>
      <c r="B4429" s="1">
        <v>7</v>
      </c>
      <c r="C4429" s="3">
        <v>7115271769607</v>
      </c>
      <c r="D4429" s="2">
        <v>44679.055555555555</v>
      </c>
      <c r="E4429" s="2">
        <v>44679.111111111109</v>
      </c>
      <c r="F4429" s="23">
        <f t="shared" si="207"/>
        <v>5.5555555554747116E-2</v>
      </c>
      <c r="G4429" s="24">
        <f t="shared" si="209"/>
        <v>225.00000000327418</v>
      </c>
      <c r="H4429" s="1" t="s">
        <v>1</v>
      </c>
      <c r="I4429" s="4" t="s">
        <v>2</v>
      </c>
      <c r="J4429" s="14">
        <v>5.5555555555555552E-2</v>
      </c>
      <c r="K4429" s="20" t="str">
        <f t="shared" si="208"/>
        <v>3rd Shift</v>
      </c>
    </row>
    <row r="4430" spans="1:11" x14ac:dyDescent="0.25">
      <c r="A4430" s="1">
        <v>4429</v>
      </c>
      <c r="B4430" s="1">
        <v>6</v>
      </c>
      <c r="C4430" s="3">
        <v>6115271733505</v>
      </c>
      <c r="D4430" s="2">
        <v>44679.055555555555</v>
      </c>
      <c r="E4430" s="2">
        <v>44679.111111111109</v>
      </c>
      <c r="F4430" s="23">
        <f t="shared" si="207"/>
        <v>5.5555555554747116E-2</v>
      </c>
      <c r="G4430" s="24">
        <f t="shared" si="209"/>
        <v>225.00000000327418</v>
      </c>
      <c r="H4430" s="1" t="s">
        <v>1</v>
      </c>
      <c r="I4430" s="4" t="s">
        <v>4</v>
      </c>
      <c r="J4430" s="14">
        <v>5.5555555555555552E-2</v>
      </c>
      <c r="K4430" s="20" t="str">
        <f t="shared" si="208"/>
        <v>3rd Shift</v>
      </c>
    </row>
    <row r="4431" spans="1:11" x14ac:dyDescent="0.25">
      <c r="A4431" s="1">
        <v>4430</v>
      </c>
      <c r="B4431" s="1">
        <v>13</v>
      </c>
      <c r="C4431" s="3">
        <v>13115271590901</v>
      </c>
      <c r="D4431" s="2">
        <v>44679.333333333336</v>
      </c>
      <c r="E4431" s="2">
        <v>44679.416666666664</v>
      </c>
      <c r="F4431" s="23">
        <f t="shared" si="207"/>
        <v>8.3333333328482695E-2</v>
      </c>
      <c r="G4431" s="24">
        <f t="shared" si="209"/>
        <v>150.00000000873115</v>
      </c>
      <c r="H4431" s="1" t="s">
        <v>1</v>
      </c>
      <c r="I4431" s="4" t="s">
        <v>5</v>
      </c>
      <c r="J4431" s="14">
        <v>0.33333333333333331</v>
      </c>
      <c r="K4431" s="20" t="str">
        <f t="shared" si="208"/>
        <v>1st Shift</v>
      </c>
    </row>
    <row r="4432" spans="1:11" x14ac:dyDescent="0.25">
      <c r="A4432" s="1">
        <v>4431</v>
      </c>
      <c r="B4432" s="1">
        <v>12</v>
      </c>
      <c r="C4432" s="3">
        <v>12115271560113</v>
      </c>
      <c r="D4432" s="2">
        <v>44679.322916666664</v>
      </c>
      <c r="E4432" s="2">
        <v>44679.416666666664</v>
      </c>
      <c r="F4432" s="23">
        <f t="shared" si="207"/>
        <v>9.375E-2</v>
      </c>
      <c r="G4432" s="24">
        <f t="shared" si="209"/>
        <v>133.33333333333331</v>
      </c>
      <c r="H4432" s="1" t="s">
        <v>1</v>
      </c>
      <c r="I4432" s="4" t="s">
        <v>2</v>
      </c>
      <c r="J4432" s="14">
        <v>0.32291666666666669</v>
      </c>
      <c r="K4432" s="20" t="str">
        <f t="shared" si="208"/>
        <v>1st Shift</v>
      </c>
    </row>
    <row r="4433" spans="1:11" x14ac:dyDescent="0.25">
      <c r="A4433" s="1">
        <v>4432</v>
      </c>
      <c r="B4433" s="1">
        <v>4</v>
      </c>
      <c r="C4433" s="3">
        <v>4115270812600</v>
      </c>
      <c r="D4433" s="2">
        <v>44679.541666666664</v>
      </c>
      <c r="E4433" s="2">
        <v>44679.590277777781</v>
      </c>
      <c r="F4433" s="23">
        <f t="shared" si="207"/>
        <v>4.8611111116770189E-2</v>
      </c>
      <c r="G4433" s="24">
        <f t="shared" si="209"/>
        <v>257.14285711292177</v>
      </c>
      <c r="H4433" s="1" t="s">
        <v>1</v>
      </c>
      <c r="I4433" s="4" t="s">
        <v>2</v>
      </c>
      <c r="J4433" s="14">
        <v>0.54166666666666663</v>
      </c>
      <c r="K4433" s="20" t="str">
        <f t="shared" si="208"/>
        <v>1st Shift</v>
      </c>
    </row>
    <row r="4434" spans="1:11" x14ac:dyDescent="0.25">
      <c r="A4434" s="1">
        <v>4433</v>
      </c>
      <c r="B4434" s="1">
        <v>14</v>
      </c>
      <c r="C4434" s="3">
        <v>14115271679800</v>
      </c>
      <c r="D4434" s="2">
        <v>44679.666666666664</v>
      </c>
      <c r="E4434" s="2">
        <v>44679.84375</v>
      </c>
      <c r="F4434" s="23">
        <f t="shared" si="207"/>
        <v>0.17708333333575865</v>
      </c>
      <c r="G4434" s="24">
        <f t="shared" si="209"/>
        <v>70.588235293150888</v>
      </c>
      <c r="H4434" s="1" t="s">
        <v>1</v>
      </c>
      <c r="I4434" s="4" t="s">
        <v>2</v>
      </c>
      <c r="J4434" s="14">
        <v>0.66666666666666663</v>
      </c>
      <c r="K4434" s="20" t="str">
        <f t="shared" si="208"/>
        <v>2nd Shift</v>
      </c>
    </row>
    <row r="4435" spans="1:11" x14ac:dyDescent="0.25">
      <c r="A4435" s="1">
        <v>4434</v>
      </c>
      <c r="B4435" s="1">
        <v>12</v>
      </c>
      <c r="C4435" s="3">
        <v>12115271581916</v>
      </c>
      <c r="D4435" s="2">
        <v>44679.666666666664</v>
      </c>
      <c r="E4435" s="2">
        <v>44679.84375</v>
      </c>
      <c r="F4435" s="23">
        <f t="shared" si="207"/>
        <v>0.17708333333575865</v>
      </c>
      <c r="G4435" s="24">
        <f t="shared" si="209"/>
        <v>70.588235293150888</v>
      </c>
      <c r="H4435" s="1" t="s">
        <v>1</v>
      </c>
      <c r="I4435" s="4" t="s">
        <v>5</v>
      </c>
      <c r="J4435" s="14">
        <v>0.66666666666666663</v>
      </c>
      <c r="K4435" s="20" t="str">
        <f t="shared" si="208"/>
        <v>2nd Shift</v>
      </c>
    </row>
    <row r="4436" spans="1:11" x14ac:dyDescent="0.25">
      <c r="A4436" s="1">
        <v>4435</v>
      </c>
      <c r="B4436" s="1">
        <v>12</v>
      </c>
      <c r="C4436" s="3">
        <v>12115271560810</v>
      </c>
      <c r="D4436" s="2">
        <v>44679.690972222219</v>
      </c>
      <c r="E4436" s="2">
        <v>44679.84375</v>
      </c>
      <c r="F4436" s="23">
        <f t="shared" si="207"/>
        <v>0.15277777778101154</v>
      </c>
      <c r="G4436" s="24">
        <f t="shared" si="209"/>
        <v>81.818181816450021</v>
      </c>
      <c r="H4436" s="1" t="s">
        <v>1</v>
      </c>
      <c r="I4436" s="4" t="s">
        <v>3</v>
      </c>
      <c r="J4436" s="14">
        <v>0.69097222222222221</v>
      </c>
      <c r="K4436" s="20" t="str">
        <f t="shared" si="208"/>
        <v>2nd Shift</v>
      </c>
    </row>
    <row r="4437" spans="1:11" x14ac:dyDescent="0.25">
      <c r="A4437" s="1">
        <v>4436</v>
      </c>
      <c r="B4437" s="1">
        <v>10</v>
      </c>
      <c r="C4437" s="3">
        <v>10115271453906</v>
      </c>
      <c r="D4437" s="2">
        <v>44679.666666666664</v>
      </c>
      <c r="E4437" s="2">
        <v>44679.84375</v>
      </c>
      <c r="F4437" s="23">
        <f t="shared" si="207"/>
        <v>0.17708333333575865</v>
      </c>
      <c r="G4437" s="24">
        <f t="shared" si="209"/>
        <v>70.588235293150888</v>
      </c>
      <c r="H4437" s="1" t="s">
        <v>1</v>
      </c>
      <c r="I4437" s="4" t="s">
        <v>2</v>
      </c>
      <c r="J4437" s="14">
        <v>0.66666666666666663</v>
      </c>
      <c r="K4437" s="20" t="str">
        <f t="shared" si="208"/>
        <v>2nd Shift</v>
      </c>
    </row>
    <row r="4438" spans="1:11" x14ac:dyDescent="0.25">
      <c r="A4438" s="1">
        <v>4437</v>
      </c>
      <c r="B4438" s="1">
        <v>1</v>
      </c>
      <c r="C4438" s="3">
        <v>1115270052500</v>
      </c>
      <c r="D4438" s="2">
        <v>44679.690972222219</v>
      </c>
      <c r="E4438" s="2">
        <v>44679.84375</v>
      </c>
      <c r="F4438" s="23">
        <f t="shared" si="207"/>
        <v>0.15277777778101154</v>
      </c>
      <c r="G4438" s="24">
        <f t="shared" si="209"/>
        <v>81.818181816450021</v>
      </c>
      <c r="H4438" s="1" t="s">
        <v>1</v>
      </c>
      <c r="I4438" s="4" t="s">
        <v>2</v>
      </c>
      <c r="J4438" s="14">
        <v>0.69097222222222221</v>
      </c>
      <c r="K4438" s="20" t="str">
        <f t="shared" si="208"/>
        <v>2nd Shift</v>
      </c>
    </row>
    <row r="4439" spans="1:11" x14ac:dyDescent="0.25">
      <c r="A4439" s="1">
        <v>4438</v>
      </c>
      <c r="B4439" s="1">
        <v>7</v>
      </c>
      <c r="C4439" s="3">
        <v>7115271757501</v>
      </c>
      <c r="D4439" s="2">
        <v>44679.861111111109</v>
      </c>
      <c r="E4439" s="2">
        <v>44679.909722222219</v>
      </c>
      <c r="F4439" s="23">
        <f t="shared" si="207"/>
        <v>4.8611111109494232E-2</v>
      </c>
      <c r="G4439" s="24">
        <f t="shared" si="209"/>
        <v>257.14285715141011</v>
      </c>
      <c r="H4439" s="1" t="s">
        <v>1</v>
      </c>
      <c r="I4439" s="4" t="s">
        <v>3</v>
      </c>
      <c r="J4439" s="14">
        <v>0.86111111111111116</v>
      </c>
      <c r="K4439" s="20" t="str">
        <f t="shared" si="208"/>
        <v>2nd Shift</v>
      </c>
    </row>
    <row r="4440" spans="1:11" x14ac:dyDescent="0.25">
      <c r="A4440" s="1">
        <v>4439</v>
      </c>
      <c r="B4440" s="1">
        <v>6</v>
      </c>
      <c r="C4440" s="3">
        <v>6115271733505</v>
      </c>
      <c r="D4440" s="2">
        <v>44679.861111111109</v>
      </c>
      <c r="E4440" s="2">
        <v>44679.909722222219</v>
      </c>
      <c r="F4440" s="23">
        <f t="shared" si="207"/>
        <v>4.8611111109494232E-2</v>
      </c>
      <c r="G4440" s="24">
        <f t="shared" si="209"/>
        <v>257.14285715141011</v>
      </c>
      <c r="H4440" s="1" t="s">
        <v>1</v>
      </c>
      <c r="I4440" s="4" t="s">
        <v>3</v>
      </c>
      <c r="J4440" s="14">
        <v>0.86111111111111116</v>
      </c>
      <c r="K4440" s="20" t="str">
        <f t="shared" si="208"/>
        <v>2nd Shift</v>
      </c>
    </row>
    <row r="4441" spans="1:11" x14ac:dyDescent="0.25">
      <c r="A4441" s="1">
        <v>4440</v>
      </c>
      <c r="B4441" s="1">
        <v>46</v>
      </c>
      <c r="C4441" s="3">
        <v>46115272723400</v>
      </c>
      <c r="D4441" s="2">
        <v>44679.979166666664</v>
      </c>
      <c r="E4441" s="2">
        <v>44680.034722222219</v>
      </c>
      <c r="F4441" s="23">
        <f t="shared" si="207"/>
        <v>5.5555555554747116E-2</v>
      </c>
      <c r="G4441" s="24">
        <f t="shared" si="209"/>
        <v>225.00000000327418</v>
      </c>
      <c r="H4441" s="1" t="s">
        <v>1</v>
      </c>
      <c r="I4441" s="4" t="s">
        <v>4</v>
      </c>
      <c r="J4441" s="14">
        <v>0.97916666666666663</v>
      </c>
      <c r="K4441" s="20" t="str">
        <f t="shared" si="208"/>
        <v>3rd Shift</v>
      </c>
    </row>
    <row r="4442" spans="1:11" x14ac:dyDescent="0.25">
      <c r="A4442" s="1">
        <v>4441</v>
      </c>
      <c r="B4442" s="1">
        <v>3</v>
      </c>
      <c r="C4442" s="3">
        <v>3115270316804</v>
      </c>
      <c r="D4442" s="2">
        <v>44679.979166666664</v>
      </c>
      <c r="E4442" s="2">
        <v>44680.034722222219</v>
      </c>
      <c r="F4442" s="23">
        <f t="shared" si="207"/>
        <v>5.5555555554747116E-2</v>
      </c>
      <c r="G4442" s="24">
        <f t="shared" si="209"/>
        <v>225.00000000327418</v>
      </c>
      <c r="H4442" s="1" t="s">
        <v>1</v>
      </c>
      <c r="I4442" s="4" t="s">
        <v>4</v>
      </c>
      <c r="J4442" s="14">
        <v>0.97916666666666663</v>
      </c>
      <c r="K4442" s="20" t="str">
        <f t="shared" si="208"/>
        <v>3rd Shift</v>
      </c>
    </row>
    <row r="4443" spans="1:11" x14ac:dyDescent="0.25">
      <c r="A4443" s="1">
        <v>4442</v>
      </c>
      <c r="B4443" s="1">
        <v>14</v>
      </c>
      <c r="C4443" s="3">
        <v>14115271715102</v>
      </c>
      <c r="D4443" s="2">
        <v>44680.055555555555</v>
      </c>
      <c r="E4443" s="2">
        <v>44680.118055555555</v>
      </c>
      <c r="F4443" s="23">
        <f t="shared" si="207"/>
        <v>6.25E-2</v>
      </c>
      <c r="G4443" s="24">
        <f t="shared" si="209"/>
        <v>200</v>
      </c>
      <c r="H4443" s="1" t="s">
        <v>1</v>
      </c>
      <c r="I4443" s="4" t="s">
        <v>3</v>
      </c>
      <c r="J4443" s="14">
        <v>5.5555555555555552E-2</v>
      </c>
      <c r="K4443" s="20" t="str">
        <f t="shared" si="208"/>
        <v>3rd Shift</v>
      </c>
    </row>
    <row r="4444" spans="1:11" x14ac:dyDescent="0.25">
      <c r="A4444" s="1">
        <v>4443</v>
      </c>
      <c r="B4444" s="1">
        <v>5</v>
      </c>
      <c r="C4444" s="3">
        <v>5115270974205</v>
      </c>
      <c r="D4444" s="2">
        <v>44680.055555555555</v>
      </c>
      <c r="E4444" s="2">
        <v>44680.118055555555</v>
      </c>
      <c r="F4444" s="23">
        <f t="shared" si="207"/>
        <v>6.25E-2</v>
      </c>
      <c r="G4444" s="24">
        <f t="shared" si="209"/>
        <v>200</v>
      </c>
      <c r="H4444" s="1" t="s">
        <v>1</v>
      </c>
      <c r="I4444" s="4" t="s">
        <v>3</v>
      </c>
      <c r="J4444" s="14">
        <v>5.5555555555555552E-2</v>
      </c>
      <c r="K4444" s="20" t="str">
        <f t="shared" si="208"/>
        <v>3rd Shift</v>
      </c>
    </row>
    <row r="4445" spans="1:11" x14ac:dyDescent="0.25">
      <c r="A4445" s="1">
        <v>4444</v>
      </c>
      <c r="B4445" s="1">
        <v>2</v>
      </c>
      <c r="C4445" s="3">
        <v>2115270188400</v>
      </c>
      <c r="D4445" s="2">
        <v>44680.364583333336</v>
      </c>
      <c r="E4445" s="2">
        <v>44680.427083333336</v>
      </c>
      <c r="F4445" s="23">
        <f t="shared" si="207"/>
        <v>6.25E-2</v>
      </c>
      <c r="G4445" s="24">
        <f t="shared" si="209"/>
        <v>200</v>
      </c>
      <c r="H4445" s="1" t="s">
        <v>1</v>
      </c>
      <c r="I4445" s="4" t="s">
        <v>2</v>
      </c>
      <c r="J4445" s="14">
        <v>0.36458333333333331</v>
      </c>
      <c r="K4445" s="20" t="str">
        <f t="shared" si="208"/>
        <v>1st Shift</v>
      </c>
    </row>
    <row r="4446" spans="1:11" x14ac:dyDescent="0.25">
      <c r="A4446" s="1">
        <v>4445</v>
      </c>
      <c r="B4446" s="1">
        <v>1</v>
      </c>
      <c r="C4446" s="3">
        <v>1115270010300</v>
      </c>
      <c r="D4446" s="2">
        <v>44680.364583333336</v>
      </c>
      <c r="E4446" s="2">
        <v>44680.427083333336</v>
      </c>
      <c r="F4446" s="23">
        <f t="shared" si="207"/>
        <v>6.25E-2</v>
      </c>
      <c r="G4446" s="24">
        <f t="shared" si="209"/>
        <v>200</v>
      </c>
      <c r="H4446" s="1" t="s">
        <v>1</v>
      </c>
      <c r="I4446" s="4" t="s">
        <v>2</v>
      </c>
      <c r="J4446" s="14">
        <v>0.36458333333333331</v>
      </c>
      <c r="K4446" s="20" t="str">
        <f t="shared" si="208"/>
        <v>1st Shift</v>
      </c>
    </row>
    <row r="4447" spans="1:11" x14ac:dyDescent="0.25">
      <c r="A4447" s="1">
        <v>4446</v>
      </c>
      <c r="B4447" s="1">
        <v>12</v>
      </c>
      <c r="C4447" s="3">
        <v>12115271573210</v>
      </c>
      <c r="D4447" s="2">
        <v>44680.458333333336</v>
      </c>
      <c r="E4447" s="2">
        <v>44680.600694444445</v>
      </c>
      <c r="F4447" s="23">
        <f t="shared" si="207"/>
        <v>0.14236111110949423</v>
      </c>
      <c r="G4447" s="24">
        <f t="shared" si="209"/>
        <v>87.804878049777741</v>
      </c>
      <c r="H4447" s="1" t="s">
        <v>1</v>
      </c>
      <c r="I4447" s="4" t="s">
        <v>4</v>
      </c>
      <c r="J4447" s="14">
        <v>0.45833333333333331</v>
      </c>
      <c r="K4447" s="20" t="str">
        <f t="shared" si="208"/>
        <v>1st Shift</v>
      </c>
    </row>
    <row r="4448" spans="1:11" x14ac:dyDescent="0.25">
      <c r="A4448" s="1">
        <v>4447</v>
      </c>
      <c r="B4448" s="1">
        <v>10</v>
      </c>
      <c r="C4448" s="3">
        <v>10115271461100</v>
      </c>
      <c r="D4448" s="2">
        <v>44680.458333333336</v>
      </c>
      <c r="E4448" s="2">
        <v>44680.600694444445</v>
      </c>
      <c r="F4448" s="23">
        <f t="shared" si="207"/>
        <v>0.14236111110949423</v>
      </c>
      <c r="G4448" s="24">
        <f t="shared" si="209"/>
        <v>87.804878049777741</v>
      </c>
      <c r="H4448" s="1" t="s">
        <v>1</v>
      </c>
      <c r="I4448" s="4" t="s">
        <v>2</v>
      </c>
      <c r="J4448" s="14">
        <v>0.45833333333333331</v>
      </c>
      <c r="K4448" s="20" t="str">
        <f t="shared" si="208"/>
        <v>1st Shift</v>
      </c>
    </row>
    <row r="4449" spans="1:11" x14ac:dyDescent="0.25">
      <c r="A4449" s="1">
        <v>4448</v>
      </c>
      <c r="B4449" s="1">
        <v>10</v>
      </c>
      <c r="C4449" s="3">
        <v>10115271441700</v>
      </c>
      <c r="D4449" s="2">
        <v>44680.458333333336</v>
      </c>
      <c r="E4449" s="2">
        <v>44680.600694444445</v>
      </c>
      <c r="F4449" s="23">
        <f t="shared" si="207"/>
        <v>0.14236111110949423</v>
      </c>
      <c r="G4449" s="24">
        <f t="shared" si="209"/>
        <v>87.804878049777741</v>
      </c>
      <c r="H4449" s="1" t="s">
        <v>1</v>
      </c>
      <c r="I4449" s="4" t="s">
        <v>3</v>
      </c>
      <c r="J4449" s="14">
        <v>0.45833333333333331</v>
      </c>
      <c r="K4449" s="20" t="str">
        <f t="shared" si="208"/>
        <v>1st Shift</v>
      </c>
    </row>
    <row r="4450" spans="1:11" x14ac:dyDescent="0.25">
      <c r="A4450" s="1">
        <v>4449</v>
      </c>
      <c r="B4450" s="1">
        <v>8</v>
      </c>
      <c r="C4450" s="3">
        <v>8115271810101</v>
      </c>
      <c r="D4450" s="2">
        <v>44680.458333333336</v>
      </c>
      <c r="E4450" s="2">
        <v>44680.600694444445</v>
      </c>
      <c r="F4450" s="23">
        <f t="shared" si="207"/>
        <v>0.14236111110949423</v>
      </c>
      <c r="G4450" s="24">
        <f t="shared" si="209"/>
        <v>87.804878049777741</v>
      </c>
      <c r="H4450" s="1" t="s">
        <v>1</v>
      </c>
      <c r="I4450" s="4" t="s">
        <v>3</v>
      </c>
      <c r="J4450" s="14">
        <v>0.45833333333333331</v>
      </c>
      <c r="K4450" s="20" t="str">
        <f t="shared" si="208"/>
        <v>1st Shift</v>
      </c>
    </row>
    <row r="4451" spans="1:11" x14ac:dyDescent="0.25">
      <c r="A4451" s="1">
        <v>4450</v>
      </c>
      <c r="B4451" s="1">
        <v>7</v>
      </c>
      <c r="C4451" s="3">
        <v>7115271757100</v>
      </c>
      <c r="D4451" s="2">
        <v>44680.458333333336</v>
      </c>
      <c r="E4451" s="2">
        <v>44680.600694444445</v>
      </c>
      <c r="F4451" s="23">
        <f t="shared" si="207"/>
        <v>0.14236111110949423</v>
      </c>
      <c r="G4451" s="24">
        <f t="shared" si="209"/>
        <v>87.804878049777741</v>
      </c>
      <c r="H4451" s="1" t="s">
        <v>1</v>
      </c>
      <c r="I4451" s="4" t="s">
        <v>3</v>
      </c>
      <c r="J4451" s="14">
        <v>0.45833333333333331</v>
      </c>
      <c r="K4451" s="20" t="str">
        <f t="shared" si="208"/>
        <v>1st Shift</v>
      </c>
    </row>
    <row r="4452" spans="1:11" x14ac:dyDescent="0.25">
      <c r="A4452" s="1">
        <v>4451</v>
      </c>
      <c r="B4452" s="1">
        <v>1</v>
      </c>
      <c r="C4452" s="3">
        <v>1115270062501</v>
      </c>
      <c r="D4452" s="2">
        <v>44680.458333333336</v>
      </c>
      <c r="E4452" s="2">
        <v>44680.600694444445</v>
      </c>
      <c r="F4452" s="23">
        <f t="shared" si="207"/>
        <v>0.14236111110949423</v>
      </c>
      <c r="G4452" s="24">
        <f t="shared" si="209"/>
        <v>87.804878049777741</v>
      </c>
      <c r="H4452" s="1" t="s">
        <v>1</v>
      </c>
      <c r="I4452" s="4" t="s">
        <v>2</v>
      </c>
      <c r="J4452" s="14">
        <v>0.45833333333333331</v>
      </c>
      <c r="K4452" s="20" t="str">
        <f t="shared" si="208"/>
        <v>1st Shift</v>
      </c>
    </row>
    <row r="4453" spans="1:11" x14ac:dyDescent="0.25">
      <c r="A4453" s="1">
        <v>4452</v>
      </c>
      <c r="B4453" s="1">
        <v>8</v>
      </c>
      <c r="C4453" s="3">
        <v>8115271856100</v>
      </c>
      <c r="D4453" s="2">
        <v>44680.770833333336</v>
      </c>
      <c r="E4453" s="2">
        <v>44680.888888888891</v>
      </c>
      <c r="F4453" s="23">
        <f t="shared" si="207"/>
        <v>0.11805555555474712</v>
      </c>
      <c r="G4453" s="24">
        <f t="shared" si="209"/>
        <v>105.88235294190156</v>
      </c>
      <c r="H4453" s="1" t="s">
        <v>1</v>
      </c>
      <c r="I4453" s="4" t="s">
        <v>2</v>
      </c>
      <c r="J4453" s="14">
        <v>0.77083333333333337</v>
      </c>
      <c r="K4453" s="20" t="str">
        <f t="shared" si="208"/>
        <v>2nd Shift</v>
      </c>
    </row>
    <row r="4454" spans="1:11" x14ac:dyDescent="0.25">
      <c r="A4454" s="1">
        <v>4453</v>
      </c>
      <c r="B4454" s="1">
        <v>8</v>
      </c>
      <c r="C4454" s="3">
        <v>8115271855800</v>
      </c>
      <c r="D4454" s="2">
        <v>44680.795138888891</v>
      </c>
      <c r="E4454" s="2">
        <v>44680.888888888891</v>
      </c>
      <c r="F4454" s="23">
        <f t="shared" si="207"/>
        <v>9.375E-2</v>
      </c>
      <c r="G4454" s="24">
        <f t="shared" si="209"/>
        <v>133.33333333333331</v>
      </c>
      <c r="H4454" s="1" t="s">
        <v>1</v>
      </c>
      <c r="I4454" s="4" t="s">
        <v>5</v>
      </c>
      <c r="J4454" s="14">
        <v>0.79513888888888884</v>
      </c>
      <c r="K4454" s="20" t="str">
        <f t="shared" si="208"/>
        <v>2nd Shift</v>
      </c>
    </row>
    <row r="4455" spans="1:11" x14ac:dyDescent="0.25">
      <c r="A4455" s="1">
        <v>4454</v>
      </c>
      <c r="B4455" s="1">
        <v>7</v>
      </c>
      <c r="C4455" s="3">
        <v>7115271793800</v>
      </c>
      <c r="D4455" s="2">
        <v>44680.795138888891</v>
      </c>
      <c r="E4455" s="2">
        <v>44680.888888888891</v>
      </c>
      <c r="F4455" s="23">
        <f t="shared" si="207"/>
        <v>9.375E-2</v>
      </c>
      <c r="G4455" s="24">
        <f t="shared" si="209"/>
        <v>133.33333333333331</v>
      </c>
      <c r="H4455" s="1" t="s">
        <v>1</v>
      </c>
      <c r="I4455" s="4" t="s">
        <v>3</v>
      </c>
      <c r="J4455" s="14">
        <v>0.79513888888888884</v>
      </c>
      <c r="K4455" s="20" t="str">
        <f t="shared" si="208"/>
        <v>2nd Shift</v>
      </c>
    </row>
    <row r="4456" spans="1:11" x14ac:dyDescent="0.25">
      <c r="A4456" s="1">
        <v>4455</v>
      </c>
      <c r="B4456" s="1">
        <v>7</v>
      </c>
      <c r="C4456" s="3">
        <v>7115271757800</v>
      </c>
      <c r="D4456" s="2">
        <v>44680.770833333336</v>
      </c>
      <c r="E4456" s="2">
        <v>44680.888888888891</v>
      </c>
      <c r="F4456" s="23">
        <f t="shared" si="207"/>
        <v>0.11805555555474712</v>
      </c>
      <c r="G4456" s="24">
        <f t="shared" si="209"/>
        <v>105.88235294190156</v>
      </c>
      <c r="H4456" s="1" t="s">
        <v>1</v>
      </c>
      <c r="I4456" s="4" t="s">
        <v>3</v>
      </c>
      <c r="J4456" s="14">
        <v>0.77083333333333337</v>
      </c>
      <c r="K4456" s="20" t="str">
        <f t="shared" si="208"/>
        <v>2nd Shift</v>
      </c>
    </row>
    <row r="4457" spans="1:11" x14ac:dyDescent="0.25">
      <c r="A4457" s="1">
        <v>4456</v>
      </c>
      <c r="B4457" s="1">
        <v>1</v>
      </c>
      <c r="C4457" s="3">
        <v>1115270098000</v>
      </c>
      <c r="D4457" s="2">
        <v>44680.770833333336</v>
      </c>
      <c r="E4457" s="2">
        <v>44680.888888888891</v>
      </c>
      <c r="F4457" s="23">
        <f t="shared" si="207"/>
        <v>0.11805555555474712</v>
      </c>
      <c r="G4457" s="24">
        <f t="shared" si="209"/>
        <v>105.88235294190156</v>
      </c>
      <c r="H4457" s="1" t="s">
        <v>1</v>
      </c>
      <c r="I4457" s="4" t="s">
        <v>2</v>
      </c>
      <c r="J4457" s="14">
        <v>0.77083333333333337</v>
      </c>
      <c r="K4457" s="20" t="str">
        <f t="shared" si="208"/>
        <v>2nd Shift</v>
      </c>
    </row>
    <row r="4458" spans="1:11" x14ac:dyDescent="0.25">
      <c r="A4458" s="1">
        <v>4457</v>
      </c>
      <c r="B4458" s="1">
        <v>11</v>
      </c>
      <c r="C4458" s="3">
        <v>11115271508000</v>
      </c>
      <c r="D4458" s="2">
        <v>44681.020833333336</v>
      </c>
      <c r="E4458" s="2">
        <v>44681.052083333336</v>
      </c>
      <c r="F4458" s="23">
        <f t="shared" si="207"/>
        <v>3.125E-2</v>
      </c>
      <c r="G4458" s="24">
        <f t="shared" si="209"/>
        <v>400</v>
      </c>
      <c r="H4458" s="1" t="s">
        <v>1</v>
      </c>
      <c r="I4458" s="4" t="s">
        <v>3</v>
      </c>
      <c r="J4458" s="14">
        <v>2.0833333333333332E-2</v>
      </c>
      <c r="K4458" s="20" t="str">
        <f t="shared" si="208"/>
        <v>3rd Shift</v>
      </c>
    </row>
    <row r="4459" spans="1:11" x14ac:dyDescent="0.25">
      <c r="A4459" s="1">
        <v>4458</v>
      </c>
      <c r="B4459" s="1">
        <v>3</v>
      </c>
      <c r="C4459" s="3">
        <v>3115270380500</v>
      </c>
      <c r="D4459" s="2">
        <v>44681.072916666664</v>
      </c>
      <c r="E4459" s="2">
        <v>44681.118055555555</v>
      </c>
      <c r="F4459" s="23">
        <f t="shared" si="207"/>
        <v>4.5138888890505768E-2</v>
      </c>
      <c r="G4459" s="24">
        <f t="shared" si="209"/>
        <v>276.9230769131575</v>
      </c>
      <c r="H4459" s="1" t="s">
        <v>1</v>
      </c>
      <c r="I4459" s="4" t="s">
        <v>3</v>
      </c>
      <c r="J4459" s="14">
        <v>7.2916666666666671E-2</v>
      </c>
      <c r="K4459" s="20" t="str">
        <f t="shared" si="208"/>
        <v>3rd Shift</v>
      </c>
    </row>
    <row r="4460" spans="1:11" x14ac:dyDescent="0.25">
      <c r="A4460" s="1">
        <v>4459</v>
      </c>
      <c r="B4460" s="1">
        <v>7</v>
      </c>
      <c r="C4460" s="3">
        <v>7115271783107</v>
      </c>
      <c r="D4460" s="2">
        <v>44681.138888888891</v>
      </c>
      <c r="E4460" s="2">
        <v>44681.177083333336</v>
      </c>
      <c r="F4460" s="23">
        <f t="shared" si="207"/>
        <v>3.8194444445252884E-2</v>
      </c>
      <c r="G4460" s="24">
        <f t="shared" si="209"/>
        <v>327.27272726580009</v>
      </c>
      <c r="H4460" s="1" t="s">
        <v>1</v>
      </c>
      <c r="I4460" s="4" t="s">
        <v>3</v>
      </c>
      <c r="J4460" s="14">
        <v>0.1388888888888889</v>
      </c>
      <c r="K4460" s="20" t="str">
        <f t="shared" si="208"/>
        <v>3rd Shift</v>
      </c>
    </row>
    <row r="4461" spans="1:11" x14ac:dyDescent="0.25">
      <c r="A4461" s="1">
        <v>4460</v>
      </c>
      <c r="B4461" s="1">
        <v>13</v>
      </c>
      <c r="C4461" s="3">
        <v>13115271590601</v>
      </c>
      <c r="D4461" s="2">
        <v>44681.4375</v>
      </c>
      <c r="E4461" s="2">
        <v>44681.576388888891</v>
      </c>
      <c r="F4461" s="23">
        <f t="shared" si="207"/>
        <v>0.13888888889050577</v>
      </c>
      <c r="G4461" s="24">
        <f t="shared" si="209"/>
        <v>89.999999998952262</v>
      </c>
      <c r="H4461" s="1" t="s">
        <v>1</v>
      </c>
      <c r="I4461" s="4" t="s">
        <v>3</v>
      </c>
      <c r="J4461" s="14">
        <v>0.4375</v>
      </c>
      <c r="K4461" s="20" t="str">
        <f t="shared" si="208"/>
        <v>1st Shift</v>
      </c>
    </row>
    <row r="4462" spans="1:11" x14ac:dyDescent="0.25">
      <c r="A4462" s="1">
        <v>4461</v>
      </c>
      <c r="B4462" s="1">
        <v>11</v>
      </c>
      <c r="C4462" s="3">
        <v>11115271508300</v>
      </c>
      <c r="D4462" s="2">
        <v>44681.381944444445</v>
      </c>
      <c r="E4462" s="2">
        <v>44681.576388888891</v>
      </c>
      <c r="F4462" s="23">
        <f t="shared" si="207"/>
        <v>0.19444444444525288</v>
      </c>
      <c r="G4462" s="24">
        <f t="shared" si="209"/>
        <v>64.285714285447</v>
      </c>
      <c r="H4462" s="1" t="s">
        <v>1</v>
      </c>
      <c r="I4462" s="4" t="s">
        <v>3</v>
      </c>
      <c r="J4462" s="14">
        <v>0.38194444444444442</v>
      </c>
      <c r="K4462" s="20" t="str">
        <f t="shared" si="208"/>
        <v>1st Shift</v>
      </c>
    </row>
    <row r="4463" spans="1:11" x14ac:dyDescent="0.25">
      <c r="A4463" s="1">
        <v>4462</v>
      </c>
      <c r="B4463" s="1">
        <v>10</v>
      </c>
      <c r="C4463" s="3">
        <v>10115271963700</v>
      </c>
      <c r="D4463" s="2">
        <v>44681.427083333336</v>
      </c>
      <c r="E4463" s="2">
        <v>44681.576388888891</v>
      </c>
      <c r="F4463" s="23">
        <f t="shared" si="207"/>
        <v>0.14930555555474712</v>
      </c>
      <c r="G4463" s="24">
        <f t="shared" si="209"/>
        <v>83.720930233011458</v>
      </c>
      <c r="H4463" s="1" t="s">
        <v>1</v>
      </c>
      <c r="I4463" s="4" t="s">
        <v>4</v>
      </c>
      <c r="J4463" s="14">
        <v>0.42708333333333331</v>
      </c>
      <c r="K4463" s="20" t="str">
        <f t="shared" si="208"/>
        <v>1st Shift</v>
      </c>
    </row>
    <row r="4464" spans="1:11" x14ac:dyDescent="0.25">
      <c r="A4464" s="1">
        <v>4463</v>
      </c>
      <c r="B4464" s="1">
        <v>9</v>
      </c>
      <c r="C4464" s="3">
        <v>9115270644701</v>
      </c>
      <c r="D4464" s="2">
        <v>44681.427083333336</v>
      </c>
      <c r="E4464" s="2">
        <v>44681.576388888891</v>
      </c>
      <c r="F4464" s="23">
        <f t="shared" si="207"/>
        <v>0.14930555555474712</v>
      </c>
      <c r="G4464" s="24">
        <f t="shared" si="209"/>
        <v>83.720930233011458</v>
      </c>
      <c r="H4464" s="1" t="s">
        <v>1</v>
      </c>
      <c r="I4464" s="4" t="s">
        <v>2</v>
      </c>
      <c r="J4464" s="14">
        <v>0.42708333333333331</v>
      </c>
      <c r="K4464" s="20" t="str">
        <f t="shared" si="208"/>
        <v>1st Shift</v>
      </c>
    </row>
    <row r="4465" spans="1:11" x14ac:dyDescent="0.25">
      <c r="A4465" s="1">
        <v>4464</v>
      </c>
      <c r="B4465" s="1">
        <v>7</v>
      </c>
      <c r="C4465" s="3">
        <v>7115271769601</v>
      </c>
      <c r="D4465" s="2">
        <v>44681.4375</v>
      </c>
      <c r="E4465" s="2">
        <v>44681.576388888891</v>
      </c>
      <c r="F4465" s="23">
        <f t="shared" si="207"/>
        <v>0.13888888889050577</v>
      </c>
      <c r="G4465" s="24">
        <f t="shared" si="209"/>
        <v>89.999999998952262</v>
      </c>
      <c r="H4465" s="1" t="s">
        <v>1</v>
      </c>
      <c r="I4465" s="4" t="s">
        <v>5</v>
      </c>
      <c r="J4465" s="14">
        <v>0.4375</v>
      </c>
      <c r="K4465" s="20" t="str">
        <f t="shared" si="208"/>
        <v>1st Shift</v>
      </c>
    </row>
    <row r="4466" spans="1:11" x14ac:dyDescent="0.25">
      <c r="A4466" s="1">
        <v>4465</v>
      </c>
      <c r="B4466" s="1">
        <v>7</v>
      </c>
      <c r="C4466" s="3">
        <v>7115271758907</v>
      </c>
      <c r="D4466" s="2">
        <v>44681.416666666664</v>
      </c>
      <c r="E4466" s="2">
        <v>44681.576388888891</v>
      </c>
      <c r="F4466" s="23">
        <f t="shared" si="207"/>
        <v>0.15972222222626442</v>
      </c>
      <c r="G4466" s="24">
        <f t="shared" si="209"/>
        <v>78.260869563236795</v>
      </c>
      <c r="H4466" s="1" t="s">
        <v>1</v>
      </c>
      <c r="I4466" s="4" t="s">
        <v>3</v>
      </c>
      <c r="J4466" s="14">
        <v>0.41666666666666669</v>
      </c>
      <c r="K4466" s="20" t="str">
        <f t="shared" si="208"/>
        <v>1st Shift</v>
      </c>
    </row>
    <row r="4467" spans="1:11" x14ac:dyDescent="0.25">
      <c r="A4467" s="1">
        <v>4466</v>
      </c>
      <c r="B4467" s="1">
        <v>6</v>
      </c>
      <c r="C4467" s="3">
        <v>6115271723903</v>
      </c>
      <c r="D4467" s="2">
        <v>44681.4375</v>
      </c>
      <c r="E4467" s="2">
        <v>44681.576388888891</v>
      </c>
      <c r="F4467" s="23">
        <f t="shared" si="207"/>
        <v>0.13888888889050577</v>
      </c>
      <c r="G4467" s="24">
        <f t="shared" si="209"/>
        <v>89.999999998952262</v>
      </c>
      <c r="H4467" s="1" t="s">
        <v>1</v>
      </c>
      <c r="I4467" s="4" t="s">
        <v>2</v>
      </c>
      <c r="J4467" s="14">
        <v>0.4375</v>
      </c>
      <c r="K4467" s="20" t="str">
        <f t="shared" si="208"/>
        <v>1st Shift</v>
      </c>
    </row>
    <row r="4468" spans="1:11" x14ac:dyDescent="0.25">
      <c r="A4468" s="1">
        <v>4467</v>
      </c>
      <c r="B4468" s="1">
        <v>5</v>
      </c>
      <c r="C4468" s="3">
        <v>5115271257900</v>
      </c>
      <c r="D4468" s="2">
        <v>44681.381944444445</v>
      </c>
      <c r="E4468" s="2">
        <v>44681.576388888891</v>
      </c>
      <c r="F4468" s="23">
        <f t="shared" si="207"/>
        <v>0.19444444444525288</v>
      </c>
      <c r="G4468" s="24">
        <f t="shared" si="209"/>
        <v>64.285714285447</v>
      </c>
      <c r="H4468" s="1" t="s">
        <v>1</v>
      </c>
      <c r="I4468" s="4" t="s">
        <v>3</v>
      </c>
      <c r="J4468" s="14">
        <v>0.38194444444444442</v>
      </c>
      <c r="K4468" s="20" t="str">
        <f t="shared" si="208"/>
        <v>1st Shift</v>
      </c>
    </row>
    <row r="4469" spans="1:11" x14ac:dyDescent="0.25">
      <c r="A4469" s="1">
        <v>4468</v>
      </c>
      <c r="B4469" s="1">
        <v>3</v>
      </c>
      <c r="C4469" s="3">
        <v>3115270306500</v>
      </c>
      <c r="D4469" s="2">
        <v>44681.427083333336</v>
      </c>
      <c r="E4469" s="2">
        <v>44681.576388888891</v>
      </c>
      <c r="F4469" s="23">
        <f t="shared" si="207"/>
        <v>0.14930555555474712</v>
      </c>
      <c r="G4469" s="24">
        <f t="shared" si="209"/>
        <v>83.720930233011458</v>
      </c>
      <c r="H4469" s="1" t="s">
        <v>1</v>
      </c>
      <c r="I4469" s="4" t="s">
        <v>4</v>
      </c>
      <c r="J4469" s="14">
        <v>0.42708333333333331</v>
      </c>
      <c r="K4469" s="20" t="str">
        <f t="shared" si="208"/>
        <v>1st Shift</v>
      </c>
    </row>
    <row r="4470" spans="1:11" x14ac:dyDescent="0.25">
      <c r="A4470" s="1">
        <v>4469</v>
      </c>
      <c r="B4470" s="1">
        <v>12</v>
      </c>
      <c r="C4470" s="3">
        <v>12115271572309</v>
      </c>
      <c r="D4470" s="2">
        <v>44681.697916666664</v>
      </c>
      <c r="E4470" s="2">
        <v>44681.920138888891</v>
      </c>
      <c r="F4470" s="23">
        <f t="shared" si="207"/>
        <v>0.22222222222626442</v>
      </c>
      <c r="G4470" s="24">
        <f t="shared" si="209"/>
        <v>56.249999998976818</v>
      </c>
      <c r="H4470" s="1" t="s">
        <v>1</v>
      </c>
      <c r="I4470" s="4" t="s">
        <v>2</v>
      </c>
      <c r="J4470" s="14">
        <v>0.69791666666666663</v>
      </c>
      <c r="K4470" s="20" t="str">
        <f t="shared" si="208"/>
        <v>2nd Shift</v>
      </c>
    </row>
    <row r="4471" spans="1:11" x14ac:dyDescent="0.25">
      <c r="A4471" s="1">
        <v>4470</v>
      </c>
      <c r="B4471" s="1">
        <v>7</v>
      </c>
      <c r="C4471" s="3">
        <v>7115271768300</v>
      </c>
      <c r="D4471" s="2">
        <v>44681.697916666664</v>
      </c>
      <c r="E4471" s="2">
        <v>44681.920138888891</v>
      </c>
      <c r="F4471" s="23">
        <f t="shared" si="207"/>
        <v>0.22222222222626442</v>
      </c>
      <c r="G4471" s="24">
        <f t="shared" si="209"/>
        <v>56.249999998976818</v>
      </c>
      <c r="H4471" s="1" t="s">
        <v>1</v>
      </c>
      <c r="I4471" s="4" t="s">
        <v>3</v>
      </c>
      <c r="J4471" s="14">
        <v>0.69791666666666663</v>
      </c>
      <c r="K4471" s="20" t="str">
        <f t="shared" si="208"/>
        <v>2nd Shift</v>
      </c>
    </row>
    <row r="4472" spans="1:11" x14ac:dyDescent="0.25">
      <c r="A4472" s="1">
        <v>4471</v>
      </c>
      <c r="B4472" s="1">
        <v>6</v>
      </c>
      <c r="C4472" s="3">
        <v>6115271721306</v>
      </c>
      <c r="D4472" s="2">
        <v>44681.697916666664</v>
      </c>
      <c r="E4472" s="2">
        <v>44681.920138888891</v>
      </c>
      <c r="F4472" s="23">
        <f t="shared" si="207"/>
        <v>0.22222222222626442</v>
      </c>
      <c r="G4472" s="24">
        <f t="shared" si="209"/>
        <v>56.249999998976818</v>
      </c>
      <c r="H4472" s="1" t="s">
        <v>1</v>
      </c>
      <c r="I4472" s="4" t="s">
        <v>4</v>
      </c>
      <c r="J4472" s="14">
        <v>0.69791666666666663</v>
      </c>
      <c r="K4472" s="20" t="str">
        <f t="shared" si="208"/>
        <v>2nd Shift</v>
      </c>
    </row>
    <row r="4473" spans="1:11" x14ac:dyDescent="0.25">
      <c r="A4473" s="1">
        <v>4472</v>
      </c>
      <c r="B4473" s="1">
        <v>5</v>
      </c>
      <c r="C4473" s="3">
        <v>5115271660201</v>
      </c>
      <c r="D4473" s="2">
        <v>44681.697916666664</v>
      </c>
      <c r="E4473" s="2">
        <v>44681.920138888891</v>
      </c>
      <c r="F4473" s="23">
        <f t="shared" si="207"/>
        <v>0.22222222222626442</v>
      </c>
      <c r="G4473" s="24">
        <f t="shared" si="209"/>
        <v>56.249999998976818</v>
      </c>
      <c r="H4473" s="1" t="s">
        <v>1</v>
      </c>
      <c r="I4473" s="4" t="s">
        <v>4</v>
      </c>
      <c r="J4473" s="14">
        <v>0.69791666666666663</v>
      </c>
      <c r="K4473" s="20" t="str">
        <f t="shared" si="208"/>
        <v>2nd Shift</v>
      </c>
    </row>
    <row r="4474" spans="1:11" x14ac:dyDescent="0.25">
      <c r="A4474" s="1">
        <v>4473</v>
      </c>
      <c r="B4474" s="1">
        <v>3</v>
      </c>
      <c r="C4474" s="3">
        <v>3115270386402</v>
      </c>
      <c r="D4474" s="2">
        <v>44681.697916666664</v>
      </c>
      <c r="E4474" s="2">
        <v>44681.920138888891</v>
      </c>
      <c r="F4474" s="23">
        <f t="shared" si="207"/>
        <v>0.22222222222626442</v>
      </c>
      <c r="G4474" s="24">
        <f t="shared" si="209"/>
        <v>56.249999998976818</v>
      </c>
      <c r="H4474" s="1" t="s">
        <v>1</v>
      </c>
      <c r="I4474" s="4" t="s">
        <v>5</v>
      </c>
      <c r="J4474" s="14">
        <v>0.69791666666666663</v>
      </c>
      <c r="K4474" s="20" t="str">
        <f t="shared" si="208"/>
        <v>2nd Shift</v>
      </c>
    </row>
    <row r="4475" spans="1:11" x14ac:dyDescent="0.25">
      <c r="A4475" s="1">
        <v>4474</v>
      </c>
      <c r="B4475" s="1">
        <v>14</v>
      </c>
      <c r="C4475" s="3">
        <v>14115271773123</v>
      </c>
      <c r="D4475" s="2">
        <v>44682.46875</v>
      </c>
      <c r="E4475" s="2">
        <v>44682.5</v>
      </c>
      <c r="F4475" s="23">
        <f t="shared" si="207"/>
        <v>3.125E-2</v>
      </c>
      <c r="G4475" s="24">
        <f t="shared" si="209"/>
        <v>400</v>
      </c>
      <c r="H4475" s="1" t="s">
        <v>1</v>
      </c>
      <c r="I4475" s="4" t="s">
        <v>2</v>
      </c>
      <c r="J4475" s="14">
        <v>0.46875</v>
      </c>
      <c r="K4475" s="20" t="str">
        <f t="shared" si="208"/>
        <v>1st Shift</v>
      </c>
    </row>
    <row r="4476" spans="1:11" x14ac:dyDescent="0.25">
      <c r="A4476" s="1">
        <v>4475</v>
      </c>
      <c r="B4476" s="1">
        <v>12</v>
      </c>
      <c r="C4476" s="3">
        <v>12115271572400</v>
      </c>
      <c r="D4476" s="2">
        <v>44682.46875</v>
      </c>
      <c r="E4476" s="2">
        <v>44682.5</v>
      </c>
      <c r="F4476" s="23">
        <f t="shared" si="207"/>
        <v>3.125E-2</v>
      </c>
      <c r="G4476" s="24">
        <f t="shared" si="209"/>
        <v>400</v>
      </c>
      <c r="H4476" s="1" t="s">
        <v>1</v>
      </c>
      <c r="I4476" s="4" t="s">
        <v>2</v>
      </c>
      <c r="J4476" s="14">
        <v>0.46875</v>
      </c>
      <c r="K4476" s="20" t="str">
        <f t="shared" si="208"/>
        <v>1st Shift</v>
      </c>
    </row>
    <row r="4477" spans="1:11" x14ac:dyDescent="0.25">
      <c r="A4477" s="1">
        <v>4476</v>
      </c>
      <c r="B4477" s="1">
        <v>6</v>
      </c>
      <c r="C4477" s="3">
        <v>6115271699100</v>
      </c>
      <c r="D4477" s="2">
        <v>44682.416666666664</v>
      </c>
      <c r="E4477" s="2">
        <v>44682.5</v>
      </c>
      <c r="F4477" s="23">
        <f t="shared" si="207"/>
        <v>8.3333333335758653E-2</v>
      </c>
      <c r="G4477" s="24">
        <f t="shared" si="209"/>
        <v>149.99999999563443</v>
      </c>
      <c r="H4477" s="1" t="s">
        <v>1</v>
      </c>
      <c r="I4477" s="4" t="s">
        <v>2</v>
      </c>
      <c r="J4477" s="14">
        <v>0.41666666666666669</v>
      </c>
      <c r="K4477" s="20" t="str">
        <f t="shared" si="208"/>
        <v>1st Shift</v>
      </c>
    </row>
    <row r="4478" spans="1:11" x14ac:dyDescent="0.25">
      <c r="A4478" s="1">
        <v>4477</v>
      </c>
      <c r="B4478" s="1">
        <v>13</v>
      </c>
      <c r="C4478" s="3">
        <v>13115271633608</v>
      </c>
      <c r="D4478" s="2">
        <v>44682.552083333336</v>
      </c>
      <c r="E4478" s="2">
        <v>44682.579861111109</v>
      </c>
      <c r="F4478" s="23">
        <f t="shared" si="207"/>
        <v>2.7777777773735579E-2</v>
      </c>
      <c r="G4478" s="24">
        <f t="shared" si="209"/>
        <v>450.00000006548362</v>
      </c>
      <c r="H4478" s="1" t="s">
        <v>1</v>
      </c>
      <c r="I4478" s="4" t="s">
        <v>3</v>
      </c>
      <c r="J4478" s="14">
        <v>0.55208333333333337</v>
      </c>
      <c r="K4478" s="20" t="str">
        <f t="shared" si="208"/>
        <v>1st Shift</v>
      </c>
    </row>
    <row r="4479" spans="1:11" x14ac:dyDescent="0.25">
      <c r="A4479" s="1">
        <v>4478</v>
      </c>
      <c r="B4479" s="1">
        <v>10</v>
      </c>
      <c r="C4479" s="3">
        <v>10115271433703</v>
      </c>
      <c r="D4479" s="2">
        <v>44682.541666666664</v>
      </c>
      <c r="E4479" s="2">
        <v>44682.579861111109</v>
      </c>
      <c r="F4479" s="23">
        <f t="shared" si="207"/>
        <v>3.8194444445252884E-2</v>
      </c>
      <c r="G4479" s="24">
        <f t="shared" si="209"/>
        <v>327.27272726580009</v>
      </c>
      <c r="H4479" s="1" t="s">
        <v>1</v>
      </c>
      <c r="I4479" s="4" t="s">
        <v>2</v>
      </c>
      <c r="J4479" s="14">
        <v>0.54166666666666663</v>
      </c>
      <c r="K4479" s="20" t="str">
        <f t="shared" si="208"/>
        <v>1st Shift</v>
      </c>
    </row>
    <row r="4480" spans="1:11" x14ac:dyDescent="0.25">
      <c r="A4480" s="1">
        <v>4479</v>
      </c>
      <c r="B4480" s="1">
        <v>7</v>
      </c>
      <c r="C4480" s="3">
        <v>7115271804520</v>
      </c>
      <c r="D4480" s="2">
        <v>44682.552083333336</v>
      </c>
      <c r="E4480" s="2">
        <v>44682.579861111109</v>
      </c>
      <c r="F4480" s="23">
        <f t="shared" si="207"/>
        <v>2.7777777773735579E-2</v>
      </c>
      <c r="G4480" s="24">
        <f t="shared" si="209"/>
        <v>450.00000006548362</v>
      </c>
      <c r="H4480" s="1" t="s">
        <v>1</v>
      </c>
      <c r="I4480" s="4" t="s">
        <v>2</v>
      </c>
      <c r="J4480" s="14">
        <v>0.55208333333333337</v>
      </c>
      <c r="K4480" s="20" t="str">
        <f t="shared" si="208"/>
        <v>1st Shift</v>
      </c>
    </row>
    <row r="4481" spans="1:11" x14ac:dyDescent="0.25">
      <c r="A4481" s="1">
        <v>4480</v>
      </c>
      <c r="B4481" s="1">
        <v>12</v>
      </c>
      <c r="C4481" s="3">
        <v>12115271589004</v>
      </c>
      <c r="D4481" s="2">
        <v>44682.711805555555</v>
      </c>
      <c r="E4481" s="2">
        <v>44682.888888888891</v>
      </c>
      <c r="F4481" s="23">
        <f t="shared" si="207"/>
        <v>0.17708333333575865</v>
      </c>
      <c r="G4481" s="24">
        <f t="shared" si="209"/>
        <v>70.588235293150888</v>
      </c>
      <c r="H4481" s="1" t="s">
        <v>1</v>
      </c>
      <c r="I4481" s="4" t="s">
        <v>2</v>
      </c>
      <c r="J4481" s="14">
        <v>0.71180555555555558</v>
      </c>
      <c r="K4481" s="20" t="str">
        <f t="shared" si="208"/>
        <v>2nd Shift</v>
      </c>
    </row>
    <row r="4482" spans="1:11" x14ac:dyDescent="0.25">
      <c r="A4482" s="1">
        <v>4481</v>
      </c>
      <c r="B4482" s="1">
        <v>12</v>
      </c>
      <c r="C4482" s="3">
        <v>12115271573401</v>
      </c>
      <c r="D4482" s="2">
        <v>44682.711805555555</v>
      </c>
      <c r="E4482" s="2">
        <v>44682.888888888891</v>
      </c>
      <c r="F4482" s="23">
        <f t="shared" ref="F4482:F4545" si="210">E4482-D4482</f>
        <v>0.17708333333575865</v>
      </c>
      <c r="G4482" s="24">
        <f t="shared" si="209"/>
        <v>70.588235293150888</v>
      </c>
      <c r="H4482" s="1" t="s">
        <v>1</v>
      </c>
      <c r="I4482" s="4" t="s">
        <v>2</v>
      </c>
      <c r="J4482" s="14">
        <v>0.71180555555555558</v>
      </c>
      <c r="K4482" s="20" t="str">
        <f t="shared" ref="K4482:K4545" si="211">IF(AND(J4482&gt;=$M$3,J4482&lt;$M$4),"1st Shift",IF(AND(J4482&gt;=$M$4,J4482&lt;$M$5),"2nd Shift","3rd Shift"))</f>
        <v>2nd Shift</v>
      </c>
    </row>
    <row r="4483" spans="1:11" x14ac:dyDescent="0.25">
      <c r="A4483" s="1">
        <v>4482</v>
      </c>
      <c r="B4483" s="1">
        <v>12</v>
      </c>
      <c r="C4483" s="3">
        <v>12115271562116</v>
      </c>
      <c r="D4483" s="2">
        <v>44682.711805555555</v>
      </c>
      <c r="E4483" s="2">
        <v>44682.888888888891</v>
      </c>
      <c r="F4483" s="23">
        <f t="shared" si="210"/>
        <v>0.17708333333575865</v>
      </c>
      <c r="G4483" s="24">
        <f t="shared" ref="G4483:G4546" si="212">$M$9/F4483*100</f>
        <v>70.588235293150888</v>
      </c>
      <c r="H4483" s="1" t="s">
        <v>1</v>
      </c>
      <c r="I4483" s="4" t="s">
        <v>2</v>
      </c>
      <c r="J4483" s="14">
        <v>0.71180555555555558</v>
      </c>
      <c r="K4483" s="20" t="str">
        <f t="shared" si="211"/>
        <v>2nd Shift</v>
      </c>
    </row>
    <row r="4484" spans="1:11" x14ac:dyDescent="0.25">
      <c r="A4484" s="1">
        <v>4483</v>
      </c>
      <c r="B4484" s="1">
        <v>6</v>
      </c>
      <c r="C4484" s="3">
        <v>6115271722200</v>
      </c>
      <c r="D4484" s="2">
        <v>44682.711805555555</v>
      </c>
      <c r="E4484" s="2">
        <v>44682.888888888891</v>
      </c>
      <c r="F4484" s="23">
        <f t="shared" si="210"/>
        <v>0.17708333333575865</v>
      </c>
      <c r="G4484" s="24">
        <f t="shared" si="212"/>
        <v>70.588235293150888</v>
      </c>
      <c r="H4484" s="1" t="s">
        <v>1</v>
      </c>
      <c r="I4484" s="4" t="s">
        <v>2</v>
      </c>
      <c r="J4484" s="14">
        <v>0.71180555555555558</v>
      </c>
      <c r="K4484" s="20" t="str">
        <f t="shared" si="211"/>
        <v>2nd Shift</v>
      </c>
    </row>
    <row r="4485" spans="1:11" x14ac:dyDescent="0.25">
      <c r="A4485" s="1">
        <v>4484</v>
      </c>
      <c r="B4485" s="1">
        <v>5</v>
      </c>
      <c r="C4485" s="3">
        <v>5115271685022</v>
      </c>
      <c r="D4485" s="2">
        <v>44682.711805555555</v>
      </c>
      <c r="E4485" s="2">
        <v>44682.888888888891</v>
      </c>
      <c r="F4485" s="23">
        <f t="shared" si="210"/>
        <v>0.17708333333575865</v>
      </c>
      <c r="G4485" s="24">
        <f t="shared" si="212"/>
        <v>70.588235293150888</v>
      </c>
      <c r="H4485" s="1" t="s">
        <v>1</v>
      </c>
      <c r="I4485" s="4" t="s">
        <v>2</v>
      </c>
      <c r="J4485" s="14">
        <v>0.71180555555555558</v>
      </c>
      <c r="K4485" s="20" t="str">
        <f t="shared" si="211"/>
        <v>2nd Shift</v>
      </c>
    </row>
    <row r="4486" spans="1:11" x14ac:dyDescent="0.25">
      <c r="A4486" s="1">
        <v>4485</v>
      </c>
      <c r="B4486" s="1">
        <v>5</v>
      </c>
      <c r="C4486" s="3">
        <v>5115271239606</v>
      </c>
      <c r="D4486" s="2">
        <v>44682.711805555555</v>
      </c>
      <c r="E4486" s="2">
        <v>44682.888888888891</v>
      </c>
      <c r="F4486" s="23">
        <f t="shared" si="210"/>
        <v>0.17708333333575865</v>
      </c>
      <c r="G4486" s="24">
        <f t="shared" si="212"/>
        <v>70.588235293150888</v>
      </c>
      <c r="H4486" s="1" t="s">
        <v>1</v>
      </c>
      <c r="I4486" s="4" t="s">
        <v>2</v>
      </c>
      <c r="J4486" s="14">
        <v>0.71180555555555558</v>
      </c>
      <c r="K4486" s="20" t="str">
        <f t="shared" si="211"/>
        <v>2nd Shift</v>
      </c>
    </row>
    <row r="4487" spans="1:11" x14ac:dyDescent="0.25">
      <c r="A4487" s="1">
        <v>4486</v>
      </c>
      <c r="B4487" s="1">
        <v>3</v>
      </c>
      <c r="C4487" s="3">
        <v>3115270362100</v>
      </c>
      <c r="D4487" s="2">
        <v>44682.711805555555</v>
      </c>
      <c r="E4487" s="2">
        <v>44682.888888888891</v>
      </c>
      <c r="F4487" s="23">
        <f t="shared" si="210"/>
        <v>0.17708333333575865</v>
      </c>
      <c r="G4487" s="24">
        <f t="shared" si="212"/>
        <v>70.588235293150888</v>
      </c>
      <c r="H4487" s="1" t="s">
        <v>1</v>
      </c>
      <c r="I4487" s="4" t="s">
        <v>2</v>
      </c>
      <c r="J4487" s="14">
        <v>0.71180555555555558</v>
      </c>
      <c r="K4487" s="20" t="str">
        <f t="shared" si="211"/>
        <v>2nd Shift</v>
      </c>
    </row>
    <row r="4488" spans="1:11" x14ac:dyDescent="0.25">
      <c r="A4488" s="1">
        <v>4487</v>
      </c>
      <c r="B4488" s="1">
        <v>3</v>
      </c>
      <c r="C4488" s="3">
        <v>3115270360700</v>
      </c>
      <c r="D4488" s="2">
        <v>44682.711805555555</v>
      </c>
      <c r="E4488" s="2">
        <v>44682.888888888891</v>
      </c>
      <c r="F4488" s="23">
        <f t="shared" si="210"/>
        <v>0.17708333333575865</v>
      </c>
      <c r="G4488" s="24">
        <f t="shared" si="212"/>
        <v>70.588235293150888</v>
      </c>
      <c r="H4488" s="1" t="s">
        <v>1</v>
      </c>
      <c r="I4488" s="4" t="s">
        <v>2</v>
      </c>
      <c r="J4488" s="14">
        <v>0.71180555555555558</v>
      </c>
      <c r="K4488" s="20" t="str">
        <f t="shared" si="211"/>
        <v>2nd Shift</v>
      </c>
    </row>
    <row r="4489" spans="1:11" x14ac:dyDescent="0.25">
      <c r="A4489" s="1">
        <v>4488</v>
      </c>
      <c r="B4489" s="1">
        <v>6</v>
      </c>
      <c r="C4489" s="3">
        <v>6115271691601</v>
      </c>
      <c r="D4489" s="2">
        <v>44682.958333333336</v>
      </c>
      <c r="E4489" s="2">
        <v>44683.03125</v>
      </c>
      <c r="F4489" s="23">
        <f t="shared" si="210"/>
        <v>7.2916666664241347E-2</v>
      </c>
      <c r="G4489" s="24">
        <f t="shared" si="212"/>
        <v>171.42857143427341</v>
      </c>
      <c r="H4489" s="1" t="s">
        <v>1</v>
      </c>
      <c r="I4489" s="4" t="s">
        <v>2</v>
      </c>
      <c r="J4489" s="14">
        <v>0.95833333333333337</v>
      </c>
      <c r="K4489" s="20" t="str">
        <f t="shared" si="211"/>
        <v>3rd Shift</v>
      </c>
    </row>
    <row r="4490" spans="1:11" x14ac:dyDescent="0.25">
      <c r="A4490" s="1">
        <v>4489</v>
      </c>
      <c r="B4490" s="1">
        <v>14</v>
      </c>
      <c r="C4490" s="3">
        <v>14115271723600</v>
      </c>
      <c r="D4490" s="2">
        <v>44683.048611111109</v>
      </c>
      <c r="E4490" s="2">
        <v>44683.09375</v>
      </c>
      <c r="F4490" s="23">
        <f t="shared" si="210"/>
        <v>4.5138888890505768E-2</v>
      </c>
      <c r="G4490" s="24">
        <f t="shared" si="212"/>
        <v>276.9230769131575</v>
      </c>
      <c r="H4490" s="1" t="s">
        <v>1</v>
      </c>
      <c r="I4490" s="4" t="s">
        <v>3</v>
      </c>
      <c r="J4490" s="14">
        <v>4.8611111111111112E-2</v>
      </c>
      <c r="K4490" s="20" t="str">
        <f t="shared" si="211"/>
        <v>3rd Shift</v>
      </c>
    </row>
    <row r="4491" spans="1:11" x14ac:dyDescent="0.25">
      <c r="A4491" s="1">
        <v>4490</v>
      </c>
      <c r="B4491" s="1">
        <v>7</v>
      </c>
      <c r="C4491" s="3">
        <v>7115271792408</v>
      </c>
      <c r="D4491" s="2">
        <v>44683.048611111109</v>
      </c>
      <c r="E4491" s="2">
        <v>44683.09375</v>
      </c>
      <c r="F4491" s="23">
        <f t="shared" si="210"/>
        <v>4.5138888890505768E-2</v>
      </c>
      <c r="G4491" s="24">
        <f t="shared" si="212"/>
        <v>276.9230769131575</v>
      </c>
      <c r="H4491" s="1" t="s">
        <v>1</v>
      </c>
      <c r="I4491" s="4" t="s">
        <v>2</v>
      </c>
      <c r="J4491" s="14">
        <v>4.8611111111111112E-2</v>
      </c>
      <c r="K4491" s="20" t="str">
        <f t="shared" si="211"/>
        <v>3rd Shift</v>
      </c>
    </row>
    <row r="4492" spans="1:11" x14ac:dyDescent="0.25">
      <c r="A4492" s="1">
        <v>4491</v>
      </c>
      <c r="B4492" s="1">
        <v>14</v>
      </c>
      <c r="C4492" s="3">
        <v>14115271723603</v>
      </c>
      <c r="D4492" s="2">
        <v>44683.5</v>
      </c>
      <c r="E4492" s="2">
        <v>44683.576388888891</v>
      </c>
      <c r="F4492" s="23">
        <f t="shared" si="210"/>
        <v>7.6388888890505768E-2</v>
      </c>
      <c r="G4492" s="24">
        <f t="shared" si="212"/>
        <v>163.63636363290004</v>
      </c>
      <c r="H4492" s="1" t="s">
        <v>1</v>
      </c>
      <c r="I4492" s="4" t="s">
        <v>3</v>
      </c>
      <c r="J4492" s="14">
        <v>0.5</v>
      </c>
      <c r="K4492" s="20" t="str">
        <f t="shared" si="211"/>
        <v>1st Shift</v>
      </c>
    </row>
    <row r="4493" spans="1:11" x14ac:dyDescent="0.25">
      <c r="A4493" s="1">
        <v>4492</v>
      </c>
      <c r="B4493" s="1">
        <v>12</v>
      </c>
      <c r="C4493" s="3">
        <v>12115271583900</v>
      </c>
      <c r="D4493" s="2">
        <v>44683.479166666664</v>
      </c>
      <c r="E4493" s="2">
        <v>44683.576388888891</v>
      </c>
      <c r="F4493" s="23">
        <f t="shared" si="210"/>
        <v>9.7222222226264421E-2</v>
      </c>
      <c r="G4493" s="24">
        <f t="shared" si="212"/>
        <v>128.57142856608297</v>
      </c>
      <c r="H4493" s="1" t="s">
        <v>1</v>
      </c>
      <c r="I4493" s="4" t="s">
        <v>2</v>
      </c>
      <c r="J4493" s="14">
        <v>0.47916666666666669</v>
      </c>
      <c r="K4493" s="20" t="str">
        <f t="shared" si="211"/>
        <v>1st Shift</v>
      </c>
    </row>
    <row r="4494" spans="1:11" x14ac:dyDescent="0.25">
      <c r="A4494" s="1">
        <v>4493</v>
      </c>
      <c r="B4494" s="1">
        <v>3</v>
      </c>
      <c r="C4494" s="3">
        <v>3115270421800</v>
      </c>
      <c r="D4494" s="2">
        <v>44683.5</v>
      </c>
      <c r="E4494" s="2">
        <v>44683.576388888891</v>
      </c>
      <c r="F4494" s="23">
        <f t="shared" si="210"/>
        <v>7.6388888890505768E-2</v>
      </c>
      <c r="G4494" s="24">
        <f t="shared" si="212"/>
        <v>163.63636363290004</v>
      </c>
      <c r="H4494" s="1" t="s">
        <v>1</v>
      </c>
      <c r="I4494" s="4" t="s">
        <v>2</v>
      </c>
      <c r="J4494" s="14">
        <v>0.5</v>
      </c>
      <c r="K4494" s="20" t="str">
        <f t="shared" si="211"/>
        <v>1st Shift</v>
      </c>
    </row>
    <row r="4495" spans="1:11" x14ac:dyDescent="0.25">
      <c r="A4495" s="1">
        <v>4494</v>
      </c>
      <c r="B4495" s="1">
        <v>1</v>
      </c>
      <c r="C4495" s="3">
        <v>1115270107800</v>
      </c>
      <c r="D4495" s="2">
        <v>44683.5</v>
      </c>
      <c r="E4495" s="2">
        <v>44683.576388888891</v>
      </c>
      <c r="F4495" s="23">
        <f t="shared" si="210"/>
        <v>7.6388888890505768E-2</v>
      </c>
      <c r="G4495" s="24">
        <f t="shared" si="212"/>
        <v>163.63636363290004</v>
      </c>
      <c r="H4495" s="1" t="s">
        <v>1</v>
      </c>
      <c r="I4495" s="4" t="s">
        <v>2</v>
      </c>
      <c r="J4495" s="14">
        <v>0.5</v>
      </c>
      <c r="K4495" s="20" t="str">
        <f t="shared" si="211"/>
        <v>1st Shift</v>
      </c>
    </row>
    <row r="4496" spans="1:11" x14ac:dyDescent="0.25">
      <c r="A4496" s="1">
        <v>4495</v>
      </c>
      <c r="B4496" s="1">
        <v>15</v>
      </c>
      <c r="C4496" s="3">
        <v>15115271743402</v>
      </c>
      <c r="D4496" s="2">
        <v>44683.678472222222</v>
      </c>
      <c r="E4496" s="2">
        <v>44683.902777777781</v>
      </c>
      <c r="F4496" s="23">
        <f t="shared" si="210"/>
        <v>0.22430555555911269</v>
      </c>
      <c r="G4496" s="24">
        <f t="shared" si="212"/>
        <v>55.727554178682816</v>
      </c>
      <c r="H4496" s="1" t="s">
        <v>1</v>
      </c>
      <c r="I4496" s="4" t="s">
        <v>4</v>
      </c>
      <c r="J4496" s="14">
        <v>0.67847222222222225</v>
      </c>
      <c r="K4496" s="20" t="str">
        <f t="shared" si="211"/>
        <v>2nd Shift</v>
      </c>
    </row>
    <row r="4497" spans="1:11" x14ac:dyDescent="0.25">
      <c r="A4497" s="1">
        <v>4496</v>
      </c>
      <c r="B4497" s="1">
        <v>14</v>
      </c>
      <c r="C4497" s="3">
        <v>14115271679800</v>
      </c>
      <c r="D4497" s="2">
        <v>44683.678472222222</v>
      </c>
      <c r="E4497" s="2">
        <v>44683.902777777781</v>
      </c>
      <c r="F4497" s="23">
        <f t="shared" si="210"/>
        <v>0.22430555555911269</v>
      </c>
      <c r="G4497" s="24">
        <f t="shared" si="212"/>
        <v>55.727554178682816</v>
      </c>
      <c r="H4497" s="1" t="s">
        <v>1</v>
      </c>
      <c r="I4497" s="4" t="s">
        <v>2</v>
      </c>
      <c r="J4497" s="14">
        <v>0.67847222222222225</v>
      </c>
      <c r="K4497" s="20" t="str">
        <f t="shared" si="211"/>
        <v>2nd Shift</v>
      </c>
    </row>
    <row r="4498" spans="1:11" x14ac:dyDescent="0.25">
      <c r="A4498" s="1">
        <v>4497</v>
      </c>
      <c r="B4498" s="1">
        <v>10</v>
      </c>
      <c r="C4498" s="3">
        <v>10115271478602</v>
      </c>
      <c r="D4498" s="2">
        <v>44683.678472222222</v>
      </c>
      <c r="E4498" s="2">
        <v>44683.902777777781</v>
      </c>
      <c r="F4498" s="23">
        <f t="shared" si="210"/>
        <v>0.22430555555911269</v>
      </c>
      <c r="G4498" s="24">
        <f t="shared" si="212"/>
        <v>55.727554178682816</v>
      </c>
      <c r="H4498" s="1" t="s">
        <v>1</v>
      </c>
      <c r="I4498" s="4" t="s">
        <v>3</v>
      </c>
      <c r="J4498" s="14">
        <v>0.67847222222222225</v>
      </c>
      <c r="K4498" s="20" t="str">
        <f t="shared" si="211"/>
        <v>2nd Shift</v>
      </c>
    </row>
    <row r="4499" spans="1:11" x14ac:dyDescent="0.25">
      <c r="A4499" s="1">
        <v>4498</v>
      </c>
      <c r="B4499" s="1">
        <v>10</v>
      </c>
      <c r="C4499" s="3">
        <v>10115270979505</v>
      </c>
      <c r="D4499" s="2">
        <v>44683.678472222222</v>
      </c>
      <c r="E4499" s="2">
        <v>44683.902777777781</v>
      </c>
      <c r="F4499" s="23">
        <f t="shared" si="210"/>
        <v>0.22430555555911269</v>
      </c>
      <c r="G4499" s="24">
        <f t="shared" si="212"/>
        <v>55.727554178682816</v>
      </c>
      <c r="H4499" s="1" t="s">
        <v>1</v>
      </c>
      <c r="I4499" s="4" t="s">
        <v>2</v>
      </c>
      <c r="J4499" s="14">
        <v>0.67847222222222225</v>
      </c>
      <c r="K4499" s="20" t="str">
        <f t="shared" si="211"/>
        <v>2nd Shift</v>
      </c>
    </row>
    <row r="4500" spans="1:11" x14ac:dyDescent="0.25">
      <c r="A4500" s="1">
        <v>4499</v>
      </c>
      <c r="B4500" s="1">
        <v>7</v>
      </c>
      <c r="C4500" s="3">
        <v>7115271804909</v>
      </c>
      <c r="D4500" s="2">
        <v>44683.678472222222</v>
      </c>
      <c r="E4500" s="2">
        <v>44683.902777777781</v>
      </c>
      <c r="F4500" s="23">
        <f t="shared" si="210"/>
        <v>0.22430555555911269</v>
      </c>
      <c r="G4500" s="24">
        <f t="shared" si="212"/>
        <v>55.727554178682816</v>
      </c>
      <c r="H4500" s="1" t="s">
        <v>1</v>
      </c>
      <c r="I4500" s="4" t="s">
        <v>2</v>
      </c>
      <c r="J4500" s="14">
        <v>0.67847222222222225</v>
      </c>
      <c r="K4500" s="20" t="str">
        <f t="shared" si="211"/>
        <v>2nd Shift</v>
      </c>
    </row>
    <row r="4501" spans="1:11" x14ac:dyDescent="0.25">
      <c r="A4501" s="1">
        <v>4500</v>
      </c>
      <c r="B4501" s="1">
        <v>7</v>
      </c>
      <c r="C4501" s="3">
        <v>7115271792600</v>
      </c>
      <c r="D4501" s="2">
        <v>44683.678472222222</v>
      </c>
      <c r="E4501" s="2">
        <v>44683.902777777781</v>
      </c>
      <c r="F4501" s="23">
        <f t="shared" si="210"/>
        <v>0.22430555555911269</v>
      </c>
      <c r="G4501" s="24">
        <f t="shared" si="212"/>
        <v>55.727554178682816</v>
      </c>
      <c r="H4501" s="1" t="s">
        <v>1</v>
      </c>
      <c r="I4501" s="4" t="s">
        <v>3</v>
      </c>
      <c r="J4501" s="14">
        <v>0.67847222222222225</v>
      </c>
      <c r="K4501" s="20" t="str">
        <f t="shared" si="211"/>
        <v>2nd Shift</v>
      </c>
    </row>
    <row r="4502" spans="1:11" x14ac:dyDescent="0.25">
      <c r="A4502" s="1">
        <v>4501</v>
      </c>
      <c r="B4502" s="1">
        <v>7</v>
      </c>
      <c r="C4502" s="3">
        <v>7115271787212</v>
      </c>
      <c r="D4502" s="2">
        <v>44683.678472222222</v>
      </c>
      <c r="E4502" s="2">
        <v>44683.902777777781</v>
      </c>
      <c r="F4502" s="23">
        <f t="shared" si="210"/>
        <v>0.22430555555911269</v>
      </c>
      <c r="G4502" s="24">
        <f t="shared" si="212"/>
        <v>55.727554178682816</v>
      </c>
      <c r="H4502" s="1" t="s">
        <v>1</v>
      </c>
      <c r="I4502" s="4" t="s">
        <v>2</v>
      </c>
      <c r="J4502" s="14">
        <v>0.67847222222222225</v>
      </c>
      <c r="K4502" s="20" t="str">
        <f t="shared" si="211"/>
        <v>2nd Shift</v>
      </c>
    </row>
    <row r="4503" spans="1:11" x14ac:dyDescent="0.25">
      <c r="A4503" s="1">
        <v>4502</v>
      </c>
      <c r="B4503" s="1">
        <v>2</v>
      </c>
      <c r="C4503" s="3">
        <v>2115270261600</v>
      </c>
      <c r="D4503" s="2">
        <v>44683.678472222222</v>
      </c>
      <c r="E4503" s="2">
        <v>44683.902777777781</v>
      </c>
      <c r="F4503" s="23">
        <f t="shared" si="210"/>
        <v>0.22430555555911269</v>
      </c>
      <c r="G4503" s="24">
        <f t="shared" si="212"/>
        <v>55.727554178682816</v>
      </c>
      <c r="H4503" s="1" t="s">
        <v>1</v>
      </c>
      <c r="I4503" s="4" t="s">
        <v>2</v>
      </c>
      <c r="J4503" s="14">
        <v>0.67847222222222225</v>
      </c>
      <c r="K4503" s="20" t="str">
        <f t="shared" si="211"/>
        <v>2nd Shift</v>
      </c>
    </row>
    <row r="4504" spans="1:11" x14ac:dyDescent="0.25">
      <c r="A4504" s="1">
        <v>4503</v>
      </c>
      <c r="B4504" s="1">
        <v>1</v>
      </c>
      <c r="C4504" s="3">
        <v>1115270062400</v>
      </c>
      <c r="D4504" s="2">
        <v>44683.951388888891</v>
      </c>
      <c r="E4504" s="2">
        <v>44683.979166666664</v>
      </c>
      <c r="F4504" s="23">
        <f t="shared" si="210"/>
        <v>2.7777777773735579E-2</v>
      </c>
      <c r="G4504" s="24">
        <f t="shared" si="212"/>
        <v>450.00000006548362</v>
      </c>
      <c r="H4504" s="1" t="s">
        <v>1</v>
      </c>
      <c r="I4504" s="4" t="s">
        <v>2</v>
      </c>
      <c r="J4504" s="14">
        <v>0.95138888888888884</v>
      </c>
      <c r="K4504" s="20" t="str">
        <f t="shared" si="211"/>
        <v>3rd Shift</v>
      </c>
    </row>
    <row r="4505" spans="1:11" x14ac:dyDescent="0.25">
      <c r="A4505" s="1">
        <v>4504</v>
      </c>
      <c r="B4505" s="1">
        <v>12</v>
      </c>
      <c r="C4505" s="3">
        <v>12115271560113</v>
      </c>
      <c r="D4505" s="2">
        <v>44684.017361111109</v>
      </c>
      <c r="E4505" s="2">
        <v>44684.107638888891</v>
      </c>
      <c r="F4505" s="23">
        <f t="shared" si="210"/>
        <v>9.0277777781011537E-2</v>
      </c>
      <c r="G4505" s="24">
        <f t="shared" si="212"/>
        <v>138.46153845657875</v>
      </c>
      <c r="H4505" s="1" t="s">
        <v>1</v>
      </c>
      <c r="I4505" s="4" t="s">
        <v>2</v>
      </c>
      <c r="J4505" s="14">
        <v>1.7361111111111112E-2</v>
      </c>
      <c r="K4505" s="20" t="str">
        <f t="shared" si="211"/>
        <v>3rd Shift</v>
      </c>
    </row>
    <row r="4506" spans="1:11" x14ac:dyDescent="0.25">
      <c r="A4506" s="1">
        <v>4505</v>
      </c>
      <c r="B4506" s="1">
        <v>10</v>
      </c>
      <c r="C4506" s="3">
        <v>10115271453603</v>
      </c>
      <c r="D4506" s="2">
        <v>44684.017361111109</v>
      </c>
      <c r="E4506" s="2">
        <v>44684.107638888891</v>
      </c>
      <c r="F4506" s="23">
        <f t="shared" si="210"/>
        <v>9.0277777781011537E-2</v>
      </c>
      <c r="G4506" s="24">
        <f t="shared" si="212"/>
        <v>138.46153845657875</v>
      </c>
      <c r="H4506" s="1" t="s">
        <v>1</v>
      </c>
      <c r="I4506" s="4" t="s">
        <v>2</v>
      </c>
      <c r="J4506" s="14">
        <v>1.7361111111111112E-2</v>
      </c>
      <c r="K4506" s="20" t="str">
        <f t="shared" si="211"/>
        <v>3rd Shift</v>
      </c>
    </row>
    <row r="4507" spans="1:11" x14ac:dyDescent="0.25">
      <c r="A4507" s="1">
        <v>4506</v>
      </c>
      <c r="B4507" s="1">
        <v>12</v>
      </c>
      <c r="C4507" s="3">
        <v>12115271569303</v>
      </c>
      <c r="D4507" s="2">
        <v>44684.538194444445</v>
      </c>
      <c r="E4507" s="2">
        <v>44684.572916666664</v>
      </c>
      <c r="F4507" s="23">
        <f t="shared" si="210"/>
        <v>3.4722222218988463E-2</v>
      </c>
      <c r="G4507" s="24">
        <f t="shared" si="212"/>
        <v>360.00000003352761</v>
      </c>
      <c r="H4507" s="1" t="s">
        <v>1</v>
      </c>
      <c r="I4507" s="4" t="s">
        <v>2</v>
      </c>
      <c r="J4507" s="14">
        <v>0.53819444444444442</v>
      </c>
      <c r="K4507" s="20" t="str">
        <f t="shared" si="211"/>
        <v>1st Shift</v>
      </c>
    </row>
    <row r="4508" spans="1:11" x14ac:dyDescent="0.25">
      <c r="A4508" s="1">
        <v>4507</v>
      </c>
      <c r="B4508" s="1">
        <v>3</v>
      </c>
      <c r="C4508" s="3">
        <v>3115270355900</v>
      </c>
      <c r="D4508" s="2">
        <v>44684.538194444445</v>
      </c>
      <c r="E4508" s="2">
        <v>44684.572916666664</v>
      </c>
      <c r="F4508" s="23">
        <f t="shared" si="210"/>
        <v>3.4722222218988463E-2</v>
      </c>
      <c r="G4508" s="24">
        <f t="shared" si="212"/>
        <v>360.00000003352761</v>
      </c>
      <c r="H4508" s="1" t="s">
        <v>1</v>
      </c>
      <c r="I4508" s="4" t="s">
        <v>2</v>
      </c>
      <c r="J4508" s="14">
        <v>0.53819444444444442</v>
      </c>
      <c r="K4508" s="20" t="str">
        <f t="shared" si="211"/>
        <v>1st Shift</v>
      </c>
    </row>
    <row r="4509" spans="1:11" x14ac:dyDescent="0.25">
      <c r="A4509" s="1">
        <v>4508</v>
      </c>
      <c r="B4509" s="1">
        <v>3</v>
      </c>
      <c r="C4509" s="3">
        <v>3115270324503</v>
      </c>
      <c r="D4509" s="2">
        <v>44684.538194444445</v>
      </c>
      <c r="E4509" s="2">
        <v>44684.572916666664</v>
      </c>
      <c r="F4509" s="23">
        <f t="shared" si="210"/>
        <v>3.4722222218988463E-2</v>
      </c>
      <c r="G4509" s="24">
        <f t="shared" si="212"/>
        <v>360.00000003352761</v>
      </c>
      <c r="H4509" s="1" t="s">
        <v>1</v>
      </c>
      <c r="I4509" s="4" t="s">
        <v>3</v>
      </c>
      <c r="J4509" s="14">
        <v>0.53819444444444442</v>
      </c>
      <c r="K4509" s="20" t="str">
        <f t="shared" si="211"/>
        <v>1st Shift</v>
      </c>
    </row>
    <row r="4510" spans="1:11" x14ac:dyDescent="0.25">
      <c r="A4510" s="1">
        <v>4509</v>
      </c>
      <c r="B4510" s="1">
        <v>6</v>
      </c>
      <c r="C4510" s="3">
        <v>6115271733500</v>
      </c>
      <c r="D4510" s="2">
        <v>44684.713194444441</v>
      </c>
      <c r="E4510" s="2">
        <v>44684.9375</v>
      </c>
      <c r="F4510" s="23">
        <f t="shared" si="210"/>
        <v>0.22430555555911269</v>
      </c>
      <c r="G4510" s="24">
        <f t="shared" si="212"/>
        <v>55.727554178682816</v>
      </c>
      <c r="H4510" s="1" t="s">
        <v>1</v>
      </c>
      <c r="I4510" s="4" t="s">
        <v>2</v>
      </c>
      <c r="J4510" s="14">
        <v>0.71319444444444446</v>
      </c>
      <c r="K4510" s="20" t="str">
        <f t="shared" si="211"/>
        <v>2nd Shift</v>
      </c>
    </row>
    <row r="4511" spans="1:11" x14ac:dyDescent="0.25">
      <c r="A4511" s="1">
        <v>4510</v>
      </c>
      <c r="B4511" s="1">
        <v>3</v>
      </c>
      <c r="C4511" s="3">
        <v>3115270421100</v>
      </c>
      <c r="D4511" s="2">
        <v>44684.713194444441</v>
      </c>
      <c r="E4511" s="2">
        <v>44684.9375</v>
      </c>
      <c r="F4511" s="23">
        <f t="shared" si="210"/>
        <v>0.22430555555911269</v>
      </c>
      <c r="G4511" s="24">
        <f t="shared" si="212"/>
        <v>55.727554178682816</v>
      </c>
      <c r="H4511" s="1" t="s">
        <v>1</v>
      </c>
      <c r="I4511" s="4" t="s">
        <v>2</v>
      </c>
      <c r="J4511" s="14">
        <v>0.71319444444444446</v>
      </c>
      <c r="K4511" s="20" t="str">
        <f t="shared" si="211"/>
        <v>2nd Shift</v>
      </c>
    </row>
    <row r="4512" spans="1:11" x14ac:dyDescent="0.25">
      <c r="A4512" s="1">
        <v>4511</v>
      </c>
      <c r="B4512" s="1">
        <v>3</v>
      </c>
      <c r="C4512" s="3">
        <v>3115270396400</v>
      </c>
      <c r="D4512" s="2">
        <v>44684.713194444441</v>
      </c>
      <c r="E4512" s="2">
        <v>44684.9375</v>
      </c>
      <c r="F4512" s="23">
        <f t="shared" si="210"/>
        <v>0.22430555555911269</v>
      </c>
      <c r="G4512" s="24">
        <f t="shared" si="212"/>
        <v>55.727554178682816</v>
      </c>
      <c r="H4512" s="1" t="s">
        <v>1</v>
      </c>
      <c r="I4512" s="4" t="s">
        <v>2</v>
      </c>
      <c r="J4512" s="14">
        <v>0.71319444444444446</v>
      </c>
      <c r="K4512" s="20" t="str">
        <f t="shared" si="211"/>
        <v>2nd Shift</v>
      </c>
    </row>
    <row r="4513" spans="1:11" x14ac:dyDescent="0.25">
      <c r="A4513" s="1">
        <v>4512</v>
      </c>
      <c r="B4513" s="1">
        <v>3</v>
      </c>
      <c r="C4513" s="3">
        <v>3115270360200</v>
      </c>
      <c r="D4513" s="2">
        <v>44684.713194444441</v>
      </c>
      <c r="E4513" s="2">
        <v>44684.9375</v>
      </c>
      <c r="F4513" s="23">
        <f t="shared" si="210"/>
        <v>0.22430555555911269</v>
      </c>
      <c r="G4513" s="24">
        <f t="shared" si="212"/>
        <v>55.727554178682816</v>
      </c>
      <c r="H4513" s="1" t="s">
        <v>1</v>
      </c>
      <c r="I4513" s="4" t="s">
        <v>2</v>
      </c>
      <c r="J4513" s="14">
        <v>0.71319444444444446</v>
      </c>
      <c r="K4513" s="20" t="str">
        <f t="shared" si="211"/>
        <v>2nd Shift</v>
      </c>
    </row>
    <row r="4514" spans="1:11" x14ac:dyDescent="0.25">
      <c r="A4514" s="1">
        <v>4513</v>
      </c>
      <c r="B4514" s="1">
        <v>2</v>
      </c>
      <c r="C4514" s="3">
        <v>2115270229700</v>
      </c>
      <c r="D4514" s="2">
        <v>44684.947916666664</v>
      </c>
      <c r="E4514" s="2">
        <v>44685.052083333336</v>
      </c>
      <c r="F4514" s="23">
        <f t="shared" si="210"/>
        <v>0.10416666667151731</v>
      </c>
      <c r="G4514" s="24">
        <f t="shared" si="212"/>
        <v>119.99999999441206</v>
      </c>
      <c r="H4514" s="1" t="s">
        <v>1</v>
      </c>
      <c r="I4514" s="4" t="s">
        <v>3</v>
      </c>
      <c r="J4514" s="14">
        <v>0.94791666666666663</v>
      </c>
      <c r="K4514" s="20" t="str">
        <f t="shared" si="211"/>
        <v>3rd Shift</v>
      </c>
    </row>
    <row r="4515" spans="1:11" x14ac:dyDescent="0.25">
      <c r="A4515" s="1">
        <v>4514</v>
      </c>
      <c r="B4515" s="1">
        <v>1</v>
      </c>
      <c r="C4515" s="3">
        <v>1115270067700</v>
      </c>
      <c r="D4515" s="2">
        <v>44684.947916666664</v>
      </c>
      <c r="E4515" s="2">
        <v>44685.052083333336</v>
      </c>
      <c r="F4515" s="23">
        <f t="shared" si="210"/>
        <v>0.10416666667151731</v>
      </c>
      <c r="G4515" s="24">
        <f t="shared" si="212"/>
        <v>119.99999999441206</v>
      </c>
      <c r="H4515" s="1" t="s">
        <v>1</v>
      </c>
      <c r="I4515" s="4" t="s">
        <v>2</v>
      </c>
      <c r="J4515" s="14">
        <v>0.94791666666666663</v>
      </c>
      <c r="K4515" s="20" t="str">
        <f t="shared" si="211"/>
        <v>3rd Shift</v>
      </c>
    </row>
    <row r="4516" spans="1:11" x14ac:dyDescent="0.25">
      <c r="A4516" s="1">
        <v>4515</v>
      </c>
      <c r="B4516" s="1">
        <v>15</v>
      </c>
      <c r="C4516" s="3">
        <v>15115271794151</v>
      </c>
      <c r="D4516" s="2">
        <v>44685.458333333336</v>
      </c>
      <c r="E4516" s="2">
        <v>44685.583333333336</v>
      </c>
      <c r="F4516" s="23">
        <f t="shared" si="210"/>
        <v>0.125</v>
      </c>
      <c r="G4516" s="24">
        <f t="shared" si="212"/>
        <v>100</v>
      </c>
      <c r="H4516" s="1" t="s">
        <v>1</v>
      </c>
      <c r="I4516" s="4" t="s">
        <v>2</v>
      </c>
      <c r="J4516" s="14">
        <v>0.45833333333333331</v>
      </c>
      <c r="K4516" s="20" t="str">
        <f t="shared" si="211"/>
        <v>1st Shift</v>
      </c>
    </row>
    <row r="4517" spans="1:11" x14ac:dyDescent="0.25">
      <c r="A4517" s="1">
        <v>4516</v>
      </c>
      <c r="B4517" s="1">
        <v>12</v>
      </c>
      <c r="C4517" s="3">
        <v>12115271569601</v>
      </c>
      <c r="D4517" s="2">
        <v>44685.351388888892</v>
      </c>
      <c r="E4517" s="2">
        <v>44685.583333333336</v>
      </c>
      <c r="F4517" s="23">
        <f t="shared" si="210"/>
        <v>0.23194444444379769</v>
      </c>
      <c r="G4517" s="24">
        <f t="shared" si="212"/>
        <v>53.892215569012549</v>
      </c>
      <c r="H4517" s="1" t="s">
        <v>1</v>
      </c>
      <c r="I4517" s="4" t="s">
        <v>2</v>
      </c>
      <c r="J4517" s="14">
        <v>0.35138888888888886</v>
      </c>
      <c r="K4517" s="20" t="str">
        <f t="shared" si="211"/>
        <v>1st Shift</v>
      </c>
    </row>
    <row r="4518" spans="1:11" x14ac:dyDescent="0.25">
      <c r="A4518" s="1">
        <v>4517</v>
      </c>
      <c r="B4518" s="1">
        <v>12</v>
      </c>
      <c r="C4518" s="3">
        <v>12115271568581</v>
      </c>
      <c r="D4518" s="2">
        <v>44685.541666666664</v>
      </c>
      <c r="E4518" s="2">
        <v>44685.583333333336</v>
      </c>
      <c r="F4518" s="23">
        <f t="shared" si="210"/>
        <v>4.1666666671517305E-2</v>
      </c>
      <c r="G4518" s="24">
        <f t="shared" si="212"/>
        <v>299.9999999650754</v>
      </c>
      <c r="H4518" s="1" t="s">
        <v>1</v>
      </c>
      <c r="I4518" s="4" t="s">
        <v>2</v>
      </c>
      <c r="J4518" s="14">
        <v>0.54166666666666663</v>
      </c>
      <c r="K4518" s="20" t="str">
        <f t="shared" si="211"/>
        <v>1st Shift</v>
      </c>
    </row>
    <row r="4519" spans="1:11" x14ac:dyDescent="0.25">
      <c r="A4519" s="1">
        <v>4518</v>
      </c>
      <c r="B4519" s="1">
        <v>10</v>
      </c>
      <c r="C4519" s="3">
        <v>10115271423700</v>
      </c>
      <c r="D4519" s="2">
        <v>44685.541666666664</v>
      </c>
      <c r="E4519" s="2">
        <v>44685.583333333336</v>
      </c>
      <c r="F4519" s="23">
        <f t="shared" si="210"/>
        <v>4.1666666671517305E-2</v>
      </c>
      <c r="G4519" s="24">
        <f t="shared" si="212"/>
        <v>299.9999999650754</v>
      </c>
      <c r="H4519" s="1" t="s">
        <v>1</v>
      </c>
      <c r="I4519" s="4" t="s">
        <v>2</v>
      </c>
      <c r="J4519" s="14">
        <v>0.54166666666666663</v>
      </c>
      <c r="K4519" s="20" t="str">
        <f t="shared" si="211"/>
        <v>1st Shift</v>
      </c>
    </row>
    <row r="4520" spans="1:11" x14ac:dyDescent="0.25">
      <c r="A4520" s="1">
        <v>4519</v>
      </c>
      <c r="B4520" s="1">
        <v>8</v>
      </c>
      <c r="C4520" s="3">
        <v>8115271855700</v>
      </c>
      <c r="D4520" s="2">
        <v>44685.541666666664</v>
      </c>
      <c r="E4520" s="2">
        <v>44685.583333333336</v>
      </c>
      <c r="F4520" s="23">
        <f t="shared" si="210"/>
        <v>4.1666666671517305E-2</v>
      </c>
      <c r="G4520" s="24">
        <f t="shared" si="212"/>
        <v>299.9999999650754</v>
      </c>
      <c r="H4520" s="1" t="s">
        <v>1</v>
      </c>
      <c r="I4520" s="4" t="s">
        <v>8</v>
      </c>
      <c r="J4520" s="14">
        <v>0.54166666666666663</v>
      </c>
      <c r="K4520" s="20" t="str">
        <f t="shared" si="211"/>
        <v>1st Shift</v>
      </c>
    </row>
    <row r="4521" spans="1:11" x14ac:dyDescent="0.25">
      <c r="A4521" s="1">
        <v>4520</v>
      </c>
      <c r="B4521" s="1">
        <v>3</v>
      </c>
      <c r="C4521" s="3">
        <v>3115270366706</v>
      </c>
      <c r="D4521" s="2">
        <v>44685.351388888892</v>
      </c>
      <c r="E4521" s="2">
        <v>44685.583333333336</v>
      </c>
      <c r="F4521" s="23">
        <f t="shared" si="210"/>
        <v>0.23194444444379769</v>
      </c>
      <c r="G4521" s="24">
        <f t="shared" si="212"/>
        <v>53.892215569012549</v>
      </c>
      <c r="H4521" s="1" t="s">
        <v>1</v>
      </c>
      <c r="I4521" s="4" t="s">
        <v>2</v>
      </c>
      <c r="J4521" s="14">
        <v>0.35138888888888886</v>
      </c>
      <c r="K4521" s="20" t="str">
        <f t="shared" si="211"/>
        <v>1st Shift</v>
      </c>
    </row>
    <row r="4522" spans="1:11" x14ac:dyDescent="0.25">
      <c r="A4522" s="1">
        <v>4521</v>
      </c>
      <c r="B4522" s="1">
        <v>3</v>
      </c>
      <c r="C4522" s="3">
        <v>3115270312101</v>
      </c>
      <c r="D4522" s="2">
        <v>44685.520833333336</v>
      </c>
      <c r="E4522" s="2">
        <v>44685.583333333336</v>
      </c>
      <c r="F4522" s="23">
        <f t="shared" si="210"/>
        <v>6.25E-2</v>
      </c>
      <c r="G4522" s="24">
        <f t="shared" si="212"/>
        <v>200</v>
      </c>
      <c r="H4522" s="1" t="s">
        <v>1</v>
      </c>
      <c r="I4522" s="4" t="s">
        <v>2</v>
      </c>
      <c r="J4522" s="14">
        <v>0.52083333333333337</v>
      </c>
      <c r="K4522" s="20" t="str">
        <f t="shared" si="211"/>
        <v>1st Shift</v>
      </c>
    </row>
    <row r="4523" spans="1:11" x14ac:dyDescent="0.25">
      <c r="A4523" s="1">
        <v>4522</v>
      </c>
      <c r="B4523" s="1">
        <v>2</v>
      </c>
      <c r="C4523" s="3">
        <v>2115270297100</v>
      </c>
      <c r="D4523" s="2">
        <v>44685.351388888892</v>
      </c>
      <c r="E4523" s="2">
        <v>44685.583333333336</v>
      </c>
      <c r="F4523" s="23">
        <f t="shared" si="210"/>
        <v>0.23194444444379769</v>
      </c>
      <c r="G4523" s="24">
        <f t="shared" si="212"/>
        <v>53.892215569012549</v>
      </c>
      <c r="H4523" s="1" t="s">
        <v>1</v>
      </c>
      <c r="I4523" s="4" t="s">
        <v>2</v>
      </c>
      <c r="J4523" s="14">
        <v>0.35138888888888886</v>
      </c>
      <c r="K4523" s="20" t="str">
        <f t="shared" si="211"/>
        <v>1st Shift</v>
      </c>
    </row>
    <row r="4524" spans="1:11" x14ac:dyDescent="0.25">
      <c r="A4524" s="1">
        <v>4523</v>
      </c>
      <c r="B4524" s="1">
        <v>1</v>
      </c>
      <c r="C4524" s="3">
        <v>1115270127500</v>
      </c>
      <c r="D4524" s="2">
        <v>44685.520833333336</v>
      </c>
      <c r="E4524" s="2">
        <v>44685.583333333336</v>
      </c>
      <c r="F4524" s="23">
        <f t="shared" si="210"/>
        <v>6.25E-2</v>
      </c>
      <c r="G4524" s="24">
        <f t="shared" si="212"/>
        <v>200</v>
      </c>
      <c r="H4524" s="1" t="s">
        <v>1</v>
      </c>
      <c r="I4524" s="4" t="s">
        <v>3</v>
      </c>
      <c r="J4524" s="14">
        <v>0.52083333333333337</v>
      </c>
      <c r="K4524" s="20" t="str">
        <f t="shared" si="211"/>
        <v>1st Shift</v>
      </c>
    </row>
    <row r="4525" spans="1:11" x14ac:dyDescent="0.25">
      <c r="A4525" s="1">
        <v>4524</v>
      </c>
      <c r="B4525" s="1">
        <v>11</v>
      </c>
      <c r="C4525" s="3">
        <v>11115271533200</v>
      </c>
      <c r="D4525" s="2">
        <v>44685.708333333336</v>
      </c>
      <c r="E4525" s="2">
        <v>44685.770833333336</v>
      </c>
      <c r="F4525" s="23">
        <f t="shared" si="210"/>
        <v>6.25E-2</v>
      </c>
      <c r="G4525" s="24">
        <f t="shared" si="212"/>
        <v>200</v>
      </c>
      <c r="H4525" s="1" t="s">
        <v>1</v>
      </c>
      <c r="I4525" s="4" t="s">
        <v>2</v>
      </c>
      <c r="J4525" s="14">
        <v>0.70833333333333337</v>
      </c>
      <c r="K4525" s="20" t="str">
        <f t="shared" si="211"/>
        <v>2nd Shift</v>
      </c>
    </row>
    <row r="4526" spans="1:11" x14ac:dyDescent="0.25">
      <c r="A4526" s="1">
        <v>4525</v>
      </c>
      <c r="B4526" s="1">
        <v>9</v>
      </c>
      <c r="C4526" s="3">
        <v>9115271968100</v>
      </c>
      <c r="D4526" s="2">
        <v>44685.708333333336</v>
      </c>
      <c r="E4526" s="2">
        <v>44685.770833333336</v>
      </c>
      <c r="F4526" s="23">
        <f t="shared" si="210"/>
        <v>6.25E-2</v>
      </c>
      <c r="G4526" s="24">
        <f t="shared" si="212"/>
        <v>200</v>
      </c>
      <c r="H4526" s="1" t="s">
        <v>1</v>
      </c>
      <c r="I4526" s="4" t="s">
        <v>3</v>
      </c>
      <c r="J4526" s="14">
        <v>0.70833333333333337</v>
      </c>
      <c r="K4526" s="20" t="str">
        <f t="shared" si="211"/>
        <v>2nd Shift</v>
      </c>
    </row>
    <row r="4527" spans="1:11" x14ac:dyDescent="0.25">
      <c r="A4527" s="1">
        <v>4526</v>
      </c>
      <c r="B4527" s="1">
        <v>6</v>
      </c>
      <c r="C4527" s="3">
        <v>6115271723604</v>
      </c>
      <c r="D4527" s="2">
        <v>44686.020833333336</v>
      </c>
      <c r="E4527" s="2">
        <v>44686.052083333336</v>
      </c>
      <c r="F4527" s="23">
        <f t="shared" si="210"/>
        <v>3.125E-2</v>
      </c>
      <c r="G4527" s="24">
        <f t="shared" si="212"/>
        <v>400</v>
      </c>
      <c r="H4527" s="1" t="s">
        <v>1</v>
      </c>
      <c r="I4527" s="4" t="s">
        <v>2</v>
      </c>
      <c r="J4527" s="14">
        <v>2.0833333333333332E-2</v>
      </c>
      <c r="K4527" s="20" t="str">
        <f t="shared" si="211"/>
        <v>3rd Shift</v>
      </c>
    </row>
    <row r="4528" spans="1:11" x14ac:dyDescent="0.25">
      <c r="A4528" s="1">
        <v>4527</v>
      </c>
      <c r="B4528" s="1">
        <v>3</v>
      </c>
      <c r="C4528" s="3">
        <v>3115270350500</v>
      </c>
      <c r="D4528" s="2">
        <v>44686.069444444445</v>
      </c>
      <c r="E4528" s="2">
        <v>44686.104166666664</v>
      </c>
      <c r="F4528" s="23">
        <f t="shared" si="210"/>
        <v>3.4722222218988463E-2</v>
      </c>
      <c r="G4528" s="24">
        <f t="shared" si="212"/>
        <v>360.00000003352761</v>
      </c>
      <c r="H4528" s="1" t="s">
        <v>1</v>
      </c>
      <c r="I4528" s="4" t="s">
        <v>2</v>
      </c>
      <c r="J4528" s="14">
        <v>6.9444444444444448E-2</v>
      </c>
      <c r="K4528" s="20" t="str">
        <f t="shared" si="211"/>
        <v>3rd Shift</v>
      </c>
    </row>
    <row r="4529" spans="1:11" x14ac:dyDescent="0.25">
      <c r="A4529" s="1">
        <v>4528</v>
      </c>
      <c r="B4529" s="1">
        <v>13</v>
      </c>
      <c r="C4529" s="3">
        <v>13115271592304</v>
      </c>
      <c r="D4529" s="2">
        <v>44686.458333333336</v>
      </c>
      <c r="E4529" s="2">
        <v>44686.5625</v>
      </c>
      <c r="F4529" s="23">
        <f t="shared" si="210"/>
        <v>0.10416666666424135</v>
      </c>
      <c r="G4529" s="24">
        <f t="shared" si="212"/>
        <v>120.00000000279397</v>
      </c>
      <c r="H4529" s="1" t="s">
        <v>1</v>
      </c>
      <c r="I4529" s="4" t="s">
        <v>2</v>
      </c>
      <c r="J4529" s="14">
        <v>0.45833333333333331</v>
      </c>
      <c r="K4529" s="20" t="str">
        <f t="shared" si="211"/>
        <v>1st Shift</v>
      </c>
    </row>
    <row r="4530" spans="1:11" x14ac:dyDescent="0.25">
      <c r="A4530" s="1">
        <v>4529</v>
      </c>
      <c r="B4530" s="1">
        <v>10</v>
      </c>
      <c r="C4530" s="3">
        <v>10115271958400</v>
      </c>
      <c r="D4530" s="2">
        <v>44686.458333333336</v>
      </c>
      <c r="E4530" s="2">
        <v>44686.5625</v>
      </c>
      <c r="F4530" s="23">
        <f t="shared" si="210"/>
        <v>0.10416666666424135</v>
      </c>
      <c r="G4530" s="24">
        <f t="shared" si="212"/>
        <v>120.00000000279397</v>
      </c>
      <c r="H4530" s="1" t="s">
        <v>1</v>
      </c>
      <c r="I4530" s="4" t="s">
        <v>2</v>
      </c>
      <c r="J4530" s="14">
        <v>0.45833333333333331</v>
      </c>
      <c r="K4530" s="20" t="str">
        <f t="shared" si="211"/>
        <v>1st Shift</v>
      </c>
    </row>
    <row r="4531" spans="1:11" x14ac:dyDescent="0.25">
      <c r="A4531" s="1">
        <v>4530</v>
      </c>
      <c r="B4531" s="1">
        <v>7</v>
      </c>
      <c r="C4531" s="3">
        <v>7115271766608</v>
      </c>
      <c r="D4531" s="2">
        <v>44686.458333333336</v>
      </c>
      <c r="E4531" s="2">
        <v>44686.5625</v>
      </c>
      <c r="F4531" s="23">
        <f t="shared" si="210"/>
        <v>0.10416666666424135</v>
      </c>
      <c r="G4531" s="24">
        <f t="shared" si="212"/>
        <v>120.00000000279397</v>
      </c>
      <c r="H4531" s="1" t="s">
        <v>1</v>
      </c>
      <c r="I4531" s="4" t="s">
        <v>4</v>
      </c>
      <c r="J4531" s="14">
        <v>0.45833333333333331</v>
      </c>
      <c r="K4531" s="20" t="str">
        <f t="shared" si="211"/>
        <v>1st Shift</v>
      </c>
    </row>
    <row r="4532" spans="1:11" x14ac:dyDescent="0.25">
      <c r="A4532" s="1">
        <v>4531</v>
      </c>
      <c r="B4532" s="1">
        <v>1</v>
      </c>
      <c r="C4532" s="3">
        <v>1115270088300</v>
      </c>
      <c r="D4532" s="2">
        <v>44686.458333333336</v>
      </c>
      <c r="E4532" s="2">
        <v>44686.5625</v>
      </c>
      <c r="F4532" s="23">
        <f t="shared" si="210"/>
        <v>0.10416666666424135</v>
      </c>
      <c r="G4532" s="24">
        <f t="shared" si="212"/>
        <v>120.00000000279397</v>
      </c>
      <c r="H4532" s="1" t="s">
        <v>1</v>
      </c>
      <c r="I4532" s="4" t="s">
        <v>2</v>
      </c>
      <c r="J4532" s="14">
        <v>0.45833333333333331</v>
      </c>
      <c r="K4532" s="20" t="str">
        <f t="shared" si="211"/>
        <v>1st Shift</v>
      </c>
    </row>
    <row r="4533" spans="1:11" x14ac:dyDescent="0.25">
      <c r="A4533" s="1">
        <v>4532</v>
      </c>
      <c r="B4533" s="1">
        <v>11</v>
      </c>
      <c r="C4533" s="3">
        <v>11115271552500</v>
      </c>
      <c r="D4533" s="2">
        <v>44683.423611111109</v>
      </c>
      <c r="E4533" s="2">
        <v>44686.576388888891</v>
      </c>
      <c r="F4533" s="23">
        <f t="shared" si="210"/>
        <v>3.1527777777810115</v>
      </c>
      <c r="G4533" s="24">
        <f t="shared" si="212"/>
        <v>3.9647577092470345</v>
      </c>
      <c r="H4533" s="1" t="s">
        <v>1</v>
      </c>
      <c r="I4533" s="4" t="s">
        <v>2</v>
      </c>
      <c r="J4533" s="14">
        <v>0.4236111111111111</v>
      </c>
      <c r="K4533" s="20" t="str">
        <f t="shared" si="211"/>
        <v>1st Shift</v>
      </c>
    </row>
    <row r="4534" spans="1:11" x14ac:dyDescent="0.25">
      <c r="A4534" s="1">
        <v>4533</v>
      </c>
      <c r="B4534" s="1">
        <v>12</v>
      </c>
      <c r="C4534" s="3">
        <v>12115271571042</v>
      </c>
      <c r="D4534" s="2">
        <v>44686.760416666664</v>
      </c>
      <c r="E4534" s="2">
        <v>44686.805555555555</v>
      </c>
      <c r="F4534" s="23">
        <f t="shared" si="210"/>
        <v>4.5138888890505768E-2</v>
      </c>
      <c r="G4534" s="24">
        <f t="shared" si="212"/>
        <v>276.9230769131575</v>
      </c>
      <c r="H4534" s="1" t="s">
        <v>1</v>
      </c>
      <c r="I4534" s="4" t="s">
        <v>2</v>
      </c>
      <c r="J4534" s="14">
        <v>0.76041666666666663</v>
      </c>
      <c r="K4534" s="20" t="str">
        <f t="shared" si="211"/>
        <v>2nd Shift</v>
      </c>
    </row>
    <row r="4535" spans="1:11" x14ac:dyDescent="0.25">
      <c r="A4535" s="1">
        <v>4534</v>
      </c>
      <c r="B4535" s="1">
        <v>14</v>
      </c>
      <c r="C4535" s="3">
        <v>14115271672406</v>
      </c>
      <c r="D4535" s="2">
        <v>44687.000011574077</v>
      </c>
      <c r="E4535" s="2">
        <v>44687.0625</v>
      </c>
      <c r="F4535" s="23">
        <f t="shared" si="210"/>
        <v>6.2488425923220348E-2</v>
      </c>
      <c r="G4535" s="24">
        <f t="shared" si="212"/>
        <v>200.03704390567901</v>
      </c>
      <c r="H4535" s="1" t="s">
        <v>1</v>
      </c>
      <c r="I4535" s="4" t="s">
        <v>2</v>
      </c>
      <c r="J4535" s="14">
        <v>1.1574074074074073E-5</v>
      </c>
      <c r="K4535" s="20" t="str">
        <f t="shared" si="211"/>
        <v>3rd Shift</v>
      </c>
    </row>
    <row r="4536" spans="1:11" x14ac:dyDescent="0.25">
      <c r="A4536" s="1">
        <v>4535</v>
      </c>
      <c r="B4536" s="1">
        <v>1</v>
      </c>
      <c r="C4536" s="3">
        <v>1115270077900</v>
      </c>
      <c r="D4536" s="2">
        <v>44687.000011574077</v>
      </c>
      <c r="E4536" s="2">
        <v>44687.0625</v>
      </c>
      <c r="F4536" s="23">
        <f t="shared" si="210"/>
        <v>6.2488425923220348E-2</v>
      </c>
      <c r="G4536" s="24">
        <f t="shared" si="212"/>
        <v>200.03704390567901</v>
      </c>
      <c r="H4536" s="1" t="s">
        <v>1</v>
      </c>
      <c r="I4536" s="4" t="s">
        <v>2</v>
      </c>
      <c r="J4536" s="14">
        <v>1.1574074074074073E-5</v>
      </c>
      <c r="K4536" s="20" t="str">
        <f t="shared" si="211"/>
        <v>3rd Shift</v>
      </c>
    </row>
    <row r="4537" spans="1:11" x14ac:dyDescent="0.25">
      <c r="A4537" s="1">
        <v>4536</v>
      </c>
      <c r="B4537" s="1">
        <v>13</v>
      </c>
      <c r="C4537" s="3">
        <v>13115271639200</v>
      </c>
      <c r="D4537" s="2">
        <v>44687.354166666664</v>
      </c>
      <c r="E4537" s="2">
        <v>44687.397222222222</v>
      </c>
      <c r="F4537" s="23">
        <f t="shared" si="210"/>
        <v>4.3055555557657499E-2</v>
      </c>
      <c r="G4537" s="24">
        <f t="shared" si="212"/>
        <v>290.32258063098794</v>
      </c>
      <c r="H4537" s="1" t="s">
        <v>1</v>
      </c>
      <c r="I4537" s="4" t="s">
        <v>5</v>
      </c>
      <c r="J4537" s="14">
        <v>0.35416666666666669</v>
      </c>
      <c r="K4537" s="20" t="str">
        <f t="shared" si="211"/>
        <v>1st Shift</v>
      </c>
    </row>
    <row r="4538" spans="1:11" x14ac:dyDescent="0.25">
      <c r="A4538" s="1">
        <v>4537</v>
      </c>
      <c r="B4538" s="1">
        <v>11</v>
      </c>
      <c r="C4538" s="3">
        <v>11115271542400</v>
      </c>
      <c r="D4538" s="2">
        <v>44687.354166666664</v>
      </c>
      <c r="E4538" s="2">
        <v>44687.397222222222</v>
      </c>
      <c r="F4538" s="23">
        <f t="shared" si="210"/>
        <v>4.3055555557657499E-2</v>
      </c>
      <c r="G4538" s="24">
        <f t="shared" si="212"/>
        <v>290.32258063098794</v>
      </c>
      <c r="H4538" s="1" t="s">
        <v>1</v>
      </c>
      <c r="I4538" s="4" t="s">
        <v>3</v>
      </c>
      <c r="J4538" s="14">
        <v>0.35416666666666669</v>
      </c>
      <c r="K4538" s="20" t="str">
        <f t="shared" si="211"/>
        <v>1st Shift</v>
      </c>
    </row>
    <row r="4539" spans="1:11" x14ac:dyDescent="0.25">
      <c r="A4539" s="1">
        <v>4538</v>
      </c>
      <c r="B4539" s="1">
        <v>15</v>
      </c>
      <c r="C4539" s="3">
        <v>15115271757000</v>
      </c>
      <c r="D4539" s="2">
        <v>44687.409722222219</v>
      </c>
      <c r="E4539" s="2">
        <v>44687.472222222219</v>
      </c>
      <c r="F4539" s="23">
        <f t="shared" si="210"/>
        <v>6.25E-2</v>
      </c>
      <c r="G4539" s="24">
        <f t="shared" si="212"/>
        <v>200</v>
      </c>
      <c r="H4539" s="1" t="s">
        <v>1</v>
      </c>
      <c r="I4539" s="4" t="s">
        <v>2</v>
      </c>
      <c r="J4539" s="14">
        <v>0.40972222222222221</v>
      </c>
      <c r="K4539" s="20" t="str">
        <f t="shared" si="211"/>
        <v>1st Shift</v>
      </c>
    </row>
    <row r="4540" spans="1:11" x14ac:dyDescent="0.25">
      <c r="A4540" s="1">
        <v>4539</v>
      </c>
      <c r="B4540" s="1">
        <v>13</v>
      </c>
      <c r="C4540" s="3">
        <v>13115271662500</v>
      </c>
      <c r="D4540" s="2">
        <v>44687.409722222219</v>
      </c>
      <c r="E4540" s="2">
        <v>44687.472222222219</v>
      </c>
      <c r="F4540" s="23">
        <f t="shared" si="210"/>
        <v>6.25E-2</v>
      </c>
      <c r="G4540" s="24">
        <f t="shared" si="212"/>
        <v>200</v>
      </c>
      <c r="H4540" s="1" t="s">
        <v>1</v>
      </c>
      <c r="I4540" s="4" t="s">
        <v>4</v>
      </c>
      <c r="J4540" s="14">
        <v>0.40972222222222221</v>
      </c>
      <c r="K4540" s="20" t="str">
        <f t="shared" si="211"/>
        <v>1st Shift</v>
      </c>
    </row>
    <row r="4541" spans="1:11" x14ac:dyDescent="0.25">
      <c r="A4541" s="1">
        <v>4540</v>
      </c>
      <c r="B4541" s="1">
        <v>3</v>
      </c>
      <c r="C4541" s="3">
        <v>3115270341100</v>
      </c>
      <c r="D4541" s="2">
        <v>44687.552083333336</v>
      </c>
      <c r="E4541" s="2">
        <v>44687.645833333336</v>
      </c>
      <c r="F4541" s="23">
        <f t="shared" si="210"/>
        <v>9.375E-2</v>
      </c>
      <c r="G4541" s="24">
        <f t="shared" si="212"/>
        <v>133.33333333333331</v>
      </c>
      <c r="H4541" s="1" t="s">
        <v>1</v>
      </c>
      <c r="I4541" s="4" t="s">
        <v>2</v>
      </c>
      <c r="J4541" s="14">
        <v>0.55208333333333337</v>
      </c>
      <c r="K4541" s="20" t="str">
        <f t="shared" si="211"/>
        <v>1st Shift</v>
      </c>
    </row>
    <row r="4542" spans="1:11" x14ac:dyDescent="0.25">
      <c r="A4542" s="1">
        <v>4541</v>
      </c>
      <c r="B4542" s="1">
        <v>3</v>
      </c>
      <c r="C4542" s="3">
        <v>3115270334900</v>
      </c>
      <c r="D4542" s="2">
        <v>44687.552083333336</v>
      </c>
      <c r="E4542" s="2">
        <v>44687.645833333336</v>
      </c>
      <c r="F4542" s="23">
        <f t="shared" si="210"/>
        <v>9.375E-2</v>
      </c>
      <c r="G4542" s="24">
        <f t="shared" si="212"/>
        <v>133.33333333333331</v>
      </c>
      <c r="H4542" s="1" t="s">
        <v>1</v>
      </c>
      <c r="I4542" s="4" t="s">
        <v>2</v>
      </c>
      <c r="J4542" s="14">
        <v>0.55208333333333337</v>
      </c>
      <c r="K4542" s="20" t="str">
        <f t="shared" si="211"/>
        <v>1st Shift</v>
      </c>
    </row>
    <row r="4543" spans="1:11" x14ac:dyDescent="0.25">
      <c r="A4543" s="1">
        <v>4542</v>
      </c>
      <c r="B4543" s="1">
        <v>3</v>
      </c>
      <c r="C4543" s="3">
        <v>3115270334800</v>
      </c>
      <c r="D4543" s="2">
        <v>44687.552083333336</v>
      </c>
      <c r="E4543" s="2">
        <v>44687.645833333336</v>
      </c>
      <c r="F4543" s="23">
        <f t="shared" si="210"/>
        <v>9.375E-2</v>
      </c>
      <c r="G4543" s="24">
        <f t="shared" si="212"/>
        <v>133.33333333333331</v>
      </c>
      <c r="H4543" s="1" t="s">
        <v>1</v>
      </c>
      <c r="I4543" s="4" t="s">
        <v>2</v>
      </c>
      <c r="J4543" s="14">
        <v>0.55208333333333337</v>
      </c>
      <c r="K4543" s="20" t="str">
        <f t="shared" si="211"/>
        <v>1st Shift</v>
      </c>
    </row>
    <row r="4544" spans="1:11" x14ac:dyDescent="0.25">
      <c r="A4544" s="1">
        <v>4543</v>
      </c>
      <c r="B4544" s="1">
        <v>13</v>
      </c>
      <c r="C4544" s="3">
        <v>13115271590400</v>
      </c>
      <c r="D4544" s="2">
        <v>44687.635416666664</v>
      </c>
      <c r="E4544" s="2">
        <v>44687.9375</v>
      </c>
      <c r="F4544" s="23">
        <f t="shared" si="210"/>
        <v>0.30208333333575865</v>
      </c>
      <c r="G4544" s="24">
        <f t="shared" si="212"/>
        <v>41.379310344495366</v>
      </c>
      <c r="H4544" s="1" t="s">
        <v>1</v>
      </c>
      <c r="I4544" s="4" t="s">
        <v>3</v>
      </c>
      <c r="J4544" s="14">
        <v>0.63541666666666663</v>
      </c>
      <c r="K4544" s="20" t="str">
        <f t="shared" si="211"/>
        <v>2nd Shift</v>
      </c>
    </row>
    <row r="4545" spans="1:11" x14ac:dyDescent="0.25">
      <c r="A4545" s="1">
        <v>4544</v>
      </c>
      <c r="B4545" s="1">
        <v>12</v>
      </c>
      <c r="C4545" s="3">
        <v>12115271569300</v>
      </c>
      <c r="D4545" s="2">
        <v>44687.635416666664</v>
      </c>
      <c r="E4545" s="2">
        <v>44687.9375</v>
      </c>
      <c r="F4545" s="23">
        <f t="shared" si="210"/>
        <v>0.30208333333575865</v>
      </c>
      <c r="G4545" s="24">
        <f t="shared" si="212"/>
        <v>41.379310344495366</v>
      </c>
      <c r="H4545" s="1" t="s">
        <v>1</v>
      </c>
      <c r="I4545" s="4" t="s">
        <v>2</v>
      </c>
      <c r="J4545" s="14">
        <v>0.63541666666666663</v>
      </c>
      <c r="K4545" s="20" t="str">
        <f t="shared" si="211"/>
        <v>2nd Shift</v>
      </c>
    </row>
    <row r="4546" spans="1:11" x14ac:dyDescent="0.25">
      <c r="A4546" s="1">
        <v>4545</v>
      </c>
      <c r="B4546" s="1">
        <v>3</v>
      </c>
      <c r="C4546" s="3">
        <v>3115270363900</v>
      </c>
      <c r="D4546" s="2">
        <v>44687.635416666664</v>
      </c>
      <c r="E4546" s="2">
        <v>44687.9375</v>
      </c>
      <c r="F4546" s="23">
        <f t="shared" ref="F4546:F4609" si="213">E4546-D4546</f>
        <v>0.30208333333575865</v>
      </c>
      <c r="G4546" s="24">
        <f t="shared" si="212"/>
        <v>41.379310344495366</v>
      </c>
      <c r="H4546" s="1" t="s">
        <v>1</v>
      </c>
      <c r="I4546" s="4" t="s">
        <v>2</v>
      </c>
      <c r="J4546" s="14">
        <v>0.63541666666666663</v>
      </c>
      <c r="K4546" s="20" t="str">
        <f t="shared" ref="K4546:K4609" si="214">IF(AND(J4546&gt;=$M$3,J4546&lt;$M$4),"1st Shift",IF(AND(J4546&gt;=$M$4,J4546&lt;$M$5),"2nd Shift","3rd Shift"))</f>
        <v>2nd Shift</v>
      </c>
    </row>
    <row r="4547" spans="1:11" x14ac:dyDescent="0.25">
      <c r="A4547" s="1">
        <v>4546</v>
      </c>
      <c r="B4547" s="1">
        <v>2</v>
      </c>
      <c r="C4547" s="3">
        <v>2115270233600</v>
      </c>
      <c r="D4547" s="2">
        <v>44687.635416666664</v>
      </c>
      <c r="E4547" s="2">
        <v>44687.9375</v>
      </c>
      <c r="F4547" s="23">
        <f t="shared" si="213"/>
        <v>0.30208333333575865</v>
      </c>
      <c r="G4547" s="24">
        <f t="shared" ref="G4547:G4610" si="215">$M$9/F4547*100</f>
        <v>41.379310344495366</v>
      </c>
      <c r="H4547" s="1" t="s">
        <v>1</v>
      </c>
      <c r="I4547" s="4" t="s">
        <v>2</v>
      </c>
      <c r="J4547" s="14">
        <v>0.63541666666666663</v>
      </c>
      <c r="K4547" s="20" t="str">
        <f t="shared" si="214"/>
        <v>2nd Shift</v>
      </c>
    </row>
    <row r="4548" spans="1:11" x14ac:dyDescent="0.25">
      <c r="A4548" s="1">
        <v>4547</v>
      </c>
      <c r="B4548" s="1">
        <v>2</v>
      </c>
      <c r="C4548" s="3">
        <v>2115270217901</v>
      </c>
      <c r="D4548" s="2">
        <v>44687.635416666664</v>
      </c>
      <c r="E4548" s="2">
        <v>44687.9375</v>
      </c>
      <c r="F4548" s="23">
        <f t="shared" si="213"/>
        <v>0.30208333333575865</v>
      </c>
      <c r="G4548" s="24">
        <f t="shared" si="215"/>
        <v>41.379310344495366</v>
      </c>
      <c r="H4548" s="1" t="s">
        <v>1</v>
      </c>
      <c r="I4548" s="4" t="s">
        <v>2</v>
      </c>
      <c r="J4548" s="14">
        <v>0.63541666666666663</v>
      </c>
      <c r="K4548" s="20" t="str">
        <f t="shared" si="214"/>
        <v>2nd Shift</v>
      </c>
    </row>
    <row r="4549" spans="1:11" x14ac:dyDescent="0.25">
      <c r="A4549" s="1">
        <v>4548</v>
      </c>
      <c r="B4549" s="1">
        <v>13</v>
      </c>
      <c r="C4549" s="3">
        <v>13115271660400</v>
      </c>
      <c r="D4549" s="2">
        <v>44687.975694444445</v>
      </c>
      <c r="E4549" s="2">
        <v>44688.006944444445</v>
      </c>
      <c r="F4549" s="23">
        <f t="shared" si="213"/>
        <v>3.125E-2</v>
      </c>
      <c r="G4549" s="24">
        <f t="shared" si="215"/>
        <v>400</v>
      </c>
      <c r="H4549" s="1" t="s">
        <v>1</v>
      </c>
      <c r="I4549" s="4" t="s">
        <v>3</v>
      </c>
      <c r="J4549" s="14">
        <v>0.97569444444444442</v>
      </c>
      <c r="K4549" s="20" t="str">
        <f t="shared" si="214"/>
        <v>3rd Shift</v>
      </c>
    </row>
    <row r="4550" spans="1:11" x14ac:dyDescent="0.25">
      <c r="A4550" s="1">
        <v>4549</v>
      </c>
      <c r="B4550" s="1">
        <v>5</v>
      </c>
      <c r="C4550" s="3">
        <v>5115271258900</v>
      </c>
      <c r="D4550" s="2">
        <v>44688.041666666664</v>
      </c>
      <c r="E4550" s="2">
        <v>44688.069444444445</v>
      </c>
      <c r="F4550" s="23">
        <f t="shared" si="213"/>
        <v>2.7777777781011537E-2</v>
      </c>
      <c r="G4550" s="24">
        <f t="shared" si="215"/>
        <v>449.99999994761311</v>
      </c>
      <c r="H4550" s="1" t="s">
        <v>1</v>
      </c>
      <c r="I4550" s="4" t="s">
        <v>8</v>
      </c>
      <c r="J4550" s="14">
        <v>4.1666666666666664E-2</v>
      </c>
      <c r="K4550" s="20" t="str">
        <f t="shared" si="214"/>
        <v>3rd Shift</v>
      </c>
    </row>
    <row r="4551" spans="1:11" x14ac:dyDescent="0.25">
      <c r="A4551" s="1">
        <v>4550</v>
      </c>
      <c r="B4551" s="1">
        <v>14</v>
      </c>
      <c r="C4551" s="3">
        <v>14115271672606</v>
      </c>
      <c r="D4551" s="2">
        <v>44688.385416666664</v>
      </c>
      <c r="E4551" s="2">
        <v>44688.461805555555</v>
      </c>
      <c r="F4551" s="23">
        <f t="shared" si="213"/>
        <v>7.6388888890505768E-2</v>
      </c>
      <c r="G4551" s="24">
        <f t="shared" si="215"/>
        <v>163.63636363290004</v>
      </c>
      <c r="H4551" s="1" t="s">
        <v>1</v>
      </c>
      <c r="I4551" s="4" t="s">
        <v>3</v>
      </c>
      <c r="J4551" s="14">
        <v>0.38541666666666669</v>
      </c>
      <c r="K4551" s="20" t="str">
        <f t="shared" si="214"/>
        <v>1st Shift</v>
      </c>
    </row>
    <row r="4552" spans="1:11" x14ac:dyDescent="0.25">
      <c r="A4552" s="1">
        <v>4551</v>
      </c>
      <c r="B4552" s="1">
        <v>8</v>
      </c>
      <c r="C4552" s="3">
        <v>8115271842408</v>
      </c>
      <c r="D4552" s="2">
        <v>44688.385416666664</v>
      </c>
      <c r="E4552" s="2">
        <v>44688.461805555555</v>
      </c>
      <c r="F4552" s="23">
        <f t="shared" si="213"/>
        <v>7.6388888890505768E-2</v>
      </c>
      <c r="G4552" s="24">
        <f t="shared" si="215"/>
        <v>163.63636363290004</v>
      </c>
      <c r="H4552" s="1" t="s">
        <v>1</v>
      </c>
      <c r="I4552" s="4" t="s">
        <v>3</v>
      </c>
      <c r="J4552" s="14">
        <v>0.38541666666666669</v>
      </c>
      <c r="K4552" s="20" t="str">
        <f t="shared" si="214"/>
        <v>1st Shift</v>
      </c>
    </row>
    <row r="4553" spans="1:11" x14ac:dyDescent="0.25">
      <c r="A4553" s="1">
        <v>4552</v>
      </c>
      <c r="B4553" s="1">
        <v>3</v>
      </c>
      <c r="C4553" s="3">
        <v>3115270350600</v>
      </c>
      <c r="D4553" s="2">
        <v>44688.364583333336</v>
      </c>
      <c r="E4553" s="2">
        <v>44688.461805555555</v>
      </c>
      <c r="F4553" s="23">
        <f t="shared" si="213"/>
        <v>9.7222222218988463E-2</v>
      </c>
      <c r="G4553" s="24">
        <f t="shared" si="215"/>
        <v>128.57142857570506</v>
      </c>
      <c r="H4553" s="1" t="s">
        <v>1</v>
      </c>
      <c r="I4553" s="4" t="s">
        <v>2</v>
      </c>
      <c r="J4553" s="14">
        <v>0.36458333333333331</v>
      </c>
      <c r="K4553" s="20" t="str">
        <f t="shared" si="214"/>
        <v>1st Shift</v>
      </c>
    </row>
    <row r="4554" spans="1:11" x14ac:dyDescent="0.25">
      <c r="A4554" s="1">
        <v>4553</v>
      </c>
      <c r="B4554" s="1">
        <v>3</v>
      </c>
      <c r="C4554" s="3">
        <v>3115270311100</v>
      </c>
      <c r="D4554" s="2">
        <v>44688.388888888891</v>
      </c>
      <c r="E4554" s="2">
        <v>44688.461805555555</v>
      </c>
      <c r="F4554" s="23">
        <f t="shared" si="213"/>
        <v>7.2916666664241347E-2</v>
      </c>
      <c r="G4554" s="24">
        <f t="shared" si="215"/>
        <v>171.42857143427341</v>
      </c>
      <c r="H4554" s="1" t="s">
        <v>1</v>
      </c>
      <c r="I4554" s="4" t="s">
        <v>8</v>
      </c>
      <c r="J4554" s="14">
        <v>0.3888888888888889</v>
      </c>
      <c r="K4554" s="20" t="str">
        <f t="shared" si="214"/>
        <v>1st Shift</v>
      </c>
    </row>
    <row r="4555" spans="1:11" x14ac:dyDescent="0.25">
      <c r="A4555" s="1">
        <v>4554</v>
      </c>
      <c r="B4555" s="1">
        <v>13</v>
      </c>
      <c r="C4555" s="3">
        <v>13115271670802</v>
      </c>
      <c r="D4555" s="2">
        <v>44688.552083333336</v>
      </c>
      <c r="E4555" s="2">
        <v>44688.586805555555</v>
      </c>
      <c r="F4555" s="23">
        <f t="shared" si="213"/>
        <v>3.4722222218988463E-2</v>
      </c>
      <c r="G4555" s="24">
        <f t="shared" si="215"/>
        <v>360.00000003352761</v>
      </c>
      <c r="H4555" s="1" t="s">
        <v>1</v>
      </c>
      <c r="I4555" s="4" t="s">
        <v>3</v>
      </c>
      <c r="J4555" s="14">
        <v>0.55208333333333337</v>
      </c>
      <c r="K4555" s="20" t="str">
        <f t="shared" si="214"/>
        <v>1st Shift</v>
      </c>
    </row>
    <row r="4556" spans="1:11" x14ac:dyDescent="0.25">
      <c r="A4556" s="1">
        <v>4555</v>
      </c>
      <c r="B4556" s="1">
        <v>15</v>
      </c>
      <c r="C4556" s="3">
        <v>15115271746925</v>
      </c>
      <c r="D4556" s="2">
        <v>44688.754166666666</v>
      </c>
      <c r="E4556" s="2">
        <v>44688.836805555555</v>
      </c>
      <c r="F4556" s="23">
        <f t="shared" si="213"/>
        <v>8.2638888889050577E-2</v>
      </c>
      <c r="G4556" s="24">
        <f t="shared" si="215"/>
        <v>151.26050420138472</v>
      </c>
      <c r="H4556" s="1" t="s">
        <v>1</v>
      </c>
      <c r="I4556" s="4" t="s">
        <v>3</v>
      </c>
      <c r="J4556" s="14">
        <v>0.75416666666666665</v>
      </c>
      <c r="K4556" s="20" t="str">
        <f t="shared" si="214"/>
        <v>2nd Shift</v>
      </c>
    </row>
    <row r="4557" spans="1:11" x14ac:dyDescent="0.25">
      <c r="A4557" s="1">
        <v>4556</v>
      </c>
      <c r="B4557" s="1">
        <v>11</v>
      </c>
      <c r="C4557" s="3">
        <v>11115271052300</v>
      </c>
      <c r="D4557" s="2">
        <v>44688.754166666666</v>
      </c>
      <c r="E4557" s="2">
        <v>44688.836805555555</v>
      </c>
      <c r="F4557" s="23">
        <f t="shared" si="213"/>
        <v>8.2638888889050577E-2</v>
      </c>
      <c r="G4557" s="24">
        <f t="shared" si="215"/>
        <v>151.26050420138472</v>
      </c>
      <c r="H4557" s="1" t="s">
        <v>1</v>
      </c>
      <c r="I4557" s="4" t="s">
        <v>4</v>
      </c>
      <c r="J4557" s="14">
        <v>0.75416666666666665</v>
      </c>
      <c r="K4557" s="20" t="str">
        <f t="shared" si="214"/>
        <v>2nd Shift</v>
      </c>
    </row>
    <row r="4558" spans="1:11" x14ac:dyDescent="0.25">
      <c r="A4558" s="1">
        <v>4557</v>
      </c>
      <c r="B4558" s="1">
        <v>10</v>
      </c>
      <c r="C4558" s="3">
        <v>10115271453900</v>
      </c>
      <c r="D4558" s="2">
        <v>44688.768055555556</v>
      </c>
      <c r="E4558" s="2">
        <v>44688.836805555555</v>
      </c>
      <c r="F4558" s="23">
        <f t="shared" si="213"/>
        <v>6.8749999998544808E-2</v>
      </c>
      <c r="G4558" s="24">
        <f t="shared" si="215"/>
        <v>181.81818182203025</v>
      </c>
      <c r="H4558" s="1" t="s">
        <v>1</v>
      </c>
      <c r="I4558" s="4" t="s">
        <v>2</v>
      </c>
      <c r="J4558" s="14">
        <v>0.7680555555555556</v>
      </c>
      <c r="K4558" s="20" t="str">
        <f t="shared" si="214"/>
        <v>2nd Shift</v>
      </c>
    </row>
    <row r="4559" spans="1:11" x14ac:dyDescent="0.25">
      <c r="A4559" s="1">
        <v>4558</v>
      </c>
      <c r="B4559" s="1">
        <v>6</v>
      </c>
      <c r="C4559" s="3">
        <v>6115271690604</v>
      </c>
      <c r="D4559" s="2">
        <v>44688.68472222222</v>
      </c>
      <c r="E4559" s="2">
        <v>44688.836805555555</v>
      </c>
      <c r="F4559" s="23">
        <f t="shared" si="213"/>
        <v>0.15208333333430346</v>
      </c>
      <c r="G4559" s="24">
        <f t="shared" si="215"/>
        <v>82.191780821393507</v>
      </c>
      <c r="H4559" s="1" t="s">
        <v>1</v>
      </c>
      <c r="I4559" s="4" t="s">
        <v>3</v>
      </c>
      <c r="J4559" s="14">
        <v>0.68472222222222223</v>
      </c>
      <c r="K4559" s="20" t="str">
        <f t="shared" si="214"/>
        <v>2nd Shift</v>
      </c>
    </row>
    <row r="4560" spans="1:11" x14ac:dyDescent="0.25">
      <c r="A4560" s="1">
        <v>4559</v>
      </c>
      <c r="B4560" s="1">
        <v>12</v>
      </c>
      <c r="C4560" s="3">
        <v>12115271571052</v>
      </c>
      <c r="D4560" s="2">
        <v>44688.972222222219</v>
      </c>
      <c r="E4560" s="2">
        <v>44689.010416666664</v>
      </c>
      <c r="F4560" s="23">
        <f t="shared" si="213"/>
        <v>3.8194444445252884E-2</v>
      </c>
      <c r="G4560" s="24">
        <f t="shared" si="215"/>
        <v>327.27272726580009</v>
      </c>
      <c r="H4560" s="1" t="s">
        <v>1</v>
      </c>
      <c r="I4560" s="4" t="s">
        <v>3</v>
      </c>
      <c r="J4560" s="14">
        <v>0.97222222222222221</v>
      </c>
      <c r="K4560" s="20" t="str">
        <f t="shared" si="214"/>
        <v>3rd Shift</v>
      </c>
    </row>
    <row r="4561" spans="1:11" x14ac:dyDescent="0.25">
      <c r="A4561" s="1">
        <v>4560</v>
      </c>
      <c r="B4561" s="1">
        <v>7</v>
      </c>
      <c r="C4561" s="3">
        <v>7115271786002</v>
      </c>
      <c r="D4561" s="2">
        <v>44689.072916666664</v>
      </c>
      <c r="E4561" s="2">
        <v>44689.104166666664</v>
      </c>
      <c r="F4561" s="23">
        <f t="shared" si="213"/>
        <v>3.125E-2</v>
      </c>
      <c r="G4561" s="24">
        <f t="shared" si="215"/>
        <v>400</v>
      </c>
      <c r="H4561" s="1" t="s">
        <v>1</v>
      </c>
      <c r="I4561" s="4" t="s">
        <v>3</v>
      </c>
      <c r="J4561" s="14">
        <v>7.2916666666666671E-2</v>
      </c>
      <c r="K4561" s="20" t="str">
        <f t="shared" si="214"/>
        <v>3rd Shift</v>
      </c>
    </row>
    <row r="4562" spans="1:11" x14ac:dyDescent="0.25">
      <c r="A4562" s="1">
        <v>4561</v>
      </c>
      <c r="B4562" s="1">
        <v>12</v>
      </c>
      <c r="C4562" s="3">
        <v>12115271574210</v>
      </c>
      <c r="D4562" s="2">
        <v>44689.40625</v>
      </c>
      <c r="E4562" s="2">
        <v>44689.576388888891</v>
      </c>
      <c r="F4562" s="23">
        <f t="shared" si="213"/>
        <v>0.17013888889050577</v>
      </c>
      <c r="G4562" s="24">
        <f t="shared" si="215"/>
        <v>73.46938775440384</v>
      </c>
      <c r="H4562" s="1" t="s">
        <v>1</v>
      </c>
      <c r="I4562" s="4" t="s">
        <v>3</v>
      </c>
      <c r="J4562" s="14">
        <v>0.40625</v>
      </c>
      <c r="K4562" s="20" t="str">
        <f t="shared" si="214"/>
        <v>1st Shift</v>
      </c>
    </row>
    <row r="4563" spans="1:11" x14ac:dyDescent="0.25">
      <c r="A4563" s="1">
        <v>4562</v>
      </c>
      <c r="B4563" s="1">
        <v>12</v>
      </c>
      <c r="C4563" s="3">
        <v>12115271571052</v>
      </c>
      <c r="D4563" s="2">
        <v>44689.416666666664</v>
      </c>
      <c r="E4563" s="2">
        <v>44689.576388888891</v>
      </c>
      <c r="F4563" s="23">
        <f t="shared" si="213"/>
        <v>0.15972222222626442</v>
      </c>
      <c r="G4563" s="24">
        <f t="shared" si="215"/>
        <v>78.260869563236795</v>
      </c>
      <c r="H4563" s="1" t="s">
        <v>1</v>
      </c>
      <c r="I4563" s="4" t="s">
        <v>3</v>
      </c>
      <c r="J4563" s="14">
        <v>0.41666666666666669</v>
      </c>
      <c r="K4563" s="20" t="str">
        <f t="shared" si="214"/>
        <v>1st Shift</v>
      </c>
    </row>
    <row r="4564" spans="1:11" x14ac:dyDescent="0.25">
      <c r="A4564" s="1">
        <v>4563</v>
      </c>
      <c r="B4564" s="1">
        <v>5</v>
      </c>
      <c r="C4564" s="3">
        <v>5115271239302</v>
      </c>
      <c r="D4564" s="2">
        <v>44689.40625</v>
      </c>
      <c r="E4564" s="2">
        <v>44689.576388888891</v>
      </c>
      <c r="F4564" s="23">
        <f t="shared" si="213"/>
        <v>0.17013888889050577</v>
      </c>
      <c r="G4564" s="24">
        <f t="shared" si="215"/>
        <v>73.46938775440384</v>
      </c>
      <c r="H4564" s="1" t="s">
        <v>1</v>
      </c>
      <c r="I4564" s="4" t="s">
        <v>3</v>
      </c>
      <c r="J4564" s="14">
        <v>0.40625</v>
      </c>
      <c r="K4564" s="20" t="str">
        <f t="shared" si="214"/>
        <v>1st Shift</v>
      </c>
    </row>
    <row r="4565" spans="1:11" x14ac:dyDescent="0.25">
      <c r="A4565" s="1">
        <v>4564</v>
      </c>
      <c r="B4565" s="1">
        <v>3</v>
      </c>
      <c r="C4565" s="3">
        <v>3115270396200</v>
      </c>
      <c r="D4565" s="2">
        <v>44689.458333333336</v>
      </c>
      <c r="E4565" s="2">
        <v>44689.576388888891</v>
      </c>
      <c r="F4565" s="23">
        <f t="shared" si="213"/>
        <v>0.11805555555474712</v>
      </c>
      <c r="G4565" s="24">
        <f t="shared" si="215"/>
        <v>105.88235294190156</v>
      </c>
      <c r="H4565" s="1" t="s">
        <v>1</v>
      </c>
      <c r="I4565" s="4" t="s">
        <v>3</v>
      </c>
      <c r="J4565" s="14">
        <v>0.45833333333333331</v>
      </c>
      <c r="K4565" s="20" t="str">
        <f t="shared" si="214"/>
        <v>1st Shift</v>
      </c>
    </row>
    <row r="4566" spans="1:11" x14ac:dyDescent="0.25">
      <c r="A4566" s="1">
        <v>4565</v>
      </c>
      <c r="B4566" s="1">
        <v>2</v>
      </c>
      <c r="C4566" s="3">
        <v>2115270218300</v>
      </c>
      <c r="D4566" s="2">
        <v>44689.40625</v>
      </c>
      <c r="E4566" s="2">
        <v>44689.576388888891</v>
      </c>
      <c r="F4566" s="23">
        <f t="shared" si="213"/>
        <v>0.17013888889050577</v>
      </c>
      <c r="G4566" s="24">
        <f t="shared" si="215"/>
        <v>73.46938775440384</v>
      </c>
      <c r="H4566" s="1" t="s">
        <v>1</v>
      </c>
      <c r="I4566" s="4" t="s">
        <v>3</v>
      </c>
      <c r="J4566" s="14">
        <v>0.40625</v>
      </c>
      <c r="K4566" s="20" t="str">
        <f t="shared" si="214"/>
        <v>1st Shift</v>
      </c>
    </row>
    <row r="4567" spans="1:11" x14ac:dyDescent="0.25">
      <c r="A4567" s="1">
        <v>4566</v>
      </c>
      <c r="B4567" s="1">
        <v>13</v>
      </c>
      <c r="C4567" s="3">
        <v>13115271612202</v>
      </c>
      <c r="D4567" s="2">
        <v>44689.659722222219</v>
      </c>
      <c r="E4567" s="2">
        <v>44689.920138888891</v>
      </c>
      <c r="F4567" s="23">
        <f t="shared" si="213"/>
        <v>0.26041666667151731</v>
      </c>
      <c r="G4567" s="24">
        <f t="shared" si="215"/>
        <v>47.999999999105931</v>
      </c>
      <c r="H4567" s="1" t="s">
        <v>1</v>
      </c>
      <c r="I4567" s="4" t="s">
        <v>2</v>
      </c>
      <c r="J4567" s="14">
        <v>0.65972222222222221</v>
      </c>
      <c r="K4567" s="20" t="str">
        <f t="shared" si="214"/>
        <v>2nd Shift</v>
      </c>
    </row>
    <row r="4568" spans="1:11" x14ac:dyDescent="0.25">
      <c r="A4568" s="1">
        <v>4567</v>
      </c>
      <c r="B4568" s="1">
        <v>12</v>
      </c>
      <c r="C4568" s="3">
        <v>12115271589803</v>
      </c>
      <c r="D4568" s="2">
        <v>44689.659722222219</v>
      </c>
      <c r="E4568" s="2">
        <v>44689.920138888891</v>
      </c>
      <c r="F4568" s="23">
        <f t="shared" si="213"/>
        <v>0.26041666667151731</v>
      </c>
      <c r="G4568" s="24">
        <f t="shared" si="215"/>
        <v>47.999999999105931</v>
      </c>
      <c r="H4568" s="1" t="s">
        <v>1</v>
      </c>
      <c r="I4568" s="4" t="s">
        <v>3</v>
      </c>
      <c r="J4568" s="14">
        <v>0.65972222222222221</v>
      </c>
      <c r="K4568" s="20" t="str">
        <f t="shared" si="214"/>
        <v>2nd Shift</v>
      </c>
    </row>
    <row r="4569" spans="1:11" x14ac:dyDescent="0.25">
      <c r="A4569" s="1">
        <v>4568</v>
      </c>
      <c r="B4569" s="1">
        <v>12</v>
      </c>
      <c r="C4569" s="3">
        <v>12115271567332</v>
      </c>
      <c r="D4569" s="2">
        <v>44689.847222222219</v>
      </c>
      <c r="E4569" s="2">
        <v>44689.920138888891</v>
      </c>
      <c r="F4569" s="23">
        <f t="shared" si="213"/>
        <v>7.2916666671517305E-2</v>
      </c>
      <c r="G4569" s="24">
        <f t="shared" si="215"/>
        <v>171.42857141716746</v>
      </c>
      <c r="H4569" s="1" t="s">
        <v>1</v>
      </c>
      <c r="I4569" s="4" t="s">
        <v>3</v>
      </c>
      <c r="J4569" s="14">
        <v>0.84722222222222221</v>
      </c>
      <c r="K4569" s="20" t="str">
        <f t="shared" si="214"/>
        <v>2nd Shift</v>
      </c>
    </row>
    <row r="4570" spans="1:11" x14ac:dyDescent="0.25">
      <c r="A4570" s="1">
        <v>4569</v>
      </c>
      <c r="B4570" s="1">
        <v>12</v>
      </c>
      <c r="C4570" s="3">
        <v>12115271567327</v>
      </c>
      <c r="D4570" s="2">
        <v>44689.659722222219</v>
      </c>
      <c r="E4570" s="2">
        <v>44689.920138888891</v>
      </c>
      <c r="F4570" s="23">
        <f t="shared" si="213"/>
        <v>0.26041666667151731</v>
      </c>
      <c r="G4570" s="24">
        <f t="shared" si="215"/>
        <v>47.999999999105931</v>
      </c>
      <c r="H4570" s="1" t="s">
        <v>1</v>
      </c>
      <c r="I4570" s="4" t="s">
        <v>3</v>
      </c>
      <c r="J4570" s="14">
        <v>0.65972222222222221</v>
      </c>
      <c r="K4570" s="20" t="str">
        <f t="shared" si="214"/>
        <v>2nd Shift</v>
      </c>
    </row>
    <row r="4571" spans="1:11" x14ac:dyDescent="0.25">
      <c r="A4571" s="1">
        <v>4570</v>
      </c>
      <c r="B4571" s="1">
        <v>6</v>
      </c>
      <c r="C4571" s="3">
        <v>6115271691504</v>
      </c>
      <c r="D4571" s="2">
        <v>44689.847222222219</v>
      </c>
      <c r="E4571" s="2">
        <v>44689.920138888891</v>
      </c>
      <c r="F4571" s="23">
        <f t="shared" si="213"/>
        <v>7.2916666671517305E-2</v>
      </c>
      <c r="G4571" s="24">
        <f t="shared" si="215"/>
        <v>171.42857141716746</v>
      </c>
      <c r="H4571" s="1" t="s">
        <v>1</v>
      </c>
      <c r="I4571" s="4" t="s">
        <v>3</v>
      </c>
      <c r="J4571" s="14">
        <v>0.84722222222222221</v>
      </c>
      <c r="K4571" s="20" t="str">
        <f t="shared" si="214"/>
        <v>2nd Shift</v>
      </c>
    </row>
    <row r="4572" spans="1:11" x14ac:dyDescent="0.25">
      <c r="A4572" s="1">
        <v>4571</v>
      </c>
      <c r="B4572" s="1">
        <v>3</v>
      </c>
      <c r="C4572" s="3">
        <v>3115270036690</v>
      </c>
      <c r="D4572" s="2">
        <v>44689.847222222219</v>
      </c>
      <c r="E4572" s="2">
        <v>44689.920138888891</v>
      </c>
      <c r="F4572" s="23">
        <f t="shared" si="213"/>
        <v>7.2916666671517305E-2</v>
      </c>
      <c r="G4572" s="24">
        <f t="shared" si="215"/>
        <v>171.42857141716746</v>
      </c>
      <c r="H4572" s="1" t="s">
        <v>1</v>
      </c>
      <c r="I4572" s="4" t="s">
        <v>2</v>
      </c>
      <c r="J4572" s="14">
        <v>0.84722222222222221</v>
      </c>
      <c r="K4572" s="20" t="str">
        <f t="shared" si="214"/>
        <v>2nd Shift</v>
      </c>
    </row>
    <row r="4573" spans="1:11" x14ac:dyDescent="0.25">
      <c r="A4573" s="1">
        <v>4572</v>
      </c>
      <c r="B4573" s="1">
        <v>3</v>
      </c>
      <c r="C4573" s="3">
        <v>3115270400400</v>
      </c>
      <c r="D4573" s="2">
        <v>44689.96875</v>
      </c>
      <c r="E4573" s="2">
        <v>44690.006944444445</v>
      </c>
      <c r="F4573" s="23">
        <f t="shared" si="213"/>
        <v>3.8194444445252884E-2</v>
      </c>
      <c r="G4573" s="24">
        <f t="shared" si="215"/>
        <v>327.27272726580009</v>
      </c>
      <c r="H4573" s="1" t="s">
        <v>1</v>
      </c>
      <c r="I4573" s="4" t="s">
        <v>2</v>
      </c>
      <c r="J4573" s="14">
        <v>0.96875</v>
      </c>
      <c r="K4573" s="20" t="str">
        <f t="shared" si="214"/>
        <v>3rd Shift</v>
      </c>
    </row>
    <row r="4574" spans="1:11" x14ac:dyDescent="0.25">
      <c r="A4574" s="1">
        <v>4573</v>
      </c>
      <c r="B4574" s="1">
        <v>9</v>
      </c>
      <c r="C4574" s="3">
        <v>9115271952101</v>
      </c>
      <c r="D4574" s="2">
        <v>44690.048611111109</v>
      </c>
      <c r="E4574" s="2">
        <v>44690.072916666664</v>
      </c>
      <c r="F4574" s="23">
        <f t="shared" si="213"/>
        <v>2.4305555554747116E-2</v>
      </c>
      <c r="G4574" s="24">
        <f t="shared" si="215"/>
        <v>514.28571430282022</v>
      </c>
      <c r="H4574" s="1" t="s">
        <v>1</v>
      </c>
      <c r="I4574" s="4" t="s">
        <v>2</v>
      </c>
      <c r="J4574" s="14">
        <v>4.8611111111111112E-2</v>
      </c>
      <c r="K4574" s="20" t="str">
        <f t="shared" si="214"/>
        <v>3rd Shift</v>
      </c>
    </row>
    <row r="4575" spans="1:11" x14ac:dyDescent="0.25">
      <c r="A4575" s="1">
        <v>4574</v>
      </c>
      <c r="B4575" s="1">
        <v>12</v>
      </c>
      <c r="C4575" s="3">
        <v>12115271560120</v>
      </c>
      <c r="D4575" s="2">
        <v>44690.135416666664</v>
      </c>
      <c r="E4575" s="2">
        <v>44690.225694444445</v>
      </c>
      <c r="F4575" s="23">
        <f t="shared" si="213"/>
        <v>9.0277777781011537E-2</v>
      </c>
      <c r="G4575" s="24">
        <f t="shared" si="215"/>
        <v>138.46153845657875</v>
      </c>
      <c r="H4575" s="1" t="s">
        <v>1</v>
      </c>
      <c r="I4575" s="4" t="s">
        <v>4</v>
      </c>
      <c r="J4575" s="14">
        <v>0.13541666666666666</v>
      </c>
      <c r="K4575" s="20" t="str">
        <f t="shared" si="214"/>
        <v>3rd Shift</v>
      </c>
    </row>
    <row r="4576" spans="1:11" x14ac:dyDescent="0.25">
      <c r="A4576" s="1">
        <v>4575</v>
      </c>
      <c r="B4576" s="1">
        <v>9</v>
      </c>
      <c r="C4576" s="3">
        <v>9115271961000</v>
      </c>
      <c r="D4576" s="2">
        <v>44690.135416666664</v>
      </c>
      <c r="E4576" s="2">
        <v>44690.225694444445</v>
      </c>
      <c r="F4576" s="23">
        <f t="shared" si="213"/>
        <v>9.0277777781011537E-2</v>
      </c>
      <c r="G4576" s="24">
        <f t="shared" si="215"/>
        <v>138.46153845657875</v>
      </c>
      <c r="H4576" s="1" t="s">
        <v>1</v>
      </c>
      <c r="I4576" s="4" t="s">
        <v>2</v>
      </c>
      <c r="J4576" s="14">
        <v>0.13541666666666666</v>
      </c>
      <c r="K4576" s="20" t="str">
        <f t="shared" si="214"/>
        <v>3rd Shift</v>
      </c>
    </row>
    <row r="4577" spans="1:11" x14ac:dyDescent="0.25">
      <c r="A4577" s="1">
        <v>4576</v>
      </c>
      <c r="B4577" s="1">
        <v>14</v>
      </c>
      <c r="C4577" s="3">
        <v>14115271688800</v>
      </c>
      <c r="D4577" s="2">
        <v>44690.368055555555</v>
      </c>
      <c r="E4577" s="2">
        <v>44690.576388888891</v>
      </c>
      <c r="F4577" s="23">
        <f t="shared" si="213"/>
        <v>0.20833333333575865</v>
      </c>
      <c r="G4577" s="24">
        <f t="shared" si="215"/>
        <v>59.999999999301515</v>
      </c>
      <c r="H4577" s="1" t="s">
        <v>1</v>
      </c>
      <c r="I4577" s="4" t="s">
        <v>2</v>
      </c>
      <c r="J4577" s="14">
        <v>0.36805555555555558</v>
      </c>
      <c r="K4577" s="20" t="str">
        <f t="shared" si="214"/>
        <v>1st Shift</v>
      </c>
    </row>
    <row r="4578" spans="1:11" x14ac:dyDescent="0.25">
      <c r="A4578" s="1">
        <v>4577</v>
      </c>
      <c r="B4578" s="1">
        <v>12</v>
      </c>
      <c r="C4578" s="3">
        <v>12115271565710</v>
      </c>
      <c r="D4578" s="2">
        <v>44690.53125</v>
      </c>
      <c r="E4578" s="2">
        <v>44690.576388888891</v>
      </c>
      <c r="F4578" s="23">
        <f t="shared" si="213"/>
        <v>4.5138888890505768E-2</v>
      </c>
      <c r="G4578" s="24">
        <f t="shared" si="215"/>
        <v>276.9230769131575</v>
      </c>
      <c r="H4578" s="1" t="s">
        <v>1</v>
      </c>
      <c r="I4578" s="4" t="s">
        <v>2</v>
      </c>
      <c r="J4578" s="14">
        <v>0.53125</v>
      </c>
      <c r="K4578" s="20" t="str">
        <f t="shared" si="214"/>
        <v>1st Shift</v>
      </c>
    </row>
    <row r="4579" spans="1:11" x14ac:dyDescent="0.25">
      <c r="A4579" s="1">
        <v>4578</v>
      </c>
      <c r="B4579" s="1">
        <v>9</v>
      </c>
      <c r="C4579" s="3">
        <v>9115271945501</v>
      </c>
      <c r="D4579" s="2">
        <v>44690.53125</v>
      </c>
      <c r="E4579" s="2">
        <v>44690.576388888891</v>
      </c>
      <c r="F4579" s="23">
        <f t="shared" si="213"/>
        <v>4.5138888890505768E-2</v>
      </c>
      <c r="G4579" s="24">
        <f t="shared" si="215"/>
        <v>276.9230769131575</v>
      </c>
      <c r="H4579" s="1" t="s">
        <v>1</v>
      </c>
      <c r="I4579" s="4" t="s">
        <v>3</v>
      </c>
      <c r="J4579" s="14">
        <v>0.53125</v>
      </c>
      <c r="K4579" s="20" t="str">
        <f t="shared" si="214"/>
        <v>1st Shift</v>
      </c>
    </row>
    <row r="4580" spans="1:11" x14ac:dyDescent="0.25">
      <c r="A4580" s="1">
        <v>4579</v>
      </c>
      <c r="B4580" s="1">
        <v>8</v>
      </c>
      <c r="C4580" s="3">
        <v>8115271810106</v>
      </c>
      <c r="D4580" s="2">
        <v>44690.53125</v>
      </c>
      <c r="E4580" s="2">
        <v>44690.576388888891</v>
      </c>
      <c r="F4580" s="23">
        <f t="shared" si="213"/>
        <v>4.5138888890505768E-2</v>
      </c>
      <c r="G4580" s="24">
        <f t="shared" si="215"/>
        <v>276.9230769131575</v>
      </c>
      <c r="H4580" s="1" t="s">
        <v>1</v>
      </c>
      <c r="I4580" s="4" t="s">
        <v>3</v>
      </c>
      <c r="J4580" s="14">
        <v>0.53125</v>
      </c>
      <c r="K4580" s="20" t="str">
        <f t="shared" si="214"/>
        <v>1st Shift</v>
      </c>
    </row>
    <row r="4581" spans="1:11" x14ac:dyDescent="0.25">
      <c r="A4581" s="1">
        <v>4580</v>
      </c>
      <c r="B4581" s="1">
        <v>7</v>
      </c>
      <c r="C4581" s="3">
        <v>7115271757800</v>
      </c>
      <c r="D4581" s="2">
        <v>44690.53125</v>
      </c>
      <c r="E4581" s="2">
        <v>44690.576388888891</v>
      </c>
      <c r="F4581" s="23">
        <f t="shared" si="213"/>
        <v>4.5138888890505768E-2</v>
      </c>
      <c r="G4581" s="24">
        <f t="shared" si="215"/>
        <v>276.9230769131575</v>
      </c>
      <c r="H4581" s="1" t="s">
        <v>1</v>
      </c>
      <c r="I4581" s="4" t="s">
        <v>2</v>
      </c>
      <c r="J4581" s="14">
        <v>0.53125</v>
      </c>
      <c r="K4581" s="20" t="str">
        <f t="shared" si="214"/>
        <v>1st Shift</v>
      </c>
    </row>
    <row r="4582" spans="1:11" x14ac:dyDescent="0.25">
      <c r="A4582" s="1">
        <v>4581</v>
      </c>
      <c r="B4582" s="1">
        <v>7</v>
      </c>
      <c r="C4582" s="3">
        <v>7115271756901</v>
      </c>
      <c r="D4582" s="2">
        <v>44690.53125</v>
      </c>
      <c r="E4582" s="2">
        <v>44690.576388888891</v>
      </c>
      <c r="F4582" s="23">
        <f t="shared" si="213"/>
        <v>4.5138888890505768E-2</v>
      </c>
      <c r="G4582" s="24">
        <f t="shared" si="215"/>
        <v>276.9230769131575</v>
      </c>
      <c r="H4582" s="1" t="s">
        <v>1</v>
      </c>
      <c r="I4582" s="4" t="s">
        <v>2</v>
      </c>
      <c r="J4582" s="14">
        <v>0.53125</v>
      </c>
      <c r="K4582" s="20" t="str">
        <f t="shared" si="214"/>
        <v>1st Shift</v>
      </c>
    </row>
    <row r="4583" spans="1:11" x14ac:dyDescent="0.25">
      <c r="A4583" s="1">
        <v>4582</v>
      </c>
      <c r="B4583" s="1">
        <v>3</v>
      </c>
      <c r="C4583" s="3">
        <v>3115270409300</v>
      </c>
      <c r="D4583" s="2">
        <v>44690.53125</v>
      </c>
      <c r="E4583" s="2">
        <v>44690.576388888891</v>
      </c>
      <c r="F4583" s="23">
        <f t="shared" si="213"/>
        <v>4.5138888890505768E-2</v>
      </c>
      <c r="G4583" s="24">
        <f t="shared" si="215"/>
        <v>276.9230769131575</v>
      </c>
      <c r="H4583" s="1" t="s">
        <v>1</v>
      </c>
      <c r="I4583" s="4" t="s">
        <v>3</v>
      </c>
      <c r="J4583" s="14">
        <v>0.53125</v>
      </c>
      <c r="K4583" s="20" t="str">
        <f t="shared" si="214"/>
        <v>1st Shift</v>
      </c>
    </row>
    <row r="4584" spans="1:11" x14ac:dyDescent="0.25">
      <c r="A4584" s="1">
        <v>4583</v>
      </c>
      <c r="B4584" s="1">
        <v>3</v>
      </c>
      <c r="C4584" s="3">
        <v>3115270367100</v>
      </c>
      <c r="D4584" s="2">
        <v>44690.53125</v>
      </c>
      <c r="E4584" s="2">
        <v>44690.576388888891</v>
      </c>
      <c r="F4584" s="23">
        <f t="shared" si="213"/>
        <v>4.5138888890505768E-2</v>
      </c>
      <c r="G4584" s="24">
        <f t="shared" si="215"/>
        <v>276.9230769131575</v>
      </c>
      <c r="H4584" s="1" t="s">
        <v>1</v>
      </c>
      <c r="I4584" s="4" t="s">
        <v>2</v>
      </c>
      <c r="J4584" s="14">
        <v>0.53125</v>
      </c>
      <c r="K4584" s="20" t="str">
        <f t="shared" si="214"/>
        <v>1st Shift</v>
      </c>
    </row>
    <row r="4585" spans="1:11" x14ac:dyDescent="0.25">
      <c r="A4585" s="1">
        <v>4584</v>
      </c>
      <c r="B4585" s="1">
        <v>14</v>
      </c>
      <c r="C4585" s="3">
        <v>14115271678508</v>
      </c>
      <c r="D4585" s="2">
        <v>44690.729166666664</v>
      </c>
      <c r="E4585" s="2">
        <v>44690.819444444445</v>
      </c>
      <c r="F4585" s="23">
        <f t="shared" si="213"/>
        <v>9.0277777781011537E-2</v>
      </c>
      <c r="G4585" s="24">
        <f t="shared" si="215"/>
        <v>138.46153845657875</v>
      </c>
      <c r="H4585" s="1" t="s">
        <v>1</v>
      </c>
      <c r="I4585" s="4" t="s">
        <v>2</v>
      </c>
      <c r="J4585" s="14">
        <v>0.72916666666666663</v>
      </c>
      <c r="K4585" s="20" t="str">
        <f t="shared" si="214"/>
        <v>2nd Shift</v>
      </c>
    </row>
    <row r="4586" spans="1:11" x14ac:dyDescent="0.25">
      <c r="A4586" s="1">
        <v>4585</v>
      </c>
      <c r="B4586" s="1">
        <v>3</v>
      </c>
      <c r="C4586" s="3">
        <v>3115270341004</v>
      </c>
      <c r="D4586" s="2">
        <v>44690.729166666664</v>
      </c>
      <c r="E4586" s="2">
        <v>44690.819444444445</v>
      </c>
      <c r="F4586" s="23">
        <f t="shared" si="213"/>
        <v>9.0277777781011537E-2</v>
      </c>
      <c r="G4586" s="24">
        <f t="shared" si="215"/>
        <v>138.46153845657875</v>
      </c>
      <c r="H4586" s="1" t="s">
        <v>1</v>
      </c>
      <c r="I4586" s="4" t="s">
        <v>2</v>
      </c>
      <c r="J4586" s="14">
        <v>0.72916666666666663</v>
      </c>
      <c r="K4586" s="20" t="str">
        <f t="shared" si="214"/>
        <v>2nd Shift</v>
      </c>
    </row>
    <row r="4587" spans="1:11" x14ac:dyDescent="0.25">
      <c r="A4587" s="1">
        <v>4586</v>
      </c>
      <c r="B4587" s="1">
        <v>14</v>
      </c>
      <c r="C4587" s="3">
        <v>14115271691521</v>
      </c>
      <c r="D4587" s="2">
        <v>44690.868055555555</v>
      </c>
      <c r="E4587" s="2">
        <v>44690.895833333336</v>
      </c>
      <c r="F4587" s="23">
        <f t="shared" si="213"/>
        <v>2.7777777781011537E-2</v>
      </c>
      <c r="G4587" s="24">
        <f t="shared" si="215"/>
        <v>449.99999994761311</v>
      </c>
      <c r="H4587" s="1" t="s">
        <v>1</v>
      </c>
      <c r="I4587" s="4" t="s">
        <v>2</v>
      </c>
      <c r="J4587" s="14">
        <v>0.86805555555555558</v>
      </c>
      <c r="K4587" s="20" t="str">
        <f t="shared" si="214"/>
        <v>2nd Shift</v>
      </c>
    </row>
    <row r="4588" spans="1:11" x14ac:dyDescent="0.25">
      <c r="A4588" s="1">
        <v>4587</v>
      </c>
      <c r="B4588" s="1">
        <v>2</v>
      </c>
      <c r="C4588" s="3">
        <v>2115270229302</v>
      </c>
      <c r="D4588" s="2">
        <v>44690.930555555555</v>
      </c>
      <c r="E4588" s="2">
        <v>44690.965277777781</v>
      </c>
      <c r="F4588" s="23">
        <f t="shared" si="213"/>
        <v>3.4722222226264421E-2</v>
      </c>
      <c r="G4588" s="24">
        <f t="shared" si="215"/>
        <v>359.99999995809048</v>
      </c>
      <c r="H4588" s="1" t="s">
        <v>1</v>
      </c>
      <c r="I4588" s="4" t="s">
        <v>3</v>
      </c>
      <c r="J4588" s="14">
        <v>0.93055555555555558</v>
      </c>
      <c r="K4588" s="20" t="str">
        <f t="shared" si="214"/>
        <v>3rd Shift</v>
      </c>
    </row>
    <row r="4589" spans="1:11" x14ac:dyDescent="0.25">
      <c r="A4589" s="1">
        <v>4588</v>
      </c>
      <c r="B4589" s="1">
        <v>14</v>
      </c>
      <c r="C4589" s="3">
        <v>14115271689104</v>
      </c>
      <c r="D4589" s="2">
        <v>44691.083333333336</v>
      </c>
      <c r="E4589" s="2">
        <v>44691.107638888891</v>
      </c>
      <c r="F4589" s="23">
        <f t="shared" si="213"/>
        <v>2.4305555554747116E-2</v>
      </c>
      <c r="G4589" s="24">
        <f t="shared" si="215"/>
        <v>514.28571430282022</v>
      </c>
      <c r="H4589" s="1" t="s">
        <v>1</v>
      </c>
      <c r="I4589" s="4" t="s">
        <v>2</v>
      </c>
      <c r="J4589" s="14">
        <v>8.3333333333333329E-2</v>
      </c>
      <c r="K4589" s="20" t="str">
        <f t="shared" si="214"/>
        <v>3rd Shift</v>
      </c>
    </row>
    <row r="4590" spans="1:11" x14ac:dyDescent="0.25">
      <c r="A4590" s="1">
        <v>4589</v>
      </c>
      <c r="B4590" s="1">
        <v>14</v>
      </c>
      <c r="C4590" s="3">
        <v>14115271688903</v>
      </c>
      <c r="D4590" s="2">
        <v>44691.180555555555</v>
      </c>
      <c r="E4590" s="2">
        <v>44691.232638888891</v>
      </c>
      <c r="F4590" s="23">
        <f t="shared" si="213"/>
        <v>5.2083333335758653E-2</v>
      </c>
      <c r="G4590" s="24">
        <f t="shared" si="215"/>
        <v>239.99999998882413</v>
      </c>
      <c r="H4590" s="1" t="s">
        <v>1</v>
      </c>
      <c r="I4590" s="4" t="s">
        <v>2</v>
      </c>
      <c r="J4590" s="14">
        <v>0.18055555555555555</v>
      </c>
      <c r="K4590" s="20" t="str">
        <f t="shared" si="214"/>
        <v>3rd Shift</v>
      </c>
    </row>
    <row r="4591" spans="1:11" x14ac:dyDescent="0.25">
      <c r="A4591" s="1">
        <v>4590</v>
      </c>
      <c r="B4591" s="1">
        <v>1</v>
      </c>
      <c r="C4591" s="3">
        <v>1115270101300</v>
      </c>
      <c r="D4591" s="2">
        <v>44691.180555555555</v>
      </c>
      <c r="E4591" s="2">
        <v>44691.232638888891</v>
      </c>
      <c r="F4591" s="23">
        <f t="shared" si="213"/>
        <v>5.2083333335758653E-2</v>
      </c>
      <c r="G4591" s="24">
        <f t="shared" si="215"/>
        <v>239.99999998882413</v>
      </c>
      <c r="H4591" s="1" t="s">
        <v>1</v>
      </c>
      <c r="I4591" s="4" t="s">
        <v>3</v>
      </c>
      <c r="J4591" s="14">
        <v>0.18055555555555555</v>
      </c>
      <c r="K4591" s="20" t="str">
        <f t="shared" si="214"/>
        <v>3rd Shift</v>
      </c>
    </row>
    <row r="4592" spans="1:11" x14ac:dyDescent="0.25">
      <c r="A4592" s="1">
        <v>4591</v>
      </c>
      <c r="B4592" s="1">
        <v>9</v>
      </c>
      <c r="C4592" s="3">
        <v>9115271906100</v>
      </c>
      <c r="D4592" s="2">
        <v>44691.430555555555</v>
      </c>
      <c r="E4592" s="2">
        <v>44691.527777777781</v>
      </c>
      <c r="F4592" s="23">
        <f t="shared" si="213"/>
        <v>9.7222222226264421E-2</v>
      </c>
      <c r="G4592" s="24">
        <f t="shared" si="215"/>
        <v>128.57142856608297</v>
      </c>
      <c r="H4592" s="1" t="s">
        <v>1</v>
      </c>
      <c r="I4592" s="4" t="s">
        <v>2</v>
      </c>
      <c r="J4592" s="14">
        <v>0.43055555555555558</v>
      </c>
      <c r="K4592" s="20" t="str">
        <f t="shared" si="214"/>
        <v>1st Shift</v>
      </c>
    </row>
    <row r="4593" spans="1:11" x14ac:dyDescent="0.25">
      <c r="A4593" s="1">
        <v>4592</v>
      </c>
      <c r="B4593" s="1">
        <v>6</v>
      </c>
      <c r="C4593" s="3">
        <v>6115271704102</v>
      </c>
      <c r="D4593" s="2">
        <v>44691.430555555555</v>
      </c>
      <c r="E4593" s="2">
        <v>44691.527777777781</v>
      </c>
      <c r="F4593" s="23">
        <f t="shared" si="213"/>
        <v>9.7222222226264421E-2</v>
      </c>
      <c r="G4593" s="24">
        <f t="shared" si="215"/>
        <v>128.57142856608297</v>
      </c>
      <c r="H4593" s="1" t="s">
        <v>1</v>
      </c>
      <c r="I4593" s="4" t="s">
        <v>4</v>
      </c>
      <c r="J4593" s="14">
        <v>0.43055555555555558</v>
      </c>
      <c r="K4593" s="20" t="str">
        <f t="shared" si="214"/>
        <v>1st Shift</v>
      </c>
    </row>
    <row r="4594" spans="1:11" x14ac:dyDescent="0.25">
      <c r="A4594" s="1">
        <v>4593</v>
      </c>
      <c r="B4594" s="1">
        <v>12</v>
      </c>
      <c r="C4594" s="3">
        <v>12115271566204</v>
      </c>
      <c r="D4594" s="2">
        <v>44691.621527777781</v>
      </c>
      <c r="E4594" s="2">
        <v>44691.75</v>
      </c>
      <c r="F4594" s="23">
        <f t="shared" si="213"/>
        <v>0.12847222221898846</v>
      </c>
      <c r="G4594" s="24">
        <f t="shared" si="215"/>
        <v>97.297297299746361</v>
      </c>
      <c r="H4594" s="1" t="s">
        <v>1</v>
      </c>
      <c r="I4594" s="4" t="s">
        <v>3</v>
      </c>
      <c r="J4594" s="14">
        <v>0.62152777777777779</v>
      </c>
      <c r="K4594" s="20" t="str">
        <f t="shared" si="214"/>
        <v>2nd Shift</v>
      </c>
    </row>
    <row r="4595" spans="1:11" x14ac:dyDescent="0.25">
      <c r="A4595" s="1">
        <v>4594</v>
      </c>
      <c r="B4595" s="1">
        <v>4</v>
      </c>
      <c r="C4595" s="3">
        <v>4115270824400</v>
      </c>
      <c r="D4595" s="2">
        <v>44691.635416666664</v>
      </c>
      <c r="E4595" s="2">
        <v>44691.84375</v>
      </c>
      <c r="F4595" s="23">
        <f t="shared" si="213"/>
        <v>0.20833333333575865</v>
      </c>
      <c r="G4595" s="24">
        <f t="shared" si="215"/>
        <v>59.999999999301515</v>
      </c>
      <c r="H4595" s="1" t="s">
        <v>1</v>
      </c>
      <c r="I4595" s="4" t="s">
        <v>2</v>
      </c>
      <c r="J4595" s="14">
        <v>0.63541666666666663</v>
      </c>
      <c r="K4595" s="20" t="str">
        <f t="shared" si="214"/>
        <v>2nd Shift</v>
      </c>
    </row>
    <row r="4596" spans="1:11" x14ac:dyDescent="0.25">
      <c r="A4596" s="1">
        <v>4595</v>
      </c>
      <c r="B4596" s="1">
        <v>6</v>
      </c>
      <c r="C4596" s="3">
        <v>6115271722200</v>
      </c>
      <c r="D4596" s="2">
        <v>44691.875</v>
      </c>
      <c r="E4596" s="2">
        <v>44691.930555555555</v>
      </c>
      <c r="F4596" s="23">
        <f t="shared" si="213"/>
        <v>5.5555555554747116E-2</v>
      </c>
      <c r="G4596" s="24">
        <f t="shared" si="215"/>
        <v>225.00000000327418</v>
      </c>
      <c r="H4596" s="1" t="s">
        <v>1</v>
      </c>
      <c r="I4596" s="4" t="s">
        <v>2</v>
      </c>
      <c r="J4596" s="14">
        <v>0.875</v>
      </c>
      <c r="K4596" s="20" t="str">
        <f t="shared" si="214"/>
        <v>2nd Shift</v>
      </c>
    </row>
    <row r="4597" spans="1:11" x14ac:dyDescent="0.25">
      <c r="A4597" s="1">
        <v>4596</v>
      </c>
      <c r="B4597" s="1">
        <v>7</v>
      </c>
      <c r="C4597" s="3">
        <v>7115271768300</v>
      </c>
      <c r="D4597" s="2">
        <v>44692.381944444445</v>
      </c>
      <c r="E4597" s="2">
        <v>44692.5</v>
      </c>
      <c r="F4597" s="23">
        <f t="shared" si="213"/>
        <v>0.11805555555474712</v>
      </c>
      <c r="G4597" s="24">
        <f t="shared" si="215"/>
        <v>105.88235294190156</v>
      </c>
      <c r="H4597" s="1" t="s">
        <v>1</v>
      </c>
      <c r="I4597" s="4" t="s">
        <v>3</v>
      </c>
      <c r="J4597" s="14">
        <v>0.38194444444444442</v>
      </c>
      <c r="K4597" s="20" t="str">
        <f t="shared" si="214"/>
        <v>1st Shift</v>
      </c>
    </row>
    <row r="4598" spans="1:11" x14ac:dyDescent="0.25">
      <c r="A4598" s="1">
        <v>4597</v>
      </c>
      <c r="B4598" s="1">
        <v>6</v>
      </c>
      <c r="C4598" s="3">
        <v>6115271739304</v>
      </c>
      <c r="D4598" s="2">
        <v>44692.381944444445</v>
      </c>
      <c r="E4598" s="2">
        <v>44692.5</v>
      </c>
      <c r="F4598" s="23">
        <f t="shared" si="213"/>
        <v>0.11805555555474712</v>
      </c>
      <c r="G4598" s="24">
        <f t="shared" si="215"/>
        <v>105.88235294190156</v>
      </c>
      <c r="H4598" s="1" t="s">
        <v>1</v>
      </c>
      <c r="I4598" s="4" t="s">
        <v>2</v>
      </c>
      <c r="J4598" s="14">
        <v>0.38194444444444442</v>
      </c>
      <c r="K4598" s="20" t="str">
        <f t="shared" si="214"/>
        <v>1st Shift</v>
      </c>
    </row>
    <row r="4599" spans="1:11" x14ac:dyDescent="0.25">
      <c r="A4599" s="1">
        <v>4598</v>
      </c>
      <c r="B4599" s="1">
        <v>6</v>
      </c>
      <c r="C4599" s="3">
        <v>6115271704011</v>
      </c>
      <c r="D4599" s="2">
        <v>44692.458333333336</v>
      </c>
      <c r="E4599" s="2">
        <v>44692.5</v>
      </c>
      <c r="F4599" s="23">
        <f t="shared" si="213"/>
        <v>4.1666666664241347E-2</v>
      </c>
      <c r="G4599" s="24">
        <f t="shared" si="215"/>
        <v>300.0000000174623</v>
      </c>
      <c r="H4599" s="1" t="s">
        <v>1</v>
      </c>
      <c r="I4599" s="4" t="s">
        <v>2</v>
      </c>
      <c r="J4599" s="14">
        <v>0.45833333333333331</v>
      </c>
      <c r="K4599" s="20" t="str">
        <f t="shared" si="214"/>
        <v>1st Shift</v>
      </c>
    </row>
    <row r="4600" spans="1:11" x14ac:dyDescent="0.25">
      <c r="A4600" s="1">
        <v>4599</v>
      </c>
      <c r="B4600" s="1">
        <v>14</v>
      </c>
      <c r="C4600" s="3">
        <v>14115271672500</v>
      </c>
      <c r="D4600" s="2">
        <v>44692.555555555555</v>
      </c>
      <c r="E4600" s="2">
        <v>44692.583333333336</v>
      </c>
      <c r="F4600" s="23">
        <f t="shared" si="213"/>
        <v>2.7777777781011537E-2</v>
      </c>
      <c r="G4600" s="24">
        <f t="shared" si="215"/>
        <v>449.99999994761311</v>
      </c>
      <c r="H4600" s="1" t="s">
        <v>1</v>
      </c>
      <c r="I4600" s="4" t="s">
        <v>2</v>
      </c>
      <c r="J4600" s="14">
        <v>0.55555555555555558</v>
      </c>
      <c r="K4600" s="20" t="str">
        <f t="shared" si="214"/>
        <v>1st Shift</v>
      </c>
    </row>
    <row r="4601" spans="1:11" x14ac:dyDescent="0.25">
      <c r="A4601" s="1">
        <v>4600</v>
      </c>
      <c r="B4601" s="1">
        <v>12</v>
      </c>
      <c r="C4601" s="3">
        <v>12115271581107</v>
      </c>
      <c r="D4601" s="2">
        <v>44692.513888888891</v>
      </c>
      <c r="E4601" s="2">
        <v>44692.583333333336</v>
      </c>
      <c r="F4601" s="23">
        <f t="shared" si="213"/>
        <v>6.9444444445252884E-2</v>
      </c>
      <c r="G4601" s="24">
        <f t="shared" si="215"/>
        <v>179.99999999790452</v>
      </c>
      <c r="H4601" s="1" t="s">
        <v>1</v>
      </c>
      <c r="I4601" s="4" t="s">
        <v>2</v>
      </c>
      <c r="J4601" s="14">
        <v>0.51388888888888884</v>
      </c>
      <c r="K4601" s="20" t="str">
        <f t="shared" si="214"/>
        <v>1st Shift</v>
      </c>
    </row>
    <row r="4602" spans="1:11" x14ac:dyDescent="0.25">
      <c r="A4602" s="1">
        <v>4601</v>
      </c>
      <c r="B4602" s="1">
        <v>10</v>
      </c>
      <c r="C4602" s="3">
        <v>10115271472300</v>
      </c>
      <c r="D4602" s="2">
        <v>44692.53125</v>
      </c>
      <c r="E4602" s="2">
        <v>44692.583333333336</v>
      </c>
      <c r="F4602" s="23">
        <f t="shared" si="213"/>
        <v>5.2083333335758653E-2</v>
      </c>
      <c r="G4602" s="24">
        <f t="shared" si="215"/>
        <v>239.99999998882413</v>
      </c>
      <c r="H4602" s="1" t="s">
        <v>1</v>
      </c>
      <c r="I4602" s="4" t="s">
        <v>2</v>
      </c>
      <c r="J4602" s="14">
        <v>0.53125</v>
      </c>
      <c r="K4602" s="20" t="str">
        <f t="shared" si="214"/>
        <v>1st Shift</v>
      </c>
    </row>
    <row r="4603" spans="1:11" x14ac:dyDescent="0.25">
      <c r="A4603" s="1">
        <v>4602</v>
      </c>
      <c r="B4603" s="1">
        <v>46</v>
      </c>
      <c r="C4603" s="3">
        <v>46115272424319</v>
      </c>
      <c r="D4603" s="2">
        <v>44693.416666666664</v>
      </c>
      <c r="E4603" s="2">
        <v>44693.46875</v>
      </c>
      <c r="F4603" s="23">
        <f t="shared" si="213"/>
        <v>5.2083333335758653E-2</v>
      </c>
      <c r="G4603" s="24">
        <f t="shared" si="215"/>
        <v>239.99999998882413</v>
      </c>
      <c r="H4603" s="1" t="s">
        <v>1</v>
      </c>
      <c r="I4603" s="4" t="s">
        <v>3</v>
      </c>
      <c r="J4603" s="14">
        <v>0.41666666666666669</v>
      </c>
      <c r="K4603" s="20" t="str">
        <f t="shared" si="214"/>
        <v>1st Shift</v>
      </c>
    </row>
    <row r="4604" spans="1:11" x14ac:dyDescent="0.25">
      <c r="A4604" s="1">
        <v>4603</v>
      </c>
      <c r="B4604" s="1">
        <v>46</v>
      </c>
      <c r="C4604" s="3">
        <v>46115272424300</v>
      </c>
      <c r="D4604" s="2">
        <v>44693.416666666664</v>
      </c>
      <c r="E4604" s="2">
        <v>44693.46875</v>
      </c>
      <c r="F4604" s="23">
        <f t="shared" si="213"/>
        <v>5.2083333335758653E-2</v>
      </c>
      <c r="G4604" s="24">
        <f t="shared" si="215"/>
        <v>239.99999998882413</v>
      </c>
      <c r="H4604" s="1" t="s">
        <v>1</v>
      </c>
      <c r="I4604" s="4" t="s">
        <v>2</v>
      </c>
      <c r="J4604" s="14">
        <v>0.41666666666666669</v>
      </c>
      <c r="K4604" s="20" t="str">
        <f t="shared" si="214"/>
        <v>1st Shift</v>
      </c>
    </row>
    <row r="4605" spans="1:11" x14ac:dyDescent="0.25">
      <c r="A4605" s="1">
        <v>4604</v>
      </c>
      <c r="B4605" s="1">
        <v>2</v>
      </c>
      <c r="C4605" s="3">
        <v>2115270224200</v>
      </c>
      <c r="D4605" s="2">
        <v>44693.416666666664</v>
      </c>
      <c r="E4605" s="2">
        <v>44693.46875</v>
      </c>
      <c r="F4605" s="23">
        <f t="shared" si="213"/>
        <v>5.2083333335758653E-2</v>
      </c>
      <c r="G4605" s="24">
        <f t="shared" si="215"/>
        <v>239.99999998882413</v>
      </c>
      <c r="H4605" s="1" t="s">
        <v>1</v>
      </c>
      <c r="I4605" s="4" t="s">
        <v>2</v>
      </c>
      <c r="J4605" s="14">
        <v>0.41666666666666669</v>
      </c>
      <c r="K4605" s="20" t="str">
        <f t="shared" si="214"/>
        <v>1st Shift</v>
      </c>
    </row>
    <row r="4606" spans="1:11" x14ac:dyDescent="0.25">
      <c r="A4606" s="1">
        <v>4605</v>
      </c>
      <c r="B4606" s="1">
        <v>14</v>
      </c>
      <c r="C4606" s="3">
        <v>14115271672601</v>
      </c>
      <c r="D4606" s="2">
        <v>44693.5</v>
      </c>
      <c r="E4606" s="2">
        <v>44693.590277777781</v>
      </c>
      <c r="F4606" s="23">
        <f t="shared" si="213"/>
        <v>9.0277777781011537E-2</v>
      </c>
      <c r="G4606" s="24">
        <f t="shared" si="215"/>
        <v>138.46153845657875</v>
      </c>
      <c r="H4606" s="1" t="s">
        <v>1</v>
      </c>
      <c r="I4606" s="4" t="s">
        <v>4</v>
      </c>
      <c r="J4606" s="14">
        <v>0.5</v>
      </c>
      <c r="K4606" s="20" t="str">
        <f t="shared" si="214"/>
        <v>1st Shift</v>
      </c>
    </row>
    <row r="4607" spans="1:11" x14ac:dyDescent="0.25">
      <c r="A4607" s="1">
        <v>4606</v>
      </c>
      <c r="B4607" s="1">
        <v>3</v>
      </c>
      <c r="C4607" s="3">
        <v>3115270360300</v>
      </c>
      <c r="D4607" s="2">
        <v>44693.5</v>
      </c>
      <c r="E4607" s="2">
        <v>44693.590277777781</v>
      </c>
      <c r="F4607" s="23">
        <f t="shared" si="213"/>
        <v>9.0277777781011537E-2</v>
      </c>
      <c r="G4607" s="24">
        <f t="shared" si="215"/>
        <v>138.46153845657875</v>
      </c>
      <c r="H4607" s="1" t="s">
        <v>1</v>
      </c>
      <c r="I4607" s="4" t="s">
        <v>2</v>
      </c>
      <c r="J4607" s="14">
        <v>0.5</v>
      </c>
      <c r="K4607" s="20" t="str">
        <f t="shared" si="214"/>
        <v>1st Shift</v>
      </c>
    </row>
    <row r="4608" spans="1:11" x14ac:dyDescent="0.25">
      <c r="A4608" s="1">
        <v>4607</v>
      </c>
      <c r="B4608" s="1">
        <v>14</v>
      </c>
      <c r="C4608" s="3">
        <v>14115271675300</v>
      </c>
      <c r="D4608" s="2">
        <v>44693.828472222223</v>
      </c>
      <c r="E4608" s="2">
        <v>44693.930555555555</v>
      </c>
      <c r="F4608" s="23">
        <f t="shared" si="213"/>
        <v>0.10208333333139308</v>
      </c>
      <c r="G4608" s="24">
        <f t="shared" si="215"/>
        <v>122.44897959416407</v>
      </c>
      <c r="H4608" s="1" t="s">
        <v>1</v>
      </c>
      <c r="I4608" s="4" t="s">
        <v>3</v>
      </c>
      <c r="J4608" s="14">
        <v>0.82847222222222228</v>
      </c>
      <c r="K4608" s="20" t="str">
        <f t="shared" si="214"/>
        <v>2nd Shift</v>
      </c>
    </row>
    <row r="4609" spans="1:11" x14ac:dyDescent="0.25">
      <c r="A4609" s="1">
        <v>4608</v>
      </c>
      <c r="B4609" s="1">
        <v>11</v>
      </c>
      <c r="C4609" s="3">
        <v>11115271542700</v>
      </c>
      <c r="D4609" s="2">
        <v>44693.84375</v>
      </c>
      <c r="E4609" s="2">
        <v>44693.930555555555</v>
      </c>
      <c r="F4609" s="23">
        <f t="shared" si="213"/>
        <v>8.6805555554747116E-2</v>
      </c>
      <c r="G4609" s="24">
        <f t="shared" si="215"/>
        <v>144.00000000134111</v>
      </c>
      <c r="H4609" s="1" t="s">
        <v>1</v>
      </c>
      <c r="I4609" s="4" t="s">
        <v>3</v>
      </c>
      <c r="J4609" s="14">
        <v>0.84375</v>
      </c>
      <c r="K4609" s="20" t="str">
        <f t="shared" si="214"/>
        <v>2nd Shift</v>
      </c>
    </row>
    <row r="4610" spans="1:11" x14ac:dyDescent="0.25">
      <c r="A4610" s="1">
        <v>4609</v>
      </c>
      <c r="B4610" s="1">
        <v>11</v>
      </c>
      <c r="C4610" s="3">
        <v>11115271483201</v>
      </c>
      <c r="D4610" s="2">
        <v>44693.862500000003</v>
      </c>
      <c r="E4610" s="2">
        <v>44693.930555555555</v>
      </c>
      <c r="F4610" s="23">
        <f t="shared" ref="F4610:F4673" si="216">E4610-D4610</f>
        <v>6.8055555551836733E-2</v>
      </c>
      <c r="G4610" s="24">
        <f t="shared" si="215"/>
        <v>183.67346939779173</v>
      </c>
      <c r="H4610" s="1" t="s">
        <v>1</v>
      </c>
      <c r="I4610" s="4" t="s">
        <v>3</v>
      </c>
      <c r="J4610" s="14">
        <v>0.86250000000000004</v>
      </c>
      <c r="K4610" s="20" t="str">
        <f t="shared" ref="K4610:K4673" si="217">IF(AND(J4610&gt;=$M$3,J4610&lt;$M$4),"1st Shift",IF(AND(J4610&gt;=$M$4,J4610&lt;$M$5),"2nd Shift","3rd Shift"))</f>
        <v>2nd Shift</v>
      </c>
    </row>
    <row r="4611" spans="1:11" x14ac:dyDescent="0.25">
      <c r="A4611" s="1">
        <v>4610</v>
      </c>
      <c r="B4611" s="1">
        <v>7</v>
      </c>
      <c r="C4611" s="3">
        <v>7115271787804</v>
      </c>
      <c r="D4611" s="2">
        <v>44693.828472222223</v>
      </c>
      <c r="E4611" s="2">
        <v>44693.930555555555</v>
      </c>
      <c r="F4611" s="23">
        <f t="shared" si="216"/>
        <v>0.10208333333139308</v>
      </c>
      <c r="G4611" s="24">
        <f t="shared" ref="G4611:G4674" si="218">$M$9/F4611*100</f>
        <v>122.44897959416407</v>
      </c>
      <c r="H4611" s="1" t="s">
        <v>1</v>
      </c>
      <c r="I4611" s="4" t="s">
        <v>2</v>
      </c>
      <c r="J4611" s="14">
        <v>0.82847222222222228</v>
      </c>
      <c r="K4611" s="20" t="str">
        <f t="shared" si="217"/>
        <v>2nd Shift</v>
      </c>
    </row>
    <row r="4612" spans="1:11" x14ac:dyDescent="0.25">
      <c r="A4612" s="1">
        <v>4611</v>
      </c>
      <c r="B4612" s="1">
        <v>7</v>
      </c>
      <c r="C4612" s="3">
        <v>7115271787802</v>
      </c>
      <c r="D4612" s="2">
        <v>44693.854861111111</v>
      </c>
      <c r="E4612" s="2">
        <v>44693.930555555555</v>
      </c>
      <c r="F4612" s="23">
        <f t="shared" si="216"/>
        <v>7.5694444443797693E-2</v>
      </c>
      <c r="G4612" s="24">
        <f t="shared" si="218"/>
        <v>165.13761468031007</v>
      </c>
      <c r="H4612" s="1" t="s">
        <v>1</v>
      </c>
      <c r="I4612" s="4" t="s">
        <v>3</v>
      </c>
      <c r="J4612" s="14">
        <v>0.85486111111111107</v>
      </c>
      <c r="K4612" s="20" t="str">
        <f t="shared" si="217"/>
        <v>2nd Shift</v>
      </c>
    </row>
    <row r="4613" spans="1:11" x14ac:dyDescent="0.25">
      <c r="A4613" s="1">
        <v>4612</v>
      </c>
      <c r="B4613" s="1">
        <v>14</v>
      </c>
      <c r="C4613" s="3">
        <v>14115271672601</v>
      </c>
      <c r="D4613" s="2">
        <v>44693.944444444445</v>
      </c>
      <c r="E4613" s="2">
        <v>44694.024305555555</v>
      </c>
      <c r="F4613" s="23">
        <f t="shared" si="216"/>
        <v>7.9861111109494232E-2</v>
      </c>
      <c r="G4613" s="24">
        <f t="shared" si="218"/>
        <v>156.52173913360375</v>
      </c>
      <c r="H4613" s="1" t="s">
        <v>1</v>
      </c>
      <c r="I4613" s="4" t="s">
        <v>2</v>
      </c>
      <c r="J4613" s="14">
        <v>0.94444444444444442</v>
      </c>
      <c r="K4613" s="20" t="str">
        <f t="shared" si="217"/>
        <v>3rd Shift</v>
      </c>
    </row>
    <row r="4614" spans="1:11" x14ac:dyDescent="0.25">
      <c r="A4614" s="1">
        <v>4613</v>
      </c>
      <c r="B4614" s="1">
        <v>3</v>
      </c>
      <c r="C4614" s="3">
        <v>3115270350207</v>
      </c>
      <c r="D4614" s="2">
        <v>44693.944444444445</v>
      </c>
      <c r="E4614" s="2">
        <v>44694.024305555555</v>
      </c>
      <c r="F4614" s="23">
        <f t="shared" si="216"/>
        <v>7.9861111109494232E-2</v>
      </c>
      <c r="G4614" s="24">
        <f t="shared" si="218"/>
        <v>156.52173913360375</v>
      </c>
      <c r="H4614" s="1" t="s">
        <v>1</v>
      </c>
      <c r="I4614" s="4" t="s">
        <v>2</v>
      </c>
      <c r="J4614" s="14">
        <v>0.94444444444444442</v>
      </c>
      <c r="K4614" s="20" t="str">
        <f t="shared" si="217"/>
        <v>3rd Shift</v>
      </c>
    </row>
    <row r="4615" spans="1:11" x14ac:dyDescent="0.25">
      <c r="A4615" s="1">
        <v>4614</v>
      </c>
      <c r="B4615" s="1">
        <v>11</v>
      </c>
      <c r="C4615" s="3">
        <v>11115271547401</v>
      </c>
      <c r="D4615" s="2">
        <v>44694.446527777778</v>
      </c>
      <c r="E4615" s="2">
        <v>44694.609027777777</v>
      </c>
      <c r="F4615" s="23">
        <f t="shared" si="216"/>
        <v>0.16249999999854481</v>
      </c>
      <c r="G4615" s="24">
        <f t="shared" si="218"/>
        <v>76.923076923765777</v>
      </c>
      <c r="H4615" s="1" t="s">
        <v>1</v>
      </c>
      <c r="I4615" s="4" t="s">
        <v>8</v>
      </c>
      <c r="J4615" s="14">
        <v>0.4465277777777778</v>
      </c>
      <c r="K4615" s="20" t="str">
        <f t="shared" si="217"/>
        <v>1st Shift</v>
      </c>
    </row>
    <row r="4616" spans="1:11" x14ac:dyDescent="0.25">
      <c r="A4616" s="1">
        <v>4615</v>
      </c>
      <c r="B4616" s="1">
        <v>10</v>
      </c>
      <c r="C4616" s="3">
        <v>10115271410600</v>
      </c>
      <c r="D4616" s="2">
        <v>44694.546527777777</v>
      </c>
      <c r="E4616" s="2">
        <v>44694.609027777777</v>
      </c>
      <c r="F4616" s="23">
        <f t="shared" si="216"/>
        <v>6.25E-2</v>
      </c>
      <c r="G4616" s="24">
        <f t="shared" si="218"/>
        <v>200</v>
      </c>
      <c r="H4616" s="1" t="s">
        <v>1</v>
      </c>
      <c r="I4616" s="4" t="s">
        <v>3</v>
      </c>
      <c r="J4616" s="14">
        <v>0.54652777777777772</v>
      </c>
      <c r="K4616" s="20" t="str">
        <f t="shared" si="217"/>
        <v>1st Shift</v>
      </c>
    </row>
    <row r="4617" spans="1:11" x14ac:dyDescent="0.25">
      <c r="A4617" s="1">
        <v>4616</v>
      </c>
      <c r="B4617" s="1">
        <v>8</v>
      </c>
      <c r="C4617" s="3">
        <v>8115271838400</v>
      </c>
      <c r="D4617" s="2">
        <v>44694.479166666664</v>
      </c>
      <c r="E4617" s="2">
        <v>44694.609027777777</v>
      </c>
      <c r="F4617" s="23">
        <f t="shared" si="216"/>
        <v>0.12986111111240461</v>
      </c>
      <c r="G4617" s="24">
        <f t="shared" si="218"/>
        <v>96.256684491019826</v>
      </c>
      <c r="H4617" s="1" t="s">
        <v>1</v>
      </c>
      <c r="I4617" s="4" t="s">
        <v>2</v>
      </c>
      <c r="J4617" s="14">
        <v>0.47916666666666669</v>
      </c>
      <c r="K4617" s="20" t="str">
        <f t="shared" si="217"/>
        <v>1st Shift</v>
      </c>
    </row>
    <row r="4618" spans="1:11" x14ac:dyDescent="0.25">
      <c r="A4618" s="1">
        <v>4617</v>
      </c>
      <c r="B4618" s="1">
        <v>8</v>
      </c>
      <c r="C4618" s="3">
        <v>8115271820901</v>
      </c>
      <c r="D4618" s="2">
        <v>44694.446527777778</v>
      </c>
      <c r="E4618" s="2">
        <v>44694.609027777777</v>
      </c>
      <c r="F4618" s="23">
        <f t="shared" si="216"/>
        <v>0.16249999999854481</v>
      </c>
      <c r="G4618" s="24">
        <f t="shared" si="218"/>
        <v>76.923076923765777</v>
      </c>
      <c r="H4618" s="1" t="s">
        <v>1</v>
      </c>
      <c r="I4618" s="4" t="s">
        <v>2</v>
      </c>
      <c r="J4618" s="14">
        <v>0.4465277777777778</v>
      </c>
      <c r="K4618" s="20" t="str">
        <f t="shared" si="217"/>
        <v>1st Shift</v>
      </c>
    </row>
    <row r="4619" spans="1:11" x14ac:dyDescent="0.25">
      <c r="A4619" s="1">
        <v>4618</v>
      </c>
      <c r="B4619" s="1">
        <v>6</v>
      </c>
      <c r="C4619" s="3">
        <v>6115271719905</v>
      </c>
      <c r="D4619" s="2">
        <v>44694.520833333336</v>
      </c>
      <c r="E4619" s="2">
        <v>44694.609027777777</v>
      </c>
      <c r="F4619" s="23">
        <f t="shared" si="216"/>
        <v>8.819444444088731E-2</v>
      </c>
      <c r="G4619" s="24">
        <f t="shared" si="218"/>
        <v>141.73228347028339</v>
      </c>
      <c r="H4619" s="1" t="s">
        <v>1</v>
      </c>
      <c r="I4619" s="4" t="s">
        <v>2</v>
      </c>
      <c r="J4619" s="14">
        <v>0.52083333333333337</v>
      </c>
      <c r="K4619" s="20" t="str">
        <f t="shared" si="217"/>
        <v>1st Shift</v>
      </c>
    </row>
    <row r="4620" spans="1:11" x14ac:dyDescent="0.25">
      <c r="A4620" s="1">
        <v>4619</v>
      </c>
      <c r="B4620" s="1">
        <v>15</v>
      </c>
      <c r="C4620" s="3">
        <v>15115271743502</v>
      </c>
      <c r="D4620" s="2">
        <v>44694.625</v>
      </c>
      <c r="E4620" s="2">
        <v>44694.854166666664</v>
      </c>
      <c r="F4620" s="23">
        <f t="shared" si="216"/>
        <v>0.22916666666424135</v>
      </c>
      <c r="G4620" s="24">
        <f t="shared" si="218"/>
        <v>54.545454546031813</v>
      </c>
      <c r="H4620" s="1" t="s">
        <v>1</v>
      </c>
      <c r="I4620" s="4" t="s">
        <v>2</v>
      </c>
      <c r="J4620" s="14">
        <v>0.625</v>
      </c>
      <c r="K4620" s="20" t="str">
        <f t="shared" si="217"/>
        <v>2nd Shift</v>
      </c>
    </row>
    <row r="4621" spans="1:11" x14ac:dyDescent="0.25">
      <c r="A4621" s="1">
        <v>4620</v>
      </c>
      <c r="B4621" s="1">
        <v>12</v>
      </c>
      <c r="C4621" s="3">
        <v>12115271560121</v>
      </c>
      <c r="D4621" s="2">
        <v>44694.625</v>
      </c>
      <c r="E4621" s="2">
        <v>44694.854166666664</v>
      </c>
      <c r="F4621" s="23">
        <f t="shared" si="216"/>
        <v>0.22916666666424135</v>
      </c>
      <c r="G4621" s="24">
        <f t="shared" si="218"/>
        <v>54.545454546031813</v>
      </c>
      <c r="H4621" s="1" t="s">
        <v>1</v>
      </c>
      <c r="I4621" s="4" t="s">
        <v>2</v>
      </c>
      <c r="J4621" s="14">
        <v>0.625</v>
      </c>
      <c r="K4621" s="20" t="str">
        <f t="shared" si="217"/>
        <v>2nd Shift</v>
      </c>
    </row>
    <row r="4622" spans="1:11" x14ac:dyDescent="0.25">
      <c r="A4622" s="1">
        <v>4621</v>
      </c>
      <c r="B4622" s="1">
        <v>10</v>
      </c>
      <c r="C4622" s="3">
        <v>10115271433702</v>
      </c>
      <c r="D4622" s="2">
        <v>44694.729166666664</v>
      </c>
      <c r="E4622" s="2">
        <v>44694.854166666664</v>
      </c>
      <c r="F4622" s="23">
        <f t="shared" si="216"/>
        <v>0.125</v>
      </c>
      <c r="G4622" s="24">
        <f t="shared" si="218"/>
        <v>100</v>
      </c>
      <c r="H4622" s="1" t="s">
        <v>1</v>
      </c>
      <c r="I4622" s="4" t="s">
        <v>2</v>
      </c>
      <c r="J4622" s="14">
        <v>0.72916666666666663</v>
      </c>
      <c r="K4622" s="20" t="str">
        <f t="shared" si="217"/>
        <v>2nd Shift</v>
      </c>
    </row>
    <row r="4623" spans="1:11" x14ac:dyDescent="0.25">
      <c r="A4623" s="1">
        <v>4622</v>
      </c>
      <c r="B4623" s="1">
        <v>8</v>
      </c>
      <c r="C4623" s="3">
        <v>8115271821823</v>
      </c>
      <c r="D4623" s="2">
        <v>44694.781944444447</v>
      </c>
      <c r="E4623" s="2">
        <v>44694.854166666664</v>
      </c>
      <c r="F4623" s="23">
        <f t="shared" si="216"/>
        <v>7.2222222217533272E-2</v>
      </c>
      <c r="G4623" s="24">
        <f t="shared" si="218"/>
        <v>173.07692308815993</v>
      </c>
      <c r="H4623" s="1" t="s">
        <v>1</v>
      </c>
      <c r="I4623" s="4" t="s">
        <v>2</v>
      </c>
      <c r="J4623" s="14">
        <v>0.78194444444444444</v>
      </c>
      <c r="K4623" s="20" t="str">
        <f t="shared" si="217"/>
        <v>2nd Shift</v>
      </c>
    </row>
    <row r="4624" spans="1:11" x14ac:dyDescent="0.25">
      <c r="A4624" s="1">
        <v>4623</v>
      </c>
      <c r="B4624" s="1">
        <v>6</v>
      </c>
      <c r="C4624" s="3">
        <v>6115271723900</v>
      </c>
      <c r="D4624" s="2">
        <v>44694.729166666664</v>
      </c>
      <c r="E4624" s="2">
        <v>44694.854166666664</v>
      </c>
      <c r="F4624" s="23">
        <f t="shared" si="216"/>
        <v>0.125</v>
      </c>
      <c r="G4624" s="24">
        <f t="shared" si="218"/>
        <v>100</v>
      </c>
      <c r="H4624" s="1" t="s">
        <v>1</v>
      </c>
      <c r="I4624" s="4" t="s">
        <v>2</v>
      </c>
      <c r="J4624" s="14">
        <v>0.72916666666666663</v>
      </c>
      <c r="K4624" s="20" t="str">
        <f t="shared" si="217"/>
        <v>2nd Shift</v>
      </c>
    </row>
    <row r="4625" spans="1:11" x14ac:dyDescent="0.25">
      <c r="A4625" s="1">
        <v>4624</v>
      </c>
      <c r="B4625" s="1">
        <v>1</v>
      </c>
      <c r="C4625" s="3">
        <v>1115270077901</v>
      </c>
      <c r="D4625" s="2">
        <v>44694.625</v>
      </c>
      <c r="E4625" s="2">
        <v>44694.854166666664</v>
      </c>
      <c r="F4625" s="23">
        <f t="shared" si="216"/>
        <v>0.22916666666424135</v>
      </c>
      <c r="G4625" s="24">
        <f t="shared" si="218"/>
        <v>54.545454546031813</v>
      </c>
      <c r="H4625" s="1" t="s">
        <v>1</v>
      </c>
      <c r="I4625" s="4" t="s">
        <v>2</v>
      </c>
      <c r="J4625" s="14">
        <v>0.625</v>
      </c>
      <c r="K4625" s="20" t="str">
        <f t="shared" si="217"/>
        <v>2nd Shift</v>
      </c>
    </row>
    <row r="4626" spans="1:11" x14ac:dyDescent="0.25">
      <c r="A4626" s="1">
        <v>4625</v>
      </c>
      <c r="B4626" s="1">
        <v>1</v>
      </c>
      <c r="C4626" s="3">
        <v>1115270029200</v>
      </c>
      <c r="D4626" s="2">
        <v>44694.625</v>
      </c>
      <c r="E4626" s="2">
        <v>44694.854166666664</v>
      </c>
      <c r="F4626" s="23">
        <f t="shared" si="216"/>
        <v>0.22916666666424135</v>
      </c>
      <c r="G4626" s="24">
        <f t="shared" si="218"/>
        <v>54.545454546031813</v>
      </c>
      <c r="H4626" s="1" t="s">
        <v>1</v>
      </c>
      <c r="I4626" s="4" t="s">
        <v>2</v>
      </c>
      <c r="J4626" s="14">
        <v>0.625</v>
      </c>
      <c r="K4626" s="20" t="str">
        <f t="shared" si="217"/>
        <v>2nd Shift</v>
      </c>
    </row>
    <row r="4627" spans="1:11" x14ac:dyDescent="0.25">
      <c r="A4627" s="1">
        <v>4626</v>
      </c>
      <c r="B4627" s="1">
        <v>14</v>
      </c>
      <c r="C4627" s="3">
        <v>14115271690501</v>
      </c>
      <c r="D4627" s="2">
        <v>44695.111111111109</v>
      </c>
      <c r="E4627" s="2">
        <v>44695.138888888891</v>
      </c>
      <c r="F4627" s="23">
        <f t="shared" si="216"/>
        <v>2.7777777781011537E-2</v>
      </c>
      <c r="G4627" s="24">
        <f t="shared" si="218"/>
        <v>449.99999994761311</v>
      </c>
      <c r="H4627" s="1" t="s">
        <v>1</v>
      </c>
      <c r="I4627" s="4" t="s">
        <v>2</v>
      </c>
      <c r="J4627" s="14">
        <v>0.1111111111111111</v>
      </c>
      <c r="K4627" s="20" t="str">
        <f t="shared" si="217"/>
        <v>3rd Shift</v>
      </c>
    </row>
    <row r="4628" spans="1:11" x14ac:dyDescent="0.25">
      <c r="A4628" s="1">
        <v>4627</v>
      </c>
      <c r="B4628" s="1">
        <v>11</v>
      </c>
      <c r="C4628" s="3">
        <v>11115271502200</v>
      </c>
      <c r="D4628" s="2">
        <v>44694.940972222219</v>
      </c>
      <c r="E4628" s="2">
        <v>44695.138888888891</v>
      </c>
      <c r="F4628" s="23">
        <f t="shared" si="216"/>
        <v>0.19791666667151731</v>
      </c>
      <c r="G4628" s="24">
        <f t="shared" si="218"/>
        <v>63.157894735294192</v>
      </c>
      <c r="H4628" s="1" t="s">
        <v>1</v>
      </c>
      <c r="I4628" s="4" t="s">
        <v>2</v>
      </c>
      <c r="J4628" s="14">
        <v>0.94097222222222221</v>
      </c>
      <c r="K4628" s="20" t="str">
        <f t="shared" si="217"/>
        <v>3rd Shift</v>
      </c>
    </row>
    <row r="4629" spans="1:11" x14ac:dyDescent="0.25">
      <c r="A4629" s="1">
        <v>4628</v>
      </c>
      <c r="B4629" s="1">
        <v>9</v>
      </c>
      <c r="C4629" s="3">
        <v>9115271906700</v>
      </c>
      <c r="D4629" s="2">
        <v>44695.006944444445</v>
      </c>
      <c r="E4629" s="2">
        <v>44695.138888888891</v>
      </c>
      <c r="F4629" s="23">
        <f t="shared" si="216"/>
        <v>0.13194444444525288</v>
      </c>
      <c r="G4629" s="24">
        <f t="shared" si="218"/>
        <v>94.736842104682694</v>
      </c>
      <c r="H4629" s="1" t="s">
        <v>1</v>
      </c>
      <c r="I4629" s="4" t="s">
        <v>2</v>
      </c>
      <c r="J4629" s="14">
        <v>6.9444444444444441E-3</v>
      </c>
      <c r="K4629" s="20" t="str">
        <f t="shared" si="217"/>
        <v>3rd Shift</v>
      </c>
    </row>
    <row r="4630" spans="1:11" x14ac:dyDescent="0.25">
      <c r="A4630" s="1">
        <v>4629</v>
      </c>
      <c r="B4630" s="1">
        <v>14</v>
      </c>
      <c r="C4630" s="3">
        <v>14115271729400</v>
      </c>
      <c r="D4630" s="2">
        <v>44695.359027777777</v>
      </c>
      <c r="E4630" s="2">
        <v>44695.597222222219</v>
      </c>
      <c r="F4630" s="23">
        <f t="shared" si="216"/>
        <v>0.2381944444423425</v>
      </c>
      <c r="G4630" s="24">
        <f t="shared" si="218"/>
        <v>52.478134111250263</v>
      </c>
      <c r="H4630" s="1" t="s">
        <v>1</v>
      </c>
      <c r="I4630" s="4" t="s">
        <v>4</v>
      </c>
      <c r="J4630" s="14">
        <v>0.35902777777777778</v>
      </c>
      <c r="K4630" s="20" t="str">
        <f t="shared" si="217"/>
        <v>1st Shift</v>
      </c>
    </row>
    <row r="4631" spans="1:11" x14ac:dyDescent="0.25">
      <c r="A4631" s="1">
        <v>4630</v>
      </c>
      <c r="B4631" s="1">
        <v>14</v>
      </c>
      <c r="C4631" s="3">
        <v>14115271672500</v>
      </c>
      <c r="D4631" s="2">
        <v>44695.359027777777</v>
      </c>
      <c r="E4631" s="2">
        <v>44695.597222222219</v>
      </c>
      <c r="F4631" s="23">
        <f t="shared" si="216"/>
        <v>0.2381944444423425</v>
      </c>
      <c r="G4631" s="24">
        <f t="shared" si="218"/>
        <v>52.478134111250263</v>
      </c>
      <c r="H4631" s="1" t="s">
        <v>1</v>
      </c>
      <c r="I4631" s="4" t="s">
        <v>2</v>
      </c>
      <c r="J4631" s="14">
        <v>0.35902777777777778</v>
      </c>
      <c r="K4631" s="20" t="str">
        <f t="shared" si="217"/>
        <v>1st Shift</v>
      </c>
    </row>
    <row r="4632" spans="1:11" x14ac:dyDescent="0.25">
      <c r="A4632" s="1">
        <v>4631</v>
      </c>
      <c r="B4632" s="1">
        <v>12</v>
      </c>
      <c r="C4632" s="3">
        <v>12115271584806</v>
      </c>
      <c r="D4632" s="2">
        <v>44695.427083333336</v>
      </c>
      <c r="E4632" s="2">
        <v>44695.597222222219</v>
      </c>
      <c r="F4632" s="23">
        <f t="shared" si="216"/>
        <v>0.17013888888322981</v>
      </c>
      <c r="G4632" s="24">
        <f t="shared" si="218"/>
        <v>73.469387757545746</v>
      </c>
      <c r="H4632" s="1" t="s">
        <v>1</v>
      </c>
      <c r="I4632" s="4" t="s">
        <v>2</v>
      </c>
      <c r="J4632" s="14">
        <v>0.42708333333333331</v>
      </c>
      <c r="K4632" s="20" t="str">
        <f t="shared" si="217"/>
        <v>1st Shift</v>
      </c>
    </row>
    <row r="4633" spans="1:11" x14ac:dyDescent="0.25">
      <c r="A4633" s="1">
        <v>4632</v>
      </c>
      <c r="B4633" s="1">
        <v>8</v>
      </c>
      <c r="C4633" s="3">
        <v>8115271872000</v>
      </c>
      <c r="D4633" s="2">
        <v>44695.513888888891</v>
      </c>
      <c r="E4633" s="2">
        <v>44695.597222222219</v>
      </c>
      <c r="F4633" s="23">
        <f t="shared" si="216"/>
        <v>8.3333333328482695E-2</v>
      </c>
      <c r="G4633" s="24">
        <f t="shared" si="218"/>
        <v>150.00000000873115</v>
      </c>
      <c r="H4633" s="1" t="s">
        <v>1</v>
      </c>
      <c r="I4633" s="4" t="s">
        <v>2</v>
      </c>
      <c r="J4633" s="14">
        <v>0.51388888888888884</v>
      </c>
      <c r="K4633" s="20" t="str">
        <f t="shared" si="217"/>
        <v>1st Shift</v>
      </c>
    </row>
    <row r="4634" spans="1:11" x14ac:dyDescent="0.25">
      <c r="A4634" s="1">
        <v>4633</v>
      </c>
      <c r="B4634" s="1">
        <v>5</v>
      </c>
      <c r="C4634" s="3">
        <v>5115271669300</v>
      </c>
      <c r="D4634" s="2">
        <v>44695.479166666664</v>
      </c>
      <c r="E4634" s="2">
        <v>44695.597222222219</v>
      </c>
      <c r="F4634" s="23">
        <f t="shared" si="216"/>
        <v>0.11805555555474712</v>
      </c>
      <c r="G4634" s="24">
        <f t="shared" si="218"/>
        <v>105.88235294190156</v>
      </c>
      <c r="H4634" s="1" t="s">
        <v>1</v>
      </c>
      <c r="I4634" s="4" t="s">
        <v>2</v>
      </c>
      <c r="J4634" s="14">
        <v>0.47916666666666669</v>
      </c>
      <c r="K4634" s="20" t="str">
        <f t="shared" si="217"/>
        <v>1st Shift</v>
      </c>
    </row>
    <row r="4635" spans="1:11" x14ac:dyDescent="0.25">
      <c r="A4635" s="1">
        <v>4634</v>
      </c>
      <c r="B4635" s="1">
        <v>5</v>
      </c>
      <c r="C4635" s="3">
        <v>5115271289604</v>
      </c>
      <c r="D4635" s="2">
        <v>44695.513888888891</v>
      </c>
      <c r="E4635" s="2">
        <v>44695.597222222219</v>
      </c>
      <c r="F4635" s="23">
        <f t="shared" si="216"/>
        <v>8.3333333328482695E-2</v>
      </c>
      <c r="G4635" s="24">
        <f t="shared" si="218"/>
        <v>150.00000000873115</v>
      </c>
      <c r="H4635" s="1" t="s">
        <v>1</v>
      </c>
      <c r="I4635" s="4" t="s">
        <v>2</v>
      </c>
      <c r="J4635" s="14">
        <v>0.51388888888888884</v>
      </c>
      <c r="K4635" s="20" t="str">
        <f t="shared" si="217"/>
        <v>1st Shift</v>
      </c>
    </row>
    <row r="4636" spans="1:11" x14ac:dyDescent="0.25">
      <c r="A4636" s="1">
        <v>4635</v>
      </c>
      <c r="B4636" s="1">
        <v>1</v>
      </c>
      <c r="C4636" s="3">
        <v>1115270087105</v>
      </c>
      <c r="D4636" s="2">
        <v>44695.427083333336</v>
      </c>
      <c r="E4636" s="2">
        <v>44695.597222222219</v>
      </c>
      <c r="F4636" s="23">
        <f t="shared" si="216"/>
        <v>0.17013888888322981</v>
      </c>
      <c r="G4636" s="24">
        <f t="shared" si="218"/>
        <v>73.469387757545746</v>
      </c>
      <c r="H4636" s="1" t="s">
        <v>1</v>
      </c>
      <c r="I4636" s="4" t="s">
        <v>2</v>
      </c>
      <c r="J4636" s="14">
        <v>0.42708333333333331</v>
      </c>
      <c r="K4636" s="20" t="str">
        <f t="shared" si="217"/>
        <v>1st Shift</v>
      </c>
    </row>
    <row r="4637" spans="1:11" x14ac:dyDescent="0.25">
      <c r="A4637" s="1">
        <v>4636</v>
      </c>
      <c r="B4637" s="1">
        <v>14</v>
      </c>
      <c r="C4637" s="3">
        <v>14115271672412</v>
      </c>
      <c r="D4637" s="2">
        <v>44695.661805555559</v>
      </c>
      <c r="E4637" s="2">
        <v>44695.899305555555</v>
      </c>
      <c r="F4637" s="23">
        <f t="shared" si="216"/>
        <v>0.23749999999563443</v>
      </c>
      <c r="G4637" s="24">
        <f t="shared" si="218"/>
        <v>52.631578948335864</v>
      </c>
      <c r="H4637" s="1" t="s">
        <v>1</v>
      </c>
      <c r="I4637" s="4" t="s">
        <v>3</v>
      </c>
      <c r="J4637" s="14">
        <v>0.66180555555555554</v>
      </c>
      <c r="K4637" s="20" t="str">
        <f t="shared" si="217"/>
        <v>2nd Shift</v>
      </c>
    </row>
    <row r="4638" spans="1:11" x14ac:dyDescent="0.25">
      <c r="A4638" s="1">
        <v>4637</v>
      </c>
      <c r="B4638" s="1">
        <v>12</v>
      </c>
      <c r="C4638" s="3">
        <v>12115271569401</v>
      </c>
      <c r="D4638" s="2">
        <v>44695.661805555559</v>
      </c>
      <c r="E4638" s="2">
        <v>44695.899305555555</v>
      </c>
      <c r="F4638" s="23">
        <f t="shared" si="216"/>
        <v>0.23749999999563443</v>
      </c>
      <c r="G4638" s="24">
        <f t="shared" si="218"/>
        <v>52.631578948335864</v>
      </c>
      <c r="H4638" s="1" t="s">
        <v>1</v>
      </c>
      <c r="I4638" s="4" t="s">
        <v>3</v>
      </c>
      <c r="J4638" s="14">
        <v>0.66180555555555554</v>
      </c>
      <c r="K4638" s="20" t="str">
        <f t="shared" si="217"/>
        <v>2nd Shift</v>
      </c>
    </row>
    <row r="4639" spans="1:11" x14ac:dyDescent="0.25">
      <c r="A4639" s="1">
        <v>4638</v>
      </c>
      <c r="B4639" s="1">
        <v>11</v>
      </c>
      <c r="C4639" s="3">
        <v>11115271482700</v>
      </c>
      <c r="D4639" s="2">
        <v>44695.705555555556</v>
      </c>
      <c r="E4639" s="2">
        <v>44695.899305555555</v>
      </c>
      <c r="F4639" s="23">
        <f t="shared" si="216"/>
        <v>0.19374999999854481</v>
      </c>
      <c r="G4639" s="24">
        <f t="shared" si="218"/>
        <v>64.516129032742626</v>
      </c>
      <c r="H4639" s="1" t="s">
        <v>1</v>
      </c>
      <c r="I4639" s="4" t="s">
        <v>2</v>
      </c>
      <c r="J4639" s="14">
        <v>0.7055555555555556</v>
      </c>
      <c r="K4639" s="20" t="str">
        <f t="shared" si="217"/>
        <v>2nd Shift</v>
      </c>
    </row>
    <row r="4640" spans="1:11" x14ac:dyDescent="0.25">
      <c r="A4640" s="1">
        <v>4639</v>
      </c>
      <c r="B4640" s="1">
        <v>2</v>
      </c>
      <c r="C4640" s="3">
        <v>2115270219500</v>
      </c>
      <c r="D4640" s="2">
        <v>44695.758333333331</v>
      </c>
      <c r="E4640" s="2">
        <v>44695.899305555555</v>
      </c>
      <c r="F4640" s="23">
        <f t="shared" si="216"/>
        <v>0.14097222222335404</v>
      </c>
      <c r="G4640" s="24">
        <f t="shared" si="218"/>
        <v>88.669950738204363</v>
      </c>
      <c r="H4640" s="1" t="s">
        <v>1</v>
      </c>
      <c r="I4640" s="4" t="s">
        <v>2</v>
      </c>
      <c r="J4640" s="14">
        <v>0.7583333333333333</v>
      </c>
      <c r="K4640" s="20" t="str">
        <f t="shared" si="217"/>
        <v>2nd Shift</v>
      </c>
    </row>
    <row r="4641" spans="1:11" x14ac:dyDescent="0.25">
      <c r="A4641" s="1">
        <v>4640</v>
      </c>
      <c r="B4641" s="1">
        <v>12</v>
      </c>
      <c r="C4641" s="3">
        <v>12115271574441</v>
      </c>
      <c r="D4641" s="2">
        <v>44696.458333333336</v>
      </c>
      <c r="E4641" s="2">
        <v>44696.60833333333</v>
      </c>
      <c r="F4641" s="23">
        <f t="shared" si="216"/>
        <v>0.14999999999417923</v>
      </c>
      <c r="G4641" s="24">
        <f t="shared" si="218"/>
        <v>83.333333336567094</v>
      </c>
      <c r="H4641" s="1" t="s">
        <v>1</v>
      </c>
      <c r="I4641" s="4" t="s">
        <v>4</v>
      </c>
      <c r="J4641" s="14">
        <v>0.45833333333333331</v>
      </c>
      <c r="K4641" s="20" t="str">
        <f t="shared" si="217"/>
        <v>1st Shift</v>
      </c>
    </row>
    <row r="4642" spans="1:11" x14ac:dyDescent="0.25">
      <c r="A4642" s="1">
        <v>4641</v>
      </c>
      <c r="B4642" s="1">
        <v>12</v>
      </c>
      <c r="C4642" s="3">
        <v>12115271573220</v>
      </c>
      <c r="D4642" s="2">
        <v>44696.40625</v>
      </c>
      <c r="E4642" s="2">
        <v>44696.60833333333</v>
      </c>
      <c r="F4642" s="23">
        <f t="shared" si="216"/>
        <v>0.20208333332993789</v>
      </c>
      <c r="G4642" s="24">
        <f t="shared" si="218"/>
        <v>61.855670104132102</v>
      </c>
      <c r="H4642" s="1" t="s">
        <v>1</v>
      </c>
      <c r="I4642" s="4" t="s">
        <v>2</v>
      </c>
      <c r="J4642" s="14">
        <v>0.40625</v>
      </c>
      <c r="K4642" s="20" t="str">
        <f t="shared" si="217"/>
        <v>1st Shift</v>
      </c>
    </row>
    <row r="4643" spans="1:11" x14ac:dyDescent="0.25">
      <c r="A4643" s="1">
        <v>4642</v>
      </c>
      <c r="B4643" s="1">
        <v>12</v>
      </c>
      <c r="C4643" s="3">
        <v>12115271571015</v>
      </c>
      <c r="D4643" s="2">
        <v>44696.458333333336</v>
      </c>
      <c r="E4643" s="2">
        <v>44696.60833333333</v>
      </c>
      <c r="F4643" s="23">
        <f t="shared" si="216"/>
        <v>0.14999999999417923</v>
      </c>
      <c r="G4643" s="24">
        <f t="shared" si="218"/>
        <v>83.333333336567094</v>
      </c>
      <c r="H4643" s="1" t="s">
        <v>1</v>
      </c>
      <c r="I4643" s="4" t="s">
        <v>2</v>
      </c>
      <c r="J4643" s="14">
        <v>0.45833333333333331</v>
      </c>
      <c r="K4643" s="20" t="str">
        <f t="shared" si="217"/>
        <v>1st Shift</v>
      </c>
    </row>
    <row r="4644" spans="1:11" x14ac:dyDescent="0.25">
      <c r="A4644" s="1">
        <v>4643</v>
      </c>
      <c r="B4644" s="1">
        <v>12</v>
      </c>
      <c r="C4644" s="3">
        <v>12115271569608</v>
      </c>
      <c r="D4644" s="2">
        <v>44696.40625</v>
      </c>
      <c r="E4644" s="2">
        <v>44696.60833333333</v>
      </c>
      <c r="F4644" s="23">
        <f t="shared" si="216"/>
        <v>0.20208333332993789</v>
      </c>
      <c r="G4644" s="24">
        <f t="shared" si="218"/>
        <v>61.855670104132102</v>
      </c>
      <c r="H4644" s="1" t="s">
        <v>1</v>
      </c>
      <c r="I4644" s="4" t="s">
        <v>2</v>
      </c>
      <c r="J4644" s="14">
        <v>0.40625</v>
      </c>
      <c r="K4644" s="20" t="str">
        <f t="shared" si="217"/>
        <v>1st Shift</v>
      </c>
    </row>
    <row r="4645" spans="1:11" x14ac:dyDescent="0.25">
      <c r="A4645" s="1">
        <v>4644</v>
      </c>
      <c r="B4645" s="1">
        <v>6</v>
      </c>
      <c r="C4645" s="3">
        <v>6115271733503</v>
      </c>
      <c r="D4645" s="2">
        <v>44696.458333333336</v>
      </c>
      <c r="E4645" s="2">
        <v>44696.60833333333</v>
      </c>
      <c r="F4645" s="23">
        <f t="shared" si="216"/>
        <v>0.14999999999417923</v>
      </c>
      <c r="G4645" s="24">
        <f t="shared" si="218"/>
        <v>83.333333336567094</v>
      </c>
      <c r="H4645" s="1" t="s">
        <v>1</v>
      </c>
      <c r="I4645" s="4" t="s">
        <v>2</v>
      </c>
      <c r="J4645" s="14">
        <v>0.45833333333333331</v>
      </c>
      <c r="K4645" s="20" t="str">
        <f t="shared" si="217"/>
        <v>1st Shift</v>
      </c>
    </row>
    <row r="4646" spans="1:11" x14ac:dyDescent="0.25">
      <c r="A4646" s="1">
        <v>4645</v>
      </c>
      <c r="B4646" s="1">
        <v>3</v>
      </c>
      <c r="C4646" s="3">
        <v>3115270421100</v>
      </c>
      <c r="D4646" s="2">
        <v>44696.40625</v>
      </c>
      <c r="E4646" s="2">
        <v>44696.60833333333</v>
      </c>
      <c r="F4646" s="23">
        <f t="shared" si="216"/>
        <v>0.20208333332993789</v>
      </c>
      <c r="G4646" s="24">
        <f t="shared" si="218"/>
        <v>61.855670104132102</v>
      </c>
      <c r="H4646" s="1" t="s">
        <v>1</v>
      </c>
      <c r="I4646" s="4" t="s">
        <v>2</v>
      </c>
      <c r="J4646" s="14">
        <v>0.40625</v>
      </c>
      <c r="K4646" s="20" t="str">
        <f t="shared" si="217"/>
        <v>1st Shift</v>
      </c>
    </row>
    <row r="4647" spans="1:11" x14ac:dyDescent="0.25">
      <c r="A4647" s="1">
        <v>4646</v>
      </c>
      <c r="B4647" s="1">
        <v>2</v>
      </c>
      <c r="C4647" s="3">
        <v>2115270299100</v>
      </c>
      <c r="D4647" s="2">
        <v>44696.420138888891</v>
      </c>
      <c r="E4647" s="2">
        <v>44696.60833333333</v>
      </c>
      <c r="F4647" s="23">
        <f t="shared" si="216"/>
        <v>0.18819444443943212</v>
      </c>
      <c r="G4647" s="24">
        <f t="shared" si="218"/>
        <v>66.420664208411097</v>
      </c>
      <c r="H4647" s="1" t="s">
        <v>1</v>
      </c>
      <c r="I4647" s="4" t="s">
        <v>2</v>
      </c>
      <c r="J4647" s="14">
        <v>0.4201388888888889</v>
      </c>
      <c r="K4647" s="20" t="str">
        <f t="shared" si="217"/>
        <v>1st Shift</v>
      </c>
    </row>
    <row r="4648" spans="1:11" x14ac:dyDescent="0.25">
      <c r="A4648" s="1">
        <v>4647</v>
      </c>
      <c r="B4648" s="1">
        <v>1</v>
      </c>
      <c r="C4648" s="3">
        <v>1115270101800</v>
      </c>
      <c r="D4648" s="2">
        <v>44696.527777777781</v>
      </c>
      <c r="E4648" s="2">
        <v>44696.60833333333</v>
      </c>
      <c r="F4648" s="23">
        <f t="shared" si="216"/>
        <v>8.055555554892635E-2</v>
      </c>
      <c r="G4648" s="24">
        <f t="shared" si="218"/>
        <v>155.17241380587313</v>
      </c>
      <c r="H4648" s="1" t="s">
        <v>1</v>
      </c>
      <c r="I4648" s="4" t="s">
        <v>2</v>
      </c>
      <c r="J4648" s="14">
        <v>0.52777777777777779</v>
      </c>
      <c r="K4648" s="20" t="str">
        <f t="shared" si="217"/>
        <v>1st Shift</v>
      </c>
    </row>
    <row r="4649" spans="1:11" x14ac:dyDescent="0.25">
      <c r="A4649" s="1">
        <v>4648</v>
      </c>
      <c r="B4649" s="1">
        <v>1</v>
      </c>
      <c r="C4649" s="3">
        <v>1115270053901</v>
      </c>
      <c r="D4649" s="2">
        <v>44696.458333333336</v>
      </c>
      <c r="E4649" s="2">
        <v>44696.60833333333</v>
      </c>
      <c r="F4649" s="23">
        <f t="shared" si="216"/>
        <v>0.14999999999417923</v>
      </c>
      <c r="G4649" s="24">
        <f t="shared" si="218"/>
        <v>83.333333336567094</v>
      </c>
      <c r="H4649" s="1" t="s">
        <v>1</v>
      </c>
      <c r="I4649" s="4" t="s">
        <v>2</v>
      </c>
      <c r="J4649" s="14">
        <v>0.45833333333333331</v>
      </c>
      <c r="K4649" s="20" t="str">
        <f t="shared" si="217"/>
        <v>1st Shift</v>
      </c>
    </row>
    <row r="4650" spans="1:11" x14ac:dyDescent="0.25">
      <c r="A4650" s="1">
        <v>4649</v>
      </c>
      <c r="B4650" s="1">
        <v>10</v>
      </c>
      <c r="C4650" s="3">
        <v>10115271963900</v>
      </c>
      <c r="D4650" s="2">
        <v>44696.692361111112</v>
      </c>
      <c r="E4650" s="2">
        <v>44696.986111111109</v>
      </c>
      <c r="F4650" s="23">
        <f t="shared" si="216"/>
        <v>0.29374999999708962</v>
      </c>
      <c r="G4650" s="24">
        <f t="shared" si="218"/>
        <v>42.553191489783302</v>
      </c>
      <c r="H4650" s="1" t="s">
        <v>1</v>
      </c>
      <c r="I4650" s="4" t="s">
        <v>2</v>
      </c>
      <c r="J4650" s="14">
        <v>0.69236111111111109</v>
      </c>
      <c r="K4650" s="20" t="str">
        <f t="shared" si="217"/>
        <v>2nd Shift</v>
      </c>
    </row>
    <row r="4651" spans="1:11" x14ac:dyDescent="0.25">
      <c r="A4651" s="1">
        <v>4650</v>
      </c>
      <c r="B4651" s="1">
        <v>8</v>
      </c>
      <c r="C4651" s="3">
        <v>8115271809912</v>
      </c>
      <c r="D4651" s="2">
        <v>44696.692361111112</v>
      </c>
      <c r="E4651" s="2">
        <v>44696.986111111109</v>
      </c>
      <c r="F4651" s="23">
        <f t="shared" si="216"/>
        <v>0.29374999999708962</v>
      </c>
      <c r="G4651" s="24">
        <f t="shared" si="218"/>
        <v>42.553191489783302</v>
      </c>
      <c r="H4651" s="1" t="s">
        <v>1</v>
      </c>
      <c r="I4651" s="4" t="s">
        <v>5</v>
      </c>
      <c r="J4651" s="14">
        <v>0.69236111111111109</v>
      </c>
      <c r="K4651" s="20" t="str">
        <f t="shared" si="217"/>
        <v>2nd Shift</v>
      </c>
    </row>
    <row r="4652" spans="1:11" x14ac:dyDescent="0.25">
      <c r="A4652" s="1">
        <v>4651</v>
      </c>
      <c r="B4652" s="1">
        <v>7</v>
      </c>
      <c r="C4652" s="3">
        <v>7115271783750</v>
      </c>
      <c r="D4652" s="2">
        <v>44696.692361111112</v>
      </c>
      <c r="E4652" s="2">
        <v>44696.986111111109</v>
      </c>
      <c r="F4652" s="23">
        <f t="shared" si="216"/>
        <v>0.29374999999708962</v>
      </c>
      <c r="G4652" s="24">
        <f t="shared" si="218"/>
        <v>42.553191489783302</v>
      </c>
      <c r="H4652" s="1" t="s">
        <v>1</v>
      </c>
      <c r="I4652" s="4" t="s">
        <v>2</v>
      </c>
      <c r="J4652" s="14">
        <v>0.69236111111111109</v>
      </c>
      <c r="K4652" s="20" t="str">
        <f t="shared" si="217"/>
        <v>2nd Shift</v>
      </c>
    </row>
    <row r="4653" spans="1:11" x14ac:dyDescent="0.25">
      <c r="A4653" s="1">
        <v>4652</v>
      </c>
      <c r="B4653" s="1">
        <v>7</v>
      </c>
      <c r="C4653" s="3">
        <v>7115271769601</v>
      </c>
      <c r="D4653" s="2">
        <v>44696.692361111112</v>
      </c>
      <c r="E4653" s="2">
        <v>44696.986111111109</v>
      </c>
      <c r="F4653" s="23">
        <f t="shared" si="216"/>
        <v>0.29374999999708962</v>
      </c>
      <c r="G4653" s="24">
        <f t="shared" si="218"/>
        <v>42.553191489783302</v>
      </c>
      <c r="H4653" s="1" t="s">
        <v>1</v>
      </c>
      <c r="I4653" s="4" t="s">
        <v>2</v>
      </c>
      <c r="J4653" s="14">
        <v>0.69236111111111109</v>
      </c>
      <c r="K4653" s="20" t="str">
        <f t="shared" si="217"/>
        <v>2nd Shift</v>
      </c>
    </row>
    <row r="4654" spans="1:11" x14ac:dyDescent="0.25">
      <c r="A4654" s="1">
        <v>4653</v>
      </c>
      <c r="B4654" s="1">
        <v>3</v>
      </c>
      <c r="C4654" s="3">
        <v>3115270421800</v>
      </c>
      <c r="D4654" s="2">
        <v>44696.692361111112</v>
      </c>
      <c r="E4654" s="2">
        <v>44696.986111111109</v>
      </c>
      <c r="F4654" s="23">
        <f t="shared" si="216"/>
        <v>0.29374999999708962</v>
      </c>
      <c r="G4654" s="24">
        <f t="shared" si="218"/>
        <v>42.553191489783302</v>
      </c>
      <c r="H4654" s="1" t="s">
        <v>1</v>
      </c>
      <c r="I4654" s="4" t="s">
        <v>2</v>
      </c>
      <c r="J4654" s="14">
        <v>0.69236111111111109</v>
      </c>
      <c r="K4654" s="20" t="str">
        <f t="shared" si="217"/>
        <v>2nd Shift</v>
      </c>
    </row>
    <row r="4655" spans="1:11" x14ac:dyDescent="0.25">
      <c r="A4655" s="1">
        <v>4654</v>
      </c>
      <c r="B4655" s="1">
        <v>7</v>
      </c>
      <c r="C4655" s="3">
        <v>7115271766016</v>
      </c>
      <c r="D4655" s="2">
        <v>44696.975694444445</v>
      </c>
      <c r="E4655" s="2">
        <v>44697.041666666664</v>
      </c>
      <c r="F4655" s="23">
        <f t="shared" si="216"/>
        <v>6.5972222218988463E-2</v>
      </c>
      <c r="G4655" s="24">
        <f t="shared" si="218"/>
        <v>189.47368421981375</v>
      </c>
      <c r="H4655" s="1" t="s">
        <v>1</v>
      </c>
      <c r="I4655" s="4" t="s">
        <v>3</v>
      </c>
      <c r="J4655" s="14">
        <v>0.97569444444444442</v>
      </c>
      <c r="K4655" s="20" t="str">
        <f t="shared" si="217"/>
        <v>3rd Shift</v>
      </c>
    </row>
    <row r="4656" spans="1:11" x14ac:dyDescent="0.25">
      <c r="A4656" s="1">
        <v>4655</v>
      </c>
      <c r="B4656" s="1">
        <v>7</v>
      </c>
      <c r="C4656" s="3">
        <v>7115271755002</v>
      </c>
      <c r="D4656" s="2">
        <v>44697.111111111109</v>
      </c>
      <c r="E4656" s="2">
        <v>44697.142361111109</v>
      </c>
      <c r="F4656" s="23">
        <f t="shared" si="216"/>
        <v>3.125E-2</v>
      </c>
      <c r="G4656" s="24">
        <f t="shared" si="218"/>
        <v>400</v>
      </c>
      <c r="H4656" s="1" t="s">
        <v>1</v>
      </c>
      <c r="I4656" s="4" t="s">
        <v>2</v>
      </c>
      <c r="J4656" s="14">
        <v>0.1111111111111111</v>
      </c>
      <c r="K4656" s="20" t="str">
        <f t="shared" si="217"/>
        <v>3rd Shift</v>
      </c>
    </row>
    <row r="4657" spans="1:11" x14ac:dyDescent="0.25">
      <c r="A4657" s="1">
        <v>4656</v>
      </c>
      <c r="B4657" s="1">
        <v>1</v>
      </c>
      <c r="C4657" s="3">
        <v>1115270019200</v>
      </c>
      <c r="D4657" s="2">
        <v>44697.09375</v>
      </c>
      <c r="E4657" s="2">
        <v>44697.142361111109</v>
      </c>
      <c r="F4657" s="23">
        <f t="shared" si="216"/>
        <v>4.8611111109494232E-2</v>
      </c>
      <c r="G4657" s="24">
        <f t="shared" si="218"/>
        <v>257.14285715141011</v>
      </c>
      <c r="H4657" s="1" t="s">
        <v>1</v>
      </c>
      <c r="I4657" s="4" t="s">
        <v>2</v>
      </c>
      <c r="J4657" s="14">
        <v>9.375E-2</v>
      </c>
      <c r="K4657" s="20" t="str">
        <f t="shared" si="217"/>
        <v>3rd Shift</v>
      </c>
    </row>
    <row r="4658" spans="1:11" x14ac:dyDescent="0.25">
      <c r="A4658" s="1">
        <v>4657</v>
      </c>
      <c r="B4658" s="1">
        <v>3</v>
      </c>
      <c r="C4658" s="3">
        <v>3115270340802</v>
      </c>
      <c r="D4658" s="2">
        <v>44697.34375</v>
      </c>
      <c r="E4658" s="2">
        <v>44697.375</v>
      </c>
      <c r="F4658" s="23">
        <f t="shared" si="216"/>
        <v>3.125E-2</v>
      </c>
      <c r="G4658" s="24">
        <f t="shared" si="218"/>
        <v>400</v>
      </c>
      <c r="H4658" s="1" t="s">
        <v>1</v>
      </c>
      <c r="I4658" s="4" t="s">
        <v>2</v>
      </c>
      <c r="J4658" s="14">
        <v>0.34375</v>
      </c>
      <c r="K4658" s="20" t="str">
        <f t="shared" si="217"/>
        <v>1st Shift</v>
      </c>
    </row>
    <row r="4659" spans="1:11" x14ac:dyDescent="0.25">
      <c r="A4659" s="1">
        <v>4658</v>
      </c>
      <c r="B4659" s="1">
        <v>1</v>
      </c>
      <c r="C4659" s="3">
        <v>1115270122700</v>
      </c>
      <c r="D4659" s="2">
        <v>44697.383333333331</v>
      </c>
      <c r="E4659" s="2">
        <v>44697.42083333333</v>
      </c>
      <c r="F4659" s="23">
        <f t="shared" si="216"/>
        <v>3.7499999998544808E-2</v>
      </c>
      <c r="G4659" s="24">
        <f t="shared" si="218"/>
        <v>333.33333334626838</v>
      </c>
      <c r="H4659" s="1" t="s">
        <v>1</v>
      </c>
      <c r="I4659" s="4" t="s">
        <v>8</v>
      </c>
      <c r="J4659" s="14">
        <v>0.38333333333333336</v>
      </c>
      <c r="K4659" s="20" t="str">
        <f t="shared" si="217"/>
        <v>1st Shift</v>
      </c>
    </row>
    <row r="4660" spans="1:11" x14ac:dyDescent="0.25">
      <c r="A4660" s="1">
        <v>4659</v>
      </c>
      <c r="B4660" s="1">
        <v>7</v>
      </c>
      <c r="C4660" s="3">
        <v>7115271765600</v>
      </c>
      <c r="D4660" s="2">
        <v>44697.489583333336</v>
      </c>
      <c r="E4660" s="2">
        <v>44697.534722222219</v>
      </c>
      <c r="F4660" s="23">
        <f t="shared" si="216"/>
        <v>4.5138888883229811E-2</v>
      </c>
      <c r="G4660" s="24">
        <f t="shared" si="218"/>
        <v>276.92307695779488</v>
      </c>
      <c r="H4660" s="1" t="s">
        <v>1</v>
      </c>
      <c r="I4660" s="4" t="s">
        <v>3</v>
      </c>
      <c r="J4660" s="14">
        <v>0.48958333333333331</v>
      </c>
      <c r="K4660" s="20" t="str">
        <f t="shared" si="217"/>
        <v>1st Shift</v>
      </c>
    </row>
    <row r="4661" spans="1:11" x14ac:dyDescent="0.25">
      <c r="A4661" s="1">
        <v>4660</v>
      </c>
      <c r="B4661" s="1">
        <v>7</v>
      </c>
      <c r="C4661" s="3">
        <v>7115271759011</v>
      </c>
      <c r="D4661" s="2">
        <v>44697.489583333336</v>
      </c>
      <c r="E4661" s="2">
        <v>44697.534722222219</v>
      </c>
      <c r="F4661" s="23">
        <f t="shared" si="216"/>
        <v>4.5138888883229811E-2</v>
      </c>
      <c r="G4661" s="24">
        <f t="shared" si="218"/>
        <v>276.92307695779488</v>
      </c>
      <c r="H4661" s="1" t="s">
        <v>1</v>
      </c>
      <c r="I4661" s="4" t="s">
        <v>5</v>
      </c>
      <c r="J4661" s="14">
        <v>0.48958333333333331</v>
      </c>
      <c r="K4661" s="20" t="str">
        <f t="shared" si="217"/>
        <v>1st Shift</v>
      </c>
    </row>
    <row r="4662" spans="1:11" x14ac:dyDescent="0.25">
      <c r="A4662" s="1">
        <v>4661</v>
      </c>
      <c r="B4662" s="1">
        <v>2</v>
      </c>
      <c r="C4662" s="3">
        <v>2115270223200</v>
      </c>
      <c r="D4662" s="2">
        <v>44697.64166666667</v>
      </c>
      <c r="E4662" s="2">
        <v>44697.760416666664</v>
      </c>
      <c r="F4662" s="23">
        <f t="shared" si="216"/>
        <v>0.11874999999417923</v>
      </c>
      <c r="G4662" s="24">
        <f t="shared" si="218"/>
        <v>105.26315789989653</v>
      </c>
      <c r="H4662" s="1" t="s">
        <v>1</v>
      </c>
      <c r="I4662" s="4" t="s">
        <v>2</v>
      </c>
      <c r="J4662" s="14">
        <v>0.64166666666666672</v>
      </c>
      <c r="K4662" s="20" t="str">
        <f t="shared" si="217"/>
        <v>2nd Shift</v>
      </c>
    </row>
    <row r="4663" spans="1:11" x14ac:dyDescent="0.25">
      <c r="A4663" s="1">
        <v>4662</v>
      </c>
      <c r="B4663" s="1">
        <v>7</v>
      </c>
      <c r="C4663" s="3">
        <v>7115271784000</v>
      </c>
      <c r="D4663" s="2">
        <v>44697.875</v>
      </c>
      <c r="E4663" s="2">
        <v>44697.958333333336</v>
      </c>
      <c r="F4663" s="23">
        <f t="shared" si="216"/>
        <v>8.3333333335758653E-2</v>
      </c>
      <c r="G4663" s="24">
        <f t="shared" si="218"/>
        <v>149.99999999563443</v>
      </c>
      <c r="H4663" s="1" t="s">
        <v>1</v>
      </c>
      <c r="I4663" s="4" t="s">
        <v>3</v>
      </c>
      <c r="J4663" s="14">
        <v>0.875</v>
      </c>
      <c r="K4663" s="20" t="str">
        <f t="shared" si="217"/>
        <v>2nd Shift</v>
      </c>
    </row>
    <row r="4664" spans="1:11" x14ac:dyDescent="0.25">
      <c r="A4664" s="1">
        <v>4663</v>
      </c>
      <c r="B4664" s="1">
        <v>7</v>
      </c>
      <c r="C4664" s="3">
        <v>7115271768300</v>
      </c>
      <c r="D4664" s="2">
        <v>44697.875</v>
      </c>
      <c r="E4664" s="2">
        <v>44697.958333333336</v>
      </c>
      <c r="F4664" s="23">
        <f t="shared" si="216"/>
        <v>8.3333333335758653E-2</v>
      </c>
      <c r="G4664" s="24">
        <f t="shared" si="218"/>
        <v>149.99999999563443</v>
      </c>
      <c r="H4664" s="1" t="s">
        <v>1</v>
      </c>
      <c r="I4664" s="4" t="s">
        <v>2</v>
      </c>
      <c r="J4664" s="14">
        <v>0.875</v>
      </c>
      <c r="K4664" s="20" t="str">
        <f t="shared" si="217"/>
        <v>2nd Shift</v>
      </c>
    </row>
    <row r="4665" spans="1:11" x14ac:dyDescent="0.25">
      <c r="A4665" s="1">
        <v>4664</v>
      </c>
      <c r="B4665" s="1">
        <v>3</v>
      </c>
      <c r="C4665" s="3">
        <v>3115270370102</v>
      </c>
      <c r="D4665" s="2">
        <v>44697.940972222219</v>
      </c>
      <c r="E4665" s="2">
        <v>44697.979166666664</v>
      </c>
      <c r="F4665" s="23">
        <f t="shared" si="216"/>
        <v>3.8194444445252884E-2</v>
      </c>
      <c r="G4665" s="24">
        <f t="shared" si="218"/>
        <v>327.27272726580009</v>
      </c>
      <c r="H4665" s="1" t="s">
        <v>1</v>
      </c>
      <c r="I4665" s="4" t="s">
        <v>2</v>
      </c>
      <c r="J4665" s="14">
        <v>0.94097222222222221</v>
      </c>
      <c r="K4665" s="20" t="str">
        <f t="shared" si="217"/>
        <v>3rd Shift</v>
      </c>
    </row>
    <row r="4666" spans="1:11" x14ac:dyDescent="0.25">
      <c r="A4666" s="1">
        <v>4665</v>
      </c>
      <c r="B4666" s="1">
        <v>14</v>
      </c>
      <c r="C4666" s="3">
        <v>14115271672412</v>
      </c>
      <c r="D4666" s="2">
        <v>44699.375</v>
      </c>
      <c r="E4666" s="2">
        <v>44699.588194444441</v>
      </c>
      <c r="F4666" s="23">
        <f t="shared" si="216"/>
        <v>0.21319444444088731</v>
      </c>
      <c r="G4666" s="24">
        <f t="shared" si="218"/>
        <v>58.6319218250825</v>
      </c>
      <c r="H4666" s="1" t="s">
        <v>1</v>
      </c>
      <c r="I4666" s="4" t="s">
        <v>2</v>
      </c>
      <c r="J4666" s="14">
        <v>0.375</v>
      </c>
      <c r="K4666" s="20" t="str">
        <f t="shared" si="217"/>
        <v>1st Shift</v>
      </c>
    </row>
    <row r="4667" spans="1:11" x14ac:dyDescent="0.25">
      <c r="A4667" s="1">
        <v>4666</v>
      </c>
      <c r="B4667" s="1">
        <v>13</v>
      </c>
      <c r="C4667" s="3">
        <v>13115271634903</v>
      </c>
      <c r="D4667" s="2">
        <v>44699.375</v>
      </c>
      <c r="E4667" s="2">
        <v>44699.588194444441</v>
      </c>
      <c r="F4667" s="23">
        <f t="shared" si="216"/>
        <v>0.21319444444088731</v>
      </c>
      <c r="G4667" s="24">
        <f t="shared" si="218"/>
        <v>58.6319218250825</v>
      </c>
      <c r="H4667" s="1" t="s">
        <v>1</v>
      </c>
      <c r="I4667" s="4" t="s">
        <v>2</v>
      </c>
      <c r="J4667" s="14">
        <v>0.375</v>
      </c>
      <c r="K4667" s="20" t="str">
        <f t="shared" si="217"/>
        <v>1st Shift</v>
      </c>
    </row>
    <row r="4668" spans="1:11" x14ac:dyDescent="0.25">
      <c r="A4668" s="1">
        <v>4667</v>
      </c>
      <c r="B4668" s="1">
        <v>13</v>
      </c>
      <c r="C4668" s="3">
        <v>13115271600229</v>
      </c>
      <c r="D4668" s="2">
        <v>44699.520833333336</v>
      </c>
      <c r="E4668" s="2">
        <v>44699.588194444441</v>
      </c>
      <c r="F4668" s="23">
        <f t="shared" si="216"/>
        <v>6.7361111105128657E-2</v>
      </c>
      <c r="G4668" s="24">
        <f t="shared" si="218"/>
        <v>185.56701032575887</v>
      </c>
      <c r="H4668" s="1" t="s">
        <v>1</v>
      </c>
      <c r="I4668" s="4" t="s">
        <v>2</v>
      </c>
      <c r="J4668" s="14">
        <v>0.52083333333333337</v>
      </c>
      <c r="K4668" s="20" t="str">
        <f t="shared" si="217"/>
        <v>1st Shift</v>
      </c>
    </row>
    <row r="4669" spans="1:11" x14ac:dyDescent="0.25">
      <c r="A4669" s="1">
        <v>4668</v>
      </c>
      <c r="B4669" s="1">
        <v>12</v>
      </c>
      <c r="C4669" s="3">
        <v>12115271571042</v>
      </c>
      <c r="D4669" s="2">
        <v>44699.375</v>
      </c>
      <c r="E4669" s="2">
        <v>44699.588194444441</v>
      </c>
      <c r="F4669" s="23">
        <f t="shared" si="216"/>
        <v>0.21319444444088731</v>
      </c>
      <c r="G4669" s="24">
        <f t="shared" si="218"/>
        <v>58.6319218250825</v>
      </c>
      <c r="H4669" s="1" t="s">
        <v>1</v>
      </c>
      <c r="I4669" s="4" t="s">
        <v>2</v>
      </c>
      <c r="J4669" s="14">
        <v>0.375</v>
      </c>
      <c r="K4669" s="20" t="str">
        <f t="shared" si="217"/>
        <v>1st Shift</v>
      </c>
    </row>
    <row r="4670" spans="1:11" x14ac:dyDescent="0.25">
      <c r="A4670" s="1">
        <v>4669</v>
      </c>
      <c r="B4670" s="1">
        <v>11</v>
      </c>
      <c r="C4670" s="3">
        <v>11115271555402</v>
      </c>
      <c r="D4670" s="2">
        <v>44699.444444444445</v>
      </c>
      <c r="E4670" s="2">
        <v>44699.588194444441</v>
      </c>
      <c r="F4670" s="23">
        <f t="shared" si="216"/>
        <v>0.14374999999563443</v>
      </c>
      <c r="G4670" s="24">
        <f t="shared" si="218"/>
        <v>86.956521741771226</v>
      </c>
      <c r="H4670" s="1" t="s">
        <v>1</v>
      </c>
      <c r="I4670" s="4" t="s">
        <v>2</v>
      </c>
      <c r="J4670" s="14">
        <v>0.44444444444444442</v>
      </c>
      <c r="K4670" s="20" t="str">
        <f t="shared" si="217"/>
        <v>1st Shift</v>
      </c>
    </row>
    <row r="4671" spans="1:11" x14ac:dyDescent="0.25">
      <c r="A4671" s="1">
        <v>4670</v>
      </c>
      <c r="B4671" s="1">
        <v>4</v>
      </c>
      <c r="C4671" s="3">
        <v>4115270842600</v>
      </c>
      <c r="D4671" s="2">
        <v>44699.4375</v>
      </c>
      <c r="E4671" s="2">
        <v>44699.588194444441</v>
      </c>
      <c r="F4671" s="23">
        <f t="shared" si="216"/>
        <v>0.15069444444088731</v>
      </c>
      <c r="G4671" s="24">
        <f t="shared" si="218"/>
        <v>82.949308757718384</v>
      </c>
      <c r="H4671" s="1" t="s">
        <v>1</v>
      </c>
      <c r="I4671" s="4" t="s">
        <v>3</v>
      </c>
      <c r="J4671" s="14">
        <v>0.4375</v>
      </c>
      <c r="K4671" s="20" t="str">
        <f t="shared" si="217"/>
        <v>1st Shift</v>
      </c>
    </row>
    <row r="4672" spans="1:11" x14ac:dyDescent="0.25">
      <c r="A4672" s="1">
        <v>4671</v>
      </c>
      <c r="B4672" s="1">
        <v>1</v>
      </c>
      <c r="C4672" s="3">
        <v>1115270130801</v>
      </c>
      <c r="D4672" s="2">
        <v>44699.4375</v>
      </c>
      <c r="E4672" s="2">
        <v>44699.588194444441</v>
      </c>
      <c r="F4672" s="23">
        <f t="shared" si="216"/>
        <v>0.15069444444088731</v>
      </c>
      <c r="G4672" s="24">
        <f t="shared" si="218"/>
        <v>82.949308757718384</v>
      </c>
      <c r="H4672" s="1" t="s">
        <v>1</v>
      </c>
      <c r="I4672" s="4" t="s">
        <v>8</v>
      </c>
      <c r="J4672" s="14">
        <v>0.4375</v>
      </c>
      <c r="K4672" s="20" t="str">
        <f t="shared" si="217"/>
        <v>1st Shift</v>
      </c>
    </row>
    <row r="4673" spans="1:11" x14ac:dyDescent="0.25">
      <c r="A4673" s="1">
        <v>4672</v>
      </c>
      <c r="B4673" s="1">
        <v>12</v>
      </c>
      <c r="C4673" s="3">
        <v>12115271569251</v>
      </c>
      <c r="D4673" s="2">
        <v>44699.652777777781</v>
      </c>
      <c r="E4673" s="2">
        <v>44699.743055555555</v>
      </c>
      <c r="F4673" s="23">
        <f t="shared" si="216"/>
        <v>9.0277777773735579E-2</v>
      </c>
      <c r="G4673" s="24">
        <f t="shared" si="218"/>
        <v>138.46153846773811</v>
      </c>
      <c r="H4673" s="1" t="s">
        <v>1</v>
      </c>
      <c r="I4673" s="4" t="s">
        <v>2</v>
      </c>
      <c r="J4673" s="14">
        <v>0.65277777777777779</v>
      </c>
      <c r="K4673" s="20" t="str">
        <f t="shared" si="217"/>
        <v>2nd Shift</v>
      </c>
    </row>
    <row r="4674" spans="1:11" x14ac:dyDescent="0.25">
      <c r="A4674" s="1">
        <v>4673</v>
      </c>
      <c r="B4674" s="1">
        <v>5</v>
      </c>
      <c r="C4674" s="3">
        <v>5115271259500</v>
      </c>
      <c r="D4674" s="2">
        <v>44699.652777777781</v>
      </c>
      <c r="E4674" s="2">
        <v>44699.743055555555</v>
      </c>
      <c r="F4674" s="23">
        <f t="shared" ref="F4674:F4737" si="219">E4674-D4674</f>
        <v>9.0277777773735579E-2</v>
      </c>
      <c r="G4674" s="24">
        <f t="shared" si="218"/>
        <v>138.46153846773811</v>
      </c>
      <c r="H4674" s="1" t="s">
        <v>1</v>
      </c>
      <c r="I4674" s="4" t="s">
        <v>2</v>
      </c>
      <c r="J4674" s="14">
        <v>0.65277777777777779</v>
      </c>
      <c r="K4674" s="20" t="str">
        <f t="shared" ref="K4674:K4737" si="220">IF(AND(J4674&gt;=$M$3,J4674&lt;$M$4),"1st Shift",IF(AND(J4674&gt;=$M$4,J4674&lt;$M$5),"2nd Shift","3rd Shift"))</f>
        <v>2nd Shift</v>
      </c>
    </row>
    <row r="4675" spans="1:11" x14ac:dyDescent="0.25">
      <c r="A4675" s="1">
        <v>4674</v>
      </c>
      <c r="B4675" s="1">
        <v>11</v>
      </c>
      <c r="C4675" s="3">
        <v>11115271525700</v>
      </c>
      <c r="D4675" s="2">
        <v>44699.878472222219</v>
      </c>
      <c r="E4675" s="2">
        <v>44699.909722222219</v>
      </c>
      <c r="F4675" s="23">
        <f t="shared" si="219"/>
        <v>3.125E-2</v>
      </c>
      <c r="G4675" s="24">
        <f t="shared" ref="G4675:G4738" si="221">$M$9/F4675*100</f>
        <v>400</v>
      </c>
      <c r="H4675" s="1" t="s">
        <v>1</v>
      </c>
      <c r="I4675" s="4" t="s">
        <v>2</v>
      </c>
      <c r="J4675" s="14">
        <v>0.87847222222222221</v>
      </c>
      <c r="K4675" s="20" t="str">
        <f t="shared" si="220"/>
        <v>2nd Shift</v>
      </c>
    </row>
    <row r="4676" spans="1:11" x14ac:dyDescent="0.25">
      <c r="A4676" s="1">
        <v>4675</v>
      </c>
      <c r="B4676" s="1">
        <v>12</v>
      </c>
      <c r="C4676" s="3">
        <v>12115271560117</v>
      </c>
      <c r="D4676" s="2">
        <v>44699.930555555555</v>
      </c>
      <c r="E4676" s="2">
        <v>44700.013888888891</v>
      </c>
      <c r="F4676" s="23">
        <f t="shared" si="219"/>
        <v>8.3333333335758653E-2</v>
      </c>
      <c r="G4676" s="24">
        <f t="shared" si="221"/>
        <v>149.99999999563443</v>
      </c>
      <c r="H4676" s="1" t="s">
        <v>1</v>
      </c>
      <c r="I4676" s="4" t="s">
        <v>3</v>
      </c>
      <c r="J4676" s="14">
        <v>0.93055555555555558</v>
      </c>
      <c r="K4676" s="20" t="str">
        <f t="shared" si="220"/>
        <v>3rd Shift</v>
      </c>
    </row>
    <row r="4677" spans="1:11" x14ac:dyDescent="0.25">
      <c r="A4677" s="1">
        <v>4676</v>
      </c>
      <c r="B4677" s="1">
        <v>14</v>
      </c>
      <c r="C4677" s="3">
        <v>14115271674709</v>
      </c>
      <c r="D4677" s="2">
        <v>44700.354166666664</v>
      </c>
      <c r="E4677" s="2">
        <v>44700.395833333336</v>
      </c>
      <c r="F4677" s="23">
        <f t="shared" si="219"/>
        <v>4.1666666671517305E-2</v>
      </c>
      <c r="G4677" s="24">
        <f t="shared" si="221"/>
        <v>299.9999999650754</v>
      </c>
      <c r="H4677" s="1" t="s">
        <v>1</v>
      </c>
      <c r="I4677" s="4" t="s">
        <v>3</v>
      </c>
      <c r="J4677" s="14">
        <v>0.35416666666666669</v>
      </c>
      <c r="K4677" s="20" t="str">
        <f t="shared" si="220"/>
        <v>1st Shift</v>
      </c>
    </row>
    <row r="4678" spans="1:11" x14ac:dyDescent="0.25">
      <c r="A4678" s="1">
        <v>4677</v>
      </c>
      <c r="B4678" s="1">
        <v>6</v>
      </c>
      <c r="C4678" s="3">
        <v>6115271691702</v>
      </c>
      <c r="D4678" s="2">
        <v>44700.354166666664</v>
      </c>
      <c r="E4678" s="2">
        <v>44700.395833333336</v>
      </c>
      <c r="F4678" s="23">
        <f t="shared" si="219"/>
        <v>4.1666666671517305E-2</v>
      </c>
      <c r="G4678" s="24">
        <f t="shared" si="221"/>
        <v>299.9999999650754</v>
      </c>
      <c r="H4678" s="1" t="s">
        <v>1</v>
      </c>
      <c r="I4678" s="4" t="s">
        <v>2</v>
      </c>
      <c r="J4678" s="14">
        <v>0.35416666666666669</v>
      </c>
      <c r="K4678" s="20" t="str">
        <f t="shared" si="220"/>
        <v>1st Shift</v>
      </c>
    </row>
    <row r="4679" spans="1:11" x14ac:dyDescent="0.25">
      <c r="A4679" s="1">
        <v>4678</v>
      </c>
      <c r="B4679" s="1">
        <v>10</v>
      </c>
      <c r="C4679" s="3">
        <v>10115271453401</v>
      </c>
      <c r="D4679" s="2">
        <v>44700.697916666664</v>
      </c>
      <c r="E4679" s="2">
        <v>44700.770833333336</v>
      </c>
      <c r="F4679" s="23">
        <f t="shared" si="219"/>
        <v>7.2916666671517305E-2</v>
      </c>
      <c r="G4679" s="24">
        <f t="shared" si="221"/>
        <v>171.42857141716746</v>
      </c>
      <c r="H4679" s="1" t="s">
        <v>1</v>
      </c>
      <c r="I4679" s="4" t="s">
        <v>3</v>
      </c>
      <c r="J4679" s="14">
        <v>0.69791666666666663</v>
      </c>
      <c r="K4679" s="20" t="str">
        <f t="shared" si="220"/>
        <v>2nd Shift</v>
      </c>
    </row>
    <row r="4680" spans="1:11" x14ac:dyDescent="0.25">
      <c r="A4680" s="1">
        <v>4679</v>
      </c>
      <c r="B4680" s="1">
        <v>6</v>
      </c>
      <c r="C4680" s="3">
        <v>6115271720829</v>
      </c>
      <c r="D4680" s="2">
        <v>44700.854166666664</v>
      </c>
      <c r="E4680" s="2">
        <v>44700.915972222225</v>
      </c>
      <c r="F4680" s="23">
        <f t="shared" si="219"/>
        <v>6.1805555560567882E-2</v>
      </c>
      <c r="G4680" s="24">
        <f t="shared" si="221"/>
        <v>202.24719099483406</v>
      </c>
      <c r="H4680" s="1" t="s">
        <v>1</v>
      </c>
      <c r="I4680" s="4" t="s">
        <v>2</v>
      </c>
      <c r="J4680" s="14">
        <v>0.85416666666666663</v>
      </c>
      <c r="K4680" s="20" t="str">
        <f t="shared" si="220"/>
        <v>2nd Shift</v>
      </c>
    </row>
    <row r="4681" spans="1:11" x14ac:dyDescent="0.25">
      <c r="A4681" s="1">
        <v>4680</v>
      </c>
      <c r="B4681" s="1">
        <v>3</v>
      </c>
      <c r="C4681" s="3">
        <v>3115270365300</v>
      </c>
      <c r="D4681" s="2">
        <v>44700.854166666664</v>
      </c>
      <c r="E4681" s="2">
        <v>44700.915972222225</v>
      </c>
      <c r="F4681" s="23">
        <f t="shared" si="219"/>
        <v>6.1805555560567882E-2</v>
      </c>
      <c r="G4681" s="24">
        <f t="shared" si="221"/>
        <v>202.24719099483406</v>
      </c>
      <c r="H4681" s="1" t="s">
        <v>1</v>
      </c>
      <c r="I4681" s="4" t="s">
        <v>3</v>
      </c>
      <c r="J4681" s="14">
        <v>0.85416666666666663</v>
      </c>
      <c r="K4681" s="20" t="str">
        <f t="shared" si="220"/>
        <v>2nd Shift</v>
      </c>
    </row>
    <row r="4682" spans="1:11" x14ac:dyDescent="0.25">
      <c r="A4682" s="1">
        <v>4681</v>
      </c>
      <c r="B4682" s="1">
        <v>6</v>
      </c>
      <c r="C4682" s="3">
        <v>6115271723702</v>
      </c>
      <c r="D4682" s="2">
        <v>44700.930555555555</v>
      </c>
      <c r="E4682" s="2">
        <v>44701.104166666664</v>
      </c>
      <c r="F4682" s="23">
        <f t="shared" si="219"/>
        <v>0.17361111110949423</v>
      </c>
      <c r="G4682" s="24">
        <f t="shared" si="221"/>
        <v>72.000000000670553</v>
      </c>
      <c r="H4682" s="1" t="s">
        <v>1</v>
      </c>
      <c r="I4682" s="4" t="s">
        <v>2</v>
      </c>
      <c r="J4682" s="14">
        <v>0.93055555555555558</v>
      </c>
      <c r="K4682" s="20" t="str">
        <f t="shared" si="220"/>
        <v>3rd Shift</v>
      </c>
    </row>
    <row r="4683" spans="1:11" x14ac:dyDescent="0.25">
      <c r="A4683" s="1">
        <v>4682</v>
      </c>
      <c r="B4683" s="1">
        <v>14</v>
      </c>
      <c r="C4683" s="3">
        <v>14115271672402</v>
      </c>
      <c r="D4683" s="2">
        <v>44701.159722222219</v>
      </c>
      <c r="E4683" s="2">
        <v>44701.239583333336</v>
      </c>
      <c r="F4683" s="23">
        <f t="shared" si="219"/>
        <v>7.9861111116770189E-2</v>
      </c>
      <c r="G4683" s="24">
        <f t="shared" si="221"/>
        <v>156.52173911934341</v>
      </c>
      <c r="H4683" s="1" t="s">
        <v>1</v>
      </c>
      <c r="I4683" s="4" t="s">
        <v>2</v>
      </c>
      <c r="J4683" s="14">
        <v>0.15972222222222221</v>
      </c>
      <c r="K4683" s="20" t="str">
        <f t="shared" si="220"/>
        <v>3rd Shift</v>
      </c>
    </row>
    <row r="4684" spans="1:11" x14ac:dyDescent="0.25">
      <c r="A4684" s="1">
        <v>4683</v>
      </c>
      <c r="B4684" s="1">
        <v>12</v>
      </c>
      <c r="C4684" s="3">
        <v>12115271584800</v>
      </c>
      <c r="D4684" s="2">
        <v>44701.184027777781</v>
      </c>
      <c r="E4684" s="2">
        <v>44701.239583333336</v>
      </c>
      <c r="F4684" s="23">
        <f t="shared" si="219"/>
        <v>5.5555555554747116E-2</v>
      </c>
      <c r="G4684" s="24">
        <f t="shared" si="221"/>
        <v>225.00000000327418</v>
      </c>
      <c r="H4684" s="1" t="s">
        <v>1</v>
      </c>
      <c r="I4684" s="4" t="s">
        <v>2</v>
      </c>
      <c r="J4684" s="14">
        <v>0.18402777777777779</v>
      </c>
      <c r="K4684" s="20" t="str">
        <f t="shared" si="220"/>
        <v>3rd Shift</v>
      </c>
    </row>
    <row r="4685" spans="1:11" x14ac:dyDescent="0.25">
      <c r="A4685" s="1">
        <v>4684</v>
      </c>
      <c r="B4685" s="1">
        <v>7</v>
      </c>
      <c r="C4685" s="3">
        <v>7115271759000</v>
      </c>
      <c r="D4685" s="2">
        <v>44701.111111111109</v>
      </c>
      <c r="E4685" s="2">
        <v>44701.239583333336</v>
      </c>
      <c r="F4685" s="23">
        <f t="shared" si="219"/>
        <v>0.12847222222626442</v>
      </c>
      <c r="G4685" s="24">
        <f t="shared" si="221"/>
        <v>97.297297294235975</v>
      </c>
      <c r="H4685" s="1" t="s">
        <v>1</v>
      </c>
      <c r="I4685" s="4" t="s">
        <v>2</v>
      </c>
      <c r="J4685" s="14">
        <v>0.1111111111111111</v>
      </c>
      <c r="K4685" s="20" t="str">
        <f t="shared" si="220"/>
        <v>3rd Shift</v>
      </c>
    </row>
    <row r="4686" spans="1:11" x14ac:dyDescent="0.25">
      <c r="A4686" s="1">
        <v>4685</v>
      </c>
      <c r="B4686" s="1">
        <v>2</v>
      </c>
      <c r="C4686" s="3">
        <v>2115270156500</v>
      </c>
      <c r="D4686" s="2">
        <v>44701.135416666664</v>
      </c>
      <c r="E4686" s="2">
        <v>44701.239583333336</v>
      </c>
      <c r="F4686" s="23">
        <f t="shared" si="219"/>
        <v>0.10416666667151731</v>
      </c>
      <c r="G4686" s="24">
        <f t="shared" si="221"/>
        <v>119.99999999441206</v>
      </c>
      <c r="H4686" s="1" t="s">
        <v>1</v>
      </c>
      <c r="I4686" s="4" t="s">
        <v>2</v>
      </c>
      <c r="J4686" s="14">
        <v>0.13541666666666666</v>
      </c>
      <c r="K4686" s="20" t="str">
        <f t="shared" si="220"/>
        <v>3rd Shift</v>
      </c>
    </row>
    <row r="4687" spans="1:11" x14ac:dyDescent="0.25">
      <c r="A4687" s="1">
        <v>4686</v>
      </c>
      <c r="B4687" s="1">
        <v>11</v>
      </c>
      <c r="C4687" s="3">
        <v>11115271526507</v>
      </c>
      <c r="D4687" s="2">
        <v>44701.413194444445</v>
      </c>
      <c r="E4687" s="2">
        <v>44701.613194444442</v>
      </c>
      <c r="F4687" s="23">
        <f t="shared" si="219"/>
        <v>0.19999999999708962</v>
      </c>
      <c r="G4687" s="24">
        <f t="shared" si="221"/>
        <v>62.500000000909495</v>
      </c>
      <c r="H4687" s="1" t="s">
        <v>1</v>
      </c>
      <c r="I4687" s="4" t="s">
        <v>2</v>
      </c>
      <c r="J4687" s="14">
        <v>0.41319444444444442</v>
      </c>
      <c r="K4687" s="20" t="str">
        <f t="shared" si="220"/>
        <v>1st Shift</v>
      </c>
    </row>
    <row r="4688" spans="1:11" x14ac:dyDescent="0.25">
      <c r="A4688" s="1">
        <v>4687</v>
      </c>
      <c r="B4688" s="1">
        <v>10</v>
      </c>
      <c r="C4688" s="3">
        <v>10115271964200</v>
      </c>
      <c r="D4688" s="2">
        <v>44701.413194444445</v>
      </c>
      <c r="E4688" s="2">
        <v>44701.613194444442</v>
      </c>
      <c r="F4688" s="23">
        <f t="shared" si="219"/>
        <v>0.19999999999708962</v>
      </c>
      <c r="G4688" s="24">
        <f t="shared" si="221"/>
        <v>62.500000000909495</v>
      </c>
      <c r="H4688" s="1" t="s">
        <v>1</v>
      </c>
      <c r="I4688" s="4" t="s">
        <v>2</v>
      </c>
      <c r="J4688" s="14">
        <v>0.41319444444444442</v>
      </c>
      <c r="K4688" s="20" t="str">
        <f t="shared" si="220"/>
        <v>1st Shift</v>
      </c>
    </row>
    <row r="4689" spans="1:11" x14ac:dyDescent="0.25">
      <c r="A4689" s="1">
        <v>4688</v>
      </c>
      <c r="B4689" s="1">
        <v>6</v>
      </c>
      <c r="C4689" s="3">
        <v>6115271729700</v>
      </c>
      <c r="D4689" s="2">
        <v>44701.413194444445</v>
      </c>
      <c r="E4689" s="2">
        <v>44701.613194444442</v>
      </c>
      <c r="F4689" s="23">
        <f t="shared" si="219"/>
        <v>0.19999999999708962</v>
      </c>
      <c r="G4689" s="24">
        <f t="shared" si="221"/>
        <v>62.500000000909495</v>
      </c>
      <c r="H4689" s="1" t="s">
        <v>1</v>
      </c>
      <c r="I4689" s="4" t="s">
        <v>2</v>
      </c>
      <c r="J4689" s="14">
        <v>0.41319444444444442</v>
      </c>
      <c r="K4689" s="20" t="str">
        <f t="shared" si="220"/>
        <v>1st Shift</v>
      </c>
    </row>
    <row r="4690" spans="1:11" x14ac:dyDescent="0.25">
      <c r="A4690" s="1">
        <v>4689</v>
      </c>
      <c r="B4690" s="1">
        <v>5</v>
      </c>
      <c r="C4690" s="3">
        <v>5115271258103</v>
      </c>
      <c r="D4690" s="2">
        <v>44701.413194444445</v>
      </c>
      <c r="E4690" s="2">
        <v>44701.613194444442</v>
      </c>
      <c r="F4690" s="23">
        <f t="shared" si="219"/>
        <v>0.19999999999708962</v>
      </c>
      <c r="G4690" s="24">
        <f t="shared" si="221"/>
        <v>62.500000000909495</v>
      </c>
      <c r="H4690" s="1" t="s">
        <v>1</v>
      </c>
      <c r="I4690" s="4" t="s">
        <v>2</v>
      </c>
      <c r="J4690" s="14">
        <v>0.41319444444444442</v>
      </c>
      <c r="K4690" s="20" t="str">
        <f t="shared" si="220"/>
        <v>1st Shift</v>
      </c>
    </row>
    <row r="4691" spans="1:11" x14ac:dyDescent="0.25">
      <c r="A4691" s="1">
        <v>4690</v>
      </c>
      <c r="B4691" s="1">
        <v>11</v>
      </c>
      <c r="C4691" s="3">
        <v>11115271508100</v>
      </c>
      <c r="D4691" s="2">
        <v>44701.645833333336</v>
      </c>
      <c r="E4691" s="2">
        <v>44701.736111111109</v>
      </c>
      <c r="F4691" s="23">
        <f t="shared" si="219"/>
        <v>9.0277777773735579E-2</v>
      </c>
      <c r="G4691" s="24">
        <f t="shared" si="221"/>
        <v>138.46153846773811</v>
      </c>
      <c r="H4691" s="1" t="s">
        <v>1</v>
      </c>
      <c r="I4691" s="4" t="s">
        <v>3</v>
      </c>
      <c r="J4691" s="14">
        <v>0.64583333333333337</v>
      </c>
      <c r="K4691" s="20" t="str">
        <f t="shared" si="220"/>
        <v>2nd Shift</v>
      </c>
    </row>
    <row r="4692" spans="1:11" x14ac:dyDescent="0.25">
      <c r="A4692" s="1">
        <v>4691</v>
      </c>
      <c r="B4692" s="1">
        <v>3</v>
      </c>
      <c r="C4692" s="3">
        <v>3115270394500</v>
      </c>
      <c r="D4692" s="2">
        <v>44701.645833333336</v>
      </c>
      <c r="E4692" s="2">
        <v>44701.736111111109</v>
      </c>
      <c r="F4692" s="23">
        <f t="shared" si="219"/>
        <v>9.0277777773735579E-2</v>
      </c>
      <c r="G4692" s="24">
        <f t="shared" si="221"/>
        <v>138.46153846773811</v>
      </c>
      <c r="H4692" s="1" t="s">
        <v>1</v>
      </c>
      <c r="I4692" s="4" t="s">
        <v>3</v>
      </c>
      <c r="J4692" s="14">
        <v>0.64583333333333337</v>
      </c>
      <c r="K4692" s="20" t="str">
        <f t="shared" si="220"/>
        <v>2nd Shift</v>
      </c>
    </row>
    <row r="4693" spans="1:11" x14ac:dyDescent="0.25">
      <c r="A4693" s="1">
        <v>4692</v>
      </c>
      <c r="B4693" s="1">
        <v>1</v>
      </c>
      <c r="C4693" s="3">
        <v>1115270132100</v>
      </c>
      <c r="D4693" s="2">
        <v>44701.645833333336</v>
      </c>
      <c r="E4693" s="2">
        <v>44701.736111111109</v>
      </c>
      <c r="F4693" s="23">
        <f t="shared" si="219"/>
        <v>9.0277777773735579E-2</v>
      </c>
      <c r="G4693" s="24">
        <f t="shared" si="221"/>
        <v>138.46153846773811</v>
      </c>
      <c r="H4693" s="1" t="s">
        <v>1</v>
      </c>
      <c r="I4693" s="4" t="s">
        <v>3</v>
      </c>
      <c r="J4693" s="14">
        <v>0.64583333333333337</v>
      </c>
      <c r="K4693" s="20" t="str">
        <f t="shared" si="220"/>
        <v>2nd Shift</v>
      </c>
    </row>
    <row r="4694" spans="1:11" x14ac:dyDescent="0.25">
      <c r="A4694" s="1">
        <v>4693</v>
      </c>
      <c r="B4694" s="1">
        <v>7</v>
      </c>
      <c r="C4694" s="3">
        <v>7115271757100</v>
      </c>
      <c r="D4694" s="2">
        <v>44701.756944444445</v>
      </c>
      <c r="E4694" s="2">
        <v>44701.965277777781</v>
      </c>
      <c r="F4694" s="23">
        <f t="shared" si="219"/>
        <v>0.20833333333575865</v>
      </c>
      <c r="G4694" s="24">
        <f t="shared" si="221"/>
        <v>59.999999999301515</v>
      </c>
      <c r="H4694" s="1" t="s">
        <v>1</v>
      </c>
      <c r="I4694" s="4" t="s">
        <v>3</v>
      </c>
      <c r="J4694" s="14">
        <v>0.75694444444444442</v>
      </c>
      <c r="K4694" s="20" t="str">
        <f t="shared" si="220"/>
        <v>2nd Shift</v>
      </c>
    </row>
    <row r="4695" spans="1:11" x14ac:dyDescent="0.25">
      <c r="A4695" s="1">
        <v>4694</v>
      </c>
      <c r="B4695" s="1">
        <v>5</v>
      </c>
      <c r="C4695" s="3">
        <v>5115271258100</v>
      </c>
      <c r="D4695" s="2">
        <v>44701.749305555553</v>
      </c>
      <c r="E4695" s="2">
        <v>44701.965277777781</v>
      </c>
      <c r="F4695" s="23">
        <f t="shared" si="219"/>
        <v>0.21597222222771961</v>
      </c>
      <c r="G4695" s="24">
        <f t="shared" si="221"/>
        <v>57.87781350334992</v>
      </c>
      <c r="H4695" s="1" t="s">
        <v>1</v>
      </c>
      <c r="I4695" s="4" t="s">
        <v>3</v>
      </c>
      <c r="J4695" s="14">
        <v>0.74930555555555556</v>
      </c>
      <c r="K4695" s="20" t="str">
        <f t="shared" si="220"/>
        <v>2nd Shift</v>
      </c>
    </row>
    <row r="4696" spans="1:11" x14ac:dyDescent="0.25">
      <c r="A4696" s="1">
        <v>4695</v>
      </c>
      <c r="B4696" s="1">
        <v>8</v>
      </c>
      <c r="C4696" s="3">
        <v>8115271834800</v>
      </c>
      <c r="D4696" s="2">
        <v>44702.1875</v>
      </c>
      <c r="E4696" s="2">
        <v>44702.222222222219</v>
      </c>
      <c r="F4696" s="23">
        <f t="shared" si="219"/>
        <v>3.4722222218988463E-2</v>
      </c>
      <c r="G4696" s="24">
        <f t="shared" si="221"/>
        <v>360.00000003352761</v>
      </c>
      <c r="H4696" s="1" t="s">
        <v>1</v>
      </c>
      <c r="I4696" s="4" t="s">
        <v>2</v>
      </c>
      <c r="J4696" s="14">
        <v>0.1875</v>
      </c>
      <c r="K4696" s="20" t="str">
        <f t="shared" si="220"/>
        <v>3rd Shift</v>
      </c>
    </row>
    <row r="4697" spans="1:11" x14ac:dyDescent="0.25">
      <c r="A4697" s="1">
        <v>4696</v>
      </c>
      <c r="B4697" s="1">
        <v>46</v>
      </c>
      <c r="C4697" s="3">
        <v>46115271520509</v>
      </c>
      <c r="D4697" s="2">
        <v>44702.427083333336</v>
      </c>
      <c r="E4697" s="2">
        <v>44702.591666666667</v>
      </c>
      <c r="F4697" s="23">
        <f t="shared" si="219"/>
        <v>0.16458333333139308</v>
      </c>
      <c r="G4697" s="24">
        <f t="shared" si="221"/>
        <v>75.949367089502957</v>
      </c>
      <c r="H4697" s="1" t="s">
        <v>1</v>
      </c>
      <c r="I4697" s="4" t="s">
        <v>2</v>
      </c>
      <c r="J4697" s="14">
        <v>0.42708333333333331</v>
      </c>
      <c r="K4697" s="20" t="str">
        <f t="shared" si="220"/>
        <v>1st Shift</v>
      </c>
    </row>
    <row r="4698" spans="1:11" x14ac:dyDescent="0.25">
      <c r="A4698" s="1">
        <v>4697</v>
      </c>
      <c r="B4698" s="1">
        <v>14</v>
      </c>
      <c r="C4698" s="3">
        <v>14115271688603</v>
      </c>
      <c r="D4698" s="2">
        <v>44702.3125</v>
      </c>
      <c r="E4698" s="2">
        <v>44702.591666666667</v>
      </c>
      <c r="F4698" s="23">
        <f t="shared" si="219"/>
        <v>0.27916666666715173</v>
      </c>
      <c r="G4698" s="24">
        <f t="shared" si="221"/>
        <v>44.77611940290727</v>
      </c>
      <c r="H4698" s="1" t="s">
        <v>1</v>
      </c>
      <c r="I4698" s="4" t="s">
        <v>3</v>
      </c>
      <c r="J4698" s="14">
        <v>0.3125</v>
      </c>
      <c r="K4698" s="20" t="str">
        <f t="shared" si="220"/>
        <v>1st Shift</v>
      </c>
    </row>
    <row r="4699" spans="1:11" x14ac:dyDescent="0.25">
      <c r="A4699" s="1">
        <v>4698</v>
      </c>
      <c r="B4699" s="1">
        <v>11</v>
      </c>
      <c r="C4699" s="3">
        <v>11115271558900</v>
      </c>
      <c r="D4699" s="2">
        <v>44702.423611111109</v>
      </c>
      <c r="E4699" s="2">
        <v>44702.591666666667</v>
      </c>
      <c r="F4699" s="23">
        <f t="shared" si="219"/>
        <v>0.1680555555576575</v>
      </c>
      <c r="G4699" s="24">
        <f t="shared" si="221"/>
        <v>74.380165288325898</v>
      </c>
      <c r="H4699" s="1" t="s">
        <v>1</v>
      </c>
      <c r="I4699" s="4" t="s">
        <v>2</v>
      </c>
      <c r="J4699" s="14">
        <v>0.4236111111111111</v>
      </c>
      <c r="K4699" s="20" t="str">
        <f t="shared" si="220"/>
        <v>1st Shift</v>
      </c>
    </row>
    <row r="4700" spans="1:11" x14ac:dyDescent="0.25">
      <c r="A4700" s="1">
        <v>4699</v>
      </c>
      <c r="B4700" s="1">
        <v>11</v>
      </c>
      <c r="C4700" s="3">
        <v>11115271504800</v>
      </c>
      <c r="D4700" s="2">
        <v>44702.427083333336</v>
      </c>
      <c r="E4700" s="2">
        <v>44702.591666666667</v>
      </c>
      <c r="F4700" s="23">
        <f t="shared" si="219"/>
        <v>0.16458333333139308</v>
      </c>
      <c r="G4700" s="24">
        <f t="shared" si="221"/>
        <v>75.949367089502957</v>
      </c>
      <c r="H4700" s="1" t="s">
        <v>1</v>
      </c>
      <c r="I4700" s="4" t="s">
        <v>2</v>
      </c>
      <c r="J4700" s="14">
        <v>0.42708333333333331</v>
      </c>
      <c r="K4700" s="20" t="str">
        <f t="shared" si="220"/>
        <v>1st Shift</v>
      </c>
    </row>
    <row r="4701" spans="1:11" x14ac:dyDescent="0.25">
      <c r="A4701" s="1">
        <v>4700</v>
      </c>
      <c r="B4701" s="1">
        <v>9</v>
      </c>
      <c r="C4701" s="3">
        <v>9115271952700</v>
      </c>
      <c r="D4701" s="2">
        <v>44702.427083333336</v>
      </c>
      <c r="E4701" s="2">
        <v>44702.591666666667</v>
      </c>
      <c r="F4701" s="23">
        <f t="shared" si="219"/>
        <v>0.16458333333139308</v>
      </c>
      <c r="G4701" s="24">
        <f t="shared" si="221"/>
        <v>75.949367089502957</v>
      </c>
      <c r="H4701" s="1" t="s">
        <v>1</v>
      </c>
      <c r="I4701" s="4" t="s">
        <v>2</v>
      </c>
      <c r="J4701" s="14">
        <v>0.42708333333333331</v>
      </c>
      <c r="K4701" s="20" t="str">
        <f t="shared" si="220"/>
        <v>1st Shift</v>
      </c>
    </row>
    <row r="4702" spans="1:11" x14ac:dyDescent="0.25">
      <c r="A4702" s="1">
        <v>4701</v>
      </c>
      <c r="B4702" s="1">
        <v>9</v>
      </c>
      <c r="C4702" s="3">
        <v>9115271934300</v>
      </c>
      <c r="D4702" s="2">
        <v>44702.333333333336</v>
      </c>
      <c r="E4702" s="2">
        <v>44702.591666666667</v>
      </c>
      <c r="F4702" s="23">
        <f t="shared" si="219"/>
        <v>0.25833333333139308</v>
      </c>
      <c r="G4702" s="24">
        <f t="shared" si="221"/>
        <v>48.387096774556973</v>
      </c>
      <c r="H4702" s="1" t="s">
        <v>1</v>
      </c>
      <c r="I4702" s="4" t="s">
        <v>3</v>
      </c>
      <c r="J4702" s="14">
        <v>0.33333333333333331</v>
      </c>
      <c r="K4702" s="20" t="str">
        <f t="shared" si="220"/>
        <v>1st Shift</v>
      </c>
    </row>
    <row r="4703" spans="1:11" x14ac:dyDescent="0.25">
      <c r="A4703" s="1">
        <v>4702</v>
      </c>
      <c r="B4703" s="1">
        <v>6</v>
      </c>
      <c r="C4703" s="3">
        <v>6115271731400</v>
      </c>
      <c r="D4703" s="2">
        <v>44702.427083333336</v>
      </c>
      <c r="E4703" s="2">
        <v>44702.591666666667</v>
      </c>
      <c r="F4703" s="23">
        <f t="shared" si="219"/>
        <v>0.16458333333139308</v>
      </c>
      <c r="G4703" s="24">
        <f t="shared" si="221"/>
        <v>75.949367089502957</v>
      </c>
      <c r="H4703" s="1" t="s">
        <v>1</v>
      </c>
      <c r="I4703" s="4" t="s">
        <v>2</v>
      </c>
      <c r="J4703" s="14">
        <v>0.42708333333333331</v>
      </c>
      <c r="K4703" s="20" t="str">
        <f t="shared" si="220"/>
        <v>1st Shift</v>
      </c>
    </row>
    <row r="4704" spans="1:11" x14ac:dyDescent="0.25">
      <c r="A4704" s="1">
        <v>4703</v>
      </c>
      <c r="B4704" s="1">
        <v>6</v>
      </c>
      <c r="C4704" s="3">
        <v>6115271722200</v>
      </c>
      <c r="D4704" s="2">
        <v>44702.333333333336</v>
      </c>
      <c r="E4704" s="2">
        <v>44702.591666666667</v>
      </c>
      <c r="F4704" s="23">
        <f t="shared" si="219"/>
        <v>0.25833333333139308</v>
      </c>
      <c r="G4704" s="24">
        <f t="shared" si="221"/>
        <v>48.387096774556973</v>
      </c>
      <c r="H4704" s="1" t="s">
        <v>1</v>
      </c>
      <c r="I4704" s="4" t="s">
        <v>3</v>
      </c>
      <c r="J4704" s="14">
        <v>0.33333333333333331</v>
      </c>
      <c r="K4704" s="20" t="str">
        <f t="shared" si="220"/>
        <v>1st Shift</v>
      </c>
    </row>
    <row r="4705" spans="1:11" x14ac:dyDescent="0.25">
      <c r="A4705" s="1">
        <v>4704</v>
      </c>
      <c r="B4705" s="1">
        <v>6</v>
      </c>
      <c r="C4705" s="3">
        <v>6115271715301</v>
      </c>
      <c r="D4705" s="2">
        <v>44702.3125</v>
      </c>
      <c r="E4705" s="2">
        <v>44702.591666666667</v>
      </c>
      <c r="F4705" s="23">
        <f t="shared" si="219"/>
        <v>0.27916666666715173</v>
      </c>
      <c r="G4705" s="24">
        <f t="shared" si="221"/>
        <v>44.77611940290727</v>
      </c>
      <c r="H4705" s="1" t="s">
        <v>1</v>
      </c>
      <c r="I4705" s="4" t="s">
        <v>3</v>
      </c>
      <c r="J4705" s="14">
        <v>0.3125</v>
      </c>
      <c r="K4705" s="20" t="str">
        <f t="shared" si="220"/>
        <v>1st Shift</v>
      </c>
    </row>
    <row r="4706" spans="1:11" x14ac:dyDescent="0.25">
      <c r="A4706" s="1">
        <v>4705</v>
      </c>
      <c r="B4706" s="1">
        <v>1</v>
      </c>
      <c r="C4706" s="3">
        <v>1115270112500</v>
      </c>
      <c r="D4706" s="2">
        <v>44702.636111111111</v>
      </c>
      <c r="E4706" s="2">
        <v>44702.760416666664</v>
      </c>
      <c r="F4706" s="23">
        <f t="shared" si="219"/>
        <v>0.12430555555329192</v>
      </c>
      <c r="G4706" s="24">
        <f t="shared" si="221"/>
        <v>100.55865921970828</v>
      </c>
      <c r="H4706" s="1" t="s">
        <v>1</v>
      </c>
      <c r="I4706" s="4" t="s">
        <v>3</v>
      </c>
      <c r="J4706" s="14">
        <v>0.63611111111111107</v>
      </c>
      <c r="K4706" s="20" t="str">
        <f t="shared" si="220"/>
        <v>2nd Shift</v>
      </c>
    </row>
    <row r="4707" spans="1:11" x14ac:dyDescent="0.25">
      <c r="A4707" s="1">
        <v>4706</v>
      </c>
      <c r="B4707" s="1">
        <v>14</v>
      </c>
      <c r="C4707" s="3">
        <v>14115271680206</v>
      </c>
      <c r="D4707" s="2">
        <v>44702.833333333336</v>
      </c>
      <c r="E4707" s="2">
        <v>44702.934027777781</v>
      </c>
      <c r="F4707" s="23">
        <f t="shared" si="219"/>
        <v>0.10069444444525288</v>
      </c>
      <c r="G4707" s="24">
        <f t="shared" si="221"/>
        <v>124.1379310334861</v>
      </c>
      <c r="H4707" s="1" t="s">
        <v>1</v>
      </c>
      <c r="I4707" s="4" t="s">
        <v>3</v>
      </c>
      <c r="J4707" s="14">
        <v>0.83333333333333337</v>
      </c>
      <c r="K4707" s="20" t="str">
        <f t="shared" si="220"/>
        <v>2nd Shift</v>
      </c>
    </row>
    <row r="4708" spans="1:11" x14ac:dyDescent="0.25">
      <c r="A4708" s="1">
        <v>4707</v>
      </c>
      <c r="B4708" s="1">
        <v>7</v>
      </c>
      <c r="C4708" s="3">
        <v>7115271783100</v>
      </c>
      <c r="D4708" s="2">
        <v>44702.833333333336</v>
      </c>
      <c r="E4708" s="2">
        <v>44702.934027777781</v>
      </c>
      <c r="F4708" s="23">
        <f t="shared" si="219"/>
        <v>0.10069444444525288</v>
      </c>
      <c r="G4708" s="24">
        <f t="shared" si="221"/>
        <v>124.1379310334861</v>
      </c>
      <c r="H4708" s="1" t="s">
        <v>1</v>
      </c>
      <c r="I4708" s="4" t="s">
        <v>3</v>
      </c>
      <c r="J4708" s="14">
        <v>0.83333333333333337</v>
      </c>
      <c r="K4708" s="20" t="str">
        <f t="shared" si="220"/>
        <v>2nd Shift</v>
      </c>
    </row>
    <row r="4709" spans="1:11" x14ac:dyDescent="0.25">
      <c r="A4709" s="1">
        <v>4708</v>
      </c>
      <c r="B4709" s="1">
        <v>3</v>
      </c>
      <c r="C4709" s="3">
        <v>3115270340802</v>
      </c>
      <c r="D4709" s="2">
        <v>44702.979166666664</v>
      </c>
      <c r="E4709" s="2">
        <v>44703.006944444445</v>
      </c>
      <c r="F4709" s="23">
        <f t="shared" si="219"/>
        <v>2.7777777781011537E-2</v>
      </c>
      <c r="G4709" s="24">
        <f t="shared" si="221"/>
        <v>449.99999994761311</v>
      </c>
      <c r="H4709" s="1" t="s">
        <v>1</v>
      </c>
      <c r="I4709" s="4" t="s">
        <v>2</v>
      </c>
      <c r="J4709" s="14">
        <v>0.97916666666666663</v>
      </c>
      <c r="K4709" s="20" t="str">
        <f t="shared" si="220"/>
        <v>3rd Shift</v>
      </c>
    </row>
    <row r="4710" spans="1:11" x14ac:dyDescent="0.25">
      <c r="A4710" s="1">
        <v>4709</v>
      </c>
      <c r="B4710" s="1">
        <v>12</v>
      </c>
      <c r="C4710" s="3">
        <v>12115271560116</v>
      </c>
      <c r="D4710" s="2">
        <v>44703.013888888891</v>
      </c>
      <c r="E4710" s="2">
        <v>44703.041666666664</v>
      </c>
      <c r="F4710" s="23">
        <f t="shared" si="219"/>
        <v>2.7777777773735579E-2</v>
      </c>
      <c r="G4710" s="24">
        <f t="shared" si="221"/>
        <v>450.00000006548362</v>
      </c>
      <c r="H4710" s="1" t="s">
        <v>1</v>
      </c>
      <c r="I4710" s="4" t="s">
        <v>2</v>
      </c>
      <c r="J4710" s="14">
        <v>1.3888888888888888E-2</v>
      </c>
      <c r="K4710" s="20" t="str">
        <f t="shared" si="220"/>
        <v>3rd Shift</v>
      </c>
    </row>
    <row r="4711" spans="1:11" x14ac:dyDescent="0.25">
      <c r="A4711" s="1">
        <v>4710</v>
      </c>
      <c r="B4711" s="1">
        <v>44</v>
      </c>
      <c r="C4711" s="3">
        <v>44115271201701</v>
      </c>
      <c r="D4711" s="2">
        <v>44703.4375</v>
      </c>
      <c r="E4711" s="2">
        <v>44703.602083333331</v>
      </c>
      <c r="F4711" s="23">
        <f t="shared" si="219"/>
        <v>0.16458333333139308</v>
      </c>
      <c r="G4711" s="24">
        <f t="shared" si="221"/>
        <v>75.949367089502957</v>
      </c>
      <c r="H4711" s="1" t="s">
        <v>1</v>
      </c>
      <c r="I4711" s="4" t="s">
        <v>3</v>
      </c>
      <c r="J4711" s="14">
        <v>0.4375</v>
      </c>
      <c r="K4711" s="20" t="str">
        <f t="shared" si="220"/>
        <v>1st Shift</v>
      </c>
    </row>
    <row r="4712" spans="1:11" x14ac:dyDescent="0.25">
      <c r="A4712" s="1">
        <v>4711</v>
      </c>
      <c r="B4712" s="1">
        <v>13</v>
      </c>
      <c r="C4712" s="3">
        <v>13115271672200</v>
      </c>
      <c r="D4712" s="2">
        <v>44703.388888888891</v>
      </c>
      <c r="E4712" s="2">
        <v>44703.602083333331</v>
      </c>
      <c r="F4712" s="23">
        <f t="shared" si="219"/>
        <v>0.21319444444088731</v>
      </c>
      <c r="G4712" s="24">
        <f t="shared" si="221"/>
        <v>58.6319218250825</v>
      </c>
      <c r="H4712" s="1" t="s">
        <v>1</v>
      </c>
      <c r="I4712" s="4" t="s">
        <v>3</v>
      </c>
      <c r="J4712" s="14">
        <v>0.3888888888888889</v>
      </c>
      <c r="K4712" s="20" t="str">
        <f t="shared" si="220"/>
        <v>1st Shift</v>
      </c>
    </row>
    <row r="4713" spans="1:11" x14ac:dyDescent="0.25">
      <c r="A4713" s="1">
        <v>4712</v>
      </c>
      <c r="B4713" s="1">
        <v>7</v>
      </c>
      <c r="C4713" s="3">
        <v>7115271804800</v>
      </c>
      <c r="D4713" s="2">
        <v>44703.520833333336</v>
      </c>
      <c r="E4713" s="2">
        <v>44703.602083333331</v>
      </c>
      <c r="F4713" s="23">
        <f t="shared" si="219"/>
        <v>8.1249999995634425E-2</v>
      </c>
      <c r="G4713" s="24">
        <f t="shared" si="221"/>
        <v>153.84615385442001</v>
      </c>
      <c r="H4713" s="1" t="s">
        <v>1</v>
      </c>
      <c r="I4713" s="4" t="s">
        <v>3</v>
      </c>
      <c r="J4713" s="14">
        <v>0.52083333333333337</v>
      </c>
      <c r="K4713" s="20" t="str">
        <f t="shared" si="220"/>
        <v>1st Shift</v>
      </c>
    </row>
    <row r="4714" spans="1:11" x14ac:dyDescent="0.25">
      <c r="A4714" s="1">
        <v>4713</v>
      </c>
      <c r="B4714" s="1">
        <v>3</v>
      </c>
      <c r="C4714" s="3">
        <v>3115270409100</v>
      </c>
      <c r="D4714" s="2">
        <v>44703.388888888891</v>
      </c>
      <c r="E4714" s="2">
        <v>44703.602083333331</v>
      </c>
      <c r="F4714" s="23">
        <f t="shared" si="219"/>
        <v>0.21319444444088731</v>
      </c>
      <c r="G4714" s="24">
        <f t="shared" si="221"/>
        <v>58.6319218250825</v>
      </c>
      <c r="H4714" s="1" t="s">
        <v>1</v>
      </c>
      <c r="I4714" s="4" t="s">
        <v>3</v>
      </c>
      <c r="J4714" s="14">
        <v>0.3888888888888889</v>
      </c>
      <c r="K4714" s="20" t="str">
        <f t="shared" si="220"/>
        <v>1st Shift</v>
      </c>
    </row>
    <row r="4715" spans="1:11" x14ac:dyDescent="0.25">
      <c r="A4715" s="1">
        <v>4714</v>
      </c>
      <c r="B4715" s="1">
        <v>1</v>
      </c>
      <c r="C4715" s="3">
        <v>1115270107500</v>
      </c>
      <c r="D4715" s="2">
        <v>44703.4375</v>
      </c>
      <c r="E4715" s="2">
        <v>44703.602083333331</v>
      </c>
      <c r="F4715" s="23">
        <f t="shared" si="219"/>
        <v>0.16458333333139308</v>
      </c>
      <c r="G4715" s="24">
        <f t="shared" si="221"/>
        <v>75.949367089502957</v>
      </c>
      <c r="H4715" s="1" t="s">
        <v>1</v>
      </c>
      <c r="I4715" s="4" t="s">
        <v>3</v>
      </c>
      <c r="J4715" s="14">
        <v>0.4375</v>
      </c>
      <c r="K4715" s="20" t="str">
        <f t="shared" si="220"/>
        <v>1st Shift</v>
      </c>
    </row>
    <row r="4716" spans="1:11" x14ac:dyDescent="0.25">
      <c r="A4716" s="1">
        <v>4715</v>
      </c>
      <c r="B4716" s="1">
        <v>14</v>
      </c>
      <c r="C4716" s="3">
        <v>14115271674707</v>
      </c>
      <c r="D4716" s="2">
        <v>44703.666666666664</v>
      </c>
      <c r="E4716" s="2">
        <v>44703.708333333336</v>
      </c>
      <c r="F4716" s="23">
        <f t="shared" si="219"/>
        <v>4.1666666671517305E-2</v>
      </c>
      <c r="G4716" s="24">
        <f t="shared" si="221"/>
        <v>299.9999999650754</v>
      </c>
      <c r="H4716" s="1" t="s">
        <v>1</v>
      </c>
      <c r="I4716" s="4" t="s">
        <v>2</v>
      </c>
      <c r="J4716" s="14">
        <v>0.66666666666666663</v>
      </c>
      <c r="K4716" s="20" t="str">
        <f t="shared" si="220"/>
        <v>2nd Shift</v>
      </c>
    </row>
    <row r="4717" spans="1:11" x14ac:dyDescent="0.25">
      <c r="A4717" s="1">
        <v>4716</v>
      </c>
      <c r="B4717" s="1">
        <v>7</v>
      </c>
      <c r="C4717" s="3">
        <v>7115271787404</v>
      </c>
      <c r="D4717" s="2">
        <v>44703.666666666664</v>
      </c>
      <c r="E4717" s="2">
        <v>44703.708333333336</v>
      </c>
      <c r="F4717" s="23">
        <f t="shared" si="219"/>
        <v>4.1666666671517305E-2</v>
      </c>
      <c r="G4717" s="24">
        <f t="shared" si="221"/>
        <v>299.9999999650754</v>
      </c>
      <c r="H4717" s="1" t="s">
        <v>1</v>
      </c>
      <c r="I4717" s="4" t="s">
        <v>2</v>
      </c>
      <c r="J4717" s="14">
        <v>0.66666666666666663</v>
      </c>
      <c r="K4717" s="20" t="str">
        <f t="shared" si="220"/>
        <v>2nd Shift</v>
      </c>
    </row>
    <row r="4718" spans="1:11" x14ac:dyDescent="0.25">
      <c r="A4718" s="1">
        <v>4717</v>
      </c>
      <c r="B4718" s="1">
        <v>12</v>
      </c>
      <c r="C4718" s="3">
        <v>12115271574503</v>
      </c>
      <c r="D4718" s="2">
        <v>44703.739583333336</v>
      </c>
      <c r="E4718" s="2">
        <v>44703.951388888891</v>
      </c>
      <c r="F4718" s="23">
        <f t="shared" si="219"/>
        <v>0.21180555555474712</v>
      </c>
      <c r="G4718" s="24">
        <f t="shared" si="221"/>
        <v>59.016393442848212</v>
      </c>
      <c r="H4718" s="1" t="s">
        <v>1</v>
      </c>
      <c r="I4718" s="4" t="s">
        <v>2</v>
      </c>
      <c r="J4718" s="14">
        <v>0.73958333333333337</v>
      </c>
      <c r="K4718" s="20" t="str">
        <f t="shared" si="220"/>
        <v>2nd Shift</v>
      </c>
    </row>
    <row r="4719" spans="1:11" x14ac:dyDescent="0.25">
      <c r="A4719" s="1">
        <v>4718</v>
      </c>
      <c r="B4719" s="1">
        <v>14</v>
      </c>
      <c r="C4719" s="3">
        <v>14115271672409</v>
      </c>
      <c r="D4719" s="2">
        <v>44703.833333333336</v>
      </c>
      <c r="E4719" s="2">
        <v>44703.954861111109</v>
      </c>
      <c r="F4719" s="23">
        <f t="shared" si="219"/>
        <v>0.12152777777373558</v>
      </c>
      <c r="G4719" s="24">
        <f t="shared" si="221"/>
        <v>102.85714286056404</v>
      </c>
      <c r="H4719" s="1" t="s">
        <v>1</v>
      </c>
      <c r="I4719" s="4" t="s">
        <v>2</v>
      </c>
      <c r="J4719" s="14">
        <v>0.83333333333333337</v>
      </c>
      <c r="K4719" s="20" t="str">
        <f t="shared" si="220"/>
        <v>2nd Shift</v>
      </c>
    </row>
    <row r="4720" spans="1:11" x14ac:dyDescent="0.25">
      <c r="A4720" s="1">
        <v>4719</v>
      </c>
      <c r="B4720" s="1">
        <v>8</v>
      </c>
      <c r="C4720" s="3">
        <v>8115271855800</v>
      </c>
      <c r="D4720" s="2">
        <v>44703.833333333336</v>
      </c>
      <c r="E4720" s="2">
        <v>44703.954861111109</v>
      </c>
      <c r="F4720" s="23">
        <f t="shared" si="219"/>
        <v>0.12152777777373558</v>
      </c>
      <c r="G4720" s="24">
        <f t="shared" si="221"/>
        <v>102.85714286056404</v>
      </c>
      <c r="H4720" s="1" t="s">
        <v>1</v>
      </c>
      <c r="I4720" s="4" t="s">
        <v>2</v>
      </c>
      <c r="J4720" s="14">
        <v>0.83333333333333337</v>
      </c>
      <c r="K4720" s="20" t="str">
        <f t="shared" si="220"/>
        <v>2nd Shift</v>
      </c>
    </row>
    <row r="4721" spans="1:11" x14ac:dyDescent="0.25">
      <c r="A4721" s="1">
        <v>4720</v>
      </c>
      <c r="B4721" s="1">
        <v>3</v>
      </c>
      <c r="C4721" s="3">
        <v>3115270421800</v>
      </c>
      <c r="D4721" s="2">
        <v>44703.739583333336</v>
      </c>
      <c r="E4721" s="2">
        <v>44703.954861111109</v>
      </c>
      <c r="F4721" s="23">
        <f t="shared" si="219"/>
        <v>0.21527777777373558</v>
      </c>
      <c r="G4721" s="24">
        <f t="shared" si="221"/>
        <v>58.064516130122513</v>
      </c>
      <c r="H4721" s="1" t="s">
        <v>1</v>
      </c>
      <c r="I4721" s="4" t="s">
        <v>3</v>
      </c>
      <c r="J4721" s="14">
        <v>0.73958333333333337</v>
      </c>
      <c r="K4721" s="20" t="str">
        <f t="shared" si="220"/>
        <v>2nd Shift</v>
      </c>
    </row>
    <row r="4722" spans="1:11" x14ac:dyDescent="0.25">
      <c r="A4722" s="1">
        <v>4721</v>
      </c>
      <c r="B4722" s="1">
        <v>2</v>
      </c>
      <c r="C4722" s="3">
        <v>2115270235200</v>
      </c>
      <c r="D4722" s="2">
        <v>44703.833333333336</v>
      </c>
      <c r="E4722" s="2">
        <v>44703.954861111109</v>
      </c>
      <c r="F4722" s="23">
        <f t="shared" si="219"/>
        <v>0.12152777777373558</v>
      </c>
      <c r="G4722" s="24">
        <f t="shared" si="221"/>
        <v>102.85714286056404</v>
      </c>
      <c r="H4722" s="1" t="s">
        <v>1</v>
      </c>
      <c r="I4722" s="4" t="s">
        <v>2</v>
      </c>
      <c r="J4722" s="14">
        <v>0.83333333333333337</v>
      </c>
      <c r="K4722" s="20" t="str">
        <f t="shared" si="220"/>
        <v>2nd Shift</v>
      </c>
    </row>
    <row r="4723" spans="1:11" x14ac:dyDescent="0.25">
      <c r="A4723" s="1">
        <v>4722</v>
      </c>
      <c r="B4723" s="1">
        <v>3</v>
      </c>
      <c r="C4723" s="3">
        <v>3115270360500</v>
      </c>
      <c r="D4723" s="2">
        <v>44703.930555555555</v>
      </c>
      <c r="E4723" s="2">
        <v>44703.965277777781</v>
      </c>
      <c r="F4723" s="23">
        <f t="shared" si="219"/>
        <v>3.4722222226264421E-2</v>
      </c>
      <c r="G4723" s="24">
        <f t="shared" si="221"/>
        <v>359.99999995809048</v>
      </c>
      <c r="H4723" s="1" t="s">
        <v>1</v>
      </c>
      <c r="I4723" s="4" t="s">
        <v>2</v>
      </c>
      <c r="J4723" s="14">
        <v>0.93055555555555558</v>
      </c>
      <c r="K4723" s="20" t="str">
        <f t="shared" si="220"/>
        <v>3rd Shift</v>
      </c>
    </row>
    <row r="4724" spans="1:11" x14ac:dyDescent="0.25">
      <c r="A4724" s="1">
        <v>4723</v>
      </c>
      <c r="B4724" s="1">
        <v>3</v>
      </c>
      <c r="C4724" s="3">
        <v>3115270396400</v>
      </c>
      <c r="D4724" s="2">
        <v>44703.975694444445</v>
      </c>
      <c r="E4724" s="2">
        <v>44704.003472222219</v>
      </c>
      <c r="F4724" s="23">
        <f t="shared" si="219"/>
        <v>2.7777777773735579E-2</v>
      </c>
      <c r="G4724" s="24">
        <f t="shared" si="221"/>
        <v>450.00000006548362</v>
      </c>
      <c r="H4724" s="1" t="s">
        <v>1</v>
      </c>
      <c r="I4724" s="4" t="s">
        <v>3</v>
      </c>
      <c r="J4724" s="14">
        <v>0.97569444444444442</v>
      </c>
      <c r="K4724" s="20" t="str">
        <f t="shared" si="220"/>
        <v>3rd Shift</v>
      </c>
    </row>
    <row r="4725" spans="1:11" x14ac:dyDescent="0.25">
      <c r="A4725" s="1">
        <v>4724</v>
      </c>
      <c r="B4725" s="1">
        <v>13</v>
      </c>
      <c r="C4725" s="3">
        <v>13115271604011</v>
      </c>
      <c r="D4725" s="2">
        <v>44704.010416666664</v>
      </c>
      <c r="E4725" s="2">
        <v>44704.069444444445</v>
      </c>
      <c r="F4725" s="23">
        <f t="shared" si="219"/>
        <v>5.9027777781011537E-2</v>
      </c>
      <c r="G4725" s="24">
        <f t="shared" si="221"/>
        <v>211.7647058707517</v>
      </c>
      <c r="H4725" s="1" t="s">
        <v>1</v>
      </c>
      <c r="I4725" s="4" t="s">
        <v>2</v>
      </c>
      <c r="J4725" s="14">
        <v>1.0416666666666666E-2</v>
      </c>
      <c r="K4725" s="20" t="str">
        <f t="shared" si="220"/>
        <v>3rd Shift</v>
      </c>
    </row>
    <row r="4726" spans="1:11" x14ac:dyDescent="0.25">
      <c r="A4726" s="1">
        <v>4725</v>
      </c>
      <c r="B4726" s="1">
        <v>12</v>
      </c>
      <c r="C4726" s="3">
        <v>12115271565409</v>
      </c>
      <c r="D4726" s="2">
        <v>44704.010416666664</v>
      </c>
      <c r="E4726" s="2">
        <v>44704.069444444445</v>
      </c>
      <c r="F4726" s="23">
        <f t="shared" si="219"/>
        <v>5.9027777781011537E-2</v>
      </c>
      <c r="G4726" s="24">
        <f t="shared" si="221"/>
        <v>211.7647058707517</v>
      </c>
      <c r="H4726" s="1" t="s">
        <v>1</v>
      </c>
      <c r="I4726" s="4" t="s">
        <v>3</v>
      </c>
      <c r="J4726" s="14">
        <v>1.0416666666666666E-2</v>
      </c>
      <c r="K4726" s="20" t="str">
        <f t="shared" si="220"/>
        <v>3rd Shift</v>
      </c>
    </row>
    <row r="4727" spans="1:11" x14ac:dyDescent="0.25">
      <c r="A4727" s="1">
        <v>4726</v>
      </c>
      <c r="B4727" s="1">
        <v>14</v>
      </c>
      <c r="C4727" s="3">
        <v>14115271672406</v>
      </c>
      <c r="D4727" s="2">
        <v>44704.364583333336</v>
      </c>
      <c r="E4727" s="2">
        <v>44704.5</v>
      </c>
      <c r="F4727" s="23">
        <f t="shared" si="219"/>
        <v>0.13541666666424135</v>
      </c>
      <c r="G4727" s="24">
        <f t="shared" si="221"/>
        <v>92.307692309345541</v>
      </c>
      <c r="H4727" s="1" t="s">
        <v>1</v>
      </c>
      <c r="I4727" s="4" t="s">
        <v>2</v>
      </c>
      <c r="J4727" s="14">
        <v>0.36458333333333331</v>
      </c>
      <c r="K4727" s="20" t="str">
        <f t="shared" si="220"/>
        <v>1st Shift</v>
      </c>
    </row>
    <row r="4728" spans="1:11" x14ac:dyDescent="0.25">
      <c r="A4728" s="1">
        <v>4727</v>
      </c>
      <c r="B4728" s="1">
        <v>14</v>
      </c>
      <c r="C4728" s="3">
        <v>14115271672405</v>
      </c>
      <c r="D4728" s="2">
        <v>44704.364583333336</v>
      </c>
      <c r="E4728" s="2">
        <v>44704.5</v>
      </c>
      <c r="F4728" s="23">
        <f t="shared" si="219"/>
        <v>0.13541666666424135</v>
      </c>
      <c r="G4728" s="24">
        <f t="shared" si="221"/>
        <v>92.307692309345541</v>
      </c>
      <c r="H4728" s="1" t="s">
        <v>1</v>
      </c>
      <c r="I4728" s="4" t="s">
        <v>3</v>
      </c>
      <c r="J4728" s="14">
        <v>0.36458333333333331</v>
      </c>
      <c r="K4728" s="20" t="str">
        <f t="shared" si="220"/>
        <v>1st Shift</v>
      </c>
    </row>
    <row r="4729" spans="1:11" x14ac:dyDescent="0.25">
      <c r="A4729" s="1">
        <v>4728</v>
      </c>
      <c r="B4729" s="1">
        <v>12</v>
      </c>
      <c r="C4729" s="3">
        <v>12115271569203</v>
      </c>
      <c r="D4729" s="2">
        <v>44704.364583333336</v>
      </c>
      <c r="E4729" s="2">
        <v>44704.5</v>
      </c>
      <c r="F4729" s="23">
        <f t="shared" si="219"/>
        <v>0.13541666666424135</v>
      </c>
      <c r="G4729" s="24">
        <f t="shared" si="221"/>
        <v>92.307692309345541</v>
      </c>
      <c r="H4729" s="1" t="s">
        <v>1</v>
      </c>
      <c r="I4729" s="4" t="s">
        <v>3</v>
      </c>
      <c r="J4729" s="14">
        <v>0.36458333333333331</v>
      </c>
      <c r="K4729" s="20" t="str">
        <f t="shared" si="220"/>
        <v>1st Shift</v>
      </c>
    </row>
    <row r="4730" spans="1:11" x14ac:dyDescent="0.25">
      <c r="A4730" s="1">
        <v>4729</v>
      </c>
      <c r="B4730" s="1">
        <v>14</v>
      </c>
      <c r="C4730" s="3">
        <v>14115271678707</v>
      </c>
      <c r="D4730" s="2">
        <v>44704.8125</v>
      </c>
      <c r="E4730" s="2">
        <v>44704.915277777778</v>
      </c>
      <c r="F4730" s="23">
        <f t="shared" si="219"/>
        <v>0.10277777777810115</v>
      </c>
      <c r="G4730" s="24">
        <f t="shared" si="221"/>
        <v>121.62162162123894</v>
      </c>
      <c r="H4730" s="1" t="s">
        <v>1</v>
      </c>
      <c r="I4730" s="4" t="s">
        <v>2</v>
      </c>
      <c r="J4730" s="14">
        <v>0.8125</v>
      </c>
      <c r="K4730" s="20" t="str">
        <f t="shared" si="220"/>
        <v>2nd Shift</v>
      </c>
    </row>
    <row r="4731" spans="1:11" x14ac:dyDescent="0.25">
      <c r="A4731" s="1">
        <v>4730</v>
      </c>
      <c r="B4731" s="1">
        <v>14</v>
      </c>
      <c r="C4731" s="3">
        <v>14115271678701</v>
      </c>
      <c r="D4731" s="2">
        <v>44704.8125</v>
      </c>
      <c r="E4731" s="2">
        <v>44704.915277777778</v>
      </c>
      <c r="F4731" s="23">
        <f t="shared" si="219"/>
        <v>0.10277777777810115</v>
      </c>
      <c r="G4731" s="24">
        <f t="shared" si="221"/>
        <v>121.62162162123894</v>
      </c>
      <c r="H4731" s="1" t="s">
        <v>1</v>
      </c>
      <c r="I4731" s="4" t="s">
        <v>3</v>
      </c>
      <c r="J4731" s="14">
        <v>0.8125</v>
      </c>
      <c r="K4731" s="20" t="str">
        <f t="shared" si="220"/>
        <v>2nd Shift</v>
      </c>
    </row>
    <row r="4732" spans="1:11" x14ac:dyDescent="0.25">
      <c r="A4732" s="1">
        <v>4731</v>
      </c>
      <c r="B4732" s="1">
        <v>13</v>
      </c>
      <c r="C4732" s="3">
        <v>13115271590316</v>
      </c>
      <c r="D4732" s="2">
        <v>44704.8125</v>
      </c>
      <c r="E4732" s="2">
        <v>44704.915277777778</v>
      </c>
      <c r="F4732" s="23">
        <f t="shared" si="219"/>
        <v>0.10277777777810115</v>
      </c>
      <c r="G4732" s="24">
        <f t="shared" si="221"/>
        <v>121.62162162123894</v>
      </c>
      <c r="H4732" s="1" t="s">
        <v>1</v>
      </c>
      <c r="I4732" s="4" t="s">
        <v>2</v>
      </c>
      <c r="J4732" s="14">
        <v>0.8125</v>
      </c>
      <c r="K4732" s="20" t="str">
        <f t="shared" si="220"/>
        <v>2nd Shift</v>
      </c>
    </row>
    <row r="4733" spans="1:11" x14ac:dyDescent="0.25">
      <c r="A4733" s="1">
        <v>4732</v>
      </c>
      <c r="B4733" s="1">
        <v>13</v>
      </c>
      <c r="C4733" s="3">
        <v>13115271590312</v>
      </c>
      <c r="D4733" s="2">
        <v>44704.8125</v>
      </c>
      <c r="E4733" s="2">
        <v>44704.915277777778</v>
      </c>
      <c r="F4733" s="23">
        <f t="shared" si="219"/>
        <v>0.10277777777810115</v>
      </c>
      <c r="G4733" s="24">
        <f t="shared" si="221"/>
        <v>121.62162162123894</v>
      </c>
      <c r="H4733" s="1" t="s">
        <v>1</v>
      </c>
      <c r="I4733" s="4" t="s">
        <v>2</v>
      </c>
      <c r="J4733" s="14">
        <v>0.8125</v>
      </c>
      <c r="K4733" s="20" t="str">
        <f t="shared" si="220"/>
        <v>2nd Shift</v>
      </c>
    </row>
    <row r="4734" spans="1:11" x14ac:dyDescent="0.25">
      <c r="A4734" s="1">
        <v>4733</v>
      </c>
      <c r="B4734" s="1">
        <v>12</v>
      </c>
      <c r="C4734" s="3">
        <v>12115271569826</v>
      </c>
      <c r="D4734" s="2">
        <v>44704.8125</v>
      </c>
      <c r="E4734" s="2">
        <v>44704.915277777778</v>
      </c>
      <c r="F4734" s="23">
        <f t="shared" si="219"/>
        <v>0.10277777777810115</v>
      </c>
      <c r="G4734" s="24">
        <f t="shared" si="221"/>
        <v>121.62162162123894</v>
      </c>
      <c r="H4734" s="1" t="s">
        <v>1</v>
      </c>
      <c r="I4734" s="4" t="s">
        <v>2</v>
      </c>
      <c r="J4734" s="14">
        <v>0.8125</v>
      </c>
      <c r="K4734" s="20" t="str">
        <f t="shared" si="220"/>
        <v>2nd Shift</v>
      </c>
    </row>
    <row r="4735" spans="1:11" x14ac:dyDescent="0.25">
      <c r="A4735" s="1">
        <v>4734</v>
      </c>
      <c r="B4735" s="1">
        <v>12</v>
      </c>
      <c r="C4735" s="3">
        <v>12115271569824</v>
      </c>
      <c r="D4735" s="2">
        <v>44704.8125</v>
      </c>
      <c r="E4735" s="2">
        <v>44704.915277777778</v>
      </c>
      <c r="F4735" s="23">
        <f t="shared" si="219"/>
        <v>0.10277777777810115</v>
      </c>
      <c r="G4735" s="24">
        <f t="shared" si="221"/>
        <v>121.62162162123894</v>
      </c>
      <c r="H4735" s="1" t="s">
        <v>1</v>
      </c>
      <c r="I4735" s="4" t="s">
        <v>2</v>
      </c>
      <c r="J4735" s="14">
        <v>0.8125</v>
      </c>
      <c r="K4735" s="20" t="str">
        <f t="shared" si="220"/>
        <v>2nd Shift</v>
      </c>
    </row>
    <row r="4736" spans="1:11" x14ac:dyDescent="0.25">
      <c r="A4736" s="1">
        <v>4735</v>
      </c>
      <c r="B4736" s="1">
        <v>11</v>
      </c>
      <c r="C4736" s="3">
        <v>11115271549604</v>
      </c>
      <c r="D4736" s="2">
        <v>44704.8125</v>
      </c>
      <c r="E4736" s="2">
        <v>44704.915277777778</v>
      </c>
      <c r="F4736" s="23">
        <f t="shared" si="219"/>
        <v>0.10277777777810115</v>
      </c>
      <c r="G4736" s="24">
        <f t="shared" si="221"/>
        <v>121.62162162123894</v>
      </c>
      <c r="H4736" s="1" t="s">
        <v>1</v>
      </c>
      <c r="I4736" s="4" t="s">
        <v>3</v>
      </c>
      <c r="J4736" s="14">
        <v>0.8125</v>
      </c>
      <c r="K4736" s="20" t="str">
        <f t="shared" si="220"/>
        <v>2nd Shift</v>
      </c>
    </row>
    <row r="4737" spans="1:11" x14ac:dyDescent="0.25">
      <c r="A4737" s="1">
        <v>4736</v>
      </c>
      <c r="B4737" s="1">
        <v>11</v>
      </c>
      <c r="C4737" s="3">
        <v>11115271549600</v>
      </c>
      <c r="D4737" s="2">
        <v>44704.8125</v>
      </c>
      <c r="E4737" s="2">
        <v>44704.915277777778</v>
      </c>
      <c r="F4737" s="23">
        <f t="shared" si="219"/>
        <v>0.10277777777810115</v>
      </c>
      <c r="G4737" s="24">
        <f t="shared" si="221"/>
        <v>121.62162162123894</v>
      </c>
      <c r="H4737" s="1" t="s">
        <v>1</v>
      </c>
      <c r="I4737" s="4" t="s">
        <v>3</v>
      </c>
      <c r="J4737" s="14">
        <v>0.8125</v>
      </c>
      <c r="K4737" s="20" t="str">
        <f t="shared" si="220"/>
        <v>2nd Shift</v>
      </c>
    </row>
    <row r="4738" spans="1:11" x14ac:dyDescent="0.25">
      <c r="A4738" s="1">
        <v>4737</v>
      </c>
      <c r="B4738" s="1">
        <v>11</v>
      </c>
      <c r="C4738" s="3">
        <v>11115271534002</v>
      </c>
      <c r="D4738" s="2">
        <v>44704.8125</v>
      </c>
      <c r="E4738" s="2">
        <v>44704.915277777778</v>
      </c>
      <c r="F4738" s="23">
        <f t="shared" ref="F4738:F4801" si="222">E4738-D4738</f>
        <v>0.10277777777810115</v>
      </c>
      <c r="G4738" s="24">
        <f t="shared" si="221"/>
        <v>121.62162162123894</v>
      </c>
      <c r="H4738" s="1" t="s">
        <v>1</v>
      </c>
      <c r="I4738" s="4" t="s">
        <v>3</v>
      </c>
      <c r="J4738" s="14">
        <v>0.8125</v>
      </c>
      <c r="K4738" s="20" t="str">
        <f t="shared" ref="K4738:K4801" si="223">IF(AND(J4738&gt;=$M$3,J4738&lt;$M$4),"1st Shift",IF(AND(J4738&gt;=$M$4,J4738&lt;$M$5),"2nd Shift","3rd Shift"))</f>
        <v>2nd Shift</v>
      </c>
    </row>
    <row r="4739" spans="1:11" x14ac:dyDescent="0.25">
      <c r="A4739" s="1">
        <v>4738</v>
      </c>
      <c r="B4739" s="1">
        <v>11</v>
      </c>
      <c r="C4739" s="3">
        <v>11115271534000</v>
      </c>
      <c r="D4739" s="2">
        <v>44704.8125</v>
      </c>
      <c r="E4739" s="2">
        <v>44704.915277777778</v>
      </c>
      <c r="F4739" s="23">
        <f t="shared" si="222"/>
        <v>0.10277777777810115</v>
      </c>
      <c r="G4739" s="24">
        <f t="shared" ref="G4739:G4802" si="224">$M$9/F4739*100</f>
        <v>121.62162162123894</v>
      </c>
      <c r="H4739" s="1" t="s">
        <v>1</v>
      </c>
      <c r="I4739" s="4" t="s">
        <v>2</v>
      </c>
      <c r="J4739" s="14">
        <v>0.8125</v>
      </c>
      <c r="K4739" s="20" t="str">
        <f t="shared" si="223"/>
        <v>2nd Shift</v>
      </c>
    </row>
    <row r="4740" spans="1:11" x14ac:dyDescent="0.25">
      <c r="A4740" s="1">
        <v>4739</v>
      </c>
      <c r="B4740" s="1">
        <v>2</v>
      </c>
      <c r="C4740" s="3">
        <v>2115270229700</v>
      </c>
      <c r="D4740" s="2">
        <v>44704.958333333336</v>
      </c>
      <c r="E4740" s="2">
        <v>44704.986111111109</v>
      </c>
      <c r="F4740" s="23">
        <f t="shared" si="222"/>
        <v>2.7777777773735579E-2</v>
      </c>
      <c r="G4740" s="24">
        <f t="shared" si="224"/>
        <v>450.00000006548362</v>
      </c>
      <c r="H4740" s="1" t="s">
        <v>1</v>
      </c>
      <c r="I4740" s="4" t="s">
        <v>2</v>
      </c>
      <c r="J4740" s="14">
        <v>0.95833333333333337</v>
      </c>
      <c r="K4740" s="20" t="str">
        <f t="shared" si="223"/>
        <v>3rd Shift</v>
      </c>
    </row>
    <row r="4741" spans="1:11" x14ac:dyDescent="0.25">
      <c r="A4741" s="1">
        <v>4740</v>
      </c>
      <c r="B4741" s="1">
        <v>13</v>
      </c>
      <c r="C4741" s="3">
        <v>13115271662500</v>
      </c>
      <c r="D4741" s="2">
        <v>44705.170138888891</v>
      </c>
      <c r="E4741" s="2">
        <v>44705.239583333336</v>
      </c>
      <c r="F4741" s="23">
        <f t="shared" si="222"/>
        <v>6.9444444445252884E-2</v>
      </c>
      <c r="G4741" s="24">
        <f t="shared" si="224"/>
        <v>179.99999999790452</v>
      </c>
      <c r="H4741" s="1" t="s">
        <v>1</v>
      </c>
      <c r="I4741" s="4" t="s">
        <v>2</v>
      </c>
      <c r="J4741" s="14">
        <v>0.1701388888888889</v>
      </c>
      <c r="K4741" s="20" t="str">
        <f t="shared" si="223"/>
        <v>3rd Shift</v>
      </c>
    </row>
    <row r="4742" spans="1:11" x14ac:dyDescent="0.25">
      <c r="A4742" s="1">
        <v>4741</v>
      </c>
      <c r="B4742" s="1">
        <v>12</v>
      </c>
      <c r="C4742" s="3">
        <v>12115271571099</v>
      </c>
      <c r="D4742" s="2">
        <v>44705.356944444444</v>
      </c>
      <c r="E4742" s="2">
        <v>44705.5</v>
      </c>
      <c r="F4742" s="23">
        <f t="shared" si="222"/>
        <v>0.14305555555620231</v>
      </c>
      <c r="G4742" s="24">
        <f t="shared" si="224"/>
        <v>87.378640776303996</v>
      </c>
      <c r="H4742" s="1" t="s">
        <v>1</v>
      </c>
      <c r="I4742" s="4" t="s">
        <v>3</v>
      </c>
      <c r="J4742" s="14">
        <v>0.35694444444444445</v>
      </c>
      <c r="K4742" s="20" t="str">
        <f t="shared" si="223"/>
        <v>1st Shift</v>
      </c>
    </row>
    <row r="4743" spans="1:11" x14ac:dyDescent="0.25">
      <c r="A4743" s="1">
        <v>4742</v>
      </c>
      <c r="B4743" s="1">
        <v>11</v>
      </c>
      <c r="C4743" s="3">
        <v>11115271559930</v>
      </c>
      <c r="D4743" s="2">
        <v>44705.356944444444</v>
      </c>
      <c r="E4743" s="2">
        <v>44705.5</v>
      </c>
      <c r="F4743" s="23">
        <f t="shared" si="222"/>
        <v>0.14305555555620231</v>
      </c>
      <c r="G4743" s="24">
        <f t="shared" si="224"/>
        <v>87.378640776303996</v>
      </c>
      <c r="H4743" s="1" t="s">
        <v>1</v>
      </c>
      <c r="I4743" s="4" t="s">
        <v>2</v>
      </c>
      <c r="J4743" s="14">
        <v>0.35694444444444445</v>
      </c>
      <c r="K4743" s="20" t="str">
        <f t="shared" si="223"/>
        <v>1st Shift</v>
      </c>
    </row>
    <row r="4744" spans="1:11" x14ac:dyDescent="0.25">
      <c r="A4744" s="1">
        <v>4743</v>
      </c>
      <c r="B4744" s="1">
        <v>3</v>
      </c>
      <c r="C4744" s="3">
        <v>3115270320104</v>
      </c>
      <c r="D4744" s="2">
        <v>44705.356944444444</v>
      </c>
      <c r="E4744" s="2">
        <v>44705.5</v>
      </c>
      <c r="F4744" s="23">
        <f t="shared" si="222"/>
        <v>0.14305555555620231</v>
      </c>
      <c r="G4744" s="24">
        <f t="shared" si="224"/>
        <v>87.378640776303996</v>
      </c>
      <c r="H4744" s="1" t="s">
        <v>1</v>
      </c>
      <c r="I4744" s="4" t="s">
        <v>2</v>
      </c>
      <c r="J4744" s="14">
        <v>0.35694444444444445</v>
      </c>
      <c r="K4744" s="20" t="str">
        <f t="shared" si="223"/>
        <v>1st Shift</v>
      </c>
    </row>
    <row r="4745" spans="1:11" x14ac:dyDescent="0.25">
      <c r="A4745" s="1">
        <v>4744</v>
      </c>
      <c r="B4745" s="1">
        <v>6</v>
      </c>
      <c r="C4745" s="3">
        <v>6115271729601</v>
      </c>
      <c r="D4745" s="2">
        <v>44705.6875</v>
      </c>
      <c r="E4745" s="2">
        <v>44705.767361111109</v>
      </c>
      <c r="F4745" s="23">
        <f t="shared" si="222"/>
        <v>7.9861111109494232E-2</v>
      </c>
      <c r="G4745" s="24">
        <f t="shared" si="224"/>
        <v>156.52173913360375</v>
      </c>
      <c r="H4745" s="1" t="s">
        <v>1</v>
      </c>
      <c r="I4745" s="4" t="s">
        <v>3</v>
      </c>
      <c r="J4745" s="14">
        <v>0.6875</v>
      </c>
      <c r="K4745" s="20" t="str">
        <f t="shared" si="223"/>
        <v>2nd Shift</v>
      </c>
    </row>
    <row r="4746" spans="1:11" x14ac:dyDescent="0.25">
      <c r="A4746" s="1">
        <v>4745</v>
      </c>
      <c r="B4746" s="1">
        <v>3</v>
      </c>
      <c r="C4746" s="3">
        <v>3115270421400</v>
      </c>
      <c r="D4746" s="2">
        <v>44705.645833333336</v>
      </c>
      <c r="E4746" s="2">
        <v>44705.767361111109</v>
      </c>
      <c r="F4746" s="23">
        <f t="shared" si="222"/>
        <v>0.12152777777373558</v>
      </c>
      <c r="G4746" s="24">
        <f t="shared" si="224"/>
        <v>102.85714286056404</v>
      </c>
      <c r="H4746" s="1" t="s">
        <v>1</v>
      </c>
      <c r="I4746" s="4" t="s">
        <v>3</v>
      </c>
      <c r="J4746" s="14">
        <v>0.64583333333333337</v>
      </c>
      <c r="K4746" s="20" t="str">
        <f t="shared" si="223"/>
        <v>2nd Shift</v>
      </c>
    </row>
    <row r="4747" spans="1:11" x14ac:dyDescent="0.25">
      <c r="A4747" s="1">
        <v>4746</v>
      </c>
      <c r="B4747" s="1">
        <v>3</v>
      </c>
      <c r="C4747" s="3">
        <v>3115270360203</v>
      </c>
      <c r="D4747" s="2">
        <v>44705.6875</v>
      </c>
      <c r="E4747" s="2">
        <v>44705.767361111109</v>
      </c>
      <c r="F4747" s="23">
        <f t="shared" si="222"/>
        <v>7.9861111109494232E-2</v>
      </c>
      <c r="G4747" s="24">
        <f t="shared" si="224"/>
        <v>156.52173913360375</v>
      </c>
      <c r="H4747" s="1" t="s">
        <v>1</v>
      </c>
      <c r="I4747" s="4" t="s">
        <v>2</v>
      </c>
      <c r="J4747" s="14">
        <v>0.6875</v>
      </c>
      <c r="K4747" s="20" t="str">
        <f t="shared" si="223"/>
        <v>2nd Shift</v>
      </c>
    </row>
    <row r="4748" spans="1:11" x14ac:dyDescent="0.25">
      <c r="A4748" s="1">
        <v>4747</v>
      </c>
      <c r="B4748" s="1">
        <v>2</v>
      </c>
      <c r="C4748" s="3">
        <v>2115270239900</v>
      </c>
      <c r="D4748" s="2">
        <v>44705.645833333336</v>
      </c>
      <c r="E4748" s="2">
        <v>44705.767361111109</v>
      </c>
      <c r="F4748" s="23">
        <f t="shared" si="222"/>
        <v>0.12152777777373558</v>
      </c>
      <c r="G4748" s="24">
        <f t="shared" si="224"/>
        <v>102.85714286056404</v>
      </c>
      <c r="H4748" s="1" t="s">
        <v>1</v>
      </c>
      <c r="I4748" s="4" t="s">
        <v>3</v>
      </c>
      <c r="J4748" s="14">
        <v>0.64583333333333337</v>
      </c>
      <c r="K4748" s="20" t="str">
        <f t="shared" si="223"/>
        <v>2nd Shift</v>
      </c>
    </row>
    <row r="4749" spans="1:11" x14ac:dyDescent="0.25">
      <c r="A4749" s="1">
        <v>4748</v>
      </c>
      <c r="B4749" s="1">
        <v>3</v>
      </c>
      <c r="C4749" s="3">
        <v>3115270410900</v>
      </c>
      <c r="D4749" s="2">
        <v>44705.791666666664</v>
      </c>
      <c r="E4749" s="2">
        <v>44705.829861111109</v>
      </c>
      <c r="F4749" s="23">
        <f t="shared" si="222"/>
        <v>3.8194444445252884E-2</v>
      </c>
      <c r="G4749" s="24">
        <f t="shared" si="224"/>
        <v>327.27272726580009</v>
      </c>
      <c r="H4749" s="1" t="s">
        <v>1</v>
      </c>
      <c r="I4749" s="4" t="s">
        <v>3</v>
      </c>
      <c r="J4749" s="14">
        <v>0.79166666666666663</v>
      </c>
      <c r="K4749" s="20" t="str">
        <f t="shared" si="223"/>
        <v>2nd Shift</v>
      </c>
    </row>
    <row r="4750" spans="1:11" x14ac:dyDescent="0.25">
      <c r="A4750" s="1">
        <v>4749</v>
      </c>
      <c r="B4750" s="1">
        <v>12</v>
      </c>
      <c r="C4750" s="3">
        <v>12115271566000</v>
      </c>
      <c r="D4750" s="2">
        <v>44705.9375</v>
      </c>
      <c r="E4750" s="2">
        <v>44706.208333333336</v>
      </c>
      <c r="F4750" s="23">
        <f t="shared" si="222"/>
        <v>0.27083333333575865</v>
      </c>
      <c r="G4750" s="24">
        <f t="shared" si="224"/>
        <v>46.153846153432845</v>
      </c>
      <c r="H4750" s="1" t="s">
        <v>1</v>
      </c>
      <c r="I4750" s="4" t="s">
        <v>3</v>
      </c>
      <c r="J4750" s="14">
        <v>0.9375</v>
      </c>
      <c r="K4750" s="20" t="str">
        <f t="shared" si="223"/>
        <v>3rd Shift</v>
      </c>
    </row>
    <row r="4751" spans="1:11" x14ac:dyDescent="0.25">
      <c r="A4751" s="1">
        <v>4750</v>
      </c>
      <c r="B4751" s="1">
        <v>11</v>
      </c>
      <c r="C4751" s="3">
        <v>11115271542605</v>
      </c>
      <c r="D4751" s="2">
        <v>44705.9375</v>
      </c>
      <c r="E4751" s="2">
        <v>44706.208333333336</v>
      </c>
      <c r="F4751" s="23">
        <f t="shared" si="222"/>
        <v>0.27083333333575865</v>
      </c>
      <c r="G4751" s="24">
        <f t="shared" si="224"/>
        <v>46.153846153432845</v>
      </c>
      <c r="H4751" s="1" t="s">
        <v>1</v>
      </c>
      <c r="I4751" s="4" t="s">
        <v>2</v>
      </c>
      <c r="J4751" s="14">
        <v>0.9375</v>
      </c>
      <c r="K4751" s="20" t="str">
        <f t="shared" si="223"/>
        <v>3rd Shift</v>
      </c>
    </row>
    <row r="4752" spans="1:11" x14ac:dyDescent="0.25">
      <c r="A4752" s="1">
        <v>4751</v>
      </c>
      <c r="B4752" s="1">
        <v>10</v>
      </c>
      <c r="C4752" s="3">
        <v>10115271433700</v>
      </c>
      <c r="D4752" s="2">
        <v>44705.9375</v>
      </c>
      <c r="E4752" s="2">
        <v>44706.208333333336</v>
      </c>
      <c r="F4752" s="23">
        <f t="shared" si="222"/>
        <v>0.27083333333575865</v>
      </c>
      <c r="G4752" s="24">
        <f t="shared" si="224"/>
        <v>46.153846153432845</v>
      </c>
      <c r="H4752" s="1" t="s">
        <v>1</v>
      </c>
      <c r="I4752" s="4" t="s">
        <v>3</v>
      </c>
      <c r="J4752" s="14">
        <v>0.9375</v>
      </c>
      <c r="K4752" s="20" t="str">
        <f t="shared" si="223"/>
        <v>3rd Shift</v>
      </c>
    </row>
    <row r="4753" spans="1:11" x14ac:dyDescent="0.25">
      <c r="A4753" s="1">
        <v>4752</v>
      </c>
      <c r="B4753" s="1">
        <v>3</v>
      </c>
      <c r="C4753" s="3">
        <v>3115270306602</v>
      </c>
      <c r="D4753" s="2">
        <v>44705.9375</v>
      </c>
      <c r="E4753" s="2">
        <v>44706.208333333336</v>
      </c>
      <c r="F4753" s="23">
        <f t="shared" si="222"/>
        <v>0.27083333333575865</v>
      </c>
      <c r="G4753" s="24">
        <f t="shared" si="224"/>
        <v>46.153846153432845</v>
      </c>
      <c r="H4753" s="1" t="s">
        <v>1</v>
      </c>
      <c r="I4753" s="4" t="s">
        <v>3</v>
      </c>
      <c r="J4753" s="14">
        <v>0.9375</v>
      </c>
      <c r="K4753" s="20" t="str">
        <f t="shared" si="223"/>
        <v>3rd Shift</v>
      </c>
    </row>
    <row r="4754" spans="1:11" x14ac:dyDescent="0.25">
      <c r="A4754" s="1">
        <v>4753</v>
      </c>
      <c r="B4754" s="1">
        <v>15</v>
      </c>
      <c r="C4754" s="3">
        <v>15115271788205</v>
      </c>
      <c r="D4754" s="2">
        <v>44706.447916666664</v>
      </c>
      <c r="E4754" s="2">
        <v>44706.622916666667</v>
      </c>
      <c r="F4754" s="23">
        <f t="shared" si="222"/>
        <v>0.17500000000291038</v>
      </c>
      <c r="G4754" s="24">
        <f t="shared" si="224"/>
        <v>71.428571427383517</v>
      </c>
      <c r="H4754" s="1" t="s">
        <v>1</v>
      </c>
      <c r="I4754" s="4" t="s">
        <v>2</v>
      </c>
      <c r="J4754" s="14">
        <v>0.44791666666666669</v>
      </c>
      <c r="K4754" s="20" t="str">
        <f t="shared" si="223"/>
        <v>1st Shift</v>
      </c>
    </row>
    <row r="4755" spans="1:11" x14ac:dyDescent="0.25">
      <c r="A4755" s="1">
        <v>4754</v>
      </c>
      <c r="B4755" s="1">
        <v>14</v>
      </c>
      <c r="C4755" s="3">
        <v>14115271680206</v>
      </c>
      <c r="D4755" s="2">
        <v>44706.336805555555</v>
      </c>
      <c r="E4755" s="2">
        <v>44706.622916666667</v>
      </c>
      <c r="F4755" s="23">
        <f t="shared" si="222"/>
        <v>0.28611111111240461</v>
      </c>
      <c r="G4755" s="24">
        <f t="shared" si="224"/>
        <v>43.689320388151998</v>
      </c>
      <c r="H4755" s="1" t="s">
        <v>1</v>
      </c>
      <c r="I4755" s="4" t="s">
        <v>3</v>
      </c>
      <c r="J4755" s="14">
        <v>0.33680555555555558</v>
      </c>
      <c r="K4755" s="20" t="str">
        <f t="shared" si="223"/>
        <v>1st Shift</v>
      </c>
    </row>
    <row r="4756" spans="1:11" x14ac:dyDescent="0.25">
      <c r="A4756" s="1">
        <v>4755</v>
      </c>
      <c r="B4756" s="1">
        <v>13</v>
      </c>
      <c r="C4756" s="3">
        <v>13115271627702</v>
      </c>
      <c r="D4756" s="2">
        <v>44706.447916666664</v>
      </c>
      <c r="E4756" s="2">
        <v>44706.622916666667</v>
      </c>
      <c r="F4756" s="23">
        <f t="shared" si="222"/>
        <v>0.17500000000291038</v>
      </c>
      <c r="G4756" s="24">
        <f t="shared" si="224"/>
        <v>71.428571427383517</v>
      </c>
      <c r="H4756" s="1" t="s">
        <v>1</v>
      </c>
      <c r="I4756" s="4" t="s">
        <v>2</v>
      </c>
      <c r="J4756" s="14">
        <v>0.44791666666666669</v>
      </c>
      <c r="K4756" s="20" t="str">
        <f t="shared" si="223"/>
        <v>1st Shift</v>
      </c>
    </row>
    <row r="4757" spans="1:11" x14ac:dyDescent="0.25">
      <c r="A4757" s="1">
        <v>4756</v>
      </c>
      <c r="B4757" s="1">
        <v>12</v>
      </c>
      <c r="C4757" s="3">
        <v>12115271590203</v>
      </c>
      <c r="D4757" s="2">
        <v>44706.336805555555</v>
      </c>
      <c r="E4757" s="2">
        <v>44706.622916666667</v>
      </c>
      <c r="F4757" s="23">
        <f t="shared" si="222"/>
        <v>0.28611111111240461</v>
      </c>
      <c r="G4757" s="24">
        <f t="shared" si="224"/>
        <v>43.689320388151998</v>
      </c>
      <c r="H4757" s="1" t="s">
        <v>1</v>
      </c>
      <c r="I4757" s="4" t="s">
        <v>3</v>
      </c>
      <c r="J4757" s="14">
        <v>0.33680555555555558</v>
      </c>
      <c r="K4757" s="20" t="str">
        <f t="shared" si="223"/>
        <v>1st Shift</v>
      </c>
    </row>
    <row r="4758" spans="1:11" x14ac:dyDescent="0.25">
      <c r="A4758" s="1">
        <v>4757</v>
      </c>
      <c r="B4758" s="1">
        <v>12</v>
      </c>
      <c r="C4758" s="3">
        <v>12115271584806</v>
      </c>
      <c r="D4758" s="2">
        <v>44706.5</v>
      </c>
      <c r="E4758" s="2">
        <v>44706.622916666667</v>
      </c>
      <c r="F4758" s="23">
        <f t="shared" si="222"/>
        <v>0.12291666666715173</v>
      </c>
      <c r="G4758" s="24">
        <f t="shared" si="224"/>
        <v>101.69491525383599</v>
      </c>
      <c r="H4758" s="1" t="s">
        <v>1</v>
      </c>
      <c r="I4758" s="4" t="s">
        <v>2</v>
      </c>
      <c r="J4758" s="14">
        <v>0.5</v>
      </c>
      <c r="K4758" s="20" t="str">
        <f t="shared" si="223"/>
        <v>1st Shift</v>
      </c>
    </row>
    <row r="4759" spans="1:11" x14ac:dyDescent="0.25">
      <c r="A4759" s="1">
        <v>4758</v>
      </c>
      <c r="B4759" s="1">
        <v>11</v>
      </c>
      <c r="C4759" s="3">
        <v>11115271559936</v>
      </c>
      <c r="D4759" s="2">
        <v>44706.590277777781</v>
      </c>
      <c r="E4759" s="2">
        <v>44706.622916666667</v>
      </c>
      <c r="F4759" s="23">
        <f t="shared" si="222"/>
        <v>3.2638888886140194E-2</v>
      </c>
      <c r="G4759" s="24">
        <f t="shared" si="224"/>
        <v>382.97872343650801</v>
      </c>
      <c r="H4759" s="1" t="s">
        <v>1</v>
      </c>
      <c r="I4759" s="4" t="s">
        <v>2</v>
      </c>
      <c r="J4759" s="14">
        <v>0.59027777777777779</v>
      </c>
      <c r="K4759" s="20" t="str">
        <f t="shared" si="223"/>
        <v>2nd Shift</v>
      </c>
    </row>
    <row r="4760" spans="1:11" x14ac:dyDescent="0.25">
      <c r="A4760" s="1">
        <v>4759</v>
      </c>
      <c r="B4760" s="1">
        <v>10</v>
      </c>
      <c r="C4760" s="3">
        <v>10115271428201</v>
      </c>
      <c r="D4760" s="2">
        <v>44706.5</v>
      </c>
      <c r="E4760" s="2">
        <v>44706.622916666667</v>
      </c>
      <c r="F4760" s="23">
        <f t="shared" si="222"/>
        <v>0.12291666666715173</v>
      </c>
      <c r="G4760" s="24">
        <f t="shared" si="224"/>
        <v>101.69491525383599</v>
      </c>
      <c r="H4760" s="1" t="s">
        <v>1</v>
      </c>
      <c r="I4760" s="4" t="s">
        <v>2</v>
      </c>
      <c r="J4760" s="14">
        <v>0.5</v>
      </c>
      <c r="K4760" s="20" t="str">
        <f t="shared" si="223"/>
        <v>1st Shift</v>
      </c>
    </row>
    <row r="4761" spans="1:11" x14ac:dyDescent="0.25">
      <c r="A4761" s="1">
        <v>4760</v>
      </c>
      <c r="B4761" s="1">
        <v>9</v>
      </c>
      <c r="C4761" s="3">
        <v>9115271906606</v>
      </c>
      <c r="D4761" s="2">
        <v>44706.336805555555</v>
      </c>
      <c r="E4761" s="2">
        <v>44706.622916666667</v>
      </c>
      <c r="F4761" s="23">
        <f t="shared" si="222"/>
        <v>0.28611111111240461</v>
      </c>
      <c r="G4761" s="24">
        <f t="shared" si="224"/>
        <v>43.689320388151998</v>
      </c>
      <c r="H4761" s="1" t="s">
        <v>1</v>
      </c>
      <c r="I4761" s="4" t="s">
        <v>2</v>
      </c>
      <c r="J4761" s="14">
        <v>0.33680555555555558</v>
      </c>
      <c r="K4761" s="20" t="str">
        <f t="shared" si="223"/>
        <v>1st Shift</v>
      </c>
    </row>
    <row r="4762" spans="1:11" x14ac:dyDescent="0.25">
      <c r="A4762" s="1">
        <v>4761</v>
      </c>
      <c r="B4762" s="1">
        <v>7</v>
      </c>
      <c r="C4762" s="3">
        <v>7115271792407</v>
      </c>
      <c r="D4762" s="2">
        <v>44706.5</v>
      </c>
      <c r="E4762" s="2">
        <v>44706.622916666667</v>
      </c>
      <c r="F4762" s="23">
        <f t="shared" si="222"/>
        <v>0.12291666666715173</v>
      </c>
      <c r="G4762" s="24">
        <f t="shared" si="224"/>
        <v>101.69491525383599</v>
      </c>
      <c r="H4762" s="1" t="s">
        <v>1</v>
      </c>
      <c r="I4762" s="4" t="s">
        <v>2</v>
      </c>
      <c r="J4762" s="14">
        <v>0.5</v>
      </c>
      <c r="K4762" s="20" t="str">
        <f t="shared" si="223"/>
        <v>1st Shift</v>
      </c>
    </row>
    <row r="4763" spans="1:11" x14ac:dyDescent="0.25">
      <c r="A4763" s="1">
        <v>4762</v>
      </c>
      <c r="B4763" s="1">
        <v>7</v>
      </c>
      <c r="C4763" s="3">
        <v>7115271786615</v>
      </c>
      <c r="D4763" s="2">
        <v>44706.447916666664</v>
      </c>
      <c r="E4763" s="2">
        <v>44706.622916666667</v>
      </c>
      <c r="F4763" s="23">
        <f t="shared" si="222"/>
        <v>0.17500000000291038</v>
      </c>
      <c r="G4763" s="24">
        <f t="shared" si="224"/>
        <v>71.428571427383517</v>
      </c>
      <c r="H4763" s="1" t="s">
        <v>1</v>
      </c>
      <c r="I4763" s="4" t="s">
        <v>3</v>
      </c>
      <c r="J4763" s="14">
        <v>0.44791666666666669</v>
      </c>
      <c r="K4763" s="20" t="str">
        <f t="shared" si="223"/>
        <v>1st Shift</v>
      </c>
    </row>
    <row r="4764" spans="1:11" x14ac:dyDescent="0.25">
      <c r="A4764" s="1">
        <v>4763</v>
      </c>
      <c r="B4764" s="1">
        <v>7</v>
      </c>
      <c r="C4764" s="3">
        <v>7115271769607</v>
      </c>
      <c r="D4764" s="2">
        <v>44706.447916666664</v>
      </c>
      <c r="E4764" s="2">
        <v>44706.622916666667</v>
      </c>
      <c r="F4764" s="23">
        <f t="shared" si="222"/>
        <v>0.17500000000291038</v>
      </c>
      <c r="G4764" s="24">
        <f t="shared" si="224"/>
        <v>71.428571427383517</v>
      </c>
      <c r="H4764" s="1" t="s">
        <v>1</v>
      </c>
      <c r="I4764" s="4" t="s">
        <v>3</v>
      </c>
      <c r="J4764" s="14">
        <v>0.44791666666666669</v>
      </c>
      <c r="K4764" s="20" t="str">
        <f t="shared" si="223"/>
        <v>1st Shift</v>
      </c>
    </row>
    <row r="4765" spans="1:11" x14ac:dyDescent="0.25">
      <c r="A4765" s="1">
        <v>4764</v>
      </c>
      <c r="B4765" s="1">
        <v>7</v>
      </c>
      <c r="C4765" s="3">
        <v>7115271757100</v>
      </c>
      <c r="D4765" s="2">
        <v>44706.336805555555</v>
      </c>
      <c r="E4765" s="2">
        <v>44706.622916666667</v>
      </c>
      <c r="F4765" s="23">
        <f t="shared" si="222"/>
        <v>0.28611111111240461</v>
      </c>
      <c r="G4765" s="24">
        <f t="shared" si="224"/>
        <v>43.689320388151998</v>
      </c>
      <c r="H4765" s="1" t="s">
        <v>1</v>
      </c>
      <c r="I4765" s="4" t="s">
        <v>2</v>
      </c>
      <c r="J4765" s="14">
        <v>0.33680555555555558</v>
      </c>
      <c r="K4765" s="20" t="str">
        <f t="shared" si="223"/>
        <v>1st Shift</v>
      </c>
    </row>
    <row r="4766" spans="1:11" x14ac:dyDescent="0.25">
      <c r="A4766" s="1">
        <v>4765</v>
      </c>
      <c r="B4766" s="1">
        <v>6</v>
      </c>
      <c r="C4766" s="3">
        <v>6115271736006</v>
      </c>
      <c r="D4766" s="2">
        <v>44706.5</v>
      </c>
      <c r="E4766" s="2">
        <v>44706.622916666667</v>
      </c>
      <c r="F4766" s="23">
        <f t="shared" si="222"/>
        <v>0.12291666666715173</v>
      </c>
      <c r="G4766" s="24">
        <f t="shared" si="224"/>
        <v>101.69491525383599</v>
      </c>
      <c r="H4766" s="1" t="s">
        <v>1</v>
      </c>
      <c r="I4766" s="4" t="s">
        <v>2</v>
      </c>
      <c r="J4766" s="14">
        <v>0.5</v>
      </c>
      <c r="K4766" s="20" t="str">
        <f t="shared" si="223"/>
        <v>1st Shift</v>
      </c>
    </row>
    <row r="4767" spans="1:11" x14ac:dyDescent="0.25">
      <c r="A4767" s="1">
        <v>4766</v>
      </c>
      <c r="B4767" s="1">
        <v>6</v>
      </c>
      <c r="C4767" s="3">
        <v>6115271722900</v>
      </c>
      <c r="D4767" s="2">
        <v>44706.375</v>
      </c>
      <c r="E4767" s="2">
        <v>44706.622916666667</v>
      </c>
      <c r="F4767" s="23">
        <f t="shared" si="222"/>
        <v>0.24791666666715173</v>
      </c>
      <c r="G4767" s="24">
        <f t="shared" si="224"/>
        <v>50.420168067128245</v>
      </c>
      <c r="H4767" s="1" t="s">
        <v>1</v>
      </c>
      <c r="I4767" s="4" t="s">
        <v>3</v>
      </c>
      <c r="J4767" s="14">
        <v>0.375</v>
      </c>
      <c r="K4767" s="20" t="str">
        <f t="shared" si="223"/>
        <v>1st Shift</v>
      </c>
    </row>
    <row r="4768" spans="1:11" x14ac:dyDescent="0.25">
      <c r="A4768" s="1">
        <v>4767</v>
      </c>
      <c r="B4768" s="1">
        <v>6</v>
      </c>
      <c r="C4768" s="3">
        <v>6115271722700</v>
      </c>
      <c r="D4768" s="2">
        <v>44706.590277777781</v>
      </c>
      <c r="E4768" s="2">
        <v>44706.622916666667</v>
      </c>
      <c r="F4768" s="23">
        <f t="shared" si="222"/>
        <v>3.2638888886140194E-2</v>
      </c>
      <c r="G4768" s="24">
        <f t="shared" si="224"/>
        <v>382.97872343650801</v>
      </c>
      <c r="H4768" s="1" t="s">
        <v>1</v>
      </c>
      <c r="I4768" s="4" t="s">
        <v>2</v>
      </c>
      <c r="J4768" s="14">
        <v>0.59027777777777779</v>
      </c>
      <c r="K4768" s="20" t="str">
        <f t="shared" si="223"/>
        <v>2nd Shift</v>
      </c>
    </row>
    <row r="4769" spans="1:11" x14ac:dyDescent="0.25">
      <c r="A4769" s="1">
        <v>4768</v>
      </c>
      <c r="B4769" s="1">
        <v>6</v>
      </c>
      <c r="C4769" s="3">
        <v>6115271697304</v>
      </c>
      <c r="D4769" s="2">
        <v>44706.5</v>
      </c>
      <c r="E4769" s="2">
        <v>44706.622916666667</v>
      </c>
      <c r="F4769" s="23">
        <f t="shared" si="222"/>
        <v>0.12291666666715173</v>
      </c>
      <c r="G4769" s="24">
        <f t="shared" si="224"/>
        <v>101.69491525383599</v>
      </c>
      <c r="H4769" s="1" t="s">
        <v>1</v>
      </c>
      <c r="I4769" s="4" t="s">
        <v>3</v>
      </c>
      <c r="J4769" s="14">
        <v>0.5</v>
      </c>
      <c r="K4769" s="20" t="str">
        <f t="shared" si="223"/>
        <v>1st Shift</v>
      </c>
    </row>
    <row r="4770" spans="1:11" x14ac:dyDescent="0.25">
      <c r="A4770" s="1">
        <v>4769</v>
      </c>
      <c r="B4770" s="1">
        <v>4</v>
      </c>
      <c r="C4770" s="3">
        <v>4115270847108</v>
      </c>
      <c r="D4770" s="2">
        <v>44706.5</v>
      </c>
      <c r="E4770" s="2">
        <v>44706.622916666667</v>
      </c>
      <c r="F4770" s="23">
        <f t="shared" si="222"/>
        <v>0.12291666666715173</v>
      </c>
      <c r="G4770" s="24">
        <f t="shared" si="224"/>
        <v>101.69491525383599</v>
      </c>
      <c r="H4770" s="1" t="s">
        <v>1</v>
      </c>
      <c r="I4770" s="4" t="s">
        <v>2</v>
      </c>
      <c r="J4770" s="14">
        <v>0.5</v>
      </c>
      <c r="K4770" s="20" t="str">
        <f t="shared" si="223"/>
        <v>1st Shift</v>
      </c>
    </row>
    <row r="4771" spans="1:11" x14ac:dyDescent="0.25">
      <c r="A4771" s="1">
        <v>4770</v>
      </c>
      <c r="B4771" s="1">
        <v>15</v>
      </c>
      <c r="C4771" s="3">
        <v>15115271743900</v>
      </c>
      <c r="D4771" s="2">
        <v>44706.763888888891</v>
      </c>
      <c r="E4771" s="2">
        <v>44706.920138888891</v>
      </c>
      <c r="F4771" s="23">
        <f t="shared" si="222"/>
        <v>0.15625</v>
      </c>
      <c r="G4771" s="24">
        <f t="shared" si="224"/>
        <v>80</v>
      </c>
      <c r="H4771" s="1" t="s">
        <v>1</v>
      </c>
      <c r="I4771" s="4" t="s">
        <v>3</v>
      </c>
      <c r="J4771" s="14">
        <v>0.76388888888888884</v>
      </c>
      <c r="K4771" s="20" t="str">
        <f t="shared" si="223"/>
        <v>2nd Shift</v>
      </c>
    </row>
    <row r="4772" spans="1:11" x14ac:dyDescent="0.25">
      <c r="A4772" s="1">
        <v>4771</v>
      </c>
      <c r="B4772" s="1">
        <v>14</v>
      </c>
      <c r="C4772" s="3">
        <v>14115271672404</v>
      </c>
      <c r="D4772" s="2">
        <v>44706.804166666669</v>
      </c>
      <c r="E4772" s="2">
        <v>44706.920138888891</v>
      </c>
      <c r="F4772" s="23">
        <f t="shared" si="222"/>
        <v>0.11597222222189885</v>
      </c>
      <c r="G4772" s="24">
        <f t="shared" si="224"/>
        <v>107.7844311380251</v>
      </c>
      <c r="H4772" s="1" t="s">
        <v>1</v>
      </c>
      <c r="I4772" s="4" t="s">
        <v>4</v>
      </c>
      <c r="J4772" s="14">
        <v>0.8041666666666667</v>
      </c>
      <c r="K4772" s="20" t="str">
        <f t="shared" si="223"/>
        <v>2nd Shift</v>
      </c>
    </row>
    <row r="4773" spans="1:11" x14ac:dyDescent="0.25">
      <c r="A4773" s="1">
        <v>4772</v>
      </c>
      <c r="B4773" s="1">
        <v>13</v>
      </c>
      <c r="C4773" s="3">
        <v>13115271590601</v>
      </c>
      <c r="D4773" s="2">
        <v>44706.798611111109</v>
      </c>
      <c r="E4773" s="2">
        <v>44706.920138888891</v>
      </c>
      <c r="F4773" s="23">
        <f t="shared" si="222"/>
        <v>0.12152777778101154</v>
      </c>
      <c r="G4773" s="24">
        <f t="shared" si="224"/>
        <v>102.85714285440591</v>
      </c>
      <c r="H4773" s="1" t="s">
        <v>1</v>
      </c>
      <c r="I4773" s="4" t="s">
        <v>2</v>
      </c>
      <c r="J4773" s="14">
        <v>0.79861111111111116</v>
      </c>
      <c r="K4773" s="20" t="str">
        <f t="shared" si="223"/>
        <v>2nd Shift</v>
      </c>
    </row>
    <row r="4774" spans="1:11" x14ac:dyDescent="0.25">
      <c r="A4774" s="1">
        <v>4773</v>
      </c>
      <c r="B4774" s="1">
        <v>11</v>
      </c>
      <c r="C4774" s="3">
        <v>11115271542302</v>
      </c>
      <c r="D4774" s="2">
        <v>44706.645833333336</v>
      </c>
      <c r="E4774" s="2">
        <v>44706.920138888891</v>
      </c>
      <c r="F4774" s="23">
        <f t="shared" si="222"/>
        <v>0.27430555555474712</v>
      </c>
      <c r="G4774" s="24">
        <f t="shared" si="224"/>
        <v>45.569620253298858</v>
      </c>
      <c r="H4774" s="1" t="s">
        <v>1</v>
      </c>
      <c r="I4774" s="4" t="s">
        <v>3</v>
      </c>
      <c r="J4774" s="14">
        <v>0.64583333333333337</v>
      </c>
      <c r="K4774" s="20" t="str">
        <f t="shared" si="223"/>
        <v>2nd Shift</v>
      </c>
    </row>
    <row r="4775" spans="1:11" x14ac:dyDescent="0.25">
      <c r="A4775" s="1">
        <v>4774</v>
      </c>
      <c r="B4775" s="1">
        <v>7</v>
      </c>
      <c r="C4775" s="3">
        <v>7115271769702</v>
      </c>
      <c r="D4775" s="2">
        <v>44706.645833333336</v>
      </c>
      <c r="E4775" s="2">
        <v>44706.920138888891</v>
      </c>
      <c r="F4775" s="23">
        <f t="shared" si="222"/>
        <v>0.27430555555474712</v>
      </c>
      <c r="G4775" s="24">
        <f t="shared" si="224"/>
        <v>45.569620253298858</v>
      </c>
      <c r="H4775" s="1" t="s">
        <v>1</v>
      </c>
      <c r="I4775" s="4" t="s">
        <v>2</v>
      </c>
      <c r="J4775" s="14">
        <v>0.64583333333333337</v>
      </c>
      <c r="K4775" s="20" t="str">
        <f t="shared" si="223"/>
        <v>2nd Shift</v>
      </c>
    </row>
    <row r="4776" spans="1:11" x14ac:dyDescent="0.25">
      <c r="A4776" s="1">
        <v>4775</v>
      </c>
      <c r="B4776" s="1">
        <v>7</v>
      </c>
      <c r="C4776" s="3">
        <v>7115271757200</v>
      </c>
      <c r="D4776" s="2">
        <v>44706.819444444445</v>
      </c>
      <c r="E4776" s="2">
        <v>44706.920138888891</v>
      </c>
      <c r="F4776" s="23">
        <f t="shared" si="222"/>
        <v>0.10069444444525288</v>
      </c>
      <c r="G4776" s="24">
        <f t="shared" si="224"/>
        <v>124.1379310334861</v>
      </c>
      <c r="H4776" s="1" t="s">
        <v>1</v>
      </c>
      <c r="I4776" s="4" t="s">
        <v>2</v>
      </c>
      <c r="J4776" s="14">
        <v>0.81944444444444442</v>
      </c>
      <c r="K4776" s="20" t="str">
        <f t="shared" si="223"/>
        <v>2nd Shift</v>
      </c>
    </row>
    <row r="4777" spans="1:11" x14ac:dyDescent="0.25">
      <c r="A4777" s="1">
        <v>4776</v>
      </c>
      <c r="B4777" s="1">
        <v>6</v>
      </c>
      <c r="C4777" s="3">
        <v>6115271725900</v>
      </c>
      <c r="D4777" s="2">
        <v>44706.645833333336</v>
      </c>
      <c r="E4777" s="2">
        <v>44706.920138888891</v>
      </c>
      <c r="F4777" s="23">
        <f t="shared" si="222"/>
        <v>0.27430555555474712</v>
      </c>
      <c r="G4777" s="24">
        <f t="shared" si="224"/>
        <v>45.569620253298858</v>
      </c>
      <c r="H4777" s="1" t="s">
        <v>1</v>
      </c>
      <c r="I4777" s="4" t="s">
        <v>2</v>
      </c>
      <c r="J4777" s="14">
        <v>0.64583333333333337</v>
      </c>
      <c r="K4777" s="20" t="str">
        <f t="shared" si="223"/>
        <v>2nd Shift</v>
      </c>
    </row>
    <row r="4778" spans="1:11" x14ac:dyDescent="0.25">
      <c r="A4778" s="1">
        <v>4777</v>
      </c>
      <c r="B4778" s="1">
        <v>6</v>
      </c>
      <c r="C4778" s="3">
        <v>6115271698000</v>
      </c>
      <c r="D4778" s="2">
        <v>44706.798611111109</v>
      </c>
      <c r="E4778" s="2">
        <v>44706.920138888891</v>
      </c>
      <c r="F4778" s="23">
        <f t="shared" si="222"/>
        <v>0.12152777778101154</v>
      </c>
      <c r="G4778" s="24">
        <f t="shared" si="224"/>
        <v>102.85714285440591</v>
      </c>
      <c r="H4778" s="1" t="s">
        <v>1</v>
      </c>
      <c r="I4778" s="4" t="s">
        <v>3</v>
      </c>
      <c r="J4778" s="14">
        <v>0.79861111111111116</v>
      </c>
      <c r="K4778" s="20" t="str">
        <f t="shared" si="223"/>
        <v>2nd Shift</v>
      </c>
    </row>
    <row r="4779" spans="1:11" x14ac:dyDescent="0.25">
      <c r="A4779" s="1">
        <v>4778</v>
      </c>
      <c r="B4779" s="1">
        <v>3</v>
      </c>
      <c r="C4779" s="3">
        <v>3115270360214</v>
      </c>
      <c r="D4779" s="2">
        <v>44706.645833333336</v>
      </c>
      <c r="E4779" s="2">
        <v>44706.920138888891</v>
      </c>
      <c r="F4779" s="23">
        <f t="shared" si="222"/>
        <v>0.27430555555474712</v>
      </c>
      <c r="G4779" s="24">
        <f t="shared" si="224"/>
        <v>45.569620253298858</v>
      </c>
      <c r="H4779" s="1" t="s">
        <v>1</v>
      </c>
      <c r="I4779" s="4" t="s">
        <v>2</v>
      </c>
      <c r="J4779" s="14">
        <v>0.64583333333333337</v>
      </c>
      <c r="K4779" s="20" t="str">
        <f t="shared" si="223"/>
        <v>2nd Shift</v>
      </c>
    </row>
    <row r="4780" spans="1:11" x14ac:dyDescent="0.25">
      <c r="A4780" s="1">
        <v>4779</v>
      </c>
      <c r="B4780" s="1">
        <v>3</v>
      </c>
      <c r="C4780" s="3">
        <v>3115270320500</v>
      </c>
      <c r="D4780" s="2">
        <v>44706.645833333336</v>
      </c>
      <c r="E4780" s="2">
        <v>44706.920138888891</v>
      </c>
      <c r="F4780" s="23">
        <f t="shared" si="222"/>
        <v>0.27430555555474712</v>
      </c>
      <c r="G4780" s="24">
        <f t="shared" si="224"/>
        <v>45.569620253298858</v>
      </c>
      <c r="H4780" s="1" t="s">
        <v>1</v>
      </c>
      <c r="I4780" s="4" t="s">
        <v>2</v>
      </c>
      <c r="J4780" s="14">
        <v>0.64583333333333337</v>
      </c>
      <c r="K4780" s="20" t="str">
        <f t="shared" si="223"/>
        <v>2nd Shift</v>
      </c>
    </row>
    <row r="4781" spans="1:11" x14ac:dyDescent="0.25">
      <c r="A4781" s="1">
        <v>4780</v>
      </c>
      <c r="B4781" s="1">
        <v>15</v>
      </c>
      <c r="C4781" s="3">
        <v>15115271798208</v>
      </c>
      <c r="D4781" s="2">
        <v>44707.489583333336</v>
      </c>
      <c r="E4781" s="2">
        <v>44707.590277777781</v>
      </c>
      <c r="F4781" s="23">
        <f t="shared" si="222"/>
        <v>0.10069444444525288</v>
      </c>
      <c r="G4781" s="24">
        <f t="shared" si="224"/>
        <v>124.1379310334861</v>
      </c>
      <c r="H4781" s="1" t="s">
        <v>1</v>
      </c>
      <c r="I4781" s="4" t="s">
        <v>8</v>
      </c>
      <c r="J4781" s="14">
        <v>0.48958333333333331</v>
      </c>
      <c r="K4781" s="20" t="str">
        <f t="shared" si="223"/>
        <v>1st Shift</v>
      </c>
    </row>
    <row r="4782" spans="1:11" x14ac:dyDescent="0.25">
      <c r="A4782" s="1">
        <v>4781</v>
      </c>
      <c r="B4782" s="1">
        <v>15</v>
      </c>
      <c r="C4782" s="3">
        <v>15115271743401</v>
      </c>
      <c r="D4782" s="2">
        <v>44707.520833333336</v>
      </c>
      <c r="E4782" s="2">
        <v>44707.590277777781</v>
      </c>
      <c r="F4782" s="23">
        <f t="shared" si="222"/>
        <v>6.9444444445252884E-2</v>
      </c>
      <c r="G4782" s="24">
        <f t="shared" si="224"/>
        <v>179.99999999790452</v>
      </c>
      <c r="H4782" s="1" t="s">
        <v>1</v>
      </c>
      <c r="I4782" s="4" t="s">
        <v>3</v>
      </c>
      <c r="J4782" s="14">
        <v>0.52083333333333337</v>
      </c>
      <c r="K4782" s="20" t="str">
        <f t="shared" si="223"/>
        <v>1st Shift</v>
      </c>
    </row>
    <row r="4783" spans="1:11" x14ac:dyDescent="0.25">
      <c r="A4783" s="1">
        <v>4782</v>
      </c>
      <c r="B4783" s="1">
        <v>13</v>
      </c>
      <c r="C4783" s="3">
        <v>13115271606005</v>
      </c>
      <c r="D4783" s="2">
        <v>44707.444444444445</v>
      </c>
      <c r="E4783" s="2">
        <v>44707.590277777781</v>
      </c>
      <c r="F4783" s="23">
        <f t="shared" si="222"/>
        <v>0.14583333333575865</v>
      </c>
      <c r="G4783" s="24">
        <f t="shared" si="224"/>
        <v>85.714285712860217</v>
      </c>
      <c r="H4783" s="1" t="s">
        <v>1</v>
      </c>
      <c r="I4783" s="4" t="s">
        <v>3</v>
      </c>
      <c r="J4783" s="14">
        <v>0.44444444444444442</v>
      </c>
      <c r="K4783" s="20" t="str">
        <f t="shared" si="223"/>
        <v>1st Shift</v>
      </c>
    </row>
    <row r="4784" spans="1:11" x14ac:dyDescent="0.25">
      <c r="A4784" s="1">
        <v>4783</v>
      </c>
      <c r="B4784" s="1">
        <v>13</v>
      </c>
      <c r="C4784" s="3">
        <v>13115271590302</v>
      </c>
      <c r="D4784" s="2">
        <v>44707.520833333336</v>
      </c>
      <c r="E4784" s="2">
        <v>44707.590277777781</v>
      </c>
      <c r="F4784" s="23">
        <f t="shared" si="222"/>
        <v>6.9444444445252884E-2</v>
      </c>
      <c r="G4784" s="24">
        <f t="shared" si="224"/>
        <v>179.99999999790452</v>
      </c>
      <c r="H4784" s="1" t="s">
        <v>1</v>
      </c>
      <c r="I4784" s="4" t="s">
        <v>3</v>
      </c>
      <c r="J4784" s="14">
        <v>0.52083333333333337</v>
      </c>
      <c r="K4784" s="20" t="str">
        <f t="shared" si="223"/>
        <v>1st Shift</v>
      </c>
    </row>
    <row r="4785" spans="1:11" x14ac:dyDescent="0.25">
      <c r="A4785" s="1">
        <v>4784</v>
      </c>
      <c r="B4785" s="1">
        <v>10</v>
      </c>
      <c r="C4785" s="3">
        <v>10115271453600</v>
      </c>
      <c r="D4785" s="2">
        <v>44707.444444444445</v>
      </c>
      <c r="E4785" s="2">
        <v>44707.590277777781</v>
      </c>
      <c r="F4785" s="23">
        <f t="shared" si="222"/>
        <v>0.14583333333575865</v>
      </c>
      <c r="G4785" s="24">
        <f t="shared" si="224"/>
        <v>85.714285712860217</v>
      </c>
      <c r="H4785" s="1" t="s">
        <v>1</v>
      </c>
      <c r="I4785" s="4" t="s">
        <v>2</v>
      </c>
      <c r="J4785" s="14">
        <v>0.44444444444444442</v>
      </c>
      <c r="K4785" s="20" t="str">
        <f t="shared" si="223"/>
        <v>1st Shift</v>
      </c>
    </row>
    <row r="4786" spans="1:11" x14ac:dyDescent="0.25">
      <c r="A4786" s="1">
        <v>4785</v>
      </c>
      <c r="B4786" s="1">
        <v>9</v>
      </c>
      <c r="C4786" s="3">
        <v>9115271938300</v>
      </c>
      <c r="D4786" s="2">
        <v>44707.520833333336</v>
      </c>
      <c r="E4786" s="2">
        <v>44707.590277777781</v>
      </c>
      <c r="F4786" s="23">
        <f t="shared" si="222"/>
        <v>6.9444444445252884E-2</v>
      </c>
      <c r="G4786" s="24">
        <f t="shared" si="224"/>
        <v>179.99999999790452</v>
      </c>
      <c r="H4786" s="1" t="s">
        <v>1</v>
      </c>
      <c r="I4786" s="4" t="s">
        <v>3</v>
      </c>
      <c r="J4786" s="14">
        <v>0.52083333333333337</v>
      </c>
      <c r="K4786" s="20" t="str">
        <f t="shared" si="223"/>
        <v>1st Shift</v>
      </c>
    </row>
    <row r="4787" spans="1:11" x14ac:dyDescent="0.25">
      <c r="A4787" s="1">
        <v>4786</v>
      </c>
      <c r="B4787" s="1">
        <v>3</v>
      </c>
      <c r="C4787" s="3">
        <v>3115270350203</v>
      </c>
      <c r="D4787" s="2">
        <v>44707.444444444445</v>
      </c>
      <c r="E4787" s="2">
        <v>44707.590277777781</v>
      </c>
      <c r="F4787" s="23">
        <f t="shared" si="222"/>
        <v>0.14583333333575865</v>
      </c>
      <c r="G4787" s="24">
        <f t="shared" si="224"/>
        <v>85.714285712860217</v>
      </c>
      <c r="H4787" s="1" t="s">
        <v>1</v>
      </c>
      <c r="I4787" s="4" t="s">
        <v>2</v>
      </c>
      <c r="J4787" s="14">
        <v>0.44444444444444442</v>
      </c>
      <c r="K4787" s="20" t="str">
        <f t="shared" si="223"/>
        <v>1st Shift</v>
      </c>
    </row>
    <row r="4788" spans="1:11" x14ac:dyDescent="0.25">
      <c r="A4788" s="1">
        <v>4787</v>
      </c>
      <c r="B4788" s="1">
        <v>1</v>
      </c>
      <c r="C4788" s="3">
        <v>1115270132600</v>
      </c>
      <c r="D4788" s="2">
        <v>44707.489583333336</v>
      </c>
      <c r="E4788" s="2">
        <v>44707.590277777781</v>
      </c>
      <c r="F4788" s="23">
        <f t="shared" si="222"/>
        <v>0.10069444444525288</v>
      </c>
      <c r="G4788" s="24">
        <f t="shared" si="224"/>
        <v>124.1379310334861</v>
      </c>
      <c r="H4788" s="1" t="s">
        <v>1</v>
      </c>
      <c r="I4788" s="4" t="s">
        <v>4</v>
      </c>
      <c r="J4788" s="14">
        <v>0.48958333333333331</v>
      </c>
      <c r="K4788" s="20" t="str">
        <f t="shared" si="223"/>
        <v>1st Shift</v>
      </c>
    </row>
    <row r="4789" spans="1:11" x14ac:dyDescent="0.25">
      <c r="A4789" s="1">
        <v>4788</v>
      </c>
      <c r="B4789" s="1">
        <v>1</v>
      </c>
      <c r="C4789" s="3">
        <v>1115270062501</v>
      </c>
      <c r="D4789" s="2">
        <v>44707.5625</v>
      </c>
      <c r="E4789" s="2">
        <v>44707.590277777781</v>
      </c>
      <c r="F4789" s="23">
        <f t="shared" si="222"/>
        <v>2.7777777781011537E-2</v>
      </c>
      <c r="G4789" s="24">
        <f t="shared" si="224"/>
        <v>449.99999994761311</v>
      </c>
      <c r="H4789" s="1" t="s">
        <v>1</v>
      </c>
      <c r="I4789" s="4" t="s">
        <v>3</v>
      </c>
      <c r="J4789" s="14">
        <v>0.5625</v>
      </c>
      <c r="K4789" s="20" t="str">
        <f t="shared" si="223"/>
        <v>1st Shift</v>
      </c>
    </row>
    <row r="4790" spans="1:11" x14ac:dyDescent="0.25">
      <c r="A4790" s="1">
        <v>4789</v>
      </c>
      <c r="B4790" s="1">
        <v>14</v>
      </c>
      <c r="C4790" s="3">
        <v>14115271672656</v>
      </c>
      <c r="D4790" s="2">
        <v>44707.665277777778</v>
      </c>
      <c r="E4790" s="2">
        <v>44707.8125</v>
      </c>
      <c r="F4790" s="23">
        <f t="shared" si="222"/>
        <v>0.14722222222189885</v>
      </c>
      <c r="G4790" s="24">
        <f t="shared" si="224"/>
        <v>84.90566037754499</v>
      </c>
      <c r="H4790" s="1" t="s">
        <v>1</v>
      </c>
      <c r="I4790" s="4" t="s">
        <v>2</v>
      </c>
      <c r="J4790" s="14">
        <v>0.66527777777777775</v>
      </c>
      <c r="K4790" s="20" t="str">
        <f t="shared" si="223"/>
        <v>2nd Shift</v>
      </c>
    </row>
    <row r="4791" spans="1:11" x14ac:dyDescent="0.25">
      <c r="A4791" s="1">
        <v>4790</v>
      </c>
      <c r="B4791" s="1">
        <v>12</v>
      </c>
      <c r="C4791" s="3">
        <v>12115271569203</v>
      </c>
      <c r="D4791" s="2">
        <v>44707.665277777778</v>
      </c>
      <c r="E4791" s="2">
        <v>44707.8125</v>
      </c>
      <c r="F4791" s="23">
        <f t="shared" si="222"/>
        <v>0.14722222222189885</v>
      </c>
      <c r="G4791" s="24">
        <f t="shared" si="224"/>
        <v>84.90566037754499</v>
      </c>
      <c r="H4791" s="1" t="s">
        <v>1</v>
      </c>
      <c r="I4791" s="4" t="s">
        <v>3</v>
      </c>
      <c r="J4791" s="14">
        <v>0.66527777777777775</v>
      </c>
      <c r="K4791" s="20" t="str">
        <f t="shared" si="223"/>
        <v>2nd Shift</v>
      </c>
    </row>
    <row r="4792" spans="1:11" x14ac:dyDescent="0.25">
      <c r="A4792" s="1">
        <v>4791</v>
      </c>
      <c r="B4792" s="1">
        <v>12</v>
      </c>
      <c r="C4792" s="3">
        <v>12115271567325</v>
      </c>
      <c r="D4792" s="2">
        <v>44707.665277777778</v>
      </c>
      <c r="E4792" s="2">
        <v>44707.8125</v>
      </c>
      <c r="F4792" s="23">
        <f t="shared" si="222"/>
        <v>0.14722222222189885</v>
      </c>
      <c r="G4792" s="24">
        <f t="shared" si="224"/>
        <v>84.90566037754499</v>
      </c>
      <c r="H4792" s="1" t="s">
        <v>1</v>
      </c>
      <c r="I4792" s="4" t="s">
        <v>3</v>
      </c>
      <c r="J4792" s="14">
        <v>0.66527777777777775</v>
      </c>
      <c r="K4792" s="20" t="str">
        <f t="shared" si="223"/>
        <v>2nd Shift</v>
      </c>
    </row>
    <row r="4793" spans="1:11" x14ac:dyDescent="0.25">
      <c r="A4793" s="1">
        <v>4792</v>
      </c>
      <c r="B4793" s="1">
        <v>9</v>
      </c>
      <c r="C4793" s="3">
        <v>9115271953400</v>
      </c>
      <c r="D4793" s="2">
        <v>44707.665277777778</v>
      </c>
      <c r="E4793" s="2">
        <v>44707.8125</v>
      </c>
      <c r="F4793" s="23">
        <f t="shared" si="222"/>
        <v>0.14722222222189885</v>
      </c>
      <c r="G4793" s="24">
        <f t="shared" si="224"/>
        <v>84.90566037754499</v>
      </c>
      <c r="H4793" s="1" t="s">
        <v>1</v>
      </c>
      <c r="I4793" s="4" t="s">
        <v>2</v>
      </c>
      <c r="J4793" s="14">
        <v>0.66527777777777775</v>
      </c>
      <c r="K4793" s="20" t="str">
        <f t="shared" si="223"/>
        <v>2nd Shift</v>
      </c>
    </row>
    <row r="4794" spans="1:11" x14ac:dyDescent="0.25">
      <c r="A4794" s="1">
        <v>4793</v>
      </c>
      <c r="B4794" s="1">
        <v>8</v>
      </c>
      <c r="C4794" s="3">
        <v>8115271855800</v>
      </c>
      <c r="D4794" s="2">
        <v>44707.665277777778</v>
      </c>
      <c r="E4794" s="2">
        <v>44707.8125</v>
      </c>
      <c r="F4794" s="23">
        <f t="shared" si="222"/>
        <v>0.14722222222189885</v>
      </c>
      <c r="G4794" s="24">
        <f t="shared" si="224"/>
        <v>84.90566037754499</v>
      </c>
      <c r="H4794" s="1" t="s">
        <v>1</v>
      </c>
      <c r="I4794" s="4" t="s">
        <v>2</v>
      </c>
      <c r="J4794" s="14">
        <v>0.66527777777777775</v>
      </c>
      <c r="K4794" s="20" t="str">
        <f t="shared" si="223"/>
        <v>2nd Shift</v>
      </c>
    </row>
    <row r="4795" spans="1:11" x14ac:dyDescent="0.25">
      <c r="A4795" s="1">
        <v>4794</v>
      </c>
      <c r="B4795" s="1">
        <v>6</v>
      </c>
      <c r="C4795" s="3">
        <v>6115271692209</v>
      </c>
      <c r="D4795" s="2">
        <v>44707.665277777778</v>
      </c>
      <c r="E4795" s="2">
        <v>44707.8125</v>
      </c>
      <c r="F4795" s="23">
        <f t="shared" si="222"/>
        <v>0.14722222222189885</v>
      </c>
      <c r="G4795" s="24">
        <f t="shared" si="224"/>
        <v>84.90566037754499</v>
      </c>
      <c r="H4795" s="1" t="s">
        <v>1</v>
      </c>
      <c r="I4795" s="4" t="s">
        <v>3</v>
      </c>
      <c r="J4795" s="14">
        <v>0.66527777777777775</v>
      </c>
      <c r="K4795" s="20" t="str">
        <f t="shared" si="223"/>
        <v>2nd Shift</v>
      </c>
    </row>
    <row r="4796" spans="1:11" x14ac:dyDescent="0.25">
      <c r="A4796" s="1">
        <v>4795</v>
      </c>
      <c r="B4796" s="1">
        <v>1</v>
      </c>
      <c r="C4796" s="3">
        <v>1115270029200</v>
      </c>
      <c r="D4796" s="2">
        <v>44707.665277777778</v>
      </c>
      <c r="E4796" s="2">
        <v>44707.8125</v>
      </c>
      <c r="F4796" s="23">
        <f t="shared" si="222"/>
        <v>0.14722222222189885</v>
      </c>
      <c r="G4796" s="24">
        <f t="shared" si="224"/>
        <v>84.90566037754499</v>
      </c>
      <c r="H4796" s="1" t="s">
        <v>1</v>
      </c>
      <c r="I4796" s="4" t="s">
        <v>2</v>
      </c>
      <c r="J4796" s="14">
        <v>0.66527777777777775</v>
      </c>
      <c r="K4796" s="20" t="str">
        <f t="shared" si="223"/>
        <v>2nd Shift</v>
      </c>
    </row>
    <row r="4797" spans="1:11" x14ac:dyDescent="0.25">
      <c r="A4797" s="1">
        <v>4796</v>
      </c>
      <c r="B4797" s="1">
        <v>12</v>
      </c>
      <c r="C4797" s="3">
        <v>12115271561704</v>
      </c>
      <c r="D4797" s="2">
        <v>44708.375</v>
      </c>
      <c r="E4797" s="2">
        <v>44708.489583333336</v>
      </c>
      <c r="F4797" s="23">
        <f t="shared" si="222"/>
        <v>0.11458333333575865</v>
      </c>
      <c r="G4797" s="24">
        <f t="shared" si="224"/>
        <v>109.09090908860001</v>
      </c>
      <c r="H4797" s="1" t="s">
        <v>1</v>
      </c>
      <c r="I4797" s="4" t="s">
        <v>3</v>
      </c>
      <c r="J4797" s="14">
        <v>0.375</v>
      </c>
      <c r="K4797" s="20" t="str">
        <f t="shared" si="223"/>
        <v>1st Shift</v>
      </c>
    </row>
    <row r="4798" spans="1:11" x14ac:dyDescent="0.25">
      <c r="A4798" s="1">
        <v>4797</v>
      </c>
      <c r="B4798" s="1">
        <v>11</v>
      </c>
      <c r="C4798" s="3">
        <v>11115271541200</v>
      </c>
      <c r="D4798" s="2">
        <v>44708.34375</v>
      </c>
      <c r="E4798" s="2">
        <v>44708.489583333336</v>
      </c>
      <c r="F4798" s="23">
        <f t="shared" si="222"/>
        <v>0.14583333333575865</v>
      </c>
      <c r="G4798" s="24">
        <f t="shared" si="224"/>
        <v>85.714285712860217</v>
      </c>
      <c r="H4798" s="1" t="s">
        <v>1</v>
      </c>
      <c r="I4798" s="4" t="s">
        <v>3</v>
      </c>
      <c r="J4798" s="14">
        <v>0.34375</v>
      </c>
      <c r="K4798" s="20" t="str">
        <f t="shared" si="223"/>
        <v>1st Shift</v>
      </c>
    </row>
    <row r="4799" spans="1:11" x14ac:dyDescent="0.25">
      <c r="A4799" s="1">
        <v>4798</v>
      </c>
      <c r="B4799" s="1">
        <v>6</v>
      </c>
      <c r="C4799" s="3">
        <v>6115271692209</v>
      </c>
      <c r="D4799" s="2">
        <v>44708.416666666664</v>
      </c>
      <c r="E4799" s="2">
        <v>44708.489583333336</v>
      </c>
      <c r="F4799" s="23">
        <f t="shared" si="222"/>
        <v>7.2916666671517305E-2</v>
      </c>
      <c r="G4799" s="24">
        <f t="shared" si="224"/>
        <v>171.42857141716746</v>
      </c>
      <c r="H4799" s="1" t="s">
        <v>1</v>
      </c>
      <c r="I4799" s="4" t="s">
        <v>3</v>
      </c>
      <c r="J4799" s="14">
        <v>0.41666666666666669</v>
      </c>
      <c r="K4799" s="20" t="str">
        <f t="shared" si="223"/>
        <v>1st Shift</v>
      </c>
    </row>
    <row r="4800" spans="1:11" x14ac:dyDescent="0.25">
      <c r="A4800" s="1">
        <v>4799</v>
      </c>
      <c r="B4800" s="1">
        <v>2</v>
      </c>
      <c r="C4800" s="3">
        <v>2115270229100</v>
      </c>
      <c r="D4800" s="2">
        <v>44708.375</v>
      </c>
      <c r="E4800" s="2">
        <v>44708.489583333336</v>
      </c>
      <c r="F4800" s="23">
        <f t="shared" si="222"/>
        <v>0.11458333333575865</v>
      </c>
      <c r="G4800" s="24">
        <f t="shared" si="224"/>
        <v>109.09090908860001</v>
      </c>
      <c r="H4800" s="1" t="s">
        <v>1</v>
      </c>
      <c r="I4800" s="4" t="s">
        <v>4</v>
      </c>
      <c r="J4800" s="14">
        <v>0.375</v>
      </c>
      <c r="K4800" s="20" t="str">
        <f t="shared" si="223"/>
        <v>1st Shift</v>
      </c>
    </row>
    <row r="4801" spans="1:11" x14ac:dyDescent="0.25">
      <c r="A4801" s="1">
        <v>4800</v>
      </c>
      <c r="B4801" s="1">
        <v>12</v>
      </c>
      <c r="C4801" s="3">
        <v>12115271566605</v>
      </c>
      <c r="D4801" s="2">
        <v>44708.527777777781</v>
      </c>
      <c r="E4801" s="2">
        <v>44708.611111111109</v>
      </c>
      <c r="F4801" s="23">
        <f t="shared" si="222"/>
        <v>8.3333333328482695E-2</v>
      </c>
      <c r="G4801" s="24">
        <f t="shared" si="224"/>
        <v>150.00000000873115</v>
      </c>
      <c r="H4801" s="1" t="s">
        <v>1</v>
      </c>
      <c r="I4801" s="4" t="s">
        <v>3</v>
      </c>
      <c r="J4801" s="14">
        <v>0.52777777777777779</v>
      </c>
      <c r="K4801" s="20" t="str">
        <f t="shared" si="223"/>
        <v>1st Shift</v>
      </c>
    </row>
    <row r="4802" spans="1:11" x14ac:dyDescent="0.25">
      <c r="A4802" s="1">
        <v>4801</v>
      </c>
      <c r="B4802" s="1">
        <v>12</v>
      </c>
      <c r="C4802" s="3">
        <v>12115271560113</v>
      </c>
      <c r="D4802" s="2">
        <v>44708.527777777781</v>
      </c>
      <c r="E4802" s="2">
        <v>44708.611111111109</v>
      </c>
      <c r="F4802" s="23">
        <f t="shared" ref="F4802:F4865" si="225">E4802-D4802</f>
        <v>8.3333333328482695E-2</v>
      </c>
      <c r="G4802" s="24">
        <f t="shared" si="224"/>
        <v>150.00000000873115</v>
      </c>
      <c r="H4802" s="1" t="s">
        <v>1</v>
      </c>
      <c r="I4802" s="4" t="s">
        <v>3</v>
      </c>
      <c r="J4802" s="14">
        <v>0.52777777777777779</v>
      </c>
      <c r="K4802" s="20" t="str">
        <f t="shared" ref="K4802:K4865" si="226">IF(AND(J4802&gt;=$M$3,J4802&lt;$M$4),"1st Shift",IF(AND(J4802&gt;=$M$4,J4802&lt;$M$5),"2nd Shift","3rd Shift"))</f>
        <v>1st Shift</v>
      </c>
    </row>
    <row r="4803" spans="1:11" x14ac:dyDescent="0.25">
      <c r="A4803" s="1">
        <v>4802</v>
      </c>
      <c r="B4803" s="1">
        <v>13</v>
      </c>
      <c r="C4803" s="3">
        <v>13115271590500</v>
      </c>
      <c r="D4803" s="2">
        <v>44708.810416666667</v>
      </c>
      <c r="E4803" s="2">
        <v>44708.913194444445</v>
      </c>
      <c r="F4803" s="23">
        <f t="shared" si="225"/>
        <v>0.10277777777810115</v>
      </c>
      <c r="G4803" s="24">
        <f t="shared" ref="G4803:G4866" si="227">$M$9/F4803*100</f>
        <v>121.62162162123894</v>
      </c>
      <c r="H4803" s="1" t="s">
        <v>1</v>
      </c>
      <c r="I4803" s="4" t="s">
        <v>2</v>
      </c>
      <c r="J4803" s="14">
        <v>0.81041666666666667</v>
      </c>
      <c r="K4803" s="20" t="str">
        <f t="shared" si="226"/>
        <v>2nd Shift</v>
      </c>
    </row>
    <row r="4804" spans="1:11" x14ac:dyDescent="0.25">
      <c r="A4804" s="1">
        <v>4803</v>
      </c>
      <c r="B4804" s="1">
        <v>11</v>
      </c>
      <c r="C4804" s="3">
        <v>11115271542600</v>
      </c>
      <c r="D4804" s="2">
        <v>44708.779861111114</v>
      </c>
      <c r="E4804" s="2">
        <v>44708.913194444445</v>
      </c>
      <c r="F4804" s="23">
        <f t="shared" si="225"/>
        <v>0.13333333333139308</v>
      </c>
      <c r="G4804" s="24">
        <f t="shared" si="227"/>
        <v>93.750000001364242</v>
      </c>
      <c r="H4804" s="1" t="s">
        <v>1</v>
      </c>
      <c r="I4804" s="4" t="s">
        <v>2</v>
      </c>
      <c r="J4804" s="14">
        <v>0.77986111111111112</v>
      </c>
      <c r="K4804" s="20" t="str">
        <f t="shared" si="226"/>
        <v>2nd Shift</v>
      </c>
    </row>
    <row r="4805" spans="1:11" x14ac:dyDescent="0.25">
      <c r="A4805" s="1">
        <v>4804</v>
      </c>
      <c r="B4805" s="1">
        <v>7</v>
      </c>
      <c r="C4805" s="3">
        <v>7115271768107</v>
      </c>
      <c r="D4805" s="2">
        <v>44708.745138888888</v>
      </c>
      <c r="E4805" s="2">
        <v>44708.913194444445</v>
      </c>
      <c r="F4805" s="23">
        <f t="shared" si="225"/>
        <v>0.1680555555576575</v>
      </c>
      <c r="G4805" s="24">
        <f t="shared" si="227"/>
        <v>74.380165288325898</v>
      </c>
      <c r="H4805" s="1" t="s">
        <v>1</v>
      </c>
      <c r="I4805" s="4" t="s">
        <v>2</v>
      </c>
      <c r="J4805" s="14">
        <v>0.74513888888888891</v>
      </c>
      <c r="K4805" s="20" t="str">
        <f t="shared" si="226"/>
        <v>2nd Shift</v>
      </c>
    </row>
    <row r="4806" spans="1:11" x14ac:dyDescent="0.25">
      <c r="A4806" s="1">
        <v>4805</v>
      </c>
      <c r="B4806" s="1">
        <v>7</v>
      </c>
      <c r="C4806" s="3">
        <v>7115271758902</v>
      </c>
      <c r="D4806" s="2">
        <v>44708.635416666664</v>
      </c>
      <c r="E4806" s="2">
        <v>44708.913194444445</v>
      </c>
      <c r="F4806" s="23">
        <f t="shared" si="225"/>
        <v>0.27777777778101154</v>
      </c>
      <c r="G4806" s="24">
        <f t="shared" si="227"/>
        <v>44.999999999476131</v>
      </c>
      <c r="H4806" s="1" t="s">
        <v>1</v>
      </c>
      <c r="I4806" s="4" t="s">
        <v>3</v>
      </c>
      <c r="J4806" s="14">
        <v>0.63541666666666663</v>
      </c>
      <c r="K4806" s="20" t="str">
        <f t="shared" si="226"/>
        <v>2nd Shift</v>
      </c>
    </row>
    <row r="4807" spans="1:11" x14ac:dyDescent="0.25">
      <c r="A4807" s="1">
        <v>4806</v>
      </c>
      <c r="B4807" s="1">
        <v>2</v>
      </c>
      <c r="C4807" s="3">
        <v>2115270225100</v>
      </c>
      <c r="D4807" s="2">
        <v>44708.857638888891</v>
      </c>
      <c r="E4807" s="2">
        <v>44708.913194444445</v>
      </c>
      <c r="F4807" s="23">
        <f t="shared" si="225"/>
        <v>5.5555555554747116E-2</v>
      </c>
      <c r="G4807" s="24">
        <f t="shared" si="227"/>
        <v>225.00000000327418</v>
      </c>
      <c r="H4807" s="1" t="s">
        <v>1</v>
      </c>
      <c r="I4807" s="4" t="s">
        <v>2</v>
      </c>
      <c r="J4807" s="14">
        <v>0.85763888888888884</v>
      </c>
      <c r="K4807" s="20" t="str">
        <f t="shared" si="226"/>
        <v>2nd Shift</v>
      </c>
    </row>
    <row r="4808" spans="1:11" x14ac:dyDescent="0.25">
      <c r="A4808" s="1">
        <v>4807</v>
      </c>
      <c r="B4808" s="1">
        <v>1</v>
      </c>
      <c r="C4808" s="3">
        <v>1115270107500</v>
      </c>
      <c r="D4808" s="2">
        <v>44708.885416666664</v>
      </c>
      <c r="E4808" s="2">
        <v>44708.913194444445</v>
      </c>
      <c r="F4808" s="23">
        <f t="shared" si="225"/>
        <v>2.7777777781011537E-2</v>
      </c>
      <c r="G4808" s="24">
        <f t="shared" si="227"/>
        <v>449.99999994761311</v>
      </c>
      <c r="H4808" s="1" t="s">
        <v>1</v>
      </c>
      <c r="I4808" s="4" t="s">
        <v>3</v>
      </c>
      <c r="J4808" s="14">
        <v>0.88541666666666663</v>
      </c>
      <c r="K4808" s="20" t="str">
        <f t="shared" si="226"/>
        <v>2nd Shift</v>
      </c>
    </row>
    <row r="4809" spans="1:11" x14ac:dyDescent="0.25">
      <c r="A4809" s="1">
        <v>4808</v>
      </c>
      <c r="B4809" s="1">
        <v>12</v>
      </c>
      <c r="C4809" s="3">
        <v>12115271565406</v>
      </c>
      <c r="D4809" s="2">
        <v>44708.958333333336</v>
      </c>
      <c r="E4809" s="2">
        <v>44709.034722222219</v>
      </c>
      <c r="F4809" s="23">
        <f t="shared" si="225"/>
        <v>7.6388888883229811E-2</v>
      </c>
      <c r="G4809" s="24">
        <f t="shared" si="227"/>
        <v>163.63636364848622</v>
      </c>
      <c r="H4809" s="1" t="s">
        <v>1</v>
      </c>
      <c r="I4809" s="4" t="s">
        <v>4</v>
      </c>
      <c r="J4809" s="14">
        <v>0.95833333333333337</v>
      </c>
      <c r="K4809" s="20" t="str">
        <f t="shared" si="226"/>
        <v>3rd Shift</v>
      </c>
    </row>
    <row r="4810" spans="1:11" x14ac:dyDescent="0.25">
      <c r="A4810" s="1">
        <v>4809</v>
      </c>
      <c r="B4810" s="1">
        <v>3</v>
      </c>
      <c r="C4810" s="3">
        <v>3115270421800</v>
      </c>
      <c r="D4810" s="2">
        <v>44708.958333333336</v>
      </c>
      <c r="E4810" s="2">
        <v>44709.034722222219</v>
      </c>
      <c r="F4810" s="23">
        <f t="shared" si="225"/>
        <v>7.6388888883229811E-2</v>
      </c>
      <c r="G4810" s="24">
        <f t="shared" si="227"/>
        <v>163.63636364848622</v>
      </c>
      <c r="H4810" s="1" t="s">
        <v>1</v>
      </c>
      <c r="I4810" s="4" t="s">
        <v>2</v>
      </c>
      <c r="J4810" s="14">
        <v>0.95833333333333337</v>
      </c>
      <c r="K4810" s="20" t="str">
        <f t="shared" si="226"/>
        <v>3rd Shift</v>
      </c>
    </row>
    <row r="4811" spans="1:11" x14ac:dyDescent="0.25">
      <c r="A4811" s="1">
        <v>4810</v>
      </c>
      <c r="B4811" s="1">
        <v>9</v>
      </c>
      <c r="C4811" s="3">
        <v>9115271952501</v>
      </c>
      <c r="D4811" s="2">
        <v>44709.416666666664</v>
      </c>
      <c r="E4811" s="2">
        <v>44709.505555555559</v>
      </c>
      <c r="F4811" s="23">
        <f t="shared" si="225"/>
        <v>8.8888888894871343E-2</v>
      </c>
      <c r="G4811" s="24">
        <f t="shared" si="227"/>
        <v>140.62499999053557</v>
      </c>
      <c r="H4811" s="1" t="s">
        <v>1</v>
      </c>
      <c r="I4811" s="4" t="s">
        <v>2</v>
      </c>
      <c r="J4811" s="14">
        <v>0.41666666666666669</v>
      </c>
      <c r="K4811" s="20" t="str">
        <f t="shared" si="226"/>
        <v>1st Shift</v>
      </c>
    </row>
    <row r="4812" spans="1:11" x14ac:dyDescent="0.25">
      <c r="A4812" s="1">
        <v>4811</v>
      </c>
      <c r="B4812" s="1">
        <v>8</v>
      </c>
      <c r="C4812" s="3">
        <v>8115271821825</v>
      </c>
      <c r="D4812" s="2">
        <v>44709.4</v>
      </c>
      <c r="E4812" s="2">
        <v>44709.505555555559</v>
      </c>
      <c r="F4812" s="23">
        <f t="shared" si="225"/>
        <v>0.1055555555576575</v>
      </c>
      <c r="G4812" s="24">
        <f t="shared" si="227"/>
        <v>118.4210526292208</v>
      </c>
      <c r="H4812" s="1" t="s">
        <v>1</v>
      </c>
      <c r="I4812" s="4" t="s">
        <v>2</v>
      </c>
      <c r="J4812" s="14">
        <v>0.4</v>
      </c>
      <c r="K4812" s="20" t="str">
        <f t="shared" si="226"/>
        <v>1st Shift</v>
      </c>
    </row>
    <row r="4813" spans="1:11" x14ac:dyDescent="0.25">
      <c r="A4813" s="1">
        <v>4812</v>
      </c>
      <c r="B4813" s="1">
        <v>2</v>
      </c>
      <c r="C4813" s="3">
        <v>2115270217800</v>
      </c>
      <c r="D4813" s="2">
        <v>44709.416666666664</v>
      </c>
      <c r="E4813" s="2">
        <v>44709.505555555559</v>
      </c>
      <c r="F4813" s="23">
        <f t="shared" si="225"/>
        <v>8.8888888894871343E-2</v>
      </c>
      <c r="G4813" s="24">
        <f t="shared" si="227"/>
        <v>140.62499999053557</v>
      </c>
      <c r="H4813" s="1" t="s">
        <v>1</v>
      </c>
      <c r="I4813" s="4" t="s">
        <v>4</v>
      </c>
      <c r="J4813" s="14">
        <v>0.41666666666666669</v>
      </c>
      <c r="K4813" s="20" t="str">
        <f t="shared" si="226"/>
        <v>1st Shift</v>
      </c>
    </row>
    <row r="4814" spans="1:11" x14ac:dyDescent="0.25">
      <c r="A4814" s="1">
        <v>4813</v>
      </c>
      <c r="B4814" s="1">
        <v>9</v>
      </c>
      <c r="C4814" s="3">
        <v>9115271912300</v>
      </c>
      <c r="D4814" s="2">
        <v>44709.541666666664</v>
      </c>
      <c r="E4814" s="2">
        <v>44709.583333333336</v>
      </c>
      <c r="F4814" s="23">
        <f t="shared" si="225"/>
        <v>4.1666666671517305E-2</v>
      </c>
      <c r="G4814" s="24">
        <f t="shared" si="227"/>
        <v>299.9999999650754</v>
      </c>
      <c r="H4814" s="1" t="s">
        <v>1</v>
      </c>
      <c r="I4814" s="4" t="s">
        <v>2</v>
      </c>
      <c r="J4814" s="14">
        <v>0.54166666666666663</v>
      </c>
      <c r="K4814" s="20" t="str">
        <f t="shared" si="226"/>
        <v>1st Shift</v>
      </c>
    </row>
    <row r="4815" spans="1:11" x14ac:dyDescent="0.25">
      <c r="A4815" s="1">
        <v>4814</v>
      </c>
      <c r="B4815" s="1">
        <v>12</v>
      </c>
      <c r="C4815" s="3">
        <v>12115271560158</v>
      </c>
      <c r="D4815" s="2">
        <v>44709.6875</v>
      </c>
      <c r="E4815" s="2">
        <v>44709.909722222219</v>
      </c>
      <c r="F4815" s="23">
        <f t="shared" si="225"/>
        <v>0.22222222221898846</v>
      </c>
      <c r="G4815" s="24">
        <f t="shared" si="227"/>
        <v>56.250000000818545</v>
      </c>
      <c r="H4815" s="1" t="s">
        <v>1</v>
      </c>
      <c r="I4815" s="4" t="s">
        <v>3</v>
      </c>
      <c r="J4815" s="14">
        <v>0.6875</v>
      </c>
      <c r="K4815" s="20" t="str">
        <f t="shared" si="226"/>
        <v>2nd Shift</v>
      </c>
    </row>
    <row r="4816" spans="1:11" x14ac:dyDescent="0.25">
      <c r="A4816" s="1">
        <v>4815</v>
      </c>
      <c r="B4816" s="1">
        <v>12</v>
      </c>
      <c r="C4816" s="3">
        <v>12115271560155</v>
      </c>
      <c r="D4816" s="2">
        <v>44709.6875</v>
      </c>
      <c r="E4816" s="2">
        <v>44709.909722222219</v>
      </c>
      <c r="F4816" s="23">
        <f t="shared" si="225"/>
        <v>0.22222222221898846</v>
      </c>
      <c r="G4816" s="24">
        <f t="shared" si="227"/>
        <v>56.250000000818545</v>
      </c>
      <c r="H4816" s="1" t="s">
        <v>1</v>
      </c>
      <c r="I4816" s="4" t="s">
        <v>3</v>
      </c>
      <c r="J4816" s="14">
        <v>0.6875</v>
      </c>
      <c r="K4816" s="20" t="str">
        <f t="shared" si="226"/>
        <v>2nd Shift</v>
      </c>
    </row>
    <row r="4817" spans="1:11" x14ac:dyDescent="0.25">
      <c r="A4817" s="1">
        <v>4816</v>
      </c>
      <c r="B4817" s="1">
        <v>10</v>
      </c>
      <c r="C4817" s="3">
        <v>10115271958206</v>
      </c>
      <c r="D4817" s="2">
        <v>44709.6875</v>
      </c>
      <c r="E4817" s="2">
        <v>44709.909722222219</v>
      </c>
      <c r="F4817" s="23">
        <f t="shared" si="225"/>
        <v>0.22222222221898846</v>
      </c>
      <c r="G4817" s="24">
        <f t="shared" si="227"/>
        <v>56.250000000818545</v>
      </c>
      <c r="H4817" s="1" t="s">
        <v>1</v>
      </c>
      <c r="I4817" s="4" t="s">
        <v>2</v>
      </c>
      <c r="J4817" s="14">
        <v>0.6875</v>
      </c>
      <c r="K4817" s="20" t="str">
        <f t="shared" si="226"/>
        <v>2nd Shift</v>
      </c>
    </row>
    <row r="4818" spans="1:11" x14ac:dyDescent="0.25">
      <c r="A4818" s="1">
        <v>4817</v>
      </c>
      <c r="B4818" s="1">
        <v>10</v>
      </c>
      <c r="C4818" s="3">
        <v>10115271958201</v>
      </c>
      <c r="D4818" s="2">
        <v>44709.6875</v>
      </c>
      <c r="E4818" s="2">
        <v>44709.909722222219</v>
      </c>
      <c r="F4818" s="23">
        <f t="shared" si="225"/>
        <v>0.22222222221898846</v>
      </c>
      <c r="G4818" s="24">
        <f t="shared" si="227"/>
        <v>56.250000000818545</v>
      </c>
      <c r="H4818" s="1" t="s">
        <v>1</v>
      </c>
      <c r="I4818" s="4" t="s">
        <v>2</v>
      </c>
      <c r="J4818" s="14">
        <v>0.6875</v>
      </c>
      <c r="K4818" s="20" t="str">
        <f t="shared" si="226"/>
        <v>2nd Shift</v>
      </c>
    </row>
    <row r="4819" spans="1:11" x14ac:dyDescent="0.25">
      <c r="A4819" s="1">
        <v>4818</v>
      </c>
      <c r="B4819" s="1">
        <v>6</v>
      </c>
      <c r="C4819" s="3">
        <v>6115271715702</v>
      </c>
      <c r="D4819" s="2">
        <v>44709.6875</v>
      </c>
      <c r="E4819" s="2">
        <v>44709.909722222219</v>
      </c>
      <c r="F4819" s="23">
        <f t="shared" si="225"/>
        <v>0.22222222221898846</v>
      </c>
      <c r="G4819" s="24">
        <f t="shared" si="227"/>
        <v>56.250000000818545</v>
      </c>
      <c r="H4819" s="1" t="s">
        <v>1</v>
      </c>
      <c r="I4819" s="4" t="s">
        <v>3</v>
      </c>
      <c r="J4819" s="14">
        <v>0.6875</v>
      </c>
      <c r="K4819" s="20" t="str">
        <f t="shared" si="226"/>
        <v>2nd Shift</v>
      </c>
    </row>
    <row r="4820" spans="1:11" x14ac:dyDescent="0.25">
      <c r="A4820" s="1">
        <v>4819</v>
      </c>
      <c r="B4820" s="1">
        <v>6</v>
      </c>
      <c r="C4820" s="3">
        <v>6115271715700</v>
      </c>
      <c r="D4820" s="2">
        <v>44709.6875</v>
      </c>
      <c r="E4820" s="2">
        <v>44709.909722222219</v>
      </c>
      <c r="F4820" s="23">
        <f t="shared" si="225"/>
        <v>0.22222222221898846</v>
      </c>
      <c r="G4820" s="24">
        <f t="shared" si="227"/>
        <v>56.250000000818545</v>
      </c>
      <c r="H4820" s="1" t="s">
        <v>1</v>
      </c>
      <c r="I4820" s="4" t="s">
        <v>3</v>
      </c>
      <c r="J4820" s="14">
        <v>0.6875</v>
      </c>
      <c r="K4820" s="20" t="str">
        <f t="shared" si="226"/>
        <v>2nd Shift</v>
      </c>
    </row>
    <row r="4821" spans="1:11" x14ac:dyDescent="0.25">
      <c r="A4821" s="1">
        <v>4820</v>
      </c>
      <c r="B4821" s="1">
        <v>3</v>
      </c>
      <c r="C4821" s="3">
        <v>3115270396403</v>
      </c>
      <c r="D4821" s="2">
        <v>44709.6875</v>
      </c>
      <c r="E4821" s="2">
        <v>44709.909722222219</v>
      </c>
      <c r="F4821" s="23">
        <f t="shared" si="225"/>
        <v>0.22222222221898846</v>
      </c>
      <c r="G4821" s="24">
        <f t="shared" si="227"/>
        <v>56.250000000818545</v>
      </c>
      <c r="H4821" s="1" t="s">
        <v>1</v>
      </c>
      <c r="I4821" s="4" t="s">
        <v>3</v>
      </c>
      <c r="J4821" s="14">
        <v>0.6875</v>
      </c>
      <c r="K4821" s="20" t="str">
        <f t="shared" si="226"/>
        <v>2nd Shift</v>
      </c>
    </row>
    <row r="4822" spans="1:11" x14ac:dyDescent="0.25">
      <c r="A4822" s="1">
        <v>4821</v>
      </c>
      <c r="B4822" s="1">
        <v>3</v>
      </c>
      <c r="C4822" s="3">
        <v>3115270396400</v>
      </c>
      <c r="D4822" s="2">
        <v>44709.6875</v>
      </c>
      <c r="E4822" s="2">
        <v>44709.909722222219</v>
      </c>
      <c r="F4822" s="23">
        <f t="shared" si="225"/>
        <v>0.22222222221898846</v>
      </c>
      <c r="G4822" s="24">
        <f t="shared" si="227"/>
        <v>56.250000000818545</v>
      </c>
      <c r="H4822" s="1" t="s">
        <v>1</v>
      </c>
      <c r="I4822" s="4" t="s">
        <v>3</v>
      </c>
      <c r="J4822" s="14">
        <v>0.6875</v>
      </c>
      <c r="K4822" s="20" t="str">
        <f t="shared" si="226"/>
        <v>2nd Shift</v>
      </c>
    </row>
    <row r="4823" spans="1:11" x14ac:dyDescent="0.25">
      <c r="A4823" s="1">
        <v>4822</v>
      </c>
      <c r="B4823" s="1">
        <v>3</v>
      </c>
      <c r="C4823" s="3">
        <v>3115270375202</v>
      </c>
      <c r="D4823" s="2">
        <v>44709.6875</v>
      </c>
      <c r="E4823" s="2">
        <v>44709.909722222219</v>
      </c>
      <c r="F4823" s="23">
        <f t="shared" si="225"/>
        <v>0.22222222221898846</v>
      </c>
      <c r="G4823" s="24">
        <f t="shared" si="227"/>
        <v>56.250000000818545</v>
      </c>
      <c r="H4823" s="1" t="s">
        <v>1</v>
      </c>
      <c r="I4823" s="4" t="s">
        <v>2</v>
      </c>
      <c r="J4823" s="14">
        <v>0.6875</v>
      </c>
      <c r="K4823" s="20" t="str">
        <f t="shared" si="226"/>
        <v>2nd Shift</v>
      </c>
    </row>
    <row r="4824" spans="1:11" x14ac:dyDescent="0.25">
      <c r="A4824" s="1">
        <v>4823</v>
      </c>
      <c r="B4824" s="1">
        <v>3</v>
      </c>
      <c r="C4824" s="3">
        <v>3115270375200</v>
      </c>
      <c r="D4824" s="2">
        <v>44709.6875</v>
      </c>
      <c r="E4824" s="2">
        <v>44709.909722222219</v>
      </c>
      <c r="F4824" s="23">
        <f t="shared" si="225"/>
        <v>0.22222222221898846</v>
      </c>
      <c r="G4824" s="24">
        <f t="shared" si="227"/>
        <v>56.250000000818545</v>
      </c>
      <c r="H4824" s="1" t="s">
        <v>1</v>
      </c>
      <c r="I4824" s="4" t="s">
        <v>4</v>
      </c>
      <c r="J4824" s="14">
        <v>0.6875</v>
      </c>
      <c r="K4824" s="20" t="str">
        <f t="shared" si="226"/>
        <v>2nd Shift</v>
      </c>
    </row>
    <row r="4825" spans="1:11" x14ac:dyDescent="0.25">
      <c r="A4825" s="1">
        <v>4824</v>
      </c>
      <c r="B4825" s="1">
        <v>12</v>
      </c>
      <c r="C4825" s="3">
        <v>12115271569203</v>
      </c>
      <c r="D4825" s="2">
        <v>44709.955555555556</v>
      </c>
      <c r="E4825" s="2">
        <v>44710.024305555555</v>
      </c>
      <c r="F4825" s="23">
        <f t="shared" si="225"/>
        <v>6.8749999998544808E-2</v>
      </c>
      <c r="G4825" s="24">
        <f t="shared" si="227"/>
        <v>181.81818182203025</v>
      </c>
      <c r="H4825" s="1" t="s">
        <v>1</v>
      </c>
      <c r="I4825" s="4" t="s">
        <v>2</v>
      </c>
      <c r="J4825" s="14">
        <v>0.9555555555555556</v>
      </c>
      <c r="K4825" s="20" t="str">
        <f t="shared" si="226"/>
        <v>3rd Shift</v>
      </c>
    </row>
    <row r="4826" spans="1:11" x14ac:dyDescent="0.25">
      <c r="A4826" s="1">
        <v>4825</v>
      </c>
      <c r="B4826" s="1">
        <v>1</v>
      </c>
      <c r="C4826" s="3">
        <v>1115270001800</v>
      </c>
      <c r="D4826" s="2">
        <v>44710.104166666664</v>
      </c>
      <c r="E4826" s="2">
        <v>44710.138888888891</v>
      </c>
      <c r="F4826" s="23">
        <f t="shared" si="225"/>
        <v>3.4722222226264421E-2</v>
      </c>
      <c r="G4826" s="24">
        <f t="shared" si="227"/>
        <v>359.99999995809048</v>
      </c>
      <c r="H4826" s="1" t="s">
        <v>1</v>
      </c>
      <c r="I4826" s="4" t="s">
        <v>4</v>
      </c>
      <c r="J4826" s="14">
        <v>0.10416666666666667</v>
      </c>
      <c r="K4826" s="20" t="str">
        <f t="shared" si="226"/>
        <v>3rd Shift</v>
      </c>
    </row>
    <row r="4827" spans="1:11" x14ac:dyDescent="0.25">
      <c r="A4827" s="1">
        <v>4826</v>
      </c>
      <c r="B4827" s="1">
        <v>3</v>
      </c>
      <c r="C4827" s="3">
        <v>3115270320504</v>
      </c>
      <c r="D4827" s="2">
        <v>44710.4375</v>
      </c>
      <c r="E4827" s="2">
        <v>44710.46875</v>
      </c>
      <c r="F4827" s="23">
        <f t="shared" si="225"/>
        <v>3.125E-2</v>
      </c>
      <c r="G4827" s="24">
        <f t="shared" si="227"/>
        <v>400</v>
      </c>
      <c r="H4827" s="1" t="s">
        <v>1</v>
      </c>
      <c r="I4827" s="4" t="s">
        <v>2</v>
      </c>
      <c r="J4827" s="14">
        <v>0.4375</v>
      </c>
      <c r="K4827" s="20" t="str">
        <f t="shared" si="226"/>
        <v>1st Shift</v>
      </c>
    </row>
    <row r="4828" spans="1:11" x14ac:dyDescent="0.25">
      <c r="A4828" s="1">
        <v>4827</v>
      </c>
      <c r="B4828" s="1">
        <v>3</v>
      </c>
      <c r="C4828" s="3">
        <v>3115270320500</v>
      </c>
      <c r="D4828" s="2">
        <v>44710.4375</v>
      </c>
      <c r="E4828" s="2">
        <v>44710.46875</v>
      </c>
      <c r="F4828" s="23">
        <f t="shared" si="225"/>
        <v>3.125E-2</v>
      </c>
      <c r="G4828" s="24">
        <f t="shared" si="227"/>
        <v>400</v>
      </c>
      <c r="H4828" s="1" t="s">
        <v>1</v>
      </c>
      <c r="I4828" s="4" t="s">
        <v>4</v>
      </c>
      <c r="J4828" s="14">
        <v>0.4375</v>
      </c>
      <c r="K4828" s="20" t="str">
        <f t="shared" si="226"/>
        <v>1st Shift</v>
      </c>
    </row>
    <row r="4829" spans="1:11" x14ac:dyDescent="0.25">
      <c r="A4829" s="1">
        <v>4828</v>
      </c>
      <c r="B4829" s="1">
        <v>1</v>
      </c>
      <c r="C4829" s="3">
        <v>1115270077900</v>
      </c>
      <c r="D4829" s="2">
        <v>44710.4375</v>
      </c>
      <c r="E4829" s="2">
        <v>44710.46875</v>
      </c>
      <c r="F4829" s="23">
        <f t="shared" si="225"/>
        <v>3.125E-2</v>
      </c>
      <c r="G4829" s="24">
        <f t="shared" si="227"/>
        <v>400</v>
      </c>
      <c r="H4829" s="1" t="s">
        <v>1</v>
      </c>
      <c r="I4829" s="4" t="s">
        <v>4</v>
      </c>
      <c r="J4829" s="14">
        <v>0.4375</v>
      </c>
      <c r="K4829" s="20" t="str">
        <f t="shared" si="226"/>
        <v>1st Shift</v>
      </c>
    </row>
    <row r="4830" spans="1:11" x14ac:dyDescent="0.25">
      <c r="A4830" s="1">
        <v>4829</v>
      </c>
      <c r="B4830" s="1">
        <v>9</v>
      </c>
      <c r="C4830" s="3">
        <v>9115271934202</v>
      </c>
      <c r="D4830" s="2">
        <v>44710.741666666669</v>
      </c>
      <c r="E4830" s="2">
        <v>44710.8125</v>
      </c>
      <c r="F4830" s="23">
        <f t="shared" si="225"/>
        <v>7.0833333331393078E-2</v>
      </c>
      <c r="G4830" s="24">
        <f t="shared" si="227"/>
        <v>176.47058824012797</v>
      </c>
      <c r="H4830" s="1" t="s">
        <v>1</v>
      </c>
      <c r="I4830" s="4" t="s">
        <v>2</v>
      </c>
      <c r="J4830" s="14">
        <v>0.7416666666666667</v>
      </c>
      <c r="K4830" s="20" t="str">
        <f t="shared" si="226"/>
        <v>2nd Shift</v>
      </c>
    </row>
    <row r="4831" spans="1:11" x14ac:dyDescent="0.25">
      <c r="A4831" s="1">
        <v>4830</v>
      </c>
      <c r="B4831" s="1">
        <v>9</v>
      </c>
      <c r="C4831" s="3">
        <v>9115271934200</v>
      </c>
      <c r="D4831" s="2">
        <v>44710.741666666669</v>
      </c>
      <c r="E4831" s="2">
        <v>44710.8125</v>
      </c>
      <c r="F4831" s="23">
        <f t="shared" si="225"/>
        <v>7.0833333331393078E-2</v>
      </c>
      <c r="G4831" s="24">
        <f t="shared" si="227"/>
        <v>176.47058824012797</v>
      </c>
      <c r="H4831" s="1" t="s">
        <v>1</v>
      </c>
      <c r="I4831" s="4" t="s">
        <v>2</v>
      </c>
      <c r="J4831" s="14">
        <v>0.7416666666666667</v>
      </c>
      <c r="K4831" s="20" t="str">
        <f t="shared" si="226"/>
        <v>2nd Shift</v>
      </c>
    </row>
    <row r="4832" spans="1:11" x14ac:dyDescent="0.25">
      <c r="A4832" s="1">
        <v>4831</v>
      </c>
      <c r="B4832" s="1">
        <v>6</v>
      </c>
      <c r="C4832" s="3">
        <v>6115271719109</v>
      </c>
      <c r="D4832" s="2">
        <v>44710.741666666669</v>
      </c>
      <c r="E4832" s="2">
        <v>44710.8125</v>
      </c>
      <c r="F4832" s="23">
        <f t="shared" si="225"/>
        <v>7.0833333331393078E-2</v>
      </c>
      <c r="G4832" s="24">
        <f t="shared" si="227"/>
        <v>176.47058824012797</v>
      </c>
      <c r="H4832" s="1" t="s">
        <v>1</v>
      </c>
      <c r="I4832" s="4" t="s">
        <v>2</v>
      </c>
      <c r="J4832" s="14">
        <v>0.7416666666666667</v>
      </c>
      <c r="K4832" s="20" t="str">
        <f t="shared" si="226"/>
        <v>2nd Shift</v>
      </c>
    </row>
    <row r="4833" spans="1:11" x14ac:dyDescent="0.25">
      <c r="A4833" s="1">
        <v>4832</v>
      </c>
      <c r="B4833" s="1">
        <v>6</v>
      </c>
      <c r="C4833" s="3">
        <v>6115271719103</v>
      </c>
      <c r="D4833" s="2">
        <v>44710.741666666669</v>
      </c>
      <c r="E4833" s="2">
        <v>44710.8125</v>
      </c>
      <c r="F4833" s="23">
        <f t="shared" si="225"/>
        <v>7.0833333331393078E-2</v>
      </c>
      <c r="G4833" s="24">
        <f t="shared" si="227"/>
        <v>176.47058824012797</v>
      </c>
      <c r="H4833" s="1" t="s">
        <v>1</v>
      </c>
      <c r="I4833" s="4" t="s">
        <v>2</v>
      </c>
      <c r="J4833" s="14">
        <v>0.7416666666666667</v>
      </c>
      <c r="K4833" s="20" t="str">
        <f t="shared" si="226"/>
        <v>2nd Shift</v>
      </c>
    </row>
    <row r="4834" spans="1:11" x14ac:dyDescent="0.25">
      <c r="A4834" s="1">
        <v>4833</v>
      </c>
      <c r="B4834" s="1">
        <v>3</v>
      </c>
      <c r="C4834" s="3">
        <v>3115270390809</v>
      </c>
      <c r="D4834" s="2">
        <v>44710.741666666669</v>
      </c>
      <c r="E4834" s="2">
        <v>44710.8125</v>
      </c>
      <c r="F4834" s="23">
        <f t="shared" si="225"/>
        <v>7.0833333331393078E-2</v>
      </c>
      <c r="G4834" s="24">
        <f t="shared" si="227"/>
        <v>176.47058824012797</v>
      </c>
      <c r="H4834" s="1" t="s">
        <v>1</v>
      </c>
      <c r="I4834" s="4" t="s">
        <v>2</v>
      </c>
      <c r="J4834" s="14">
        <v>0.7416666666666667</v>
      </c>
      <c r="K4834" s="20" t="str">
        <f t="shared" si="226"/>
        <v>2nd Shift</v>
      </c>
    </row>
    <row r="4835" spans="1:11" x14ac:dyDescent="0.25">
      <c r="A4835" s="1">
        <v>4834</v>
      </c>
      <c r="B4835" s="1">
        <v>3</v>
      </c>
      <c r="C4835" s="3">
        <v>3115270390804</v>
      </c>
      <c r="D4835" s="2">
        <v>44710.741666666669</v>
      </c>
      <c r="E4835" s="2">
        <v>44710.8125</v>
      </c>
      <c r="F4835" s="23">
        <f t="shared" si="225"/>
        <v>7.0833333331393078E-2</v>
      </c>
      <c r="G4835" s="24">
        <f t="shared" si="227"/>
        <v>176.47058824012797</v>
      </c>
      <c r="H4835" s="1" t="s">
        <v>1</v>
      </c>
      <c r="I4835" s="4" t="s">
        <v>2</v>
      </c>
      <c r="J4835" s="14">
        <v>0.7416666666666667</v>
      </c>
      <c r="K4835" s="20" t="str">
        <f t="shared" si="226"/>
        <v>2nd Shift</v>
      </c>
    </row>
    <row r="4836" spans="1:11" x14ac:dyDescent="0.25">
      <c r="A4836" s="1">
        <v>4835</v>
      </c>
      <c r="B4836" s="1">
        <v>3</v>
      </c>
      <c r="C4836" s="3">
        <v>3115270360406</v>
      </c>
      <c r="D4836" s="2">
        <v>44710.741666666669</v>
      </c>
      <c r="E4836" s="2">
        <v>44710.8125</v>
      </c>
      <c r="F4836" s="23">
        <f t="shared" si="225"/>
        <v>7.0833333331393078E-2</v>
      </c>
      <c r="G4836" s="24">
        <f t="shared" si="227"/>
        <v>176.47058824012797</v>
      </c>
      <c r="H4836" s="1" t="s">
        <v>1</v>
      </c>
      <c r="I4836" s="4" t="s">
        <v>3</v>
      </c>
      <c r="J4836" s="14">
        <v>0.7416666666666667</v>
      </c>
      <c r="K4836" s="20" t="str">
        <f t="shared" si="226"/>
        <v>2nd Shift</v>
      </c>
    </row>
    <row r="4837" spans="1:11" x14ac:dyDescent="0.25">
      <c r="A4837" s="1">
        <v>4836</v>
      </c>
      <c r="B4837" s="1">
        <v>3</v>
      </c>
      <c r="C4837" s="3">
        <v>3115270360403</v>
      </c>
      <c r="D4837" s="2">
        <v>44710.741666666669</v>
      </c>
      <c r="E4837" s="2">
        <v>44710.8125</v>
      </c>
      <c r="F4837" s="23">
        <f t="shared" si="225"/>
        <v>7.0833333331393078E-2</v>
      </c>
      <c r="G4837" s="24">
        <f t="shared" si="227"/>
        <v>176.47058824012797</v>
      </c>
      <c r="H4837" s="1" t="s">
        <v>1</v>
      </c>
      <c r="I4837" s="4" t="s">
        <v>4</v>
      </c>
      <c r="J4837" s="14">
        <v>0.7416666666666667</v>
      </c>
      <c r="K4837" s="20" t="str">
        <f t="shared" si="226"/>
        <v>2nd Shift</v>
      </c>
    </row>
    <row r="4838" spans="1:11" x14ac:dyDescent="0.25">
      <c r="A4838" s="1">
        <v>4837</v>
      </c>
      <c r="B4838" s="1">
        <v>11</v>
      </c>
      <c r="C4838" s="3">
        <v>11115271542607</v>
      </c>
      <c r="D4838" s="2">
        <v>44710.868055555555</v>
      </c>
      <c r="E4838" s="2">
        <v>44710.909722222219</v>
      </c>
      <c r="F4838" s="23">
        <f t="shared" si="225"/>
        <v>4.1666666664241347E-2</v>
      </c>
      <c r="G4838" s="24">
        <f t="shared" si="227"/>
        <v>300.0000000174623</v>
      </c>
      <c r="H4838" s="1" t="s">
        <v>1</v>
      </c>
      <c r="I4838" s="4" t="s">
        <v>3</v>
      </c>
      <c r="J4838" s="14">
        <v>0.86805555555555558</v>
      </c>
      <c r="K4838" s="20" t="str">
        <f t="shared" si="226"/>
        <v>2nd Shift</v>
      </c>
    </row>
    <row r="4839" spans="1:11" x14ac:dyDescent="0.25">
      <c r="A4839" s="1">
        <v>4838</v>
      </c>
      <c r="B4839" s="1">
        <v>6</v>
      </c>
      <c r="C4839" s="3">
        <v>6115271722208</v>
      </c>
      <c r="D4839" s="2">
        <v>44710.868055555555</v>
      </c>
      <c r="E4839" s="2">
        <v>44710.909722222219</v>
      </c>
      <c r="F4839" s="23">
        <f t="shared" si="225"/>
        <v>4.1666666664241347E-2</v>
      </c>
      <c r="G4839" s="24">
        <f t="shared" si="227"/>
        <v>300.0000000174623</v>
      </c>
      <c r="H4839" s="1" t="s">
        <v>1</v>
      </c>
      <c r="I4839" s="4" t="s">
        <v>3</v>
      </c>
      <c r="J4839" s="14">
        <v>0.86805555555555558</v>
      </c>
      <c r="K4839" s="20" t="str">
        <f t="shared" si="226"/>
        <v>2nd Shift</v>
      </c>
    </row>
    <row r="4840" spans="1:11" x14ac:dyDescent="0.25">
      <c r="A4840" s="1">
        <v>4839</v>
      </c>
      <c r="B4840" s="1">
        <v>6</v>
      </c>
      <c r="C4840" s="3">
        <v>6115271722206</v>
      </c>
      <c r="D4840" s="2">
        <v>44710.868055555555</v>
      </c>
      <c r="E4840" s="2">
        <v>44710.909722222219</v>
      </c>
      <c r="F4840" s="23">
        <f t="shared" si="225"/>
        <v>4.1666666664241347E-2</v>
      </c>
      <c r="G4840" s="24">
        <f t="shared" si="227"/>
        <v>300.0000000174623</v>
      </c>
      <c r="H4840" s="1" t="s">
        <v>1</v>
      </c>
      <c r="I4840" s="4" t="s">
        <v>8</v>
      </c>
      <c r="J4840" s="14">
        <v>0.86805555555555558</v>
      </c>
      <c r="K4840" s="20" t="str">
        <f t="shared" si="226"/>
        <v>2nd Shift</v>
      </c>
    </row>
    <row r="4841" spans="1:11" x14ac:dyDescent="0.25">
      <c r="A4841" s="1">
        <v>4840</v>
      </c>
      <c r="B4841" s="1">
        <v>4</v>
      </c>
      <c r="C4841" s="3">
        <v>4115270848200</v>
      </c>
      <c r="D4841" s="2">
        <v>44710.9375</v>
      </c>
      <c r="E4841" s="2">
        <v>44710.986111111109</v>
      </c>
      <c r="F4841" s="23">
        <f t="shared" si="225"/>
        <v>4.8611111109494232E-2</v>
      </c>
      <c r="G4841" s="24">
        <f t="shared" si="227"/>
        <v>257.14285715141011</v>
      </c>
      <c r="H4841" s="1" t="s">
        <v>1</v>
      </c>
      <c r="I4841" s="4" t="s">
        <v>3</v>
      </c>
      <c r="J4841" s="14">
        <v>0.9375</v>
      </c>
      <c r="K4841" s="20" t="str">
        <f t="shared" si="226"/>
        <v>3rd Shift</v>
      </c>
    </row>
    <row r="4842" spans="1:11" x14ac:dyDescent="0.25">
      <c r="A4842" s="1">
        <v>4841</v>
      </c>
      <c r="B4842" s="1">
        <v>15</v>
      </c>
      <c r="C4842" s="3">
        <v>15115271743903</v>
      </c>
      <c r="D4842" s="2">
        <v>44711.489583333336</v>
      </c>
      <c r="E4842" s="2">
        <v>44711.583333333336</v>
      </c>
      <c r="F4842" s="23">
        <f t="shared" si="225"/>
        <v>9.375E-2</v>
      </c>
      <c r="G4842" s="24">
        <f t="shared" si="227"/>
        <v>133.33333333333331</v>
      </c>
      <c r="H4842" s="1" t="s">
        <v>1</v>
      </c>
      <c r="I4842" s="4" t="s">
        <v>8</v>
      </c>
      <c r="J4842" s="14">
        <v>0.48958333333333331</v>
      </c>
      <c r="K4842" s="20" t="str">
        <f t="shared" si="226"/>
        <v>1st Shift</v>
      </c>
    </row>
    <row r="4843" spans="1:11" x14ac:dyDescent="0.25">
      <c r="A4843" s="1">
        <v>4842</v>
      </c>
      <c r="B4843" s="1">
        <v>15</v>
      </c>
      <c r="C4843" s="3">
        <v>15115271743901</v>
      </c>
      <c r="D4843" s="2">
        <v>44711.489583333336</v>
      </c>
      <c r="E4843" s="2">
        <v>44711.583333333336</v>
      </c>
      <c r="F4843" s="23">
        <f t="shared" si="225"/>
        <v>9.375E-2</v>
      </c>
      <c r="G4843" s="24">
        <f t="shared" si="227"/>
        <v>133.33333333333331</v>
      </c>
      <c r="H4843" s="1" t="s">
        <v>1</v>
      </c>
      <c r="I4843" s="4" t="s">
        <v>3</v>
      </c>
      <c r="J4843" s="14">
        <v>0.48958333333333331</v>
      </c>
      <c r="K4843" s="20" t="str">
        <f t="shared" si="226"/>
        <v>1st Shift</v>
      </c>
    </row>
    <row r="4844" spans="1:11" x14ac:dyDescent="0.25">
      <c r="A4844" s="1">
        <v>4843</v>
      </c>
      <c r="B4844" s="1">
        <v>14</v>
      </c>
      <c r="C4844" s="3">
        <v>14115271740800</v>
      </c>
      <c r="D4844" s="2">
        <v>44711.375</v>
      </c>
      <c r="E4844" s="2">
        <v>44711.583333333336</v>
      </c>
      <c r="F4844" s="23">
        <f t="shared" si="225"/>
        <v>0.20833333333575865</v>
      </c>
      <c r="G4844" s="24">
        <f t="shared" si="227"/>
        <v>59.999999999301515</v>
      </c>
      <c r="H4844" s="1" t="s">
        <v>1</v>
      </c>
      <c r="I4844" s="4" t="s">
        <v>3</v>
      </c>
      <c r="J4844" s="14">
        <v>0.375</v>
      </c>
      <c r="K4844" s="20" t="str">
        <f t="shared" si="226"/>
        <v>1st Shift</v>
      </c>
    </row>
    <row r="4845" spans="1:11" x14ac:dyDescent="0.25">
      <c r="A4845" s="1">
        <v>4844</v>
      </c>
      <c r="B4845" s="1">
        <v>13</v>
      </c>
      <c r="C4845" s="3">
        <v>13115271592416</v>
      </c>
      <c r="D4845" s="2">
        <v>44711.375</v>
      </c>
      <c r="E4845" s="2">
        <v>44711.583333333336</v>
      </c>
      <c r="F4845" s="23">
        <f t="shared" si="225"/>
        <v>0.20833333333575865</v>
      </c>
      <c r="G4845" s="24">
        <f t="shared" si="227"/>
        <v>59.999999999301515</v>
      </c>
      <c r="H4845" s="1" t="s">
        <v>1</v>
      </c>
      <c r="I4845" s="4" t="s">
        <v>2</v>
      </c>
      <c r="J4845" s="14">
        <v>0.375</v>
      </c>
      <c r="K4845" s="20" t="str">
        <f t="shared" si="226"/>
        <v>1st Shift</v>
      </c>
    </row>
    <row r="4846" spans="1:11" x14ac:dyDescent="0.25">
      <c r="A4846" s="1">
        <v>4845</v>
      </c>
      <c r="B4846" s="1">
        <v>12</v>
      </c>
      <c r="C4846" s="3">
        <v>12115271569209</v>
      </c>
      <c r="D4846" s="2">
        <v>44711.375</v>
      </c>
      <c r="E4846" s="2">
        <v>44711.583333333336</v>
      </c>
      <c r="F4846" s="23">
        <f t="shared" si="225"/>
        <v>0.20833333333575865</v>
      </c>
      <c r="G4846" s="24">
        <f t="shared" si="227"/>
        <v>59.999999999301515</v>
      </c>
      <c r="H4846" s="1" t="s">
        <v>1</v>
      </c>
      <c r="I4846" s="4" t="s">
        <v>2</v>
      </c>
      <c r="J4846" s="14">
        <v>0.375</v>
      </c>
      <c r="K4846" s="20" t="str">
        <f t="shared" si="226"/>
        <v>1st Shift</v>
      </c>
    </row>
    <row r="4847" spans="1:11" x14ac:dyDescent="0.25">
      <c r="A4847" s="1">
        <v>4846</v>
      </c>
      <c r="B4847" s="1">
        <v>12</v>
      </c>
      <c r="C4847" s="3">
        <v>12115271565415</v>
      </c>
      <c r="D4847" s="2">
        <v>44711.489583333336</v>
      </c>
      <c r="E4847" s="2">
        <v>44711.583333333336</v>
      </c>
      <c r="F4847" s="23">
        <f t="shared" si="225"/>
        <v>9.375E-2</v>
      </c>
      <c r="G4847" s="24">
        <f t="shared" si="227"/>
        <v>133.33333333333331</v>
      </c>
      <c r="H4847" s="1" t="s">
        <v>1</v>
      </c>
      <c r="I4847" s="4" t="s">
        <v>3</v>
      </c>
      <c r="J4847" s="14">
        <v>0.48958333333333331</v>
      </c>
      <c r="K4847" s="20" t="str">
        <f t="shared" si="226"/>
        <v>1st Shift</v>
      </c>
    </row>
    <row r="4848" spans="1:11" x14ac:dyDescent="0.25">
      <c r="A4848" s="1">
        <v>4847</v>
      </c>
      <c r="B4848" s="1">
        <v>11</v>
      </c>
      <c r="C4848" s="3">
        <v>11115271542601</v>
      </c>
      <c r="D4848" s="2">
        <v>44711.753472222219</v>
      </c>
      <c r="E4848" s="2">
        <v>44711.788194444445</v>
      </c>
      <c r="F4848" s="23">
        <f t="shared" si="225"/>
        <v>3.4722222226264421E-2</v>
      </c>
      <c r="G4848" s="24">
        <f t="shared" si="227"/>
        <v>359.99999995809048</v>
      </c>
      <c r="H4848" s="1" t="s">
        <v>1</v>
      </c>
      <c r="I4848" s="4" t="s">
        <v>3</v>
      </c>
      <c r="J4848" s="14">
        <v>0.75347222222222221</v>
      </c>
      <c r="K4848" s="20" t="str">
        <f t="shared" si="226"/>
        <v>2nd Shift</v>
      </c>
    </row>
    <row r="4849" spans="1:11" x14ac:dyDescent="0.25">
      <c r="A4849" s="1">
        <v>4848</v>
      </c>
      <c r="B4849" s="1">
        <v>11</v>
      </c>
      <c r="C4849" s="3">
        <v>11115271542600</v>
      </c>
      <c r="D4849" s="2">
        <v>44711.753472222219</v>
      </c>
      <c r="E4849" s="2">
        <v>44711.788194444445</v>
      </c>
      <c r="F4849" s="23">
        <f t="shared" si="225"/>
        <v>3.4722222226264421E-2</v>
      </c>
      <c r="G4849" s="24">
        <f t="shared" si="227"/>
        <v>359.99999995809048</v>
      </c>
      <c r="H4849" s="1" t="s">
        <v>1</v>
      </c>
      <c r="I4849" s="4" t="s">
        <v>3</v>
      </c>
      <c r="J4849" s="14">
        <v>0.75347222222222221</v>
      </c>
      <c r="K4849" s="20" t="str">
        <f t="shared" si="226"/>
        <v>2nd Shift</v>
      </c>
    </row>
    <row r="4850" spans="1:11" x14ac:dyDescent="0.25">
      <c r="A4850" s="1">
        <v>4849</v>
      </c>
      <c r="B4850" s="1">
        <v>7</v>
      </c>
      <c r="C4850" s="3">
        <v>7115271769706</v>
      </c>
      <c r="D4850" s="2">
        <v>44711.753472222219</v>
      </c>
      <c r="E4850" s="2">
        <v>44711.788194444445</v>
      </c>
      <c r="F4850" s="23">
        <f t="shared" si="225"/>
        <v>3.4722222226264421E-2</v>
      </c>
      <c r="G4850" s="24">
        <f t="shared" si="227"/>
        <v>359.99999995809048</v>
      </c>
      <c r="H4850" s="1" t="s">
        <v>1</v>
      </c>
      <c r="I4850" s="4" t="s">
        <v>3</v>
      </c>
      <c r="J4850" s="14">
        <v>0.75347222222222221</v>
      </c>
      <c r="K4850" s="20" t="str">
        <f t="shared" si="226"/>
        <v>2nd Shift</v>
      </c>
    </row>
    <row r="4851" spans="1:11" x14ac:dyDescent="0.25">
      <c r="A4851" s="1">
        <v>4850</v>
      </c>
      <c r="B4851" s="1">
        <v>7</v>
      </c>
      <c r="C4851" s="3">
        <v>7115271769700</v>
      </c>
      <c r="D4851" s="2">
        <v>44711.753472222219</v>
      </c>
      <c r="E4851" s="2">
        <v>44711.788194444445</v>
      </c>
      <c r="F4851" s="23">
        <f t="shared" si="225"/>
        <v>3.4722222226264421E-2</v>
      </c>
      <c r="G4851" s="24">
        <f t="shared" si="227"/>
        <v>359.99999995809048</v>
      </c>
      <c r="H4851" s="1" t="s">
        <v>1</v>
      </c>
      <c r="I4851" s="4" t="s">
        <v>8</v>
      </c>
      <c r="J4851" s="14">
        <v>0.75347222222222221</v>
      </c>
      <c r="K4851" s="20" t="str">
        <f t="shared" si="226"/>
        <v>2nd Shift</v>
      </c>
    </row>
    <row r="4852" spans="1:11" x14ac:dyDescent="0.25">
      <c r="A4852" s="1">
        <v>4851</v>
      </c>
      <c r="B4852" s="1">
        <v>12</v>
      </c>
      <c r="C4852" s="3">
        <v>12115271573407</v>
      </c>
      <c r="D4852" s="2">
        <v>44711.875</v>
      </c>
      <c r="E4852" s="2">
        <v>44711.927083333336</v>
      </c>
      <c r="F4852" s="23">
        <f t="shared" si="225"/>
        <v>5.2083333335758653E-2</v>
      </c>
      <c r="G4852" s="24">
        <f t="shared" si="227"/>
        <v>239.99999998882413</v>
      </c>
      <c r="H4852" s="1" t="s">
        <v>1</v>
      </c>
      <c r="I4852" s="4" t="s">
        <v>3</v>
      </c>
      <c r="J4852" s="14">
        <v>0.875</v>
      </c>
      <c r="K4852" s="20" t="str">
        <f t="shared" si="226"/>
        <v>2nd Shift</v>
      </c>
    </row>
    <row r="4853" spans="1:11" x14ac:dyDescent="0.25">
      <c r="A4853" s="1">
        <v>4852</v>
      </c>
      <c r="B4853" s="1">
        <v>12</v>
      </c>
      <c r="C4853" s="3">
        <v>12115271573405</v>
      </c>
      <c r="D4853" s="2">
        <v>44711.875</v>
      </c>
      <c r="E4853" s="2">
        <v>44711.927083333336</v>
      </c>
      <c r="F4853" s="23">
        <f t="shared" si="225"/>
        <v>5.2083333335758653E-2</v>
      </c>
      <c r="G4853" s="24">
        <f t="shared" si="227"/>
        <v>239.99999998882413</v>
      </c>
      <c r="H4853" s="1" t="s">
        <v>1</v>
      </c>
      <c r="I4853" s="4" t="s">
        <v>3</v>
      </c>
      <c r="J4853" s="14">
        <v>0.875</v>
      </c>
      <c r="K4853" s="20" t="str">
        <f t="shared" si="226"/>
        <v>2nd Shift</v>
      </c>
    </row>
    <row r="4854" spans="1:11" x14ac:dyDescent="0.25">
      <c r="A4854" s="1">
        <v>4853</v>
      </c>
      <c r="B4854" s="1">
        <v>12</v>
      </c>
      <c r="C4854" s="3">
        <v>12115271569209</v>
      </c>
      <c r="D4854" s="2">
        <v>44711.875</v>
      </c>
      <c r="E4854" s="2">
        <v>44711.927083333336</v>
      </c>
      <c r="F4854" s="23">
        <f t="shared" si="225"/>
        <v>5.2083333335758653E-2</v>
      </c>
      <c r="G4854" s="24">
        <f t="shared" si="227"/>
        <v>239.99999998882413</v>
      </c>
      <c r="H4854" s="1" t="s">
        <v>1</v>
      </c>
      <c r="I4854" s="4" t="s">
        <v>3</v>
      </c>
      <c r="J4854" s="14">
        <v>0.875</v>
      </c>
      <c r="K4854" s="20" t="str">
        <f t="shared" si="226"/>
        <v>2nd Shift</v>
      </c>
    </row>
    <row r="4855" spans="1:11" x14ac:dyDescent="0.25">
      <c r="A4855" s="1">
        <v>4854</v>
      </c>
      <c r="B4855" s="1">
        <v>12</v>
      </c>
      <c r="C4855" s="3">
        <v>12115271569207</v>
      </c>
      <c r="D4855" s="2">
        <v>44711.875</v>
      </c>
      <c r="E4855" s="2">
        <v>44711.927083333336</v>
      </c>
      <c r="F4855" s="23">
        <f t="shared" si="225"/>
        <v>5.2083333335758653E-2</v>
      </c>
      <c r="G4855" s="24">
        <f t="shared" si="227"/>
        <v>239.99999998882413</v>
      </c>
      <c r="H4855" s="1" t="s">
        <v>1</v>
      </c>
      <c r="I4855" s="4" t="s">
        <v>4</v>
      </c>
      <c r="J4855" s="14">
        <v>0.875</v>
      </c>
      <c r="K4855" s="20" t="str">
        <f t="shared" si="226"/>
        <v>2nd Shift</v>
      </c>
    </row>
    <row r="4856" spans="1:11" x14ac:dyDescent="0.25">
      <c r="A4856" s="1">
        <v>4855</v>
      </c>
      <c r="B4856" s="1">
        <v>6</v>
      </c>
      <c r="C4856" s="3">
        <v>6115271707904</v>
      </c>
      <c r="D4856" s="2">
        <v>44712.375</v>
      </c>
      <c r="E4856" s="2">
        <v>44712.545138888891</v>
      </c>
      <c r="F4856" s="23">
        <f t="shared" si="225"/>
        <v>0.17013888889050577</v>
      </c>
      <c r="G4856" s="24">
        <f t="shared" si="227"/>
        <v>73.46938775440384</v>
      </c>
      <c r="H4856" s="1" t="s">
        <v>1</v>
      </c>
      <c r="I4856" s="4" t="s">
        <v>2</v>
      </c>
      <c r="J4856" s="14">
        <v>0.375</v>
      </c>
      <c r="K4856" s="20" t="str">
        <f t="shared" si="226"/>
        <v>1st Shift</v>
      </c>
    </row>
    <row r="4857" spans="1:11" x14ac:dyDescent="0.25">
      <c r="A4857" s="1">
        <v>4856</v>
      </c>
      <c r="B4857" s="1">
        <v>6</v>
      </c>
      <c r="C4857" s="3">
        <v>6115271707900</v>
      </c>
      <c r="D4857" s="2">
        <v>44712.375</v>
      </c>
      <c r="E4857" s="2">
        <v>44712.545138888891</v>
      </c>
      <c r="F4857" s="23">
        <f t="shared" si="225"/>
        <v>0.17013888889050577</v>
      </c>
      <c r="G4857" s="24">
        <f t="shared" si="227"/>
        <v>73.46938775440384</v>
      </c>
      <c r="H4857" s="1" t="s">
        <v>1</v>
      </c>
      <c r="I4857" s="4" t="s">
        <v>2</v>
      </c>
      <c r="J4857" s="14">
        <v>0.375</v>
      </c>
      <c r="K4857" s="20" t="str">
        <f t="shared" si="226"/>
        <v>1st Shift</v>
      </c>
    </row>
    <row r="4858" spans="1:11" x14ac:dyDescent="0.25">
      <c r="A4858" s="1">
        <v>4857</v>
      </c>
      <c r="B4858" s="1">
        <v>6</v>
      </c>
      <c r="C4858" s="3">
        <v>6115271692208</v>
      </c>
      <c r="D4858" s="2">
        <v>44712.375</v>
      </c>
      <c r="E4858" s="2">
        <v>44712.545138888891</v>
      </c>
      <c r="F4858" s="23">
        <f t="shared" si="225"/>
        <v>0.17013888889050577</v>
      </c>
      <c r="G4858" s="24">
        <f t="shared" si="227"/>
        <v>73.46938775440384</v>
      </c>
      <c r="H4858" s="1" t="s">
        <v>1</v>
      </c>
      <c r="I4858" s="4" t="s">
        <v>2</v>
      </c>
      <c r="J4858" s="14">
        <v>0.375</v>
      </c>
      <c r="K4858" s="20" t="str">
        <f t="shared" si="226"/>
        <v>1st Shift</v>
      </c>
    </row>
    <row r="4859" spans="1:11" x14ac:dyDescent="0.25">
      <c r="A4859" s="1">
        <v>4858</v>
      </c>
      <c r="B4859" s="1">
        <v>6</v>
      </c>
      <c r="C4859" s="3">
        <v>6115271692206</v>
      </c>
      <c r="D4859" s="2">
        <v>44712.375</v>
      </c>
      <c r="E4859" s="2">
        <v>44712.545138888891</v>
      </c>
      <c r="F4859" s="23">
        <f t="shared" si="225"/>
        <v>0.17013888889050577</v>
      </c>
      <c r="G4859" s="24">
        <f t="shared" si="227"/>
        <v>73.46938775440384</v>
      </c>
      <c r="H4859" s="1" t="s">
        <v>1</v>
      </c>
      <c r="I4859" s="4" t="s">
        <v>2</v>
      </c>
      <c r="J4859" s="14">
        <v>0.375</v>
      </c>
      <c r="K4859" s="20" t="str">
        <f t="shared" si="226"/>
        <v>1st Shift</v>
      </c>
    </row>
    <row r="4860" spans="1:11" x14ac:dyDescent="0.25">
      <c r="A4860" s="1">
        <v>4859</v>
      </c>
      <c r="B4860" s="1">
        <v>5</v>
      </c>
      <c r="C4860" s="3">
        <v>5115271239300</v>
      </c>
      <c r="D4860" s="2">
        <v>44712.375</v>
      </c>
      <c r="E4860" s="2">
        <v>44712.545138888891</v>
      </c>
      <c r="F4860" s="23">
        <f t="shared" si="225"/>
        <v>0.17013888889050577</v>
      </c>
      <c r="G4860" s="24">
        <f t="shared" si="227"/>
        <v>73.46938775440384</v>
      </c>
      <c r="H4860" s="1" t="s">
        <v>1</v>
      </c>
      <c r="I4860" s="4" t="s">
        <v>3</v>
      </c>
      <c r="J4860" s="14">
        <v>0.375</v>
      </c>
      <c r="K4860" s="20" t="str">
        <f t="shared" si="226"/>
        <v>1st Shift</v>
      </c>
    </row>
    <row r="4861" spans="1:11" x14ac:dyDescent="0.25">
      <c r="A4861" s="1">
        <v>4860</v>
      </c>
      <c r="B4861" s="1">
        <v>4</v>
      </c>
      <c r="C4861" s="3">
        <v>4115270838400</v>
      </c>
      <c r="D4861" s="2">
        <v>44712.375</v>
      </c>
      <c r="E4861" s="2">
        <v>44712.545138888891</v>
      </c>
      <c r="F4861" s="23">
        <f t="shared" si="225"/>
        <v>0.17013888889050577</v>
      </c>
      <c r="G4861" s="24">
        <f t="shared" si="227"/>
        <v>73.46938775440384</v>
      </c>
      <c r="H4861" s="1" t="s">
        <v>1</v>
      </c>
      <c r="I4861" s="4" t="s">
        <v>2</v>
      </c>
      <c r="J4861" s="14">
        <v>0.375</v>
      </c>
      <c r="K4861" s="20" t="str">
        <f t="shared" si="226"/>
        <v>1st Shift</v>
      </c>
    </row>
    <row r="4862" spans="1:11" x14ac:dyDescent="0.25">
      <c r="A4862" s="1">
        <v>4861</v>
      </c>
      <c r="B4862" s="1">
        <v>5</v>
      </c>
      <c r="C4862" s="3">
        <v>5115270974805</v>
      </c>
      <c r="D4862" s="2">
        <v>44712.666666666664</v>
      </c>
      <c r="E4862" s="2">
        <v>44712.729166666664</v>
      </c>
      <c r="F4862" s="23">
        <f t="shared" si="225"/>
        <v>6.25E-2</v>
      </c>
      <c r="G4862" s="24">
        <f t="shared" si="227"/>
        <v>200</v>
      </c>
      <c r="H4862" s="1" t="s">
        <v>1</v>
      </c>
      <c r="I4862" s="4" t="s">
        <v>3</v>
      </c>
      <c r="J4862" s="14">
        <v>0.66666666666666663</v>
      </c>
      <c r="K4862" s="20" t="str">
        <f t="shared" si="226"/>
        <v>2nd Shift</v>
      </c>
    </row>
    <row r="4863" spans="1:11" x14ac:dyDescent="0.25">
      <c r="A4863" s="1">
        <v>4862</v>
      </c>
      <c r="B4863" s="1">
        <v>5</v>
      </c>
      <c r="C4863" s="3">
        <v>5115270974800</v>
      </c>
      <c r="D4863" s="2">
        <v>44712.666666666664</v>
      </c>
      <c r="E4863" s="2">
        <v>44712.729166666664</v>
      </c>
      <c r="F4863" s="23">
        <f t="shared" si="225"/>
        <v>6.25E-2</v>
      </c>
      <c r="G4863" s="24">
        <f t="shared" si="227"/>
        <v>200</v>
      </c>
      <c r="H4863" s="1" t="s">
        <v>1</v>
      </c>
      <c r="I4863" s="4" t="s">
        <v>3</v>
      </c>
      <c r="J4863" s="14">
        <v>0.66666666666666663</v>
      </c>
      <c r="K4863" s="20" t="str">
        <f t="shared" si="226"/>
        <v>2nd Shift</v>
      </c>
    </row>
    <row r="4864" spans="1:11" x14ac:dyDescent="0.25">
      <c r="A4864" s="1">
        <v>4863</v>
      </c>
      <c r="B4864" s="1">
        <v>6</v>
      </c>
      <c r="C4864" s="3">
        <v>6115271690611</v>
      </c>
      <c r="D4864" s="2">
        <v>44712.927083333336</v>
      </c>
      <c r="E4864" s="2">
        <v>44713.125</v>
      </c>
      <c r="F4864" s="23">
        <f t="shared" si="225"/>
        <v>0.19791666666424135</v>
      </c>
      <c r="G4864" s="24">
        <f t="shared" si="227"/>
        <v>63.157894737616061</v>
      </c>
      <c r="H4864" s="1" t="s">
        <v>1</v>
      </c>
      <c r="I4864" s="4" t="s">
        <v>2</v>
      </c>
      <c r="J4864" s="14">
        <v>0.92708333333333337</v>
      </c>
      <c r="K4864" s="20" t="str">
        <f t="shared" si="226"/>
        <v>3rd Shift</v>
      </c>
    </row>
    <row r="4865" spans="1:11" x14ac:dyDescent="0.25">
      <c r="A4865" s="1">
        <v>4864</v>
      </c>
      <c r="B4865" s="1">
        <v>6</v>
      </c>
      <c r="C4865" s="3">
        <v>6115271690610</v>
      </c>
      <c r="D4865" s="2">
        <v>44712.927083333336</v>
      </c>
      <c r="E4865" s="2">
        <v>44713.125</v>
      </c>
      <c r="F4865" s="23">
        <f t="shared" si="225"/>
        <v>0.19791666666424135</v>
      </c>
      <c r="G4865" s="24">
        <f t="shared" si="227"/>
        <v>63.157894737616061</v>
      </c>
      <c r="H4865" s="1" t="s">
        <v>1</v>
      </c>
      <c r="I4865" s="4" t="s">
        <v>2</v>
      </c>
      <c r="J4865" s="14">
        <v>0.92708333333333337</v>
      </c>
      <c r="K4865" s="20" t="str">
        <f t="shared" si="226"/>
        <v>3rd Shift</v>
      </c>
    </row>
    <row r="4866" spans="1:11" x14ac:dyDescent="0.25">
      <c r="A4866" s="1">
        <v>4865</v>
      </c>
      <c r="B4866" s="1">
        <v>3</v>
      </c>
      <c r="C4866" s="3">
        <v>3115270400407</v>
      </c>
      <c r="D4866" s="2">
        <v>44712.927083333336</v>
      </c>
      <c r="E4866" s="2">
        <v>44713.125</v>
      </c>
      <c r="F4866" s="23">
        <f t="shared" ref="F4866:F4929" si="228">E4866-D4866</f>
        <v>0.19791666666424135</v>
      </c>
      <c r="G4866" s="24">
        <f t="shared" si="227"/>
        <v>63.157894737616061</v>
      </c>
      <c r="H4866" s="1" t="s">
        <v>1</v>
      </c>
      <c r="I4866" s="4" t="s">
        <v>2</v>
      </c>
      <c r="J4866" s="14">
        <v>0.92708333333333337</v>
      </c>
      <c r="K4866" s="20" t="str">
        <f t="shared" ref="K4866:K4929" si="229">IF(AND(J4866&gt;=$M$3,J4866&lt;$M$4),"1st Shift",IF(AND(J4866&gt;=$M$4,J4866&lt;$M$5),"2nd Shift","3rd Shift"))</f>
        <v>3rd Shift</v>
      </c>
    </row>
    <row r="4867" spans="1:11" x14ac:dyDescent="0.25">
      <c r="A4867" s="1">
        <v>4866</v>
      </c>
      <c r="B4867" s="1">
        <v>3</v>
      </c>
      <c r="C4867" s="3">
        <v>3115270400400</v>
      </c>
      <c r="D4867" s="2">
        <v>44712.927083333336</v>
      </c>
      <c r="E4867" s="2">
        <v>44713.125</v>
      </c>
      <c r="F4867" s="23">
        <f t="shared" si="228"/>
        <v>0.19791666666424135</v>
      </c>
      <c r="G4867" s="24">
        <f t="shared" ref="G4867:G4930" si="230">$M$9/F4867*100</f>
        <v>63.157894737616061</v>
      </c>
      <c r="H4867" s="1" t="s">
        <v>1</v>
      </c>
      <c r="I4867" s="4" t="s">
        <v>2</v>
      </c>
      <c r="J4867" s="14">
        <v>0.92708333333333337</v>
      </c>
      <c r="K4867" s="20" t="str">
        <f t="shared" si="229"/>
        <v>3rd Shift</v>
      </c>
    </row>
    <row r="4868" spans="1:11" x14ac:dyDescent="0.25">
      <c r="A4868" s="1">
        <v>4867</v>
      </c>
      <c r="B4868" s="1">
        <v>9</v>
      </c>
      <c r="C4868" s="3">
        <v>9115271944806</v>
      </c>
      <c r="D4868" s="2">
        <v>44713.506944444445</v>
      </c>
      <c r="E4868" s="2">
        <v>44713.5625</v>
      </c>
      <c r="F4868" s="23">
        <f t="shared" si="228"/>
        <v>5.5555555554747116E-2</v>
      </c>
      <c r="G4868" s="24">
        <f t="shared" si="230"/>
        <v>225.00000000327418</v>
      </c>
      <c r="H4868" s="1" t="s">
        <v>1</v>
      </c>
      <c r="I4868" s="4" t="s">
        <v>3</v>
      </c>
      <c r="J4868" s="14">
        <v>0.50694444444444442</v>
      </c>
      <c r="K4868" s="20" t="str">
        <f t="shared" si="229"/>
        <v>1st Shift</v>
      </c>
    </row>
    <row r="4869" spans="1:11" x14ac:dyDescent="0.25">
      <c r="A4869" s="1">
        <v>4868</v>
      </c>
      <c r="B4869" s="1">
        <v>7</v>
      </c>
      <c r="C4869" s="3">
        <v>7115271798203</v>
      </c>
      <c r="D4869" s="2">
        <v>44713.541666666664</v>
      </c>
      <c r="E4869" s="2">
        <v>44713.5625</v>
      </c>
      <c r="F4869" s="23">
        <f t="shared" si="228"/>
        <v>2.0833333335758653E-2</v>
      </c>
      <c r="G4869" s="24">
        <f t="shared" si="230"/>
        <v>599.99999993015081</v>
      </c>
      <c r="H4869" s="1" t="s">
        <v>1</v>
      </c>
      <c r="I4869" s="4" t="s">
        <v>3</v>
      </c>
      <c r="J4869" s="14">
        <v>0.54166666666666663</v>
      </c>
      <c r="K4869" s="20" t="str">
        <f t="shared" si="229"/>
        <v>1st Shift</v>
      </c>
    </row>
    <row r="4870" spans="1:11" x14ac:dyDescent="0.25">
      <c r="A4870" s="1">
        <v>4869</v>
      </c>
      <c r="B4870" s="1">
        <v>5</v>
      </c>
      <c r="C4870" s="3">
        <v>5115271238800</v>
      </c>
      <c r="D4870" s="2">
        <v>44713.506944444445</v>
      </c>
      <c r="E4870" s="2">
        <v>44713.5625</v>
      </c>
      <c r="F4870" s="23">
        <f t="shared" si="228"/>
        <v>5.5555555554747116E-2</v>
      </c>
      <c r="G4870" s="24">
        <f t="shared" si="230"/>
        <v>225.00000000327418</v>
      </c>
      <c r="H4870" s="1" t="s">
        <v>1</v>
      </c>
      <c r="I4870" s="4" t="s">
        <v>2</v>
      </c>
      <c r="J4870" s="14">
        <v>0.50694444444444442</v>
      </c>
      <c r="K4870" s="20" t="str">
        <f t="shared" si="229"/>
        <v>1st Shift</v>
      </c>
    </row>
    <row r="4871" spans="1:11" x14ac:dyDescent="0.25">
      <c r="A4871" s="1">
        <v>4870</v>
      </c>
      <c r="B4871" s="1">
        <v>3</v>
      </c>
      <c r="C4871" s="3">
        <v>3115270390640</v>
      </c>
      <c r="D4871" s="2">
        <v>44713.354166666664</v>
      </c>
      <c r="E4871" s="2">
        <v>44713.5625</v>
      </c>
      <c r="F4871" s="23">
        <f t="shared" si="228"/>
        <v>0.20833333333575865</v>
      </c>
      <c r="G4871" s="24">
        <f t="shared" si="230"/>
        <v>59.999999999301515</v>
      </c>
      <c r="H4871" s="1" t="s">
        <v>1</v>
      </c>
      <c r="I4871" s="4" t="s">
        <v>2</v>
      </c>
      <c r="J4871" s="14">
        <v>0.35416666666666669</v>
      </c>
      <c r="K4871" s="20" t="str">
        <f t="shared" si="229"/>
        <v>1st Shift</v>
      </c>
    </row>
    <row r="4872" spans="1:11" x14ac:dyDescent="0.25">
      <c r="A4872" s="1">
        <v>4871</v>
      </c>
      <c r="B4872" s="1">
        <v>3</v>
      </c>
      <c r="C4872" s="3">
        <v>3115270350400</v>
      </c>
      <c r="D4872" s="2">
        <v>44713.475694444445</v>
      </c>
      <c r="E4872" s="2">
        <v>44713.5625</v>
      </c>
      <c r="F4872" s="23">
        <f t="shared" si="228"/>
        <v>8.6805555554747116E-2</v>
      </c>
      <c r="G4872" s="24">
        <f t="shared" si="230"/>
        <v>144.00000000134111</v>
      </c>
      <c r="H4872" s="1" t="s">
        <v>1</v>
      </c>
      <c r="I4872" s="4" t="s">
        <v>2</v>
      </c>
      <c r="J4872" s="14">
        <v>0.47569444444444442</v>
      </c>
      <c r="K4872" s="20" t="str">
        <f t="shared" si="229"/>
        <v>1st Shift</v>
      </c>
    </row>
    <row r="4873" spans="1:11" x14ac:dyDescent="0.25">
      <c r="A4873" s="1">
        <v>4872</v>
      </c>
      <c r="B4873" s="1">
        <v>3</v>
      </c>
      <c r="C4873" s="3">
        <v>3115270307400</v>
      </c>
      <c r="D4873" s="2">
        <v>44713.385416666664</v>
      </c>
      <c r="E4873" s="2">
        <v>44713.5625</v>
      </c>
      <c r="F4873" s="23">
        <f t="shared" si="228"/>
        <v>0.17708333333575865</v>
      </c>
      <c r="G4873" s="24">
        <f t="shared" si="230"/>
        <v>70.588235293150888</v>
      </c>
      <c r="H4873" s="1" t="s">
        <v>1</v>
      </c>
      <c r="I4873" s="4" t="s">
        <v>8</v>
      </c>
      <c r="J4873" s="14">
        <v>0.38541666666666669</v>
      </c>
      <c r="K4873" s="20" t="str">
        <f t="shared" si="229"/>
        <v>1st Shift</v>
      </c>
    </row>
    <row r="4874" spans="1:11" x14ac:dyDescent="0.25">
      <c r="A4874" s="1">
        <v>4873</v>
      </c>
      <c r="B4874" s="1">
        <v>2</v>
      </c>
      <c r="C4874" s="3">
        <v>2115270196500</v>
      </c>
      <c r="D4874" s="2">
        <v>44713.354166666664</v>
      </c>
      <c r="E4874" s="2">
        <v>44713.5625</v>
      </c>
      <c r="F4874" s="23">
        <f t="shared" si="228"/>
        <v>0.20833333333575865</v>
      </c>
      <c r="G4874" s="24">
        <f t="shared" si="230"/>
        <v>59.999999999301515</v>
      </c>
      <c r="H4874" s="1" t="s">
        <v>1</v>
      </c>
      <c r="I4874" s="4" t="s">
        <v>2</v>
      </c>
      <c r="J4874" s="14">
        <v>0.35416666666666669</v>
      </c>
      <c r="K4874" s="20" t="str">
        <f t="shared" si="229"/>
        <v>1st Shift</v>
      </c>
    </row>
    <row r="4875" spans="1:11" x14ac:dyDescent="0.25">
      <c r="A4875" s="1">
        <v>4874</v>
      </c>
      <c r="B4875" s="1">
        <v>6</v>
      </c>
      <c r="C4875" s="3">
        <v>6115271698406</v>
      </c>
      <c r="D4875" s="2">
        <v>44713.663194444445</v>
      </c>
      <c r="E4875" s="2">
        <v>44713.777777777781</v>
      </c>
      <c r="F4875" s="23">
        <f t="shared" si="228"/>
        <v>0.11458333333575865</v>
      </c>
      <c r="G4875" s="24">
        <f t="shared" si="230"/>
        <v>109.09090908860001</v>
      </c>
      <c r="H4875" s="1" t="s">
        <v>1</v>
      </c>
      <c r="I4875" s="4" t="s">
        <v>2</v>
      </c>
      <c r="J4875" s="14">
        <v>0.66319444444444442</v>
      </c>
      <c r="K4875" s="20" t="str">
        <f t="shared" si="229"/>
        <v>2nd Shift</v>
      </c>
    </row>
    <row r="4876" spans="1:11" x14ac:dyDescent="0.25">
      <c r="A4876" s="1">
        <v>4875</v>
      </c>
      <c r="B4876" s="1">
        <v>6</v>
      </c>
      <c r="C4876" s="3">
        <v>6115271698400</v>
      </c>
      <c r="D4876" s="2">
        <v>44713.663194444445</v>
      </c>
      <c r="E4876" s="2">
        <v>44713.777777777781</v>
      </c>
      <c r="F4876" s="23">
        <f t="shared" si="228"/>
        <v>0.11458333333575865</v>
      </c>
      <c r="G4876" s="24">
        <f t="shared" si="230"/>
        <v>109.09090908860001</v>
      </c>
      <c r="H4876" s="1" t="s">
        <v>1</v>
      </c>
      <c r="I4876" s="4" t="s">
        <v>2</v>
      </c>
      <c r="J4876" s="14">
        <v>0.66319444444444442</v>
      </c>
      <c r="K4876" s="20" t="str">
        <f t="shared" si="229"/>
        <v>2nd Shift</v>
      </c>
    </row>
    <row r="4877" spans="1:11" x14ac:dyDescent="0.25">
      <c r="A4877" s="1">
        <v>4876</v>
      </c>
      <c r="B4877" s="1">
        <v>3</v>
      </c>
      <c r="C4877" s="3">
        <v>3115270370509</v>
      </c>
      <c r="D4877" s="2">
        <v>44713.663194444445</v>
      </c>
      <c r="E4877" s="2">
        <v>44713.777777777781</v>
      </c>
      <c r="F4877" s="23">
        <f t="shared" si="228"/>
        <v>0.11458333333575865</v>
      </c>
      <c r="G4877" s="24">
        <f t="shared" si="230"/>
        <v>109.09090908860001</v>
      </c>
      <c r="H4877" s="1" t="s">
        <v>1</v>
      </c>
      <c r="I4877" s="4" t="s">
        <v>2</v>
      </c>
      <c r="J4877" s="14">
        <v>0.66319444444444442</v>
      </c>
      <c r="K4877" s="20" t="str">
        <f t="shared" si="229"/>
        <v>2nd Shift</v>
      </c>
    </row>
    <row r="4878" spans="1:11" x14ac:dyDescent="0.25">
      <c r="A4878" s="1">
        <v>4877</v>
      </c>
      <c r="B4878" s="1">
        <v>3</v>
      </c>
      <c r="C4878" s="3">
        <v>3115270370500</v>
      </c>
      <c r="D4878" s="2">
        <v>44713.663194444445</v>
      </c>
      <c r="E4878" s="2">
        <v>44713.777777777781</v>
      </c>
      <c r="F4878" s="23">
        <f t="shared" si="228"/>
        <v>0.11458333333575865</v>
      </c>
      <c r="G4878" s="24">
        <f t="shared" si="230"/>
        <v>109.09090908860001</v>
      </c>
      <c r="H4878" s="1" t="s">
        <v>1</v>
      </c>
      <c r="I4878" s="4" t="s">
        <v>3</v>
      </c>
      <c r="J4878" s="14">
        <v>0.66319444444444442</v>
      </c>
      <c r="K4878" s="20" t="str">
        <f t="shared" si="229"/>
        <v>2nd Shift</v>
      </c>
    </row>
    <row r="4879" spans="1:11" x14ac:dyDescent="0.25">
      <c r="A4879" s="1">
        <v>4878</v>
      </c>
      <c r="B4879" s="1">
        <v>1</v>
      </c>
      <c r="C4879" s="3">
        <v>1115270112501</v>
      </c>
      <c r="D4879" s="2">
        <v>44713.663194444445</v>
      </c>
      <c r="E4879" s="2">
        <v>44713.777777777781</v>
      </c>
      <c r="F4879" s="23">
        <f t="shared" si="228"/>
        <v>0.11458333333575865</v>
      </c>
      <c r="G4879" s="24">
        <f t="shared" si="230"/>
        <v>109.09090908860001</v>
      </c>
      <c r="H4879" s="1" t="s">
        <v>1</v>
      </c>
      <c r="I4879" s="4" t="s">
        <v>2</v>
      </c>
      <c r="J4879" s="14">
        <v>0.66319444444444442</v>
      </c>
      <c r="K4879" s="20" t="str">
        <f t="shared" si="229"/>
        <v>2nd Shift</v>
      </c>
    </row>
    <row r="4880" spans="1:11" x14ac:dyDescent="0.25">
      <c r="A4880" s="1">
        <v>4879</v>
      </c>
      <c r="B4880" s="1">
        <v>1</v>
      </c>
      <c r="C4880" s="3">
        <v>1115270112500</v>
      </c>
      <c r="D4880" s="2">
        <v>44713.663194444445</v>
      </c>
      <c r="E4880" s="2">
        <v>44713.777777777781</v>
      </c>
      <c r="F4880" s="23">
        <f t="shared" si="228"/>
        <v>0.11458333333575865</v>
      </c>
      <c r="G4880" s="24">
        <f t="shared" si="230"/>
        <v>109.09090908860001</v>
      </c>
      <c r="H4880" s="1" t="s">
        <v>1</v>
      </c>
      <c r="I4880" s="4" t="s">
        <v>3</v>
      </c>
      <c r="J4880" s="14">
        <v>0.66319444444444442</v>
      </c>
      <c r="K4880" s="20" t="str">
        <f t="shared" si="229"/>
        <v>2nd Shift</v>
      </c>
    </row>
    <row r="4881" spans="1:11" x14ac:dyDescent="0.25">
      <c r="A4881" s="1">
        <v>4880</v>
      </c>
      <c r="B4881" s="1">
        <v>8</v>
      </c>
      <c r="C4881" s="3">
        <v>8115271820904</v>
      </c>
      <c r="D4881" s="2">
        <v>44713.805555555555</v>
      </c>
      <c r="E4881" s="2">
        <v>44713.913194444445</v>
      </c>
      <c r="F4881" s="23">
        <f t="shared" si="228"/>
        <v>0.10763888889050577</v>
      </c>
      <c r="G4881" s="24">
        <f t="shared" si="230"/>
        <v>116.1290322563201</v>
      </c>
      <c r="H4881" s="1" t="s">
        <v>1</v>
      </c>
      <c r="I4881" s="4" t="s">
        <v>2</v>
      </c>
      <c r="J4881" s="14">
        <v>0.80555555555555558</v>
      </c>
      <c r="K4881" s="20" t="str">
        <f t="shared" si="229"/>
        <v>2nd Shift</v>
      </c>
    </row>
    <row r="4882" spans="1:11" x14ac:dyDescent="0.25">
      <c r="A4882" s="1">
        <v>4881</v>
      </c>
      <c r="B4882" s="1">
        <v>8</v>
      </c>
      <c r="C4882" s="3">
        <v>8115271820900</v>
      </c>
      <c r="D4882" s="2">
        <v>44713.805555555555</v>
      </c>
      <c r="E4882" s="2">
        <v>44713.913194444445</v>
      </c>
      <c r="F4882" s="23">
        <f t="shared" si="228"/>
        <v>0.10763888889050577</v>
      </c>
      <c r="G4882" s="24">
        <f t="shared" si="230"/>
        <v>116.1290322563201</v>
      </c>
      <c r="H4882" s="1" t="s">
        <v>1</v>
      </c>
      <c r="I4882" s="4" t="s">
        <v>2</v>
      </c>
      <c r="J4882" s="14">
        <v>0.80555555555555558</v>
      </c>
      <c r="K4882" s="20" t="str">
        <f t="shared" si="229"/>
        <v>2nd Shift</v>
      </c>
    </row>
    <row r="4883" spans="1:11" x14ac:dyDescent="0.25">
      <c r="A4883" s="1">
        <v>4882</v>
      </c>
      <c r="B4883" s="1">
        <v>6</v>
      </c>
      <c r="C4883" s="3">
        <v>6115271720829</v>
      </c>
      <c r="D4883" s="2">
        <v>44713.840277777781</v>
      </c>
      <c r="E4883" s="2">
        <v>44713.913194444445</v>
      </c>
      <c r="F4883" s="23">
        <f t="shared" si="228"/>
        <v>7.2916666664241347E-2</v>
      </c>
      <c r="G4883" s="24">
        <f t="shared" si="230"/>
        <v>171.42857143427341</v>
      </c>
      <c r="H4883" s="1" t="s">
        <v>1</v>
      </c>
      <c r="I4883" s="4" t="s">
        <v>2</v>
      </c>
      <c r="J4883" s="14">
        <v>0.84027777777777779</v>
      </c>
      <c r="K4883" s="20" t="str">
        <f t="shared" si="229"/>
        <v>2nd Shift</v>
      </c>
    </row>
    <row r="4884" spans="1:11" x14ac:dyDescent="0.25">
      <c r="A4884" s="1">
        <v>4883</v>
      </c>
      <c r="B4884" s="1">
        <v>6</v>
      </c>
      <c r="C4884" s="3">
        <v>6115271720825</v>
      </c>
      <c r="D4884" s="2">
        <v>44713.840277777781</v>
      </c>
      <c r="E4884" s="2">
        <v>44713.913194444445</v>
      </c>
      <c r="F4884" s="23">
        <f t="shared" si="228"/>
        <v>7.2916666664241347E-2</v>
      </c>
      <c r="G4884" s="24">
        <f t="shared" si="230"/>
        <v>171.42857143427341</v>
      </c>
      <c r="H4884" s="1" t="s">
        <v>1</v>
      </c>
      <c r="I4884" s="4" t="s">
        <v>3</v>
      </c>
      <c r="J4884" s="14">
        <v>0.84027777777777779</v>
      </c>
      <c r="K4884" s="20" t="str">
        <f t="shared" si="229"/>
        <v>2nd Shift</v>
      </c>
    </row>
    <row r="4885" spans="1:11" x14ac:dyDescent="0.25">
      <c r="A4885" s="1">
        <v>4884</v>
      </c>
      <c r="B4885" s="1">
        <v>3</v>
      </c>
      <c r="C4885" s="3">
        <v>3115270310805</v>
      </c>
      <c r="D4885" s="2">
        <v>44713.840277777781</v>
      </c>
      <c r="E4885" s="2">
        <v>44713.913194444445</v>
      </c>
      <c r="F4885" s="23">
        <f t="shared" si="228"/>
        <v>7.2916666664241347E-2</v>
      </c>
      <c r="G4885" s="24">
        <f t="shared" si="230"/>
        <v>171.42857143427341</v>
      </c>
      <c r="H4885" s="1" t="s">
        <v>1</v>
      </c>
      <c r="I4885" s="4" t="s">
        <v>2</v>
      </c>
      <c r="J4885" s="14">
        <v>0.84027777777777779</v>
      </c>
      <c r="K4885" s="20" t="str">
        <f t="shared" si="229"/>
        <v>2nd Shift</v>
      </c>
    </row>
    <row r="4886" spans="1:11" x14ac:dyDescent="0.25">
      <c r="A4886" s="1">
        <v>4885</v>
      </c>
      <c r="B4886" s="1">
        <v>3</v>
      </c>
      <c r="C4886" s="3">
        <v>3115270310802</v>
      </c>
      <c r="D4886" s="2">
        <v>44713.840277777781</v>
      </c>
      <c r="E4886" s="2">
        <v>44713.913194444445</v>
      </c>
      <c r="F4886" s="23">
        <f t="shared" si="228"/>
        <v>7.2916666664241347E-2</v>
      </c>
      <c r="G4886" s="24">
        <f t="shared" si="230"/>
        <v>171.42857143427341</v>
      </c>
      <c r="H4886" s="1" t="s">
        <v>1</v>
      </c>
      <c r="I4886" s="4" t="s">
        <v>2</v>
      </c>
      <c r="J4886" s="14">
        <v>0.84027777777777779</v>
      </c>
      <c r="K4886" s="20" t="str">
        <f t="shared" si="229"/>
        <v>2nd Shift</v>
      </c>
    </row>
    <row r="4887" spans="1:11" x14ac:dyDescent="0.25">
      <c r="A4887" s="1">
        <v>4886</v>
      </c>
      <c r="B4887" s="1">
        <v>2</v>
      </c>
      <c r="C4887" s="3">
        <v>2115270221503</v>
      </c>
      <c r="D4887" s="2">
        <v>44713.840277777781</v>
      </c>
      <c r="E4887" s="2">
        <v>44713.913194444445</v>
      </c>
      <c r="F4887" s="23">
        <f t="shared" si="228"/>
        <v>7.2916666664241347E-2</v>
      </c>
      <c r="G4887" s="24">
        <f t="shared" si="230"/>
        <v>171.42857143427341</v>
      </c>
      <c r="H4887" s="1" t="s">
        <v>1</v>
      </c>
      <c r="I4887" s="4" t="s">
        <v>2</v>
      </c>
      <c r="J4887" s="14">
        <v>0.84027777777777779</v>
      </c>
      <c r="K4887" s="20" t="str">
        <f t="shared" si="229"/>
        <v>2nd Shift</v>
      </c>
    </row>
    <row r="4888" spans="1:11" x14ac:dyDescent="0.25">
      <c r="A4888" s="1">
        <v>4887</v>
      </c>
      <c r="B4888" s="1">
        <v>2</v>
      </c>
      <c r="C4888" s="3">
        <v>2115270221500</v>
      </c>
      <c r="D4888" s="2">
        <v>44713.840277777781</v>
      </c>
      <c r="E4888" s="2">
        <v>44713.913194444445</v>
      </c>
      <c r="F4888" s="23">
        <f t="shared" si="228"/>
        <v>7.2916666664241347E-2</v>
      </c>
      <c r="G4888" s="24">
        <f t="shared" si="230"/>
        <v>171.42857143427341</v>
      </c>
      <c r="H4888" s="1" t="s">
        <v>1</v>
      </c>
      <c r="I4888" s="4" t="s">
        <v>2</v>
      </c>
      <c r="J4888" s="14">
        <v>0.84027777777777779</v>
      </c>
      <c r="K4888" s="20" t="str">
        <f t="shared" si="229"/>
        <v>2nd Shift</v>
      </c>
    </row>
    <row r="4889" spans="1:11" x14ac:dyDescent="0.25">
      <c r="A4889" s="1">
        <v>4888</v>
      </c>
      <c r="B4889" s="1">
        <v>2</v>
      </c>
      <c r="C4889" s="3">
        <v>2115270222700</v>
      </c>
      <c r="D4889" s="2">
        <v>44713.986111111109</v>
      </c>
      <c r="E4889" s="2">
        <v>44714.055555555555</v>
      </c>
      <c r="F4889" s="23">
        <f t="shared" si="228"/>
        <v>6.9444444445252884E-2</v>
      </c>
      <c r="G4889" s="24">
        <f t="shared" si="230"/>
        <v>179.99999999790452</v>
      </c>
      <c r="H4889" s="1" t="s">
        <v>1</v>
      </c>
      <c r="I4889" s="4" t="s">
        <v>3</v>
      </c>
      <c r="J4889" s="14">
        <v>0.98611111111111116</v>
      </c>
      <c r="K4889" s="20" t="str">
        <f t="shared" si="229"/>
        <v>3rd Shift</v>
      </c>
    </row>
    <row r="4890" spans="1:11" x14ac:dyDescent="0.25">
      <c r="A4890" s="1">
        <v>4889</v>
      </c>
      <c r="B4890" s="1">
        <v>10</v>
      </c>
      <c r="C4890" s="3">
        <v>10115271436709</v>
      </c>
      <c r="D4890" s="2">
        <v>44714.208333333336</v>
      </c>
      <c r="E4890" s="2">
        <v>44714.246527777781</v>
      </c>
      <c r="F4890" s="23">
        <f t="shared" si="228"/>
        <v>3.8194444445252884E-2</v>
      </c>
      <c r="G4890" s="24">
        <f t="shared" si="230"/>
        <v>327.27272726580009</v>
      </c>
      <c r="H4890" s="1" t="s">
        <v>1</v>
      </c>
      <c r="I4890" s="4" t="s">
        <v>2</v>
      </c>
      <c r="J4890" s="14">
        <v>0.20833333333333334</v>
      </c>
      <c r="K4890" s="20" t="str">
        <f t="shared" si="229"/>
        <v>3rd Shift</v>
      </c>
    </row>
    <row r="4891" spans="1:11" x14ac:dyDescent="0.25">
      <c r="A4891" s="1">
        <v>4890</v>
      </c>
      <c r="B4891" s="1">
        <v>10</v>
      </c>
      <c r="C4891" s="3">
        <v>10115271436700</v>
      </c>
      <c r="D4891" s="2">
        <v>44714.208333333336</v>
      </c>
      <c r="E4891" s="2">
        <v>44714.246527777781</v>
      </c>
      <c r="F4891" s="23">
        <f t="shared" si="228"/>
        <v>3.8194444445252884E-2</v>
      </c>
      <c r="G4891" s="24">
        <f t="shared" si="230"/>
        <v>327.27272726580009</v>
      </c>
      <c r="H4891" s="1" t="s">
        <v>1</v>
      </c>
      <c r="I4891" s="4" t="s">
        <v>2</v>
      </c>
      <c r="J4891" s="14">
        <v>0.20833333333333334</v>
      </c>
      <c r="K4891" s="20" t="str">
        <f t="shared" si="229"/>
        <v>3rd Shift</v>
      </c>
    </row>
    <row r="4892" spans="1:11" x14ac:dyDescent="0.25">
      <c r="A4892" s="1">
        <v>4891</v>
      </c>
      <c r="B4892" s="1">
        <v>13</v>
      </c>
      <c r="C4892" s="3">
        <v>13115271656309</v>
      </c>
      <c r="D4892" s="2">
        <v>44714.555555555555</v>
      </c>
      <c r="E4892" s="2">
        <v>44714.597222222219</v>
      </c>
      <c r="F4892" s="23">
        <f t="shared" si="228"/>
        <v>4.1666666664241347E-2</v>
      </c>
      <c r="G4892" s="24">
        <f t="shared" si="230"/>
        <v>300.0000000174623</v>
      </c>
      <c r="H4892" s="1" t="s">
        <v>1</v>
      </c>
      <c r="I4892" s="4" t="s">
        <v>2</v>
      </c>
      <c r="J4892" s="14">
        <v>0.55555555555555558</v>
      </c>
      <c r="K4892" s="20" t="str">
        <f t="shared" si="229"/>
        <v>1st Shift</v>
      </c>
    </row>
    <row r="4893" spans="1:11" x14ac:dyDescent="0.25">
      <c r="A4893" s="1">
        <v>4892</v>
      </c>
      <c r="B4893" s="1">
        <v>13</v>
      </c>
      <c r="C4893" s="3">
        <v>13115271656300</v>
      </c>
      <c r="D4893" s="2">
        <v>44714.555555555555</v>
      </c>
      <c r="E4893" s="2">
        <v>44714.597222222219</v>
      </c>
      <c r="F4893" s="23">
        <f t="shared" si="228"/>
        <v>4.1666666664241347E-2</v>
      </c>
      <c r="G4893" s="24">
        <f t="shared" si="230"/>
        <v>300.0000000174623</v>
      </c>
      <c r="H4893" s="1" t="s">
        <v>1</v>
      </c>
      <c r="I4893" s="4" t="s">
        <v>3</v>
      </c>
      <c r="J4893" s="14">
        <v>0.55555555555555558</v>
      </c>
      <c r="K4893" s="20" t="str">
        <f t="shared" si="229"/>
        <v>1st Shift</v>
      </c>
    </row>
    <row r="4894" spans="1:11" x14ac:dyDescent="0.25">
      <c r="A4894" s="1">
        <v>4893</v>
      </c>
      <c r="B4894" s="1">
        <v>12</v>
      </c>
      <c r="C4894" s="3">
        <v>12115271567395</v>
      </c>
      <c r="D4894" s="2">
        <v>44714.385416666664</v>
      </c>
      <c r="E4894" s="2">
        <v>44714.597222222219</v>
      </c>
      <c r="F4894" s="23">
        <f t="shared" si="228"/>
        <v>0.21180555555474712</v>
      </c>
      <c r="G4894" s="24">
        <f t="shared" si="230"/>
        <v>59.016393442848212</v>
      </c>
      <c r="H4894" s="1" t="s">
        <v>1</v>
      </c>
      <c r="I4894" s="4" t="s">
        <v>2</v>
      </c>
      <c r="J4894" s="14">
        <v>0.38541666666666669</v>
      </c>
      <c r="K4894" s="20" t="str">
        <f t="shared" si="229"/>
        <v>1st Shift</v>
      </c>
    </row>
    <row r="4895" spans="1:11" x14ac:dyDescent="0.25">
      <c r="A4895" s="1">
        <v>4894</v>
      </c>
      <c r="B4895" s="1">
        <v>12</v>
      </c>
      <c r="C4895" s="3">
        <v>12115271567394</v>
      </c>
      <c r="D4895" s="2">
        <v>44714.385416666664</v>
      </c>
      <c r="E4895" s="2">
        <v>44714.597222222219</v>
      </c>
      <c r="F4895" s="23">
        <f t="shared" si="228"/>
        <v>0.21180555555474712</v>
      </c>
      <c r="G4895" s="24">
        <f t="shared" si="230"/>
        <v>59.016393442848212</v>
      </c>
      <c r="H4895" s="1" t="s">
        <v>1</v>
      </c>
      <c r="I4895" s="4" t="s">
        <v>3</v>
      </c>
      <c r="J4895" s="14">
        <v>0.38541666666666669</v>
      </c>
      <c r="K4895" s="20" t="str">
        <f t="shared" si="229"/>
        <v>1st Shift</v>
      </c>
    </row>
    <row r="4896" spans="1:11" x14ac:dyDescent="0.25">
      <c r="A4896" s="1">
        <v>4895</v>
      </c>
      <c r="B4896" s="1">
        <v>12</v>
      </c>
      <c r="C4896" s="3">
        <v>12115271567391</v>
      </c>
      <c r="D4896" s="2">
        <v>44714.385416666664</v>
      </c>
      <c r="E4896" s="2">
        <v>44714.597222222219</v>
      </c>
      <c r="F4896" s="23">
        <f t="shared" si="228"/>
        <v>0.21180555555474712</v>
      </c>
      <c r="G4896" s="24">
        <f t="shared" si="230"/>
        <v>59.016393442848212</v>
      </c>
      <c r="H4896" s="1" t="s">
        <v>1</v>
      </c>
      <c r="I4896" s="4" t="s">
        <v>2</v>
      </c>
      <c r="J4896" s="14">
        <v>0.38541666666666669</v>
      </c>
      <c r="K4896" s="20" t="str">
        <f t="shared" si="229"/>
        <v>1st Shift</v>
      </c>
    </row>
    <row r="4897" spans="1:11" x14ac:dyDescent="0.25">
      <c r="A4897" s="1">
        <v>4896</v>
      </c>
      <c r="B4897" s="1">
        <v>12</v>
      </c>
      <c r="C4897" s="3">
        <v>12115271560119</v>
      </c>
      <c r="D4897" s="2">
        <v>44714.385416666664</v>
      </c>
      <c r="E4897" s="2">
        <v>44714.597222222219</v>
      </c>
      <c r="F4897" s="23">
        <f t="shared" si="228"/>
        <v>0.21180555555474712</v>
      </c>
      <c r="G4897" s="24">
        <f t="shared" si="230"/>
        <v>59.016393442848212</v>
      </c>
      <c r="H4897" s="1" t="s">
        <v>1</v>
      </c>
      <c r="I4897" s="4" t="s">
        <v>2</v>
      </c>
      <c r="J4897" s="14">
        <v>0.38541666666666669</v>
      </c>
      <c r="K4897" s="20" t="str">
        <f t="shared" si="229"/>
        <v>1st Shift</v>
      </c>
    </row>
    <row r="4898" spans="1:11" x14ac:dyDescent="0.25">
      <c r="A4898" s="1">
        <v>4897</v>
      </c>
      <c r="B4898" s="1">
        <v>12</v>
      </c>
      <c r="C4898" s="3">
        <v>12115271560118</v>
      </c>
      <c r="D4898" s="2">
        <v>44714.385416666664</v>
      </c>
      <c r="E4898" s="2">
        <v>44714.597222222219</v>
      </c>
      <c r="F4898" s="23">
        <f t="shared" si="228"/>
        <v>0.21180555555474712</v>
      </c>
      <c r="G4898" s="24">
        <f t="shared" si="230"/>
        <v>59.016393442848212</v>
      </c>
      <c r="H4898" s="1" t="s">
        <v>1</v>
      </c>
      <c r="I4898" s="4" t="s">
        <v>2</v>
      </c>
      <c r="J4898" s="14">
        <v>0.38541666666666669</v>
      </c>
      <c r="K4898" s="20" t="str">
        <f t="shared" si="229"/>
        <v>1st Shift</v>
      </c>
    </row>
    <row r="4899" spans="1:11" x14ac:dyDescent="0.25">
      <c r="A4899" s="1">
        <v>4898</v>
      </c>
      <c r="B4899" s="1">
        <v>12</v>
      </c>
      <c r="C4899" s="3">
        <v>12115271560115</v>
      </c>
      <c r="D4899" s="2">
        <v>44714.385416666664</v>
      </c>
      <c r="E4899" s="2">
        <v>44714.597222222219</v>
      </c>
      <c r="F4899" s="23">
        <f t="shared" si="228"/>
        <v>0.21180555555474712</v>
      </c>
      <c r="G4899" s="24">
        <f t="shared" si="230"/>
        <v>59.016393442848212</v>
      </c>
      <c r="H4899" s="1" t="s">
        <v>1</v>
      </c>
      <c r="I4899" s="4" t="s">
        <v>2</v>
      </c>
      <c r="J4899" s="14">
        <v>0.38541666666666669</v>
      </c>
      <c r="K4899" s="20" t="str">
        <f t="shared" si="229"/>
        <v>1st Shift</v>
      </c>
    </row>
    <row r="4900" spans="1:11" x14ac:dyDescent="0.25">
      <c r="A4900" s="1">
        <v>4899</v>
      </c>
      <c r="B4900" s="1">
        <v>12</v>
      </c>
      <c r="C4900" s="3">
        <v>12115271560114</v>
      </c>
      <c r="D4900" s="2">
        <v>44714.385416666664</v>
      </c>
      <c r="E4900" s="2">
        <v>44714.597222222219</v>
      </c>
      <c r="F4900" s="23">
        <f t="shared" si="228"/>
        <v>0.21180555555474712</v>
      </c>
      <c r="G4900" s="24">
        <f t="shared" si="230"/>
        <v>59.016393442848212</v>
      </c>
      <c r="H4900" s="1" t="s">
        <v>1</v>
      </c>
      <c r="I4900" s="4" t="s">
        <v>2</v>
      </c>
      <c r="J4900" s="14">
        <v>0.38541666666666669</v>
      </c>
      <c r="K4900" s="20" t="str">
        <f t="shared" si="229"/>
        <v>1st Shift</v>
      </c>
    </row>
    <row r="4901" spans="1:11" x14ac:dyDescent="0.25">
      <c r="A4901" s="1">
        <v>4900</v>
      </c>
      <c r="B4901" s="1">
        <v>10</v>
      </c>
      <c r="C4901" s="3">
        <v>10115271433727</v>
      </c>
      <c r="D4901" s="2">
        <v>44714.333333333336</v>
      </c>
      <c r="E4901" s="2">
        <v>44714.597222222219</v>
      </c>
      <c r="F4901" s="23">
        <f t="shared" si="228"/>
        <v>0.26388888888322981</v>
      </c>
      <c r="G4901" s="24">
        <f t="shared" si="230"/>
        <v>47.368421053647388</v>
      </c>
      <c r="H4901" s="1" t="s">
        <v>1</v>
      </c>
      <c r="I4901" s="4" t="s">
        <v>3</v>
      </c>
      <c r="J4901" s="14">
        <v>0.33333333333333331</v>
      </c>
      <c r="K4901" s="20" t="str">
        <f t="shared" si="229"/>
        <v>1st Shift</v>
      </c>
    </row>
    <row r="4902" spans="1:11" x14ac:dyDescent="0.25">
      <c r="A4902" s="1">
        <v>4901</v>
      </c>
      <c r="B4902" s="1">
        <v>10</v>
      </c>
      <c r="C4902" s="3">
        <v>10115271433710</v>
      </c>
      <c r="D4902" s="2">
        <v>44714.333333333336</v>
      </c>
      <c r="E4902" s="2">
        <v>44714.597222222219</v>
      </c>
      <c r="F4902" s="23">
        <f t="shared" si="228"/>
        <v>0.26388888888322981</v>
      </c>
      <c r="G4902" s="24">
        <f t="shared" si="230"/>
        <v>47.368421053647388</v>
      </c>
      <c r="H4902" s="1" t="s">
        <v>1</v>
      </c>
      <c r="I4902" s="4" t="s">
        <v>2</v>
      </c>
      <c r="J4902" s="14">
        <v>0.33333333333333331</v>
      </c>
      <c r="K4902" s="20" t="str">
        <f t="shared" si="229"/>
        <v>1st Shift</v>
      </c>
    </row>
    <row r="4903" spans="1:11" x14ac:dyDescent="0.25">
      <c r="A4903" s="1">
        <v>4902</v>
      </c>
      <c r="B4903" s="1">
        <v>10</v>
      </c>
      <c r="C4903" s="3">
        <v>10115271433707</v>
      </c>
      <c r="D4903" s="2">
        <v>44714.333333333336</v>
      </c>
      <c r="E4903" s="2">
        <v>44714.597222222219</v>
      </c>
      <c r="F4903" s="23">
        <f t="shared" si="228"/>
        <v>0.26388888888322981</v>
      </c>
      <c r="G4903" s="24">
        <f t="shared" si="230"/>
        <v>47.368421053647388</v>
      </c>
      <c r="H4903" s="1" t="s">
        <v>1</v>
      </c>
      <c r="I4903" s="4" t="s">
        <v>4</v>
      </c>
      <c r="J4903" s="14">
        <v>0.33333333333333331</v>
      </c>
      <c r="K4903" s="20" t="str">
        <f t="shared" si="229"/>
        <v>1st Shift</v>
      </c>
    </row>
    <row r="4904" spans="1:11" x14ac:dyDescent="0.25">
      <c r="A4904" s="1">
        <v>4903</v>
      </c>
      <c r="B4904" s="1">
        <v>10</v>
      </c>
      <c r="C4904" s="3">
        <v>10115271433703</v>
      </c>
      <c r="D4904" s="2">
        <v>44714.333333333336</v>
      </c>
      <c r="E4904" s="2">
        <v>44714.597222222219</v>
      </c>
      <c r="F4904" s="23">
        <f t="shared" si="228"/>
        <v>0.26388888888322981</v>
      </c>
      <c r="G4904" s="24">
        <f t="shared" si="230"/>
        <v>47.368421053647388</v>
      </c>
      <c r="H4904" s="1" t="s">
        <v>1</v>
      </c>
      <c r="I4904" s="4" t="s">
        <v>2</v>
      </c>
      <c r="J4904" s="14">
        <v>0.33333333333333331</v>
      </c>
      <c r="K4904" s="20" t="str">
        <f t="shared" si="229"/>
        <v>1st Shift</v>
      </c>
    </row>
    <row r="4905" spans="1:11" x14ac:dyDescent="0.25">
      <c r="A4905" s="1">
        <v>4904</v>
      </c>
      <c r="B4905" s="1">
        <v>8</v>
      </c>
      <c r="C4905" s="3">
        <v>8115271810106</v>
      </c>
      <c r="D4905" s="2">
        <v>44714.527777777781</v>
      </c>
      <c r="E4905" s="2">
        <v>44714.597222222219</v>
      </c>
      <c r="F4905" s="23">
        <f t="shared" si="228"/>
        <v>6.9444444437976927E-2</v>
      </c>
      <c r="G4905" s="24">
        <f t="shared" si="230"/>
        <v>180.00000001676381</v>
      </c>
      <c r="H4905" s="1" t="s">
        <v>1</v>
      </c>
      <c r="I4905" s="4" t="s">
        <v>2</v>
      </c>
      <c r="J4905" s="14">
        <v>0.52777777777777779</v>
      </c>
      <c r="K4905" s="20" t="str">
        <f t="shared" si="229"/>
        <v>1st Shift</v>
      </c>
    </row>
    <row r="4906" spans="1:11" x14ac:dyDescent="0.25">
      <c r="A4906" s="1">
        <v>4905</v>
      </c>
      <c r="B4906" s="1">
        <v>8</v>
      </c>
      <c r="C4906" s="3">
        <v>8115271810102</v>
      </c>
      <c r="D4906" s="2">
        <v>44714.527777777781</v>
      </c>
      <c r="E4906" s="2">
        <v>44714.597222222219</v>
      </c>
      <c r="F4906" s="23">
        <f t="shared" si="228"/>
        <v>6.9444444437976927E-2</v>
      </c>
      <c r="G4906" s="24">
        <f t="shared" si="230"/>
        <v>180.00000001676381</v>
      </c>
      <c r="H4906" s="1" t="s">
        <v>1</v>
      </c>
      <c r="I4906" s="4" t="s">
        <v>2</v>
      </c>
      <c r="J4906" s="14">
        <v>0.52777777777777779</v>
      </c>
      <c r="K4906" s="20" t="str">
        <f t="shared" si="229"/>
        <v>1st Shift</v>
      </c>
    </row>
    <row r="4907" spans="1:11" x14ac:dyDescent="0.25">
      <c r="A4907" s="1">
        <v>4906</v>
      </c>
      <c r="B4907" s="1">
        <v>7</v>
      </c>
      <c r="C4907" s="3">
        <v>7115271759014</v>
      </c>
      <c r="D4907" s="2">
        <v>44714.430555555555</v>
      </c>
      <c r="E4907" s="2">
        <v>44714.597222222219</v>
      </c>
      <c r="F4907" s="23">
        <f t="shared" si="228"/>
        <v>0.16666666666424135</v>
      </c>
      <c r="G4907" s="24">
        <f t="shared" si="230"/>
        <v>75.000000001091394</v>
      </c>
      <c r="H4907" s="1" t="s">
        <v>1</v>
      </c>
      <c r="I4907" s="4" t="s">
        <v>2</v>
      </c>
      <c r="J4907" s="14">
        <v>0.43055555555555558</v>
      </c>
      <c r="K4907" s="20" t="str">
        <f t="shared" si="229"/>
        <v>1st Shift</v>
      </c>
    </row>
    <row r="4908" spans="1:11" x14ac:dyDescent="0.25">
      <c r="A4908" s="1">
        <v>4907</v>
      </c>
      <c r="B4908" s="1">
        <v>7</v>
      </c>
      <c r="C4908" s="3">
        <v>7115271759013</v>
      </c>
      <c r="D4908" s="2">
        <v>44714.430555555555</v>
      </c>
      <c r="E4908" s="2">
        <v>44714.597222222219</v>
      </c>
      <c r="F4908" s="23">
        <f t="shared" si="228"/>
        <v>0.16666666666424135</v>
      </c>
      <c r="G4908" s="24">
        <f t="shared" si="230"/>
        <v>75.000000001091394</v>
      </c>
      <c r="H4908" s="1" t="s">
        <v>1</v>
      </c>
      <c r="I4908" s="4" t="s">
        <v>4</v>
      </c>
      <c r="J4908" s="14">
        <v>0.43055555555555558</v>
      </c>
      <c r="K4908" s="20" t="str">
        <f t="shared" si="229"/>
        <v>1st Shift</v>
      </c>
    </row>
    <row r="4909" spans="1:11" x14ac:dyDescent="0.25">
      <c r="A4909" s="1">
        <v>4908</v>
      </c>
      <c r="B4909" s="1">
        <v>6</v>
      </c>
      <c r="C4909" s="3">
        <v>6115271691708</v>
      </c>
      <c r="D4909" s="2">
        <v>44714.385416666664</v>
      </c>
      <c r="E4909" s="2">
        <v>44714.597222222219</v>
      </c>
      <c r="F4909" s="23">
        <f t="shared" si="228"/>
        <v>0.21180555555474712</v>
      </c>
      <c r="G4909" s="24">
        <f t="shared" si="230"/>
        <v>59.016393442848212</v>
      </c>
      <c r="H4909" s="1" t="s">
        <v>1</v>
      </c>
      <c r="I4909" s="4" t="s">
        <v>4</v>
      </c>
      <c r="J4909" s="14">
        <v>0.38541666666666669</v>
      </c>
      <c r="K4909" s="20" t="str">
        <f t="shared" si="229"/>
        <v>1st Shift</v>
      </c>
    </row>
    <row r="4910" spans="1:11" x14ac:dyDescent="0.25">
      <c r="A4910" s="1">
        <v>4909</v>
      </c>
      <c r="B4910" s="1">
        <v>6</v>
      </c>
      <c r="C4910" s="3">
        <v>6115271691705</v>
      </c>
      <c r="D4910" s="2">
        <v>44714.385416666664</v>
      </c>
      <c r="E4910" s="2">
        <v>44714.597222222219</v>
      </c>
      <c r="F4910" s="23">
        <f t="shared" si="228"/>
        <v>0.21180555555474712</v>
      </c>
      <c r="G4910" s="24">
        <f t="shared" si="230"/>
        <v>59.016393442848212</v>
      </c>
      <c r="H4910" s="1" t="s">
        <v>1</v>
      </c>
      <c r="I4910" s="4" t="s">
        <v>2</v>
      </c>
      <c r="J4910" s="14">
        <v>0.38541666666666669</v>
      </c>
      <c r="K4910" s="20" t="str">
        <f t="shared" si="229"/>
        <v>1st Shift</v>
      </c>
    </row>
    <row r="4911" spans="1:11" x14ac:dyDescent="0.25">
      <c r="A4911" s="1">
        <v>4910</v>
      </c>
      <c r="B4911" s="1">
        <v>6</v>
      </c>
      <c r="C4911" s="3">
        <v>6115271691702</v>
      </c>
      <c r="D4911" s="2">
        <v>44714.385416666664</v>
      </c>
      <c r="E4911" s="2">
        <v>44714.597222222219</v>
      </c>
      <c r="F4911" s="23">
        <f t="shared" si="228"/>
        <v>0.21180555555474712</v>
      </c>
      <c r="G4911" s="24">
        <f t="shared" si="230"/>
        <v>59.016393442848212</v>
      </c>
      <c r="H4911" s="1" t="s">
        <v>1</v>
      </c>
      <c r="I4911" s="4" t="s">
        <v>2</v>
      </c>
      <c r="J4911" s="14">
        <v>0.38541666666666669</v>
      </c>
      <c r="K4911" s="20" t="str">
        <f t="shared" si="229"/>
        <v>1st Shift</v>
      </c>
    </row>
    <row r="4912" spans="1:11" x14ac:dyDescent="0.25">
      <c r="A4912" s="1">
        <v>4911</v>
      </c>
      <c r="B4912" s="1">
        <v>6</v>
      </c>
      <c r="C4912" s="3">
        <v>6115271691702</v>
      </c>
      <c r="D4912" s="2">
        <v>44714.385416666664</v>
      </c>
      <c r="E4912" s="2">
        <v>44714.597222222219</v>
      </c>
      <c r="F4912" s="23">
        <f t="shared" si="228"/>
        <v>0.21180555555474712</v>
      </c>
      <c r="G4912" s="24">
        <f t="shared" si="230"/>
        <v>59.016393442848212</v>
      </c>
      <c r="H4912" s="1" t="s">
        <v>1</v>
      </c>
      <c r="I4912" s="4" t="s">
        <v>3</v>
      </c>
      <c r="J4912" s="14">
        <v>0.38541666666666669</v>
      </c>
      <c r="K4912" s="20" t="str">
        <f t="shared" si="229"/>
        <v>1st Shift</v>
      </c>
    </row>
    <row r="4913" spans="1:11" x14ac:dyDescent="0.25">
      <c r="A4913" s="1">
        <v>4912</v>
      </c>
      <c r="B4913" s="1">
        <v>5</v>
      </c>
      <c r="C4913" s="3">
        <v>5115271239307</v>
      </c>
      <c r="D4913" s="2">
        <v>44714.555555555555</v>
      </c>
      <c r="E4913" s="2">
        <v>44714.597222222219</v>
      </c>
      <c r="F4913" s="23">
        <f t="shared" si="228"/>
        <v>4.1666666664241347E-2</v>
      </c>
      <c r="G4913" s="24">
        <f t="shared" si="230"/>
        <v>300.0000000174623</v>
      </c>
      <c r="H4913" s="1" t="s">
        <v>1</v>
      </c>
      <c r="I4913" s="4" t="s">
        <v>2</v>
      </c>
      <c r="J4913" s="14">
        <v>0.55555555555555558</v>
      </c>
      <c r="K4913" s="20" t="str">
        <f t="shared" si="229"/>
        <v>1st Shift</v>
      </c>
    </row>
    <row r="4914" spans="1:11" x14ac:dyDescent="0.25">
      <c r="A4914" s="1">
        <v>4913</v>
      </c>
      <c r="B4914" s="1">
        <v>5</v>
      </c>
      <c r="C4914" s="3">
        <v>5115271239300</v>
      </c>
      <c r="D4914" s="2">
        <v>44714.555555555555</v>
      </c>
      <c r="E4914" s="2">
        <v>44714.597222222219</v>
      </c>
      <c r="F4914" s="23">
        <f t="shared" si="228"/>
        <v>4.1666666664241347E-2</v>
      </c>
      <c r="G4914" s="24">
        <f t="shared" si="230"/>
        <v>300.0000000174623</v>
      </c>
      <c r="H4914" s="1" t="s">
        <v>1</v>
      </c>
      <c r="I4914" s="4" t="s">
        <v>2</v>
      </c>
      <c r="J4914" s="14">
        <v>0.55555555555555558</v>
      </c>
      <c r="K4914" s="20" t="str">
        <f t="shared" si="229"/>
        <v>1st Shift</v>
      </c>
    </row>
    <row r="4915" spans="1:11" x14ac:dyDescent="0.25">
      <c r="A4915" s="1">
        <v>4914</v>
      </c>
      <c r="B4915" s="1">
        <v>10</v>
      </c>
      <c r="C4915" s="3">
        <v>10115271436108</v>
      </c>
      <c r="D4915" s="2">
        <v>44714.677083333336</v>
      </c>
      <c r="E4915" s="2">
        <v>44714.756944444445</v>
      </c>
      <c r="F4915" s="23">
        <f t="shared" si="228"/>
        <v>7.9861111109494232E-2</v>
      </c>
      <c r="G4915" s="24">
        <f t="shared" si="230"/>
        <v>156.52173913360375</v>
      </c>
      <c r="H4915" s="1" t="s">
        <v>1</v>
      </c>
      <c r="I4915" s="4" t="s">
        <v>2</v>
      </c>
      <c r="J4915" s="14">
        <v>0.67708333333333337</v>
      </c>
      <c r="K4915" s="20" t="str">
        <f t="shared" si="229"/>
        <v>2nd Shift</v>
      </c>
    </row>
    <row r="4916" spans="1:11" x14ac:dyDescent="0.25">
      <c r="A4916" s="1">
        <v>4915</v>
      </c>
      <c r="B4916" s="1">
        <v>10</v>
      </c>
      <c r="C4916" s="3">
        <v>10115271436100</v>
      </c>
      <c r="D4916" s="2">
        <v>44714.677083333336</v>
      </c>
      <c r="E4916" s="2">
        <v>44714.756944444445</v>
      </c>
      <c r="F4916" s="23">
        <f t="shared" si="228"/>
        <v>7.9861111109494232E-2</v>
      </c>
      <c r="G4916" s="24">
        <f t="shared" si="230"/>
        <v>156.52173913360375</v>
      </c>
      <c r="H4916" s="1" t="s">
        <v>1</v>
      </c>
      <c r="I4916" s="4" t="s">
        <v>2</v>
      </c>
      <c r="J4916" s="14">
        <v>0.67708333333333337</v>
      </c>
      <c r="K4916" s="20" t="str">
        <f t="shared" si="229"/>
        <v>2nd Shift</v>
      </c>
    </row>
    <row r="4917" spans="1:11" x14ac:dyDescent="0.25">
      <c r="A4917" s="1">
        <v>4916</v>
      </c>
      <c r="B4917" s="1">
        <v>3</v>
      </c>
      <c r="C4917" s="3">
        <v>3115270391500</v>
      </c>
      <c r="D4917" s="2">
        <v>44714.861111111109</v>
      </c>
      <c r="E4917" s="2">
        <v>44714.895833333336</v>
      </c>
      <c r="F4917" s="23">
        <f t="shared" si="228"/>
        <v>3.4722222226264421E-2</v>
      </c>
      <c r="G4917" s="24">
        <f t="shared" si="230"/>
        <v>359.99999995809048</v>
      </c>
      <c r="H4917" s="1" t="s">
        <v>1</v>
      </c>
      <c r="I4917" s="4" t="s">
        <v>3</v>
      </c>
      <c r="J4917" s="14">
        <v>0.86111111111111116</v>
      </c>
      <c r="K4917" s="20" t="str">
        <f t="shared" si="229"/>
        <v>2nd Shift</v>
      </c>
    </row>
    <row r="4918" spans="1:11" x14ac:dyDescent="0.25">
      <c r="A4918" s="1">
        <v>4917</v>
      </c>
      <c r="B4918" s="1">
        <v>13</v>
      </c>
      <c r="C4918" s="3">
        <v>13115271613107</v>
      </c>
      <c r="D4918" s="2">
        <v>44715.552083333336</v>
      </c>
      <c r="E4918" s="2">
        <v>44715.601388888892</v>
      </c>
      <c r="F4918" s="23">
        <f t="shared" si="228"/>
        <v>4.9305555556202307E-2</v>
      </c>
      <c r="G4918" s="24">
        <f t="shared" si="230"/>
        <v>253.52112675723788</v>
      </c>
      <c r="H4918" s="1" t="s">
        <v>1</v>
      </c>
      <c r="I4918" s="4" t="s">
        <v>2</v>
      </c>
      <c r="J4918" s="14">
        <v>0.55208333333333337</v>
      </c>
      <c r="K4918" s="20" t="str">
        <f t="shared" si="229"/>
        <v>1st Shift</v>
      </c>
    </row>
    <row r="4919" spans="1:11" x14ac:dyDescent="0.25">
      <c r="A4919" s="1">
        <v>4918</v>
      </c>
      <c r="B4919" s="1">
        <v>13</v>
      </c>
      <c r="C4919" s="3">
        <v>13115271590600</v>
      </c>
      <c r="D4919" s="2">
        <v>44715.513888888891</v>
      </c>
      <c r="E4919" s="2">
        <v>44715.601388888892</v>
      </c>
      <c r="F4919" s="23">
        <f t="shared" si="228"/>
        <v>8.7500000001455192E-2</v>
      </c>
      <c r="G4919" s="24">
        <f t="shared" si="230"/>
        <v>142.85714285476703</v>
      </c>
      <c r="H4919" s="1" t="s">
        <v>1</v>
      </c>
      <c r="I4919" s="4" t="s">
        <v>2</v>
      </c>
      <c r="J4919" s="14">
        <v>0.51388888888888884</v>
      </c>
      <c r="K4919" s="20" t="str">
        <f t="shared" si="229"/>
        <v>1st Shift</v>
      </c>
    </row>
    <row r="4920" spans="1:11" x14ac:dyDescent="0.25">
      <c r="A4920" s="1">
        <v>4919</v>
      </c>
      <c r="B4920" s="1">
        <v>12</v>
      </c>
      <c r="C4920" s="3">
        <v>12115271574321</v>
      </c>
      <c r="D4920" s="2">
        <v>44715.385416666664</v>
      </c>
      <c r="E4920" s="2">
        <v>44715.601388888892</v>
      </c>
      <c r="F4920" s="23">
        <f t="shared" si="228"/>
        <v>0.21597222222771961</v>
      </c>
      <c r="G4920" s="24">
        <f t="shared" si="230"/>
        <v>57.87781350334992</v>
      </c>
      <c r="H4920" s="1" t="s">
        <v>1</v>
      </c>
      <c r="I4920" s="4" t="s">
        <v>2</v>
      </c>
      <c r="J4920" s="14">
        <v>0.38541666666666669</v>
      </c>
      <c r="K4920" s="20" t="str">
        <f t="shared" si="229"/>
        <v>1st Shift</v>
      </c>
    </row>
    <row r="4921" spans="1:11" x14ac:dyDescent="0.25">
      <c r="A4921" s="1">
        <v>4920</v>
      </c>
      <c r="B4921" s="1">
        <v>12</v>
      </c>
      <c r="C4921" s="3">
        <v>12115271560111</v>
      </c>
      <c r="D4921" s="2">
        <v>44715.444444444445</v>
      </c>
      <c r="E4921" s="2">
        <v>44715.601388888892</v>
      </c>
      <c r="F4921" s="23">
        <f t="shared" si="228"/>
        <v>0.15694444444670808</v>
      </c>
      <c r="G4921" s="24">
        <f t="shared" si="230"/>
        <v>79.6460176979663</v>
      </c>
      <c r="H4921" s="1" t="s">
        <v>1</v>
      </c>
      <c r="I4921" s="4" t="s">
        <v>3</v>
      </c>
      <c r="J4921" s="14">
        <v>0.44444444444444442</v>
      </c>
      <c r="K4921" s="20" t="str">
        <f t="shared" si="229"/>
        <v>1st Shift</v>
      </c>
    </row>
    <row r="4922" spans="1:11" x14ac:dyDescent="0.25">
      <c r="A4922" s="1">
        <v>4921</v>
      </c>
      <c r="B4922" s="1">
        <v>11</v>
      </c>
      <c r="C4922" s="3">
        <v>11115271541300</v>
      </c>
      <c r="D4922" s="2">
        <v>44715.34375</v>
      </c>
      <c r="E4922" s="2">
        <v>44715.601388888892</v>
      </c>
      <c r="F4922" s="23">
        <f t="shared" si="228"/>
        <v>0.25763888889196096</v>
      </c>
      <c r="G4922" s="24">
        <f t="shared" si="230"/>
        <v>48.517520215054901</v>
      </c>
      <c r="H4922" s="1" t="s">
        <v>1</v>
      </c>
      <c r="I4922" s="4" t="s">
        <v>2</v>
      </c>
      <c r="J4922" s="14">
        <v>0.34375</v>
      </c>
      <c r="K4922" s="20" t="str">
        <f t="shared" si="229"/>
        <v>1st Shift</v>
      </c>
    </row>
    <row r="4923" spans="1:11" x14ac:dyDescent="0.25">
      <c r="A4923" s="1">
        <v>4922</v>
      </c>
      <c r="B4923" s="1">
        <v>8</v>
      </c>
      <c r="C4923" s="3">
        <v>8115271820900</v>
      </c>
      <c r="D4923" s="2">
        <v>44715.479166666664</v>
      </c>
      <c r="E4923" s="2">
        <v>44715.601388888892</v>
      </c>
      <c r="F4923" s="23">
        <f t="shared" si="228"/>
        <v>0.12222222222771961</v>
      </c>
      <c r="G4923" s="24">
        <f t="shared" si="230"/>
        <v>102.2727272681272</v>
      </c>
      <c r="H4923" s="1" t="s">
        <v>1</v>
      </c>
      <c r="I4923" s="4" t="s">
        <v>5</v>
      </c>
      <c r="J4923" s="14">
        <v>0.47916666666666669</v>
      </c>
      <c r="K4923" s="20" t="str">
        <f t="shared" si="229"/>
        <v>1st Shift</v>
      </c>
    </row>
    <row r="4924" spans="1:11" x14ac:dyDescent="0.25">
      <c r="A4924" s="1">
        <v>4923</v>
      </c>
      <c r="B4924" s="1">
        <v>7</v>
      </c>
      <c r="C4924" s="3">
        <v>7115271759014</v>
      </c>
      <c r="D4924" s="2">
        <v>44715.552083333336</v>
      </c>
      <c r="E4924" s="2">
        <v>44715.601388888892</v>
      </c>
      <c r="F4924" s="23">
        <f t="shared" si="228"/>
        <v>4.9305555556202307E-2</v>
      </c>
      <c r="G4924" s="24">
        <f t="shared" si="230"/>
        <v>253.52112675723788</v>
      </c>
      <c r="H4924" s="1" t="s">
        <v>1</v>
      </c>
      <c r="I4924" s="4" t="s">
        <v>2</v>
      </c>
      <c r="J4924" s="14">
        <v>0.55208333333333337</v>
      </c>
      <c r="K4924" s="20" t="str">
        <f t="shared" si="229"/>
        <v>1st Shift</v>
      </c>
    </row>
    <row r="4925" spans="1:11" x14ac:dyDescent="0.25">
      <c r="A4925" s="1">
        <v>4924</v>
      </c>
      <c r="B4925" s="1">
        <v>3</v>
      </c>
      <c r="C4925" s="3">
        <v>3115270400400</v>
      </c>
      <c r="D4925" s="2">
        <v>44715.395833333336</v>
      </c>
      <c r="E4925" s="2">
        <v>44715.601388888892</v>
      </c>
      <c r="F4925" s="23">
        <f t="shared" si="228"/>
        <v>0.20555555555620231</v>
      </c>
      <c r="G4925" s="24">
        <f t="shared" si="230"/>
        <v>60.810810810619472</v>
      </c>
      <c r="H4925" s="1" t="s">
        <v>1</v>
      </c>
      <c r="I4925" s="4" t="s">
        <v>5</v>
      </c>
      <c r="J4925" s="14">
        <v>0.39583333333333331</v>
      </c>
      <c r="K4925" s="20" t="str">
        <f t="shared" si="229"/>
        <v>1st Shift</v>
      </c>
    </row>
    <row r="4926" spans="1:11" x14ac:dyDescent="0.25">
      <c r="A4926" s="1">
        <v>4925</v>
      </c>
      <c r="B4926" s="1">
        <v>3</v>
      </c>
      <c r="C4926" s="3">
        <v>3115270355305</v>
      </c>
      <c r="D4926" s="2">
        <v>44715.444444444445</v>
      </c>
      <c r="E4926" s="2">
        <v>44715.601388888892</v>
      </c>
      <c r="F4926" s="23">
        <f t="shared" si="228"/>
        <v>0.15694444444670808</v>
      </c>
      <c r="G4926" s="24">
        <f t="shared" si="230"/>
        <v>79.6460176979663</v>
      </c>
      <c r="H4926" s="1" t="s">
        <v>1</v>
      </c>
      <c r="I4926" s="4" t="s">
        <v>2</v>
      </c>
      <c r="J4926" s="14">
        <v>0.44444444444444442</v>
      </c>
      <c r="K4926" s="20" t="str">
        <f t="shared" si="229"/>
        <v>1st Shift</v>
      </c>
    </row>
    <row r="4927" spans="1:11" x14ac:dyDescent="0.25">
      <c r="A4927" s="1">
        <v>4926</v>
      </c>
      <c r="B4927" s="1">
        <v>3</v>
      </c>
      <c r="C4927" s="3">
        <v>3115270333900</v>
      </c>
      <c r="D4927" s="2">
        <v>44715.34375</v>
      </c>
      <c r="E4927" s="2">
        <v>44715.601388888892</v>
      </c>
      <c r="F4927" s="23">
        <f t="shared" si="228"/>
        <v>0.25763888889196096</v>
      </c>
      <c r="G4927" s="24">
        <f t="shared" si="230"/>
        <v>48.517520215054901</v>
      </c>
      <c r="H4927" s="1" t="s">
        <v>1</v>
      </c>
      <c r="I4927" s="4" t="s">
        <v>4</v>
      </c>
      <c r="J4927" s="14">
        <v>0.34375</v>
      </c>
      <c r="K4927" s="20" t="str">
        <f t="shared" si="229"/>
        <v>1st Shift</v>
      </c>
    </row>
    <row r="4928" spans="1:11" x14ac:dyDescent="0.25">
      <c r="A4928" s="1">
        <v>4927</v>
      </c>
      <c r="B4928" s="1">
        <v>14</v>
      </c>
      <c r="C4928" s="3">
        <v>14115271672403</v>
      </c>
      <c r="D4928" s="2">
        <v>44715.722916666666</v>
      </c>
      <c r="E4928" s="2">
        <v>44715.895833333336</v>
      </c>
      <c r="F4928" s="23">
        <f t="shared" si="228"/>
        <v>0.17291666667006211</v>
      </c>
      <c r="G4928" s="24">
        <f t="shared" si="230"/>
        <v>72.28915662508652</v>
      </c>
      <c r="H4928" s="1" t="s">
        <v>1</v>
      </c>
      <c r="I4928" s="4" t="s">
        <v>2</v>
      </c>
      <c r="J4928" s="14">
        <v>0.72291666666666665</v>
      </c>
      <c r="K4928" s="20" t="str">
        <f t="shared" si="229"/>
        <v>2nd Shift</v>
      </c>
    </row>
    <row r="4929" spans="1:11" x14ac:dyDescent="0.25">
      <c r="A4929" s="1">
        <v>4928</v>
      </c>
      <c r="B4929" s="1">
        <v>12</v>
      </c>
      <c r="C4929" s="3">
        <v>12115271567324</v>
      </c>
      <c r="D4929" s="2">
        <v>44715.722916666666</v>
      </c>
      <c r="E4929" s="2">
        <v>44715.895833333336</v>
      </c>
      <c r="F4929" s="23">
        <f t="shared" si="228"/>
        <v>0.17291666667006211</v>
      </c>
      <c r="G4929" s="24">
        <f t="shared" si="230"/>
        <v>72.28915662508652</v>
      </c>
      <c r="H4929" s="1" t="s">
        <v>1</v>
      </c>
      <c r="I4929" s="4" t="s">
        <v>3</v>
      </c>
      <c r="J4929" s="14">
        <v>0.72291666666666665</v>
      </c>
      <c r="K4929" s="20" t="str">
        <f t="shared" si="229"/>
        <v>2nd Shift</v>
      </c>
    </row>
    <row r="4930" spans="1:11" x14ac:dyDescent="0.25">
      <c r="A4930" s="1">
        <v>4929</v>
      </c>
      <c r="B4930" s="1">
        <v>5</v>
      </c>
      <c r="C4930" s="3">
        <v>5115271239400</v>
      </c>
      <c r="D4930" s="2">
        <v>44715.722916666666</v>
      </c>
      <c r="E4930" s="2">
        <v>44715.895833333336</v>
      </c>
      <c r="F4930" s="23">
        <f t="shared" ref="F4930:F4993" si="231">E4930-D4930</f>
        <v>0.17291666667006211</v>
      </c>
      <c r="G4930" s="24">
        <f t="shared" si="230"/>
        <v>72.28915662508652</v>
      </c>
      <c r="H4930" s="1" t="s">
        <v>1</v>
      </c>
      <c r="I4930" s="4" t="s">
        <v>2</v>
      </c>
      <c r="J4930" s="14">
        <v>0.72291666666666665</v>
      </c>
      <c r="K4930" s="20" t="str">
        <f t="shared" ref="K4930:K4993" si="232">IF(AND(J4930&gt;=$M$3,J4930&lt;$M$4),"1st Shift",IF(AND(J4930&gt;=$M$4,J4930&lt;$M$5),"2nd Shift","3rd Shift"))</f>
        <v>2nd Shift</v>
      </c>
    </row>
    <row r="4931" spans="1:11" x14ac:dyDescent="0.25">
      <c r="A4931" s="1">
        <v>4930</v>
      </c>
      <c r="B4931" s="1">
        <v>4</v>
      </c>
      <c r="C4931" s="3">
        <v>4115270888400</v>
      </c>
      <c r="D4931" s="2">
        <v>44715.722916666666</v>
      </c>
      <c r="E4931" s="2">
        <v>44715.895833333336</v>
      </c>
      <c r="F4931" s="23">
        <f t="shared" si="231"/>
        <v>0.17291666667006211</v>
      </c>
      <c r="G4931" s="24">
        <f t="shared" ref="G4931:G4994" si="233">$M$9/F4931*100</f>
        <v>72.28915662508652</v>
      </c>
      <c r="H4931" s="1" t="s">
        <v>1</v>
      </c>
      <c r="I4931" s="4" t="s">
        <v>2</v>
      </c>
      <c r="J4931" s="14">
        <v>0.72291666666666665</v>
      </c>
      <c r="K4931" s="20" t="str">
        <f t="shared" si="232"/>
        <v>2nd Shift</v>
      </c>
    </row>
    <row r="4932" spans="1:11" x14ac:dyDescent="0.25">
      <c r="A4932" s="1">
        <v>4931</v>
      </c>
      <c r="B4932" s="1">
        <v>3</v>
      </c>
      <c r="C4932" s="3">
        <v>3115270396400</v>
      </c>
      <c r="D4932" s="2">
        <v>44715.722916666666</v>
      </c>
      <c r="E4932" s="2">
        <v>44715.895833333336</v>
      </c>
      <c r="F4932" s="23">
        <f t="shared" si="231"/>
        <v>0.17291666667006211</v>
      </c>
      <c r="G4932" s="24">
        <f t="shared" si="233"/>
        <v>72.28915662508652</v>
      </c>
      <c r="H4932" s="1" t="s">
        <v>1</v>
      </c>
      <c r="I4932" s="4" t="s">
        <v>2</v>
      </c>
      <c r="J4932" s="14">
        <v>0.72291666666666665</v>
      </c>
      <c r="K4932" s="20" t="str">
        <f t="shared" si="232"/>
        <v>2nd Shift</v>
      </c>
    </row>
    <row r="4933" spans="1:11" x14ac:dyDescent="0.25">
      <c r="A4933" s="1">
        <v>4932</v>
      </c>
      <c r="B4933" s="1">
        <v>3</v>
      </c>
      <c r="C4933" s="3">
        <v>3115270350207</v>
      </c>
      <c r="D4933" s="2">
        <v>44715.722916666666</v>
      </c>
      <c r="E4933" s="2">
        <v>44715.895833333336</v>
      </c>
      <c r="F4933" s="23">
        <f t="shared" si="231"/>
        <v>0.17291666667006211</v>
      </c>
      <c r="G4933" s="24">
        <f t="shared" si="233"/>
        <v>72.28915662508652</v>
      </c>
      <c r="H4933" s="1" t="s">
        <v>1</v>
      </c>
      <c r="I4933" s="4" t="s">
        <v>2</v>
      </c>
      <c r="J4933" s="14">
        <v>0.72291666666666665</v>
      </c>
      <c r="K4933" s="20" t="str">
        <f t="shared" si="232"/>
        <v>2nd Shift</v>
      </c>
    </row>
    <row r="4934" spans="1:11" x14ac:dyDescent="0.25">
      <c r="A4934" s="1">
        <v>4933</v>
      </c>
      <c r="B4934" s="1">
        <v>1</v>
      </c>
      <c r="C4934" s="3">
        <v>1115270088900</v>
      </c>
      <c r="D4934" s="2">
        <v>44715.722916666666</v>
      </c>
      <c r="E4934" s="2">
        <v>44715.895833333336</v>
      </c>
      <c r="F4934" s="23">
        <f t="shared" si="231"/>
        <v>0.17291666667006211</v>
      </c>
      <c r="G4934" s="24">
        <f t="shared" si="233"/>
        <v>72.28915662508652</v>
      </c>
      <c r="H4934" s="1" t="s">
        <v>1</v>
      </c>
      <c r="I4934" s="4" t="s">
        <v>2</v>
      </c>
      <c r="J4934" s="14">
        <v>0.72291666666666665</v>
      </c>
      <c r="K4934" s="20" t="str">
        <f t="shared" si="232"/>
        <v>2nd Shift</v>
      </c>
    </row>
    <row r="4935" spans="1:11" x14ac:dyDescent="0.25">
      <c r="A4935" s="1">
        <v>4934</v>
      </c>
      <c r="B4935" s="1">
        <v>6</v>
      </c>
      <c r="C4935" s="3">
        <v>6115271751300</v>
      </c>
      <c r="D4935" s="2">
        <v>44715.944444444445</v>
      </c>
      <c r="E4935" s="2">
        <v>44716.03125</v>
      </c>
      <c r="F4935" s="23">
        <f t="shared" si="231"/>
        <v>8.6805555554747116E-2</v>
      </c>
      <c r="G4935" s="24">
        <f t="shared" si="233"/>
        <v>144.00000000134111</v>
      </c>
      <c r="H4935" s="1" t="s">
        <v>1</v>
      </c>
      <c r="I4935" s="4" t="s">
        <v>3</v>
      </c>
      <c r="J4935" s="14">
        <v>0.94444444444444442</v>
      </c>
      <c r="K4935" s="20" t="str">
        <f t="shared" si="232"/>
        <v>3rd Shift</v>
      </c>
    </row>
    <row r="4936" spans="1:11" x14ac:dyDescent="0.25">
      <c r="A4936" s="1">
        <v>4935</v>
      </c>
      <c r="B4936" s="1">
        <v>3</v>
      </c>
      <c r="C4936" s="3">
        <v>3115270311200</v>
      </c>
      <c r="D4936" s="2">
        <v>44715.944444444445</v>
      </c>
      <c r="E4936" s="2">
        <v>44716.03125</v>
      </c>
      <c r="F4936" s="23">
        <f t="shared" si="231"/>
        <v>8.6805555554747116E-2</v>
      </c>
      <c r="G4936" s="24">
        <f t="shared" si="233"/>
        <v>144.00000000134111</v>
      </c>
      <c r="H4936" s="1" t="s">
        <v>1</v>
      </c>
      <c r="I4936" s="4" t="s">
        <v>3</v>
      </c>
      <c r="J4936" s="14">
        <v>0.94444444444444442</v>
      </c>
      <c r="K4936" s="20" t="str">
        <f t="shared" si="232"/>
        <v>3rd Shift</v>
      </c>
    </row>
    <row r="4937" spans="1:11" x14ac:dyDescent="0.25">
      <c r="A4937" s="1">
        <v>4936</v>
      </c>
      <c r="B4937" s="1">
        <v>1</v>
      </c>
      <c r="C4937" s="3">
        <v>1115270018000</v>
      </c>
      <c r="D4937" s="2">
        <v>44715.944444444445</v>
      </c>
      <c r="E4937" s="2">
        <v>44716.03125</v>
      </c>
      <c r="F4937" s="23">
        <f t="shared" si="231"/>
        <v>8.6805555554747116E-2</v>
      </c>
      <c r="G4937" s="24">
        <f t="shared" si="233"/>
        <v>144.00000000134111</v>
      </c>
      <c r="H4937" s="1" t="s">
        <v>1</v>
      </c>
      <c r="I4937" s="4" t="s">
        <v>4</v>
      </c>
      <c r="J4937" s="14">
        <v>0.94444444444444442</v>
      </c>
      <c r="K4937" s="20" t="str">
        <f t="shared" si="232"/>
        <v>3rd Shift</v>
      </c>
    </row>
    <row r="4938" spans="1:11" x14ac:dyDescent="0.25">
      <c r="A4938" s="1">
        <v>4937</v>
      </c>
      <c r="B4938" s="1">
        <v>12</v>
      </c>
      <c r="C4938" s="3">
        <v>12115271565407</v>
      </c>
      <c r="D4938" s="2">
        <v>44716.079861111109</v>
      </c>
      <c r="E4938" s="2">
        <v>44716.114583333336</v>
      </c>
      <c r="F4938" s="23">
        <f t="shared" si="231"/>
        <v>3.4722222226264421E-2</v>
      </c>
      <c r="G4938" s="24">
        <f t="shared" si="233"/>
        <v>359.99999995809048</v>
      </c>
      <c r="H4938" s="1" t="s">
        <v>1</v>
      </c>
      <c r="I4938" s="4" t="s">
        <v>4</v>
      </c>
      <c r="J4938" s="14">
        <v>7.9861111111111105E-2</v>
      </c>
      <c r="K4938" s="20" t="str">
        <f t="shared" si="232"/>
        <v>3rd Shift</v>
      </c>
    </row>
    <row r="4939" spans="1:11" x14ac:dyDescent="0.25">
      <c r="A4939" s="1">
        <v>4938</v>
      </c>
      <c r="B4939" s="1">
        <v>15</v>
      </c>
      <c r="C4939" s="3">
        <v>15115271778328</v>
      </c>
      <c r="D4939" s="2">
        <v>44716.555555555555</v>
      </c>
      <c r="E4939" s="2">
        <v>44716.576388888891</v>
      </c>
      <c r="F4939" s="23">
        <f t="shared" si="231"/>
        <v>2.0833333335758653E-2</v>
      </c>
      <c r="G4939" s="24">
        <f t="shared" si="233"/>
        <v>599.99999993015081</v>
      </c>
      <c r="H4939" s="1" t="s">
        <v>1</v>
      </c>
      <c r="I4939" s="4" t="s">
        <v>2</v>
      </c>
      <c r="J4939" s="14">
        <v>0.55555555555555558</v>
      </c>
      <c r="K4939" s="20" t="str">
        <f t="shared" si="232"/>
        <v>1st Shift</v>
      </c>
    </row>
    <row r="4940" spans="1:11" x14ac:dyDescent="0.25">
      <c r="A4940" s="1">
        <v>4939</v>
      </c>
      <c r="B4940" s="1">
        <v>12</v>
      </c>
      <c r="C4940" s="3">
        <v>12115271560122</v>
      </c>
      <c r="D4940" s="2">
        <v>44716.416666666664</v>
      </c>
      <c r="E4940" s="2">
        <v>44716.576388888891</v>
      </c>
      <c r="F4940" s="23">
        <f t="shared" si="231"/>
        <v>0.15972222222626442</v>
      </c>
      <c r="G4940" s="24">
        <f t="shared" si="233"/>
        <v>78.260869563236795</v>
      </c>
      <c r="H4940" s="1" t="s">
        <v>1</v>
      </c>
      <c r="I4940" s="4" t="s">
        <v>3</v>
      </c>
      <c r="J4940" s="14">
        <v>0.41666666666666669</v>
      </c>
      <c r="K4940" s="20" t="str">
        <f t="shared" si="232"/>
        <v>1st Shift</v>
      </c>
    </row>
    <row r="4941" spans="1:11" x14ac:dyDescent="0.25">
      <c r="A4941" s="1">
        <v>4940</v>
      </c>
      <c r="B4941" s="1">
        <v>12</v>
      </c>
      <c r="C4941" s="3">
        <v>12115271560117</v>
      </c>
      <c r="D4941" s="2">
        <v>44716.513888888891</v>
      </c>
      <c r="E4941" s="2">
        <v>44716.576388888891</v>
      </c>
      <c r="F4941" s="23">
        <f t="shared" si="231"/>
        <v>6.25E-2</v>
      </c>
      <c r="G4941" s="24">
        <f t="shared" si="233"/>
        <v>200</v>
      </c>
      <c r="H4941" s="1" t="s">
        <v>1</v>
      </c>
      <c r="I4941" s="4" t="s">
        <v>5</v>
      </c>
      <c r="J4941" s="14">
        <v>0.51388888888888884</v>
      </c>
      <c r="K4941" s="20" t="str">
        <f t="shared" si="232"/>
        <v>1st Shift</v>
      </c>
    </row>
    <row r="4942" spans="1:11" x14ac:dyDescent="0.25">
      <c r="A4942" s="1">
        <v>4941</v>
      </c>
      <c r="B4942" s="1">
        <v>11</v>
      </c>
      <c r="C4942" s="3">
        <v>11115271508201</v>
      </c>
      <c r="D4942" s="2">
        <v>44716.458333333336</v>
      </c>
      <c r="E4942" s="2">
        <v>44716.576388888891</v>
      </c>
      <c r="F4942" s="23">
        <f t="shared" si="231"/>
        <v>0.11805555555474712</v>
      </c>
      <c r="G4942" s="24">
        <f t="shared" si="233"/>
        <v>105.88235294190156</v>
      </c>
      <c r="H4942" s="1" t="s">
        <v>1</v>
      </c>
      <c r="I4942" s="4" t="s">
        <v>4</v>
      </c>
      <c r="J4942" s="14">
        <v>0.45833333333333331</v>
      </c>
      <c r="K4942" s="20" t="str">
        <f t="shared" si="232"/>
        <v>1st Shift</v>
      </c>
    </row>
    <row r="4943" spans="1:11" x14ac:dyDescent="0.25">
      <c r="A4943" s="1">
        <v>4942</v>
      </c>
      <c r="B4943" s="1">
        <v>10</v>
      </c>
      <c r="C4943" s="3">
        <v>10115271414800</v>
      </c>
      <c r="D4943" s="2">
        <v>44716.409722222219</v>
      </c>
      <c r="E4943" s="2">
        <v>44716.576388888891</v>
      </c>
      <c r="F4943" s="23">
        <f t="shared" si="231"/>
        <v>0.16666666667151731</v>
      </c>
      <c r="G4943" s="24">
        <f t="shared" si="233"/>
        <v>74.999999997817213</v>
      </c>
      <c r="H4943" s="1" t="s">
        <v>1</v>
      </c>
      <c r="I4943" s="4" t="s">
        <v>3</v>
      </c>
      <c r="J4943" s="14">
        <v>0.40972222222222221</v>
      </c>
      <c r="K4943" s="20" t="str">
        <f t="shared" si="232"/>
        <v>1st Shift</v>
      </c>
    </row>
    <row r="4944" spans="1:11" x14ac:dyDescent="0.25">
      <c r="A4944" s="1">
        <v>4943</v>
      </c>
      <c r="B4944" s="1">
        <v>5</v>
      </c>
      <c r="C4944" s="3">
        <v>5115271680210</v>
      </c>
      <c r="D4944" s="2">
        <v>44716.447916666664</v>
      </c>
      <c r="E4944" s="2">
        <v>44716.576388888891</v>
      </c>
      <c r="F4944" s="23">
        <f t="shared" si="231"/>
        <v>0.12847222222626442</v>
      </c>
      <c r="G4944" s="24">
        <f t="shared" si="233"/>
        <v>97.297297294235975</v>
      </c>
      <c r="H4944" s="1" t="s">
        <v>1</v>
      </c>
      <c r="I4944" s="4" t="s">
        <v>4</v>
      </c>
      <c r="J4944" s="14">
        <v>0.44791666666666669</v>
      </c>
      <c r="K4944" s="20" t="str">
        <f t="shared" si="232"/>
        <v>1st Shift</v>
      </c>
    </row>
    <row r="4945" spans="1:11" x14ac:dyDescent="0.25">
      <c r="A4945" s="1">
        <v>4944</v>
      </c>
      <c r="B4945" s="1">
        <v>5</v>
      </c>
      <c r="C4945" s="3">
        <v>5115270974800</v>
      </c>
      <c r="D4945" s="2">
        <v>44716.510416666664</v>
      </c>
      <c r="E4945" s="2">
        <v>44716.576388888891</v>
      </c>
      <c r="F4945" s="23">
        <f t="shared" si="231"/>
        <v>6.5972222226264421E-2</v>
      </c>
      <c r="G4945" s="24">
        <f t="shared" si="233"/>
        <v>189.47368419891703</v>
      </c>
      <c r="H4945" s="1" t="s">
        <v>1</v>
      </c>
      <c r="I4945" s="4" t="s">
        <v>3</v>
      </c>
      <c r="J4945" s="14">
        <v>0.51041666666666663</v>
      </c>
      <c r="K4945" s="20" t="str">
        <f t="shared" si="232"/>
        <v>1st Shift</v>
      </c>
    </row>
    <row r="4946" spans="1:11" x14ac:dyDescent="0.25">
      <c r="A4946" s="1">
        <v>4945</v>
      </c>
      <c r="B4946" s="1">
        <v>3</v>
      </c>
      <c r="C4946" s="3">
        <v>3115270360200</v>
      </c>
      <c r="D4946" s="2">
        <v>44716.409722222219</v>
      </c>
      <c r="E4946" s="2">
        <v>44716.576388888891</v>
      </c>
      <c r="F4946" s="23">
        <f t="shared" si="231"/>
        <v>0.16666666667151731</v>
      </c>
      <c r="G4946" s="24">
        <f t="shared" si="233"/>
        <v>74.999999997817213</v>
      </c>
      <c r="H4946" s="1" t="s">
        <v>1</v>
      </c>
      <c r="I4946" s="4" t="s">
        <v>8</v>
      </c>
      <c r="J4946" s="14">
        <v>0.40972222222222221</v>
      </c>
      <c r="K4946" s="20" t="str">
        <f t="shared" si="232"/>
        <v>1st Shift</v>
      </c>
    </row>
    <row r="4947" spans="1:11" x14ac:dyDescent="0.25">
      <c r="A4947" s="1">
        <v>4946</v>
      </c>
      <c r="B4947" s="1">
        <v>11</v>
      </c>
      <c r="C4947" s="3">
        <v>11115271501904</v>
      </c>
      <c r="D4947" s="2">
        <v>44716.666666666664</v>
      </c>
      <c r="E4947" s="2">
        <v>44716.836805555555</v>
      </c>
      <c r="F4947" s="23">
        <f t="shared" si="231"/>
        <v>0.17013888889050577</v>
      </c>
      <c r="G4947" s="24">
        <f t="shared" si="233"/>
        <v>73.46938775440384</v>
      </c>
      <c r="H4947" s="1" t="s">
        <v>1</v>
      </c>
      <c r="I4947" s="4" t="s">
        <v>2</v>
      </c>
      <c r="J4947" s="14">
        <v>0.66666666666666663</v>
      </c>
      <c r="K4947" s="20" t="str">
        <f t="shared" si="232"/>
        <v>2nd Shift</v>
      </c>
    </row>
    <row r="4948" spans="1:11" x14ac:dyDescent="0.25">
      <c r="A4948" s="1">
        <v>4947</v>
      </c>
      <c r="B4948" s="1">
        <v>10</v>
      </c>
      <c r="C4948" s="3">
        <v>10115271959000</v>
      </c>
      <c r="D4948" s="2">
        <v>44716.701388888891</v>
      </c>
      <c r="E4948" s="2">
        <v>44716.836805555555</v>
      </c>
      <c r="F4948" s="23">
        <f t="shared" si="231"/>
        <v>0.13541666666424135</v>
      </c>
      <c r="G4948" s="24">
        <f t="shared" si="233"/>
        <v>92.307692309345541</v>
      </c>
      <c r="H4948" s="1" t="s">
        <v>1</v>
      </c>
      <c r="I4948" s="4" t="s">
        <v>3</v>
      </c>
      <c r="J4948" s="14">
        <v>0.70138888888888884</v>
      </c>
      <c r="K4948" s="20" t="str">
        <f t="shared" si="232"/>
        <v>2nd Shift</v>
      </c>
    </row>
    <row r="4949" spans="1:11" x14ac:dyDescent="0.25">
      <c r="A4949" s="1">
        <v>4948</v>
      </c>
      <c r="B4949" s="1">
        <v>10</v>
      </c>
      <c r="C4949" s="3">
        <v>10115271453800</v>
      </c>
      <c r="D4949" s="2">
        <v>44716.666666666664</v>
      </c>
      <c r="E4949" s="2">
        <v>44716.836805555555</v>
      </c>
      <c r="F4949" s="23">
        <f t="shared" si="231"/>
        <v>0.17013888889050577</v>
      </c>
      <c r="G4949" s="24">
        <f t="shared" si="233"/>
        <v>73.46938775440384</v>
      </c>
      <c r="H4949" s="1" t="s">
        <v>1</v>
      </c>
      <c r="I4949" s="4" t="s">
        <v>4</v>
      </c>
      <c r="J4949" s="14">
        <v>0.66666666666666663</v>
      </c>
      <c r="K4949" s="20" t="str">
        <f t="shared" si="232"/>
        <v>2nd Shift</v>
      </c>
    </row>
    <row r="4950" spans="1:11" x14ac:dyDescent="0.25">
      <c r="A4950" s="1">
        <v>4949</v>
      </c>
      <c r="B4950" s="1">
        <v>3</v>
      </c>
      <c r="C4950" s="3">
        <v>3115270400400</v>
      </c>
      <c r="D4950" s="2">
        <v>44716.666666666664</v>
      </c>
      <c r="E4950" s="2">
        <v>44716.836805555555</v>
      </c>
      <c r="F4950" s="23">
        <f t="shared" si="231"/>
        <v>0.17013888889050577</v>
      </c>
      <c r="G4950" s="24">
        <f t="shared" si="233"/>
        <v>73.46938775440384</v>
      </c>
      <c r="H4950" s="1" t="s">
        <v>1</v>
      </c>
      <c r="I4950" s="4" t="s">
        <v>2</v>
      </c>
      <c r="J4950" s="14">
        <v>0.66666666666666663</v>
      </c>
      <c r="K4950" s="20" t="str">
        <f t="shared" si="232"/>
        <v>2nd Shift</v>
      </c>
    </row>
    <row r="4951" spans="1:11" x14ac:dyDescent="0.25">
      <c r="A4951" s="1">
        <v>4950</v>
      </c>
      <c r="B4951" s="1">
        <v>6</v>
      </c>
      <c r="C4951" s="3">
        <v>6115271720828</v>
      </c>
      <c r="D4951" s="2">
        <v>44716.993055555555</v>
      </c>
      <c r="E4951" s="2">
        <v>44717.145833333336</v>
      </c>
      <c r="F4951" s="23">
        <f t="shared" si="231"/>
        <v>0.15277777778101154</v>
      </c>
      <c r="G4951" s="24">
        <f t="shared" si="233"/>
        <v>81.818181816450021</v>
      </c>
      <c r="H4951" s="1" t="s">
        <v>1</v>
      </c>
      <c r="I4951" s="4" t="s">
        <v>2</v>
      </c>
      <c r="J4951" s="14">
        <v>0.99305555555555558</v>
      </c>
      <c r="K4951" s="20" t="str">
        <f t="shared" si="232"/>
        <v>3rd Shift</v>
      </c>
    </row>
    <row r="4952" spans="1:11" x14ac:dyDescent="0.25">
      <c r="A4952" s="1">
        <v>4951</v>
      </c>
      <c r="B4952" s="1">
        <v>6</v>
      </c>
      <c r="C4952" s="3">
        <v>6115271692211</v>
      </c>
      <c r="D4952" s="2">
        <v>44716.993055555555</v>
      </c>
      <c r="E4952" s="2">
        <v>44717.145833333336</v>
      </c>
      <c r="F4952" s="23">
        <f t="shared" si="231"/>
        <v>0.15277777778101154</v>
      </c>
      <c r="G4952" s="24">
        <f t="shared" si="233"/>
        <v>81.818181816450021</v>
      </c>
      <c r="H4952" s="1" t="s">
        <v>1</v>
      </c>
      <c r="I4952" s="4" t="s">
        <v>2</v>
      </c>
      <c r="J4952" s="14">
        <v>0.99305555555555558</v>
      </c>
      <c r="K4952" s="20" t="str">
        <f t="shared" si="232"/>
        <v>3rd Shift</v>
      </c>
    </row>
    <row r="4953" spans="1:11" x14ac:dyDescent="0.25">
      <c r="A4953" s="1">
        <v>4952</v>
      </c>
      <c r="B4953" s="1">
        <v>3</v>
      </c>
      <c r="C4953" s="3">
        <v>3115270366800</v>
      </c>
      <c r="D4953" s="2">
        <v>44716.993055555555</v>
      </c>
      <c r="E4953" s="2">
        <v>44717.145833333336</v>
      </c>
      <c r="F4953" s="23">
        <f t="shared" si="231"/>
        <v>0.15277777778101154</v>
      </c>
      <c r="G4953" s="24">
        <f t="shared" si="233"/>
        <v>81.818181816450021</v>
      </c>
      <c r="H4953" s="1" t="s">
        <v>1</v>
      </c>
      <c r="I4953" s="4" t="s">
        <v>4</v>
      </c>
      <c r="J4953" s="14">
        <v>0.99305555555555558</v>
      </c>
      <c r="K4953" s="20" t="str">
        <f t="shared" si="232"/>
        <v>3rd Shift</v>
      </c>
    </row>
    <row r="4954" spans="1:11" x14ac:dyDescent="0.25">
      <c r="A4954" s="1">
        <v>4953</v>
      </c>
      <c r="B4954" s="1">
        <v>2</v>
      </c>
      <c r="C4954" s="3">
        <v>2115270295807</v>
      </c>
      <c r="D4954" s="2">
        <v>44717.3125</v>
      </c>
      <c r="E4954" s="2">
        <v>44717.354166666664</v>
      </c>
      <c r="F4954" s="23">
        <f t="shared" si="231"/>
        <v>4.1666666664241347E-2</v>
      </c>
      <c r="G4954" s="24">
        <f t="shared" si="233"/>
        <v>300.0000000174623</v>
      </c>
      <c r="H4954" s="1" t="s">
        <v>1</v>
      </c>
      <c r="I4954" s="4" t="s">
        <v>2</v>
      </c>
      <c r="J4954" s="14">
        <v>0.3125</v>
      </c>
      <c r="K4954" s="20" t="str">
        <f t="shared" si="232"/>
        <v>1st Shift</v>
      </c>
    </row>
    <row r="4955" spans="1:11" x14ac:dyDescent="0.25">
      <c r="A4955" s="1">
        <v>4954</v>
      </c>
      <c r="B4955" s="1">
        <v>2</v>
      </c>
      <c r="C4955" s="3">
        <v>2115270295805</v>
      </c>
      <c r="D4955" s="2">
        <v>44717.3125</v>
      </c>
      <c r="E4955" s="2">
        <v>44717.354166666664</v>
      </c>
      <c r="F4955" s="23">
        <f t="shared" si="231"/>
        <v>4.1666666664241347E-2</v>
      </c>
      <c r="G4955" s="24">
        <f t="shared" si="233"/>
        <v>300.0000000174623</v>
      </c>
      <c r="H4955" s="1" t="s">
        <v>1</v>
      </c>
      <c r="I4955" s="4" t="s">
        <v>2</v>
      </c>
      <c r="J4955" s="14">
        <v>0.3125</v>
      </c>
      <c r="K4955" s="20" t="str">
        <f t="shared" si="232"/>
        <v>1st Shift</v>
      </c>
    </row>
    <row r="4956" spans="1:11" x14ac:dyDescent="0.25">
      <c r="A4956" s="1">
        <v>4955</v>
      </c>
      <c r="B4956" s="1">
        <v>2</v>
      </c>
      <c r="C4956" s="3">
        <v>2115270295802</v>
      </c>
      <c r="D4956" s="2">
        <v>44717.3125</v>
      </c>
      <c r="E4956" s="2">
        <v>44717.354166666664</v>
      </c>
      <c r="F4956" s="23">
        <f t="shared" si="231"/>
        <v>4.1666666664241347E-2</v>
      </c>
      <c r="G4956" s="24">
        <f t="shared" si="233"/>
        <v>300.0000000174623</v>
      </c>
      <c r="H4956" s="1" t="s">
        <v>1</v>
      </c>
      <c r="I4956" s="4" t="s">
        <v>2</v>
      </c>
      <c r="J4956" s="14">
        <v>0.3125</v>
      </c>
      <c r="K4956" s="20" t="str">
        <f t="shared" si="232"/>
        <v>1st Shift</v>
      </c>
    </row>
    <row r="4957" spans="1:11" x14ac:dyDescent="0.25">
      <c r="A4957" s="1">
        <v>4956</v>
      </c>
      <c r="B4957" s="1">
        <v>2</v>
      </c>
      <c r="C4957" s="3">
        <v>2115270295800</v>
      </c>
      <c r="D4957" s="2">
        <v>44717.3125</v>
      </c>
      <c r="E4957" s="2">
        <v>44717.354166666664</v>
      </c>
      <c r="F4957" s="23">
        <f t="shared" si="231"/>
        <v>4.1666666664241347E-2</v>
      </c>
      <c r="G4957" s="24">
        <f t="shared" si="233"/>
        <v>300.0000000174623</v>
      </c>
      <c r="H4957" s="1" t="s">
        <v>1</v>
      </c>
      <c r="I4957" s="4" t="s">
        <v>2</v>
      </c>
      <c r="J4957" s="14">
        <v>0.3125</v>
      </c>
      <c r="K4957" s="20" t="str">
        <f t="shared" si="232"/>
        <v>1st Shift</v>
      </c>
    </row>
    <row r="4958" spans="1:11" x14ac:dyDescent="0.25">
      <c r="A4958" s="1">
        <v>4957</v>
      </c>
      <c r="B4958" s="1">
        <v>10</v>
      </c>
      <c r="C4958" s="3">
        <v>10115271453409</v>
      </c>
      <c r="D4958" s="2">
        <v>44717.430555555555</v>
      </c>
      <c r="E4958" s="2">
        <v>44717.527777777781</v>
      </c>
      <c r="F4958" s="23">
        <f t="shared" si="231"/>
        <v>9.7222222226264421E-2</v>
      </c>
      <c r="G4958" s="24">
        <f t="shared" si="233"/>
        <v>128.57142856608297</v>
      </c>
      <c r="H4958" s="1" t="s">
        <v>1</v>
      </c>
      <c r="I4958" s="4" t="s">
        <v>2</v>
      </c>
      <c r="J4958" s="14">
        <v>0.43055555555555558</v>
      </c>
      <c r="K4958" s="20" t="str">
        <f t="shared" si="232"/>
        <v>1st Shift</v>
      </c>
    </row>
    <row r="4959" spans="1:11" x14ac:dyDescent="0.25">
      <c r="A4959" s="1">
        <v>4958</v>
      </c>
      <c r="B4959" s="1">
        <v>10</v>
      </c>
      <c r="C4959" s="3">
        <v>10115271453407</v>
      </c>
      <c r="D4959" s="2">
        <v>44717.430555555555</v>
      </c>
      <c r="E4959" s="2">
        <v>44717.527777777781</v>
      </c>
      <c r="F4959" s="23">
        <f t="shared" si="231"/>
        <v>9.7222222226264421E-2</v>
      </c>
      <c r="G4959" s="24">
        <f t="shared" si="233"/>
        <v>128.57142856608297</v>
      </c>
      <c r="H4959" s="1" t="s">
        <v>1</v>
      </c>
      <c r="I4959" s="4" t="s">
        <v>3</v>
      </c>
      <c r="J4959" s="14">
        <v>0.43055555555555558</v>
      </c>
      <c r="K4959" s="20" t="str">
        <f t="shared" si="232"/>
        <v>1st Shift</v>
      </c>
    </row>
    <row r="4960" spans="1:11" x14ac:dyDescent="0.25">
      <c r="A4960" s="1">
        <v>4959</v>
      </c>
      <c r="B4960" s="1">
        <v>10</v>
      </c>
      <c r="C4960" s="3">
        <v>10115271453407</v>
      </c>
      <c r="D4960" s="2">
        <v>44717.430555555555</v>
      </c>
      <c r="E4960" s="2">
        <v>44717.527777777781</v>
      </c>
      <c r="F4960" s="23">
        <f t="shared" si="231"/>
        <v>9.7222222226264421E-2</v>
      </c>
      <c r="G4960" s="24">
        <f t="shared" si="233"/>
        <v>128.57142856608297</v>
      </c>
      <c r="H4960" s="1" t="s">
        <v>1</v>
      </c>
      <c r="I4960" s="4" t="s">
        <v>2</v>
      </c>
      <c r="J4960" s="14">
        <v>0.43055555555555558</v>
      </c>
      <c r="K4960" s="20" t="str">
        <f t="shared" si="232"/>
        <v>1st Shift</v>
      </c>
    </row>
    <row r="4961" spans="1:11" x14ac:dyDescent="0.25">
      <c r="A4961" s="1">
        <v>4960</v>
      </c>
      <c r="B4961" s="1">
        <v>10</v>
      </c>
      <c r="C4961" s="3">
        <v>10115271453402</v>
      </c>
      <c r="D4961" s="2">
        <v>44717.430555555555</v>
      </c>
      <c r="E4961" s="2">
        <v>44717.527777777781</v>
      </c>
      <c r="F4961" s="23">
        <f t="shared" si="231"/>
        <v>9.7222222226264421E-2</v>
      </c>
      <c r="G4961" s="24">
        <f t="shared" si="233"/>
        <v>128.57142856608297</v>
      </c>
      <c r="H4961" s="1" t="s">
        <v>1</v>
      </c>
      <c r="I4961" s="4" t="s">
        <v>3</v>
      </c>
      <c r="J4961" s="14">
        <v>0.43055555555555558</v>
      </c>
      <c r="K4961" s="20" t="str">
        <f t="shared" si="232"/>
        <v>1st Shift</v>
      </c>
    </row>
    <row r="4962" spans="1:11" x14ac:dyDescent="0.25">
      <c r="A4962" s="1">
        <v>4961</v>
      </c>
      <c r="B4962" s="1">
        <v>10</v>
      </c>
      <c r="C4962" s="3">
        <v>10115271453402</v>
      </c>
      <c r="D4962" s="2">
        <v>44717.430555555555</v>
      </c>
      <c r="E4962" s="2">
        <v>44717.527777777781</v>
      </c>
      <c r="F4962" s="23">
        <f t="shared" si="231"/>
        <v>9.7222222226264421E-2</v>
      </c>
      <c r="G4962" s="24">
        <f t="shared" si="233"/>
        <v>128.57142856608297</v>
      </c>
      <c r="H4962" s="1" t="s">
        <v>1</v>
      </c>
      <c r="I4962" s="4" t="s">
        <v>3</v>
      </c>
      <c r="J4962" s="14">
        <v>0.43055555555555558</v>
      </c>
      <c r="K4962" s="20" t="str">
        <f t="shared" si="232"/>
        <v>1st Shift</v>
      </c>
    </row>
    <row r="4963" spans="1:11" x14ac:dyDescent="0.25">
      <c r="A4963" s="1">
        <v>4962</v>
      </c>
      <c r="B4963" s="1">
        <v>10</v>
      </c>
      <c r="C4963" s="3">
        <v>10115271453400</v>
      </c>
      <c r="D4963" s="2">
        <v>44717.430555555555</v>
      </c>
      <c r="E4963" s="2">
        <v>44717.527777777781</v>
      </c>
      <c r="F4963" s="23">
        <f t="shared" si="231"/>
        <v>9.7222222226264421E-2</v>
      </c>
      <c r="G4963" s="24">
        <f t="shared" si="233"/>
        <v>128.57142856608297</v>
      </c>
      <c r="H4963" s="1" t="s">
        <v>1</v>
      </c>
      <c r="I4963" s="4" t="s">
        <v>3</v>
      </c>
      <c r="J4963" s="14">
        <v>0.43055555555555558</v>
      </c>
      <c r="K4963" s="20" t="str">
        <f t="shared" si="232"/>
        <v>1st Shift</v>
      </c>
    </row>
    <row r="4964" spans="1:11" x14ac:dyDescent="0.25">
      <c r="A4964" s="1">
        <v>4963</v>
      </c>
      <c r="B4964" s="1">
        <v>8</v>
      </c>
      <c r="C4964" s="3">
        <v>8115271821829</v>
      </c>
      <c r="D4964" s="2">
        <v>44717.371527777781</v>
      </c>
      <c r="E4964" s="2">
        <v>44717.527777777781</v>
      </c>
      <c r="F4964" s="23">
        <f t="shared" si="231"/>
        <v>0.15625</v>
      </c>
      <c r="G4964" s="24">
        <f t="shared" si="233"/>
        <v>80</v>
      </c>
      <c r="H4964" s="1" t="s">
        <v>1</v>
      </c>
      <c r="I4964" s="4" t="s">
        <v>3</v>
      </c>
      <c r="J4964" s="14">
        <v>0.37152777777777779</v>
      </c>
      <c r="K4964" s="20" t="str">
        <f t="shared" si="232"/>
        <v>1st Shift</v>
      </c>
    </row>
    <row r="4965" spans="1:11" x14ac:dyDescent="0.25">
      <c r="A4965" s="1">
        <v>4964</v>
      </c>
      <c r="B4965" s="1">
        <v>8</v>
      </c>
      <c r="C4965" s="3">
        <v>8115271821828</v>
      </c>
      <c r="D4965" s="2">
        <v>44717.371527777781</v>
      </c>
      <c r="E4965" s="2">
        <v>44717.527777777781</v>
      </c>
      <c r="F4965" s="23">
        <f t="shared" si="231"/>
        <v>0.15625</v>
      </c>
      <c r="G4965" s="24">
        <f t="shared" si="233"/>
        <v>80</v>
      </c>
      <c r="H4965" s="1" t="s">
        <v>1</v>
      </c>
      <c r="I4965" s="4" t="s">
        <v>3</v>
      </c>
      <c r="J4965" s="14">
        <v>0.37152777777777779</v>
      </c>
      <c r="K4965" s="20" t="str">
        <f t="shared" si="232"/>
        <v>1st Shift</v>
      </c>
    </row>
    <row r="4966" spans="1:11" x14ac:dyDescent="0.25">
      <c r="A4966" s="1">
        <v>4965</v>
      </c>
      <c r="B4966" s="1">
        <v>8</v>
      </c>
      <c r="C4966" s="3">
        <v>8115271821824</v>
      </c>
      <c r="D4966" s="2">
        <v>44717.371527777781</v>
      </c>
      <c r="E4966" s="2">
        <v>44717.527777777781</v>
      </c>
      <c r="F4966" s="23">
        <f t="shared" si="231"/>
        <v>0.15625</v>
      </c>
      <c r="G4966" s="24">
        <f t="shared" si="233"/>
        <v>80</v>
      </c>
      <c r="H4966" s="1" t="s">
        <v>1</v>
      </c>
      <c r="I4966" s="4" t="s">
        <v>2</v>
      </c>
      <c r="J4966" s="14">
        <v>0.37152777777777779</v>
      </c>
      <c r="K4966" s="20" t="str">
        <f t="shared" si="232"/>
        <v>1st Shift</v>
      </c>
    </row>
    <row r="4967" spans="1:11" x14ac:dyDescent="0.25">
      <c r="A4967" s="1">
        <v>4966</v>
      </c>
      <c r="B4967" s="1">
        <v>8</v>
      </c>
      <c r="C4967" s="3">
        <v>8115271821824</v>
      </c>
      <c r="D4967" s="2">
        <v>44717.371527777781</v>
      </c>
      <c r="E4967" s="2">
        <v>44717.527777777781</v>
      </c>
      <c r="F4967" s="23">
        <f t="shared" si="231"/>
        <v>0.15625</v>
      </c>
      <c r="G4967" s="24">
        <f t="shared" si="233"/>
        <v>80</v>
      </c>
      <c r="H4967" s="1" t="s">
        <v>1</v>
      </c>
      <c r="I4967" s="4" t="s">
        <v>2</v>
      </c>
      <c r="J4967" s="14">
        <v>0.37152777777777779</v>
      </c>
      <c r="K4967" s="20" t="str">
        <f t="shared" si="232"/>
        <v>1st Shift</v>
      </c>
    </row>
    <row r="4968" spans="1:11" x14ac:dyDescent="0.25">
      <c r="A4968" s="1">
        <v>4967</v>
      </c>
      <c r="B4968" s="1">
        <v>3</v>
      </c>
      <c r="C4968" s="3">
        <v>3115270320609</v>
      </c>
      <c r="D4968" s="2">
        <v>44717.430555555555</v>
      </c>
      <c r="E4968" s="2">
        <v>44717.527777777781</v>
      </c>
      <c r="F4968" s="23">
        <f t="shared" si="231"/>
        <v>9.7222222226264421E-2</v>
      </c>
      <c r="G4968" s="24">
        <f t="shared" si="233"/>
        <v>128.57142856608297</v>
      </c>
      <c r="H4968" s="1" t="s">
        <v>1</v>
      </c>
      <c r="I4968" s="4" t="s">
        <v>3</v>
      </c>
      <c r="J4968" s="14">
        <v>0.43055555555555558</v>
      </c>
      <c r="K4968" s="20" t="str">
        <f t="shared" si="232"/>
        <v>1st Shift</v>
      </c>
    </row>
    <row r="4969" spans="1:11" x14ac:dyDescent="0.25">
      <c r="A4969" s="1">
        <v>4968</v>
      </c>
      <c r="B4969" s="1">
        <v>3</v>
      </c>
      <c r="C4969" s="3">
        <v>3115270320608</v>
      </c>
      <c r="D4969" s="2">
        <v>44717.430555555555</v>
      </c>
      <c r="E4969" s="2">
        <v>44717.527777777781</v>
      </c>
      <c r="F4969" s="23">
        <f t="shared" si="231"/>
        <v>9.7222222226264421E-2</v>
      </c>
      <c r="G4969" s="24">
        <f t="shared" si="233"/>
        <v>128.57142856608297</v>
      </c>
      <c r="H4969" s="1" t="s">
        <v>1</v>
      </c>
      <c r="I4969" s="4" t="s">
        <v>4</v>
      </c>
      <c r="J4969" s="14">
        <v>0.43055555555555558</v>
      </c>
      <c r="K4969" s="20" t="str">
        <f t="shared" si="232"/>
        <v>1st Shift</v>
      </c>
    </row>
    <row r="4970" spans="1:11" x14ac:dyDescent="0.25">
      <c r="A4970" s="1">
        <v>4969</v>
      </c>
      <c r="B4970" s="1">
        <v>3</v>
      </c>
      <c r="C4970" s="3">
        <v>3115270320605</v>
      </c>
      <c r="D4970" s="2">
        <v>44717.430555555555</v>
      </c>
      <c r="E4970" s="2">
        <v>44717.527777777781</v>
      </c>
      <c r="F4970" s="23">
        <f t="shared" si="231"/>
        <v>9.7222222226264421E-2</v>
      </c>
      <c r="G4970" s="24">
        <f t="shared" si="233"/>
        <v>128.57142856608297</v>
      </c>
      <c r="H4970" s="1" t="s">
        <v>1</v>
      </c>
      <c r="I4970" s="4" t="s">
        <v>4</v>
      </c>
      <c r="J4970" s="14">
        <v>0.43055555555555558</v>
      </c>
      <c r="K4970" s="20" t="str">
        <f t="shared" si="232"/>
        <v>1st Shift</v>
      </c>
    </row>
    <row r="4971" spans="1:11" x14ac:dyDescent="0.25">
      <c r="A4971" s="1">
        <v>4970</v>
      </c>
      <c r="B4971" s="1">
        <v>3</v>
      </c>
      <c r="C4971" s="3">
        <v>3115270320603</v>
      </c>
      <c r="D4971" s="2">
        <v>44717.430555555555</v>
      </c>
      <c r="E4971" s="2">
        <v>44717.527777777781</v>
      </c>
      <c r="F4971" s="23">
        <f t="shared" si="231"/>
        <v>9.7222222226264421E-2</v>
      </c>
      <c r="G4971" s="24">
        <f t="shared" si="233"/>
        <v>128.57142856608297</v>
      </c>
      <c r="H4971" s="1" t="s">
        <v>1</v>
      </c>
      <c r="I4971" s="4" t="s">
        <v>2</v>
      </c>
      <c r="J4971" s="14">
        <v>0.43055555555555558</v>
      </c>
      <c r="K4971" s="20" t="str">
        <f t="shared" si="232"/>
        <v>1st Shift</v>
      </c>
    </row>
    <row r="4972" spans="1:11" x14ac:dyDescent="0.25">
      <c r="A4972" s="1">
        <v>4971</v>
      </c>
      <c r="B4972" s="1">
        <v>3</v>
      </c>
      <c r="C4972" s="3">
        <v>3115270320602</v>
      </c>
      <c r="D4972" s="2">
        <v>44717.430555555555</v>
      </c>
      <c r="E4972" s="2">
        <v>44717.527777777781</v>
      </c>
      <c r="F4972" s="23">
        <f t="shared" si="231"/>
        <v>9.7222222226264421E-2</v>
      </c>
      <c r="G4972" s="24">
        <f t="shared" si="233"/>
        <v>128.57142856608297</v>
      </c>
      <c r="H4972" s="1" t="s">
        <v>1</v>
      </c>
      <c r="I4972" s="4" t="s">
        <v>5</v>
      </c>
      <c r="J4972" s="14">
        <v>0.43055555555555558</v>
      </c>
      <c r="K4972" s="20" t="str">
        <f t="shared" si="232"/>
        <v>1st Shift</v>
      </c>
    </row>
    <row r="4973" spans="1:11" x14ac:dyDescent="0.25">
      <c r="A4973" s="1">
        <v>4972</v>
      </c>
      <c r="B4973" s="1">
        <v>3</v>
      </c>
      <c r="C4973" s="3">
        <v>3115270320601</v>
      </c>
      <c r="D4973" s="2">
        <v>44717.430555555555</v>
      </c>
      <c r="E4973" s="2">
        <v>44717.527777777781</v>
      </c>
      <c r="F4973" s="23">
        <f t="shared" si="231"/>
        <v>9.7222222226264421E-2</v>
      </c>
      <c r="G4973" s="24">
        <f t="shared" si="233"/>
        <v>128.57142856608297</v>
      </c>
      <c r="H4973" s="1" t="s">
        <v>1</v>
      </c>
      <c r="I4973" s="4" t="s">
        <v>2</v>
      </c>
      <c r="J4973" s="14">
        <v>0.43055555555555558</v>
      </c>
      <c r="K4973" s="20" t="str">
        <f t="shared" si="232"/>
        <v>1st Shift</v>
      </c>
    </row>
    <row r="4974" spans="1:11" x14ac:dyDescent="0.25">
      <c r="A4974" s="1">
        <v>4973</v>
      </c>
      <c r="B4974" s="1">
        <v>13</v>
      </c>
      <c r="C4974" s="3">
        <v>13115271592406</v>
      </c>
      <c r="D4974" s="2">
        <v>44717.673611111109</v>
      </c>
      <c r="E4974" s="2">
        <v>44717.777777777781</v>
      </c>
      <c r="F4974" s="23">
        <f t="shared" si="231"/>
        <v>0.10416666667151731</v>
      </c>
      <c r="G4974" s="24">
        <f t="shared" si="233"/>
        <v>119.99999999441206</v>
      </c>
      <c r="H4974" s="1" t="s">
        <v>1</v>
      </c>
      <c r="I4974" s="4" t="s">
        <v>4</v>
      </c>
      <c r="J4974" s="14">
        <v>0.67361111111111116</v>
      </c>
      <c r="K4974" s="20" t="str">
        <f t="shared" si="232"/>
        <v>2nd Shift</v>
      </c>
    </row>
    <row r="4975" spans="1:11" x14ac:dyDescent="0.25">
      <c r="A4975" s="1">
        <v>4974</v>
      </c>
      <c r="B4975" s="1">
        <v>13</v>
      </c>
      <c r="C4975" s="3">
        <v>13115271592402</v>
      </c>
      <c r="D4975" s="2">
        <v>44717.673611111109</v>
      </c>
      <c r="E4975" s="2">
        <v>44717.777777777781</v>
      </c>
      <c r="F4975" s="23">
        <f t="shared" si="231"/>
        <v>0.10416666667151731</v>
      </c>
      <c r="G4975" s="24">
        <f t="shared" si="233"/>
        <v>119.99999999441206</v>
      </c>
      <c r="H4975" s="1" t="s">
        <v>1</v>
      </c>
      <c r="I4975" s="4" t="s">
        <v>3</v>
      </c>
      <c r="J4975" s="14">
        <v>0.67361111111111116</v>
      </c>
      <c r="K4975" s="20" t="str">
        <f t="shared" si="232"/>
        <v>2nd Shift</v>
      </c>
    </row>
    <row r="4976" spans="1:11" x14ac:dyDescent="0.25">
      <c r="A4976" s="1">
        <v>4975</v>
      </c>
      <c r="B4976" s="1">
        <v>1</v>
      </c>
      <c r="C4976" s="3">
        <v>1115270051106</v>
      </c>
      <c r="D4976" s="2">
        <v>44717.673611111109</v>
      </c>
      <c r="E4976" s="2">
        <v>44717.777777777781</v>
      </c>
      <c r="F4976" s="23">
        <f t="shared" si="231"/>
        <v>0.10416666667151731</v>
      </c>
      <c r="G4976" s="24">
        <f t="shared" si="233"/>
        <v>119.99999999441206</v>
      </c>
      <c r="H4976" s="1" t="s">
        <v>1</v>
      </c>
      <c r="I4976" s="4" t="s">
        <v>3</v>
      </c>
      <c r="J4976" s="14">
        <v>0.67361111111111116</v>
      </c>
      <c r="K4976" s="20" t="str">
        <f t="shared" si="232"/>
        <v>2nd Shift</v>
      </c>
    </row>
    <row r="4977" spans="1:11" x14ac:dyDescent="0.25">
      <c r="A4977" s="1">
        <v>4976</v>
      </c>
      <c r="B4977" s="1">
        <v>1</v>
      </c>
      <c r="C4977" s="3">
        <v>1115270051100</v>
      </c>
      <c r="D4977" s="2">
        <v>44717.673611111109</v>
      </c>
      <c r="E4977" s="2">
        <v>44717.777777777781</v>
      </c>
      <c r="F4977" s="23">
        <f t="shared" si="231"/>
        <v>0.10416666667151731</v>
      </c>
      <c r="G4977" s="24">
        <f t="shared" si="233"/>
        <v>119.99999999441206</v>
      </c>
      <c r="H4977" s="1" t="s">
        <v>1</v>
      </c>
      <c r="I4977" s="4" t="s">
        <v>2</v>
      </c>
      <c r="J4977" s="14">
        <v>0.67361111111111116</v>
      </c>
      <c r="K4977" s="20" t="str">
        <f t="shared" si="232"/>
        <v>2nd Shift</v>
      </c>
    </row>
    <row r="4978" spans="1:11" x14ac:dyDescent="0.25">
      <c r="A4978" s="1">
        <v>4977</v>
      </c>
      <c r="B4978" s="1">
        <v>10</v>
      </c>
      <c r="C4978" s="3">
        <v>10115271478600</v>
      </c>
      <c r="D4978" s="2">
        <v>44718.0625</v>
      </c>
      <c r="E4978" s="2">
        <v>44718.090277777781</v>
      </c>
      <c r="F4978" s="23">
        <f t="shared" si="231"/>
        <v>2.7777777781011537E-2</v>
      </c>
      <c r="G4978" s="24">
        <f t="shared" si="233"/>
        <v>449.99999994761311</v>
      </c>
      <c r="H4978" s="1" t="s">
        <v>1</v>
      </c>
      <c r="I4978" s="4" t="s">
        <v>3</v>
      </c>
      <c r="J4978" s="14">
        <v>6.25E-2</v>
      </c>
      <c r="K4978" s="20" t="str">
        <f t="shared" si="232"/>
        <v>3rd Shift</v>
      </c>
    </row>
    <row r="4979" spans="1:11" x14ac:dyDescent="0.25">
      <c r="A4979" s="1">
        <v>4978</v>
      </c>
      <c r="B4979" s="1">
        <v>13</v>
      </c>
      <c r="C4979" s="3">
        <v>13115271661007</v>
      </c>
      <c r="D4979" s="2">
        <v>44718.395833333336</v>
      </c>
      <c r="E4979" s="2">
        <v>44718.520833333336</v>
      </c>
      <c r="F4979" s="23">
        <f t="shared" si="231"/>
        <v>0.125</v>
      </c>
      <c r="G4979" s="24">
        <f t="shared" si="233"/>
        <v>100</v>
      </c>
      <c r="H4979" s="1" t="s">
        <v>1</v>
      </c>
      <c r="I4979" s="4" t="s">
        <v>2</v>
      </c>
      <c r="J4979" s="14">
        <v>0.39583333333333331</v>
      </c>
      <c r="K4979" s="20" t="str">
        <f t="shared" si="232"/>
        <v>1st Shift</v>
      </c>
    </row>
    <row r="4980" spans="1:11" x14ac:dyDescent="0.25">
      <c r="A4980" s="1">
        <v>4979</v>
      </c>
      <c r="B4980" s="1">
        <v>13</v>
      </c>
      <c r="C4980" s="3">
        <v>13115271661006</v>
      </c>
      <c r="D4980" s="2">
        <v>44718.395833333336</v>
      </c>
      <c r="E4980" s="2">
        <v>44718.520833333336</v>
      </c>
      <c r="F4980" s="23">
        <f t="shared" si="231"/>
        <v>0.125</v>
      </c>
      <c r="G4980" s="24">
        <f t="shared" si="233"/>
        <v>100</v>
      </c>
      <c r="H4980" s="1" t="s">
        <v>1</v>
      </c>
      <c r="I4980" s="4" t="s">
        <v>3</v>
      </c>
      <c r="J4980" s="14">
        <v>0.39583333333333331</v>
      </c>
      <c r="K4980" s="20" t="str">
        <f t="shared" si="232"/>
        <v>1st Shift</v>
      </c>
    </row>
    <row r="4981" spans="1:11" x14ac:dyDescent="0.25">
      <c r="A4981" s="1">
        <v>4980</v>
      </c>
      <c r="B4981" s="1">
        <v>13</v>
      </c>
      <c r="C4981" s="3">
        <v>13115271661005</v>
      </c>
      <c r="D4981" s="2">
        <v>44718.395833333336</v>
      </c>
      <c r="E4981" s="2">
        <v>44718.520833333336</v>
      </c>
      <c r="F4981" s="23">
        <f t="shared" si="231"/>
        <v>0.125</v>
      </c>
      <c r="G4981" s="24">
        <f t="shared" si="233"/>
        <v>100</v>
      </c>
      <c r="H4981" s="1" t="s">
        <v>1</v>
      </c>
      <c r="I4981" s="4" t="s">
        <v>2</v>
      </c>
      <c r="J4981" s="14">
        <v>0.39583333333333331</v>
      </c>
      <c r="K4981" s="20" t="str">
        <f t="shared" si="232"/>
        <v>1st Shift</v>
      </c>
    </row>
    <row r="4982" spans="1:11" x14ac:dyDescent="0.25">
      <c r="A4982" s="1">
        <v>4981</v>
      </c>
      <c r="B4982" s="1">
        <v>13</v>
      </c>
      <c r="C4982" s="3">
        <v>13115271661003</v>
      </c>
      <c r="D4982" s="2">
        <v>44718.395833333336</v>
      </c>
      <c r="E4982" s="2">
        <v>44718.520833333336</v>
      </c>
      <c r="F4982" s="23">
        <f t="shared" si="231"/>
        <v>0.125</v>
      </c>
      <c r="G4982" s="24">
        <f t="shared" si="233"/>
        <v>100</v>
      </c>
      <c r="H4982" s="1" t="s">
        <v>1</v>
      </c>
      <c r="I4982" s="4" t="s">
        <v>4</v>
      </c>
      <c r="J4982" s="14">
        <v>0.39583333333333331</v>
      </c>
      <c r="K4982" s="20" t="str">
        <f t="shared" si="232"/>
        <v>1st Shift</v>
      </c>
    </row>
    <row r="4983" spans="1:11" x14ac:dyDescent="0.25">
      <c r="A4983" s="1">
        <v>4982</v>
      </c>
      <c r="B4983" s="1">
        <v>7</v>
      </c>
      <c r="C4983" s="3">
        <v>7115271769618</v>
      </c>
      <c r="D4983" s="2">
        <v>44718.451388888891</v>
      </c>
      <c r="E4983" s="2">
        <v>44718.520833333336</v>
      </c>
      <c r="F4983" s="23">
        <f t="shared" si="231"/>
        <v>6.9444444445252884E-2</v>
      </c>
      <c r="G4983" s="24">
        <f t="shared" si="233"/>
        <v>179.99999999790452</v>
      </c>
      <c r="H4983" s="1" t="s">
        <v>1</v>
      </c>
      <c r="I4983" s="4" t="s">
        <v>3</v>
      </c>
      <c r="J4983" s="14">
        <v>0.4513888888888889</v>
      </c>
      <c r="K4983" s="20" t="str">
        <f t="shared" si="232"/>
        <v>1st Shift</v>
      </c>
    </row>
    <row r="4984" spans="1:11" x14ac:dyDescent="0.25">
      <c r="A4984" s="1">
        <v>4983</v>
      </c>
      <c r="B4984" s="1">
        <v>7</v>
      </c>
      <c r="C4984" s="3">
        <v>7115271769609</v>
      </c>
      <c r="D4984" s="2">
        <v>44718.451388888891</v>
      </c>
      <c r="E4984" s="2">
        <v>44718.520833333336</v>
      </c>
      <c r="F4984" s="23">
        <f t="shared" si="231"/>
        <v>6.9444444445252884E-2</v>
      </c>
      <c r="G4984" s="24">
        <f t="shared" si="233"/>
        <v>179.99999999790452</v>
      </c>
      <c r="H4984" s="1" t="s">
        <v>1</v>
      </c>
      <c r="I4984" s="4" t="s">
        <v>3</v>
      </c>
      <c r="J4984" s="14">
        <v>0.4513888888888889</v>
      </c>
      <c r="K4984" s="20" t="str">
        <f t="shared" si="232"/>
        <v>1st Shift</v>
      </c>
    </row>
    <row r="4985" spans="1:11" x14ac:dyDescent="0.25">
      <c r="A4985" s="1">
        <v>4984</v>
      </c>
      <c r="B4985" s="1">
        <v>7</v>
      </c>
      <c r="C4985" s="3">
        <v>7115271769608</v>
      </c>
      <c r="D4985" s="2">
        <v>44718.451388888891</v>
      </c>
      <c r="E4985" s="2">
        <v>44718.520833333336</v>
      </c>
      <c r="F4985" s="23">
        <f t="shared" si="231"/>
        <v>6.9444444445252884E-2</v>
      </c>
      <c r="G4985" s="24">
        <f t="shared" si="233"/>
        <v>179.99999999790452</v>
      </c>
      <c r="H4985" s="1" t="s">
        <v>1</v>
      </c>
      <c r="I4985" s="4" t="s">
        <v>8</v>
      </c>
      <c r="J4985" s="14">
        <v>0.4513888888888889</v>
      </c>
      <c r="K4985" s="20" t="str">
        <f t="shared" si="232"/>
        <v>1st Shift</v>
      </c>
    </row>
    <row r="4986" spans="1:11" x14ac:dyDescent="0.25">
      <c r="A4986" s="1">
        <v>4985</v>
      </c>
      <c r="B4986" s="1">
        <v>7</v>
      </c>
      <c r="C4986" s="3">
        <v>7115271769608</v>
      </c>
      <c r="D4986" s="2">
        <v>44718.451388888891</v>
      </c>
      <c r="E4986" s="2">
        <v>44718.520833333336</v>
      </c>
      <c r="F4986" s="23">
        <f t="shared" si="231"/>
        <v>6.9444444445252884E-2</v>
      </c>
      <c r="G4986" s="24">
        <f t="shared" si="233"/>
        <v>179.99999999790452</v>
      </c>
      <c r="H4986" s="1" t="s">
        <v>1</v>
      </c>
      <c r="I4986" s="4" t="s">
        <v>3</v>
      </c>
      <c r="J4986" s="14">
        <v>0.4513888888888889</v>
      </c>
      <c r="K4986" s="20" t="str">
        <f t="shared" si="232"/>
        <v>1st Shift</v>
      </c>
    </row>
    <row r="4987" spans="1:11" x14ac:dyDescent="0.25">
      <c r="A4987" s="1">
        <v>4986</v>
      </c>
      <c r="B4987" s="1">
        <v>7</v>
      </c>
      <c r="C4987" s="3">
        <v>7115271769602</v>
      </c>
      <c r="D4987" s="2">
        <v>44718.451388888891</v>
      </c>
      <c r="E4987" s="2">
        <v>44718.520833333336</v>
      </c>
      <c r="F4987" s="23">
        <f t="shared" si="231"/>
        <v>6.9444444445252884E-2</v>
      </c>
      <c r="G4987" s="24">
        <f t="shared" si="233"/>
        <v>179.99999999790452</v>
      </c>
      <c r="H4987" s="1" t="s">
        <v>1</v>
      </c>
      <c r="I4987" s="4" t="s">
        <v>2</v>
      </c>
      <c r="J4987" s="14">
        <v>0.4513888888888889</v>
      </c>
      <c r="K4987" s="20" t="str">
        <f t="shared" si="232"/>
        <v>1st Shift</v>
      </c>
    </row>
    <row r="4988" spans="1:11" x14ac:dyDescent="0.25">
      <c r="A4988" s="1">
        <v>4987</v>
      </c>
      <c r="B4988" s="1">
        <v>7</v>
      </c>
      <c r="C4988" s="3">
        <v>7115271769601</v>
      </c>
      <c r="D4988" s="2">
        <v>44718.451388888891</v>
      </c>
      <c r="E4988" s="2">
        <v>44718.520833333336</v>
      </c>
      <c r="F4988" s="23">
        <f t="shared" si="231"/>
        <v>6.9444444445252884E-2</v>
      </c>
      <c r="G4988" s="24">
        <f t="shared" si="233"/>
        <v>179.99999999790452</v>
      </c>
      <c r="H4988" s="1" t="s">
        <v>1</v>
      </c>
      <c r="I4988" s="4" t="s">
        <v>3</v>
      </c>
      <c r="J4988" s="14">
        <v>0.4513888888888889</v>
      </c>
      <c r="K4988" s="20" t="str">
        <f t="shared" si="232"/>
        <v>1st Shift</v>
      </c>
    </row>
    <row r="4989" spans="1:11" x14ac:dyDescent="0.25">
      <c r="A4989" s="1">
        <v>4988</v>
      </c>
      <c r="B4989" s="1">
        <v>7</v>
      </c>
      <c r="C4989" s="3">
        <v>7115271769600</v>
      </c>
      <c r="D4989" s="2">
        <v>44718.451388888891</v>
      </c>
      <c r="E4989" s="2">
        <v>44718.520833333336</v>
      </c>
      <c r="F4989" s="23">
        <f t="shared" si="231"/>
        <v>6.9444444445252884E-2</v>
      </c>
      <c r="G4989" s="24">
        <f t="shared" si="233"/>
        <v>179.99999999790452</v>
      </c>
      <c r="H4989" s="1" t="s">
        <v>1</v>
      </c>
      <c r="I4989" s="4" t="s">
        <v>3</v>
      </c>
      <c r="J4989" s="14">
        <v>0.4513888888888889</v>
      </c>
      <c r="K4989" s="20" t="str">
        <f t="shared" si="232"/>
        <v>1st Shift</v>
      </c>
    </row>
    <row r="4990" spans="1:11" x14ac:dyDescent="0.25">
      <c r="A4990" s="1">
        <v>4989</v>
      </c>
      <c r="B4990" s="1">
        <v>5</v>
      </c>
      <c r="C4990" s="3">
        <v>5115271289608</v>
      </c>
      <c r="D4990" s="2">
        <v>44718.409722222219</v>
      </c>
      <c r="E4990" s="2">
        <v>44718.520833333336</v>
      </c>
      <c r="F4990" s="23">
        <f t="shared" si="231"/>
        <v>0.11111111111677019</v>
      </c>
      <c r="G4990" s="24">
        <f t="shared" si="233"/>
        <v>112.49999999427018</v>
      </c>
      <c r="H4990" s="1" t="s">
        <v>1</v>
      </c>
      <c r="I4990" s="4" t="s">
        <v>3</v>
      </c>
      <c r="J4990" s="14">
        <v>0.40972222222222221</v>
      </c>
      <c r="K4990" s="20" t="str">
        <f t="shared" si="232"/>
        <v>1st Shift</v>
      </c>
    </row>
    <row r="4991" spans="1:11" x14ac:dyDescent="0.25">
      <c r="A4991" s="1">
        <v>4990</v>
      </c>
      <c r="B4991" s="1">
        <v>5</v>
      </c>
      <c r="C4991" s="3">
        <v>5115271289607</v>
      </c>
      <c r="D4991" s="2">
        <v>44718.409722222219</v>
      </c>
      <c r="E4991" s="2">
        <v>44718.520833333336</v>
      </c>
      <c r="F4991" s="23">
        <f t="shared" si="231"/>
        <v>0.11111111111677019</v>
      </c>
      <c r="G4991" s="24">
        <f t="shared" si="233"/>
        <v>112.49999999427018</v>
      </c>
      <c r="H4991" s="1" t="s">
        <v>1</v>
      </c>
      <c r="I4991" s="4" t="s">
        <v>4</v>
      </c>
      <c r="J4991" s="14">
        <v>0.40972222222222221</v>
      </c>
      <c r="K4991" s="20" t="str">
        <f t="shared" si="232"/>
        <v>1st Shift</v>
      </c>
    </row>
    <row r="4992" spans="1:11" x14ac:dyDescent="0.25">
      <c r="A4992" s="1">
        <v>4991</v>
      </c>
      <c r="B4992" s="1">
        <v>5</v>
      </c>
      <c r="C4992" s="3">
        <v>5115271289605</v>
      </c>
      <c r="D4992" s="2">
        <v>44718.409722222219</v>
      </c>
      <c r="E4992" s="2">
        <v>44718.520833333336</v>
      </c>
      <c r="F4992" s="23">
        <f t="shared" si="231"/>
        <v>0.11111111111677019</v>
      </c>
      <c r="G4992" s="24">
        <f t="shared" si="233"/>
        <v>112.49999999427018</v>
      </c>
      <c r="H4992" s="1" t="s">
        <v>1</v>
      </c>
      <c r="I4992" s="4" t="s">
        <v>3</v>
      </c>
      <c r="J4992" s="14">
        <v>0.40972222222222221</v>
      </c>
      <c r="K4992" s="20" t="str">
        <f t="shared" si="232"/>
        <v>1st Shift</v>
      </c>
    </row>
    <row r="4993" spans="1:11" x14ac:dyDescent="0.25">
      <c r="A4993" s="1">
        <v>4992</v>
      </c>
      <c r="B4993" s="1">
        <v>5</v>
      </c>
      <c r="C4993" s="3">
        <v>5115271289602</v>
      </c>
      <c r="D4993" s="2">
        <v>44718.409722222219</v>
      </c>
      <c r="E4993" s="2">
        <v>44718.520833333336</v>
      </c>
      <c r="F4993" s="23">
        <f t="shared" si="231"/>
        <v>0.11111111111677019</v>
      </c>
      <c r="G4993" s="24">
        <f t="shared" si="233"/>
        <v>112.49999999427018</v>
      </c>
      <c r="H4993" s="1" t="s">
        <v>1</v>
      </c>
      <c r="I4993" s="4" t="s">
        <v>2</v>
      </c>
      <c r="J4993" s="14">
        <v>0.40972222222222221</v>
      </c>
      <c r="K4993" s="20" t="str">
        <f t="shared" si="232"/>
        <v>1st Shift</v>
      </c>
    </row>
    <row r="4994" spans="1:11" x14ac:dyDescent="0.25">
      <c r="A4994" s="1">
        <v>4993</v>
      </c>
      <c r="B4994" s="1">
        <v>14</v>
      </c>
      <c r="C4994" s="3">
        <v>14115271678708</v>
      </c>
      <c r="D4994" s="2">
        <v>44718.694444444445</v>
      </c>
      <c r="E4994" s="2">
        <v>44718.881944444445</v>
      </c>
      <c r="F4994" s="23">
        <f t="shared" ref="F4994:F5057" si="234">E4994-D4994</f>
        <v>0.1875</v>
      </c>
      <c r="G4994" s="24">
        <f t="shared" si="233"/>
        <v>66.666666666666657</v>
      </c>
      <c r="H4994" s="1" t="s">
        <v>1</v>
      </c>
      <c r="I4994" s="4" t="s">
        <v>3</v>
      </c>
      <c r="J4994" s="14">
        <v>0.69444444444444442</v>
      </c>
      <c r="K4994" s="20" t="str">
        <f t="shared" ref="K4994:K5057" si="235">IF(AND(J4994&gt;=$M$3,J4994&lt;$M$4),"1st Shift",IF(AND(J4994&gt;=$M$4,J4994&lt;$M$5),"2nd Shift","3rd Shift"))</f>
        <v>2nd Shift</v>
      </c>
    </row>
    <row r="4995" spans="1:11" x14ac:dyDescent="0.25">
      <c r="A4995" s="1">
        <v>4994</v>
      </c>
      <c r="B4995" s="1">
        <v>14</v>
      </c>
      <c r="C4995" s="3">
        <v>14115271678706</v>
      </c>
      <c r="D4995" s="2">
        <v>44718.694444444445</v>
      </c>
      <c r="E4995" s="2">
        <v>44718.881944444445</v>
      </c>
      <c r="F4995" s="23">
        <f t="shared" si="234"/>
        <v>0.1875</v>
      </c>
      <c r="G4995" s="24">
        <f t="shared" ref="G4995:G5058" si="236">$M$9/F4995*100</f>
        <v>66.666666666666657</v>
      </c>
      <c r="H4995" s="1" t="s">
        <v>1</v>
      </c>
      <c r="I4995" s="4" t="s">
        <v>2</v>
      </c>
      <c r="J4995" s="14">
        <v>0.69444444444444442</v>
      </c>
      <c r="K4995" s="20" t="str">
        <f t="shared" si="235"/>
        <v>2nd Shift</v>
      </c>
    </row>
    <row r="4996" spans="1:11" x14ac:dyDescent="0.25">
      <c r="A4996" s="1">
        <v>4995</v>
      </c>
      <c r="B4996" s="1">
        <v>11</v>
      </c>
      <c r="C4996" s="3">
        <v>11115271559603</v>
      </c>
      <c r="D4996" s="2">
        <v>44718.694444444445</v>
      </c>
      <c r="E4996" s="2">
        <v>44718.881944444445</v>
      </c>
      <c r="F4996" s="23">
        <f t="shared" si="234"/>
        <v>0.1875</v>
      </c>
      <c r="G4996" s="24">
        <f t="shared" si="236"/>
        <v>66.666666666666657</v>
      </c>
      <c r="H4996" s="1" t="s">
        <v>1</v>
      </c>
      <c r="I4996" s="4" t="s">
        <v>2</v>
      </c>
      <c r="J4996" s="14">
        <v>0.69444444444444442</v>
      </c>
      <c r="K4996" s="20" t="str">
        <f t="shared" si="235"/>
        <v>2nd Shift</v>
      </c>
    </row>
    <row r="4997" spans="1:11" x14ac:dyDescent="0.25">
      <c r="A4997" s="1">
        <v>4996</v>
      </c>
      <c r="B4997" s="1">
        <v>11</v>
      </c>
      <c r="C4997" s="3">
        <v>11115271559602</v>
      </c>
      <c r="D4997" s="2">
        <v>44718.694444444445</v>
      </c>
      <c r="E4997" s="2">
        <v>44718.881944444445</v>
      </c>
      <c r="F4997" s="23">
        <f t="shared" si="234"/>
        <v>0.1875</v>
      </c>
      <c r="G4997" s="24">
        <f t="shared" si="236"/>
        <v>66.666666666666657</v>
      </c>
      <c r="H4997" s="1" t="s">
        <v>1</v>
      </c>
      <c r="I4997" s="4" t="s">
        <v>3</v>
      </c>
      <c r="J4997" s="14">
        <v>0.69444444444444442</v>
      </c>
      <c r="K4997" s="20" t="str">
        <f t="shared" si="235"/>
        <v>2nd Shift</v>
      </c>
    </row>
    <row r="4998" spans="1:11" x14ac:dyDescent="0.25">
      <c r="A4998" s="1">
        <v>4997</v>
      </c>
      <c r="B4998" s="1">
        <v>3</v>
      </c>
      <c r="C4998" s="3">
        <v>3115270366515</v>
      </c>
      <c r="D4998" s="2">
        <v>44718.694444444445</v>
      </c>
      <c r="E4998" s="2">
        <v>44718.881944444445</v>
      </c>
      <c r="F4998" s="23">
        <f t="shared" si="234"/>
        <v>0.1875</v>
      </c>
      <c r="G4998" s="24">
        <f t="shared" si="236"/>
        <v>66.666666666666657</v>
      </c>
      <c r="H4998" s="1" t="s">
        <v>1</v>
      </c>
      <c r="I4998" s="4" t="s">
        <v>3</v>
      </c>
      <c r="J4998" s="14">
        <v>0.69444444444444442</v>
      </c>
      <c r="K4998" s="20" t="str">
        <f t="shared" si="235"/>
        <v>2nd Shift</v>
      </c>
    </row>
    <row r="4999" spans="1:11" x14ac:dyDescent="0.25">
      <c r="A4999" s="1">
        <v>4998</v>
      </c>
      <c r="B4999" s="1">
        <v>3</v>
      </c>
      <c r="C4999" s="3">
        <v>3115270366508</v>
      </c>
      <c r="D4999" s="2">
        <v>44718.694444444445</v>
      </c>
      <c r="E4999" s="2">
        <v>44718.881944444445</v>
      </c>
      <c r="F4999" s="23">
        <f t="shared" si="234"/>
        <v>0.1875</v>
      </c>
      <c r="G4999" s="24">
        <f t="shared" si="236"/>
        <v>66.666666666666657</v>
      </c>
      <c r="H4999" s="1" t="s">
        <v>1</v>
      </c>
      <c r="I4999" s="4" t="s">
        <v>2</v>
      </c>
      <c r="J4999" s="14">
        <v>0.69444444444444442</v>
      </c>
      <c r="K4999" s="20" t="str">
        <f t="shared" si="235"/>
        <v>2nd Shift</v>
      </c>
    </row>
    <row r="5000" spans="1:11" x14ac:dyDescent="0.25">
      <c r="A5000" s="1">
        <v>4999</v>
      </c>
      <c r="B5000" s="1">
        <v>3</v>
      </c>
      <c r="C5000" s="3">
        <v>3115270366505</v>
      </c>
      <c r="D5000" s="2">
        <v>44718.694444444445</v>
      </c>
      <c r="E5000" s="2">
        <v>44718.881944444445</v>
      </c>
      <c r="F5000" s="23">
        <f t="shared" si="234"/>
        <v>0.1875</v>
      </c>
      <c r="G5000" s="24">
        <f t="shared" si="236"/>
        <v>66.666666666666657</v>
      </c>
      <c r="H5000" s="1" t="s">
        <v>1</v>
      </c>
      <c r="I5000" s="4" t="s">
        <v>3</v>
      </c>
      <c r="J5000" s="14">
        <v>0.69444444444444442</v>
      </c>
      <c r="K5000" s="20" t="str">
        <f t="shared" si="235"/>
        <v>2nd Shift</v>
      </c>
    </row>
    <row r="5001" spans="1:11" x14ac:dyDescent="0.25">
      <c r="A5001" s="1">
        <v>5000</v>
      </c>
      <c r="B5001" s="1">
        <v>3</v>
      </c>
      <c r="C5001" s="3">
        <v>3115270366503</v>
      </c>
      <c r="D5001" s="2">
        <v>44718.694444444445</v>
      </c>
      <c r="E5001" s="2">
        <v>44718.881944444445</v>
      </c>
      <c r="F5001" s="23">
        <f t="shared" si="234"/>
        <v>0.1875</v>
      </c>
      <c r="G5001" s="24">
        <f t="shared" si="236"/>
        <v>66.666666666666657</v>
      </c>
      <c r="H5001" s="1" t="s">
        <v>1</v>
      </c>
      <c r="I5001" s="4" t="s">
        <v>3</v>
      </c>
      <c r="J5001" s="14">
        <v>0.69444444444444442</v>
      </c>
      <c r="K5001" s="20" t="str">
        <f t="shared" si="235"/>
        <v>2nd Shift</v>
      </c>
    </row>
    <row r="5002" spans="1:11" x14ac:dyDescent="0.25">
      <c r="A5002" s="1">
        <v>5001</v>
      </c>
      <c r="B5002" s="1">
        <v>3</v>
      </c>
      <c r="C5002" s="3">
        <v>3115270366501</v>
      </c>
      <c r="D5002" s="2">
        <v>44718.694444444445</v>
      </c>
      <c r="E5002" s="2">
        <v>44718.881944444445</v>
      </c>
      <c r="F5002" s="23">
        <f t="shared" si="234"/>
        <v>0.1875</v>
      </c>
      <c r="G5002" s="24">
        <f t="shared" si="236"/>
        <v>66.666666666666657</v>
      </c>
      <c r="H5002" s="1" t="s">
        <v>1</v>
      </c>
      <c r="I5002" s="4" t="s">
        <v>3</v>
      </c>
      <c r="J5002" s="14">
        <v>0.69444444444444442</v>
      </c>
      <c r="K5002" s="20" t="str">
        <f t="shared" si="235"/>
        <v>2nd Shift</v>
      </c>
    </row>
    <row r="5003" spans="1:11" x14ac:dyDescent="0.25">
      <c r="A5003" s="1">
        <v>5002</v>
      </c>
      <c r="B5003" s="1">
        <v>5</v>
      </c>
      <c r="C5003" s="3">
        <v>5115271689200</v>
      </c>
      <c r="D5003" s="2">
        <v>44718.965277777781</v>
      </c>
      <c r="E5003" s="2">
        <v>44719.010416666664</v>
      </c>
      <c r="F5003" s="23">
        <f t="shared" si="234"/>
        <v>4.5138888883229811E-2</v>
      </c>
      <c r="G5003" s="24">
        <f t="shared" si="236"/>
        <v>276.92307695779488</v>
      </c>
      <c r="H5003" s="1" t="s">
        <v>1</v>
      </c>
      <c r="I5003" s="4" t="s">
        <v>3</v>
      </c>
      <c r="J5003" s="14">
        <v>0.96527777777777779</v>
      </c>
      <c r="K5003" s="20" t="str">
        <f t="shared" si="235"/>
        <v>3rd Shift</v>
      </c>
    </row>
    <row r="5004" spans="1:11" x14ac:dyDescent="0.25">
      <c r="A5004" s="1">
        <v>5003</v>
      </c>
      <c r="B5004" s="1">
        <v>6</v>
      </c>
      <c r="C5004" s="3">
        <v>6115271723909</v>
      </c>
      <c r="D5004" s="2">
        <v>44719.416666666664</v>
      </c>
      <c r="E5004" s="2">
        <v>44719.53125</v>
      </c>
      <c r="F5004" s="23">
        <f t="shared" si="234"/>
        <v>0.11458333333575865</v>
      </c>
      <c r="G5004" s="24">
        <f t="shared" si="236"/>
        <v>109.09090908860001</v>
      </c>
      <c r="H5004" s="1" t="s">
        <v>1</v>
      </c>
      <c r="I5004" s="4" t="s">
        <v>4</v>
      </c>
      <c r="J5004" s="14">
        <v>0.41666666666666669</v>
      </c>
      <c r="K5004" s="20" t="str">
        <f t="shared" si="235"/>
        <v>1st Shift</v>
      </c>
    </row>
    <row r="5005" spans="1:11" x14ac:dyDescent="0.25">
      <c r="A5005" s="1">
        <v>5004</v>
      </c>
      <c r="B5005" s="1">
        <v>6</v>
      </c>
      <c r="C5005" s="3">
        <v>6115271723908</v>
      </c>
      <c r="D5005" s="2">
        <v>44719.416666666664</v>
      </c>
      <c r="E5005" s="2">
        <v>44719.53125</v>
      </c>
      <c r="F5005" s="23">
        <f t="shared" si="234"/>
        <v>0.11458333333575865</v>
      </c>
      <c r="G5005" s="24">
        <f t="shared" si="236"/>
        <v>109.09090908860001</v>
      </c>
      <c r="H5005" s="1" t="s">
        <v>1</v>
      </c>
      <c r="I5005" s="4" t="s">
        <v>2</v>
      </c>
      <c r="J5005" s="14">
        <v>0.41666666666666669</v>
      </c>
      <c r="K5005" s="20" t="str">
        <f t="shared" si="235"/>
        <v>1st Shift</v>
      </c>
    </row>
    <row r="5006" spans="1:11" x14ac:dyDescent="0.25">
      <c r="A5006" s="1">
        <v>5005</v>
      </c>
      <c r="B5006" s="1">
        <v>6</v>
      </c>
      <c r="C5006" s="3">
        <v>6115271723906</v>
      </c>
      <c r="D5006" s="2">
        <v>44719.416666666664</v>
      </c>
      <c r="E5006" s="2">
        <v>44719.53125</v>
      </c>
      <c r="F5006" s="23">
        <f t="shared" si="234"/>
        <v>0.11458333333575865</v>
      </c>
      <c r="G5006" s="24">
        <f t="shared" si="236"/>
        <v>109.09090908860001</v>
      </c>
      <c r="H5006" s="1" t="s">
        <v>1</v>
      </c>
      <c r="I5006" s="4" t="s">
        <v>5</v>
      </c>
      <c r="J5006" s="14">
        <v>0.41666666666666669</v>
      </c>
      <c r="K5006" s="20" t="str">
        <f t="shared" si="235"/>
        <v>1st Shift</v>
      </c>
    </row>
    <row r="5007" spans="1:11" x14ac:dyDescent="0.25">
      <c r="A5007" s="1">
        <v>5006</v>
      </c>
      <c r="B5007" s="1">
        <v>6</v>
      </c>
      <c r="C5007" s="3">
        <v>6115271723903</v>
      </c>
      <c r="D5007" s="2">
        <v>44719.416666666664</v>
      </c>
      <c r="E5007" s="2">
        <v>44719.53125</v>
      </c>
      <c r="F5007" s="23">
        <f t="shared" si="234"/>
        <v>0.11458333333575865</v>
      </c>
      <c r="G5007" s="24">
        <f t="shared" si="236"/>
        <v>109.09090908860001</v>
      </c>
      <c r="H5007" s="1" t="s">
        <v>1</v>
      </c>
      <c r="I5007" s="4" t="s">
        <v>2</v>
      </c>
      <c r="J5007" s="14">
        <v>0.41666666666666669</v>
      </c>
      <c r="K5007" s="20" t="str">
        <f t="shared" si="235"/>
        <v>1st Shift</v>
      </c>
    </row>
    <row r="5008" spans="1:11" x14ac:dyDescent="0.25">
      <c r="A5008" s="1">
        <v>5007</v>
      </c>
      <c r="B5008" s="1">
        <v>6</v>
      </c>
      <c r="C5008" s="3">
        <v>6115271723903</v>
      </c>
      <c r="D5008" s="2">
        <v>44719.416666666664</v>
      </c>
      <c r="E5008" s="2">
        <v>44719.53125</v>
      </c>
      <c r="F5008" s="23">
        <f t="shared" si="234"/>
        <v>0.11458333333575865</v>
      </c>
      <c r="G5008" s="24">
        <f t="shared" si="236"/>
        <v>109.09090908860001</v>
      </c>
      <c r="H5008" s="1" t="s">
        <v>1</v>
      </c>
      <c r="I5008" s="4" t="s">
        <v>4</v>
      </c>
      <c r="J5008" s="14">
        <v>0.41666666666666669</v>
      </c>
      <c r="K5008" s="20" t="str">
        <f t="shared" si="235"/>
        <v>1st Shift</v>
      </c>
    </row>
    <row r="5009" spans="1:11" x14ac:dyDescent="0.25">
      <c r="A5009" s="1">
        <v>5008</v>
      </c>
      <c r="B5009" s="1">
        <v>6</v>
      </c>
      <c r="C5009" s="3">
        <v>6115271723902</v>
      </c>
      <c r="D5009" s="2">
        <v>44719.416666666664</v>
      </c>
      <c r="E5009" s="2">
        <v>44719.53125</v>
      </c>
      <c r="F5009" s="23">
        <f t="shared" si="234"/>
        <v>0.11458333333575865</v>
      </c>
      <c r="G5009" s="24">
        <f t="shared" si="236"/>
        <v>109.09090908860001</v>
      </c>
      <c r="H5009" s="1" t="s">
        <v>1</v>
      </c>
      <c r="I5009" s="4" t="s">
        <v>2</v>
      </c>
      <c r="J5009" s="14">
        <v>0.41666666666666669</v>
      </c>
      <c r="K5009" s="20" t="str">
        <f t="shared" si="235"/>
        <v>1st Shift</v>
      </c>
    </row>
    <row r="5010" spans="1:11" x14ac:dyDescent="0.25">
      <c r="A5010" s="1">
        <v>5009</v>
      </c>
      <c r="B5010" s="1">
        <v>4</v>
      </c>
      <c r="C5010" s="3">
        <v>4115270854009</v>
      </c>
      <c r="D5010" s="2">
        <v>44719.416666666664</v>
      </c>
      <c r="E5010" s="2">
        <v>44719.53125</v>
      </c>
      <c r="F5010" s="23">
        <f t="shared" si="234"/>
        <v>0.11458333333575865</v>
      </c>
      <c r="G5010" s="24">
        <f t="shared" si="236"/>
        <v>109.09090908860001</v>
      </c>
      <c r="H5010" s="1" t="s">
        <v>1</v>
      </c>
      <c r="I5010" s="4" t="s">
        <v>3</v>
      </c>
      <c r="J5010" s="14">
        <v>0.41666666666666669</v>
      </c>
      <c r="K5010" s="20" t="str">
        <f t="shared" si="235"/>
        <v>1st Shift</v>
      </c>
    </row>
    <row r="5011" spans="1:11" x14ac:dyDescent="0.25">
      <c r="A5011" s="1">
        <v>5010</v>
      </c>
      <c r="B5011" s="1">
        <v>4</v>
      </c>
      <c r="C5011" s="3">
        <v>4115270854007</v>
      </c>
      <c r="D5011" s="2">
        <v>44719.416666666664</v>
      </c>
      <c r="E5011" s="2">
        <v>44719.53125</v>
      </c>
      <c r="F5011" s="23">
        <f t="shared" si="234"/>
        <v>0.11458333333575865</v>
      </c>
      <c r="G5011" s="24">
        <f t="shared" si="236"/>
        <v>109.09090908860001</v>
      </c>
      <c r="H5011" s="1" t="s">
        <v>1</v>
      </c>
      <c r="I5011" s="4" t="s">
        <v>2</v>
      </c>
      <c r="J5011" s="14">
        <v>0.41666666666666669</v>
      </c>
      <c r="K5011" s="20" t="str">
        <f t="shared" si="235"/>
        <v>1st Shift</v>
      </c>
    </row>
    <row r="5012" spans="1:11" x14ac:dyDescent="0.25">
      <c r="A5012" s="1">
        <v>5011</v>
      </c>
      <c r="B5012" s="1">
        <v>4</v>
      </c>
      <c r="C5012" s="3">
        <v>4115270854005</v>
      </c>
      <c r="D5012" s="2">
        <v>44719.416666666664</v>
      </c>
      <c r="E5012" s="2">
        <v>44719.53125</v>
      </c>
      <c r="F5012" s="23">
        <f t="shared" si="234"/>
        <v>0.11458333333575865</v>
      </c>
      <c r="G5012" s="24">
        <f t="shared" si="236"/>
        <v>109.09090908860001</v>
      </c>
      <c r="H5012" s="1" t="s">
        <v>1</v>
      </c>
      <c r="I5012" s="4" t="s">
        <v>3</v>
      </c>
      <c r="J5012" s="14">
        <v>0.41666666666666669</v>
      </c>
      <c r="K5012" s="20" t="str">
        <f t="shared" si="235"/>
        <v>1st Shift</v>
      </c>
    </row>
    <row r="5013" spans="1:11" x14ac:dyDescent="0.25">
      <c r="A5013" s="1">
        <v>5012</v>
      </c>
      <c r="B5013" s="1">
        <v>4</v>
      </c>
      <c r="C5013" s="3">
        <v>4115270854003</v>
      </c>
      <c r="D5013" s="2">
        <v>44719.416666666664</v>
      </c>
      <c r="E5013" s="2">
        <v>44719.53125</v>
      </c>
      <c r="F5013" s="23">
        <f t="shared" si="234"/>
        <v>0.11458333333575865</v>
      </c>
      <c r="G5013" s="24">
        <f t="shared" si="236"/>
        <v>109.09090908860001</v>
      </c>
      <c r="H5013" s="1" t="s">
        <v>1</v>
      </c>
      <c r="I5013" s="4" t="s">
        <v>3</v>
      </c>
      <c r="J5013" s="14">
        <v>0.41666666666666669</v>
      </c>
      <c r="K5013" s="20" t="str">
        <f t="shared" si="235"/>
        <v>1st Shift</v>
      </c>
    </row>
    <row r="5014" spans="1:11" x14ac:dyDescent="0.25">
      <c r="A5014" s="1">
        <v>5013</v>
      </c>
      <c r="B5014" s="1">
        <v>4</v>
      </c>
      <c r="C5014" s="3">
        <v>4115270854002</v>
      </c>
      <c r="D5014" s="2">
        <v>44719.416666666664</v>
      </c>
      <c r="E5014" s="2">
        <v>44719.53125</v>
      </c>
      <c r="F5014" s="23">
        <f t="shared" si="234"/>
        <v>0.11458333333575865</v>
      </c>
      <c r="G5014" s="24">
        <f t="shared" si="236"/>
        <v>109.09090908860001</v>
      </c>
      <c r="H5014" s="1" t="s">
        <v>1</v>
      </c>
      <c r="I5014" s="4" t="s">
        <v>3</v>
      </c>
      <c r="J5014" s="14">
        <v>0.41666666666666669</v>
      </c>
      <c r="K5014" s="20" t="str">
        <f t="shared" si="235"/>
        <v>1st Shift</v>
      </c>
    </row>
    <row r="5015" spans="1:11" x14ac:dyDescent="0.25">
      <c r="A5015" s="1">
        <v>5014</v>
      </c>
      <c r="B5015" s="1">
        <v>4</v>
      </c>
      <c r="C5015" s="3">
        <v>4115270854000</v>
      </c>
      <c r="D5015" s="2">
        <v>44719.416666666664</v>
      </c>
      <c r="E5015" s="2">
        <v>44719.53125</v>
      </c>
      <c r="F5015" s="23">
        <f t="shared" si="234"/>
        <v>0.11458333333575865</v>
      </c>
      <c r="G5015" s="24">
        <f t="shared" si="236"/>
        <v>109.09090908860001</v>
      </c>
      <c r="H5015" s="1" t="s">
        <v>1</v>
      </c>
      <c r="I5015" s="4" t="s">
        <v>3</v>
      </c>
      <c r="J5015" s="14">
        <v>0.41666666666666669</v>
      </c>
      <c r="K5015" s="20" t="str">
        <f t="shared" si="235"/>
        <v>1st Shift</v>
      </c>
    </row>
    <row r="5016" spans="1:11" x14ac:dyDescent="0.25">
      <c r="A5016" s="1">
        <v>5015</v>
      </c>
      <c r="B5016" s="1">
        <v>2</v>
      </c>
      <c r="C5016" s="3">
        <v>2115270196505</v>
      </c>
      <c r="D5016" s="2">
        <v>44719.416666666664</v>
      </c>
      <c r="E5016" s="2">
        <v>44719.53125</v>
      </c>
      <c r="F5016" s="23">
        <f t="shared" si="234"/>
        <v>0.11458333333575865</v>
      </c>
      <c r="G5016" s="24">
        <f t="shared" si="236"/>
        <v>109.09090908860001</v>
      </c>
      <c r="H5016" s="1" t="s">
        <v>1</v>
      </c>
      <c r="I5016" s="4" t="s">
        <v>3</v>
      </c>
      <c r="J5016" s="14">
        <v>0.41666666666666669</v>
      </c>
      <c r="K5016" s="20" t="str">
        <f t="shared" si="235"/>
        <v>1st Shift</v>
      </c>
    </row>
    <row r="5017" spans="1:11" x14ac:dyDescent="0.25">
      <c r="A5017" s="1">
        <v>5016</v>
      </c>
      <c r="B5017" s="1">
        <v>2</v>
      </c>
      <c r="C5017" s="3">
        <v>2115270196503</v>
      </c>
      <c r="D5017" s="2">
        <v>44719.416666666664</v>
      </c>
      <c r="E5017" s="2">
        <v>44719.53125</v>
      </c>
      <c r="F5017" s="23">
        <f t="shared" si="234"/>
        <v>0.11458333333575865</v>
      </c>
      <c r="G5017" s="24">
        <f t="shared" si="236"/>
        <v>109.09090908860001</v>
      </c>
      <c r="H5017" s="1" t="s">
        <v>1</v>
      </c>
      <c r="I5017" s="4" t="s">
        <v>3</v>
      </c>
      <c r="J5017" s="14">
        <v>0.41666666666666669</v>
      </c>
      <c r="K5017" s="20" t="str">
        <f t="shared" si="235"/>
        <v>1st Shift</v>
      </c>
    </row>
    <row r="5018" spans="1:11" x14ac:dyDescent="0.25">
      <c r="A5018" s="1">
        <v>5017</v>
      </c>
      <c r="B5018" s="1">
        <v>2</v>
      </c>
      <c r="C5018" s="3">
        <v>2115270196502</v>
      </c>
      <c r="D5018" s="2">
        <v>44719.416666666664</v>
      </c>
      <c r="E5018" s="2">
        <v>44719.53125</v>
      </c>
      <c r="F5018" s="23">
        <f t="shared" si="234"/>
        <v>0.11458333333575865</v>
      </c>
      <c r="G5018" s="24">
        <f t="shared" si="236"/>
        <v>109.09090908860001</v>
      </c>
      <c r="H5018" s="1" t="s">
        <v>1</v>
      </c>
      <c r="I5018" s="4" t="s">
        <v>2</v>
      </c>
      <c r="J5018" s="14">
        <v>0.41666666666666669</v>
      </c>
      <c r="K5018" s="20" t="str">
        <f t="shared" si="235"/>
        <v>1st Shift</v>
      </c>
    </row>
    <row r="5019" spans="1:11" x14ac:dyDescent="0.25">
      <c r="A5019" s="1">
        <v>5018</v>
      </c>
      <c r="B5019" s="1">
        <v>2</v>
      </c>
      <c r="C5019" s="3">
        <v>2115270196501</v>
      </c>
      <c r="D5019" s="2">
        <v>44719.416666666664</v>
      </c>
      <c r="E5019" s="2">
        <v>44719.53125</v>
      </c>
      <c r="F5019" s="23">
        <f t="shared" si="234"/>
        <v>0.11458333333575865</v>
      </c>
      <c r="G5019" s="24">
        <f t="shared" si="236"/>
        <v>109.09090908860001</v>
      </c>
      <c r="H5019" s="1" t="s">
        <v>1</v>
      </c>
      <c r="I5019" s="4" t="s">
        <v>3</v>
      </c>
      <c r="J5019" s="14">
        <v>0.41666666666666669</v>
      </c>
      <c r="K5019" s="20" t="str">
        <f t="shared" si="235"/>
        <v>1st Shift</v>
      </c>
    </row>
    <row r="5020" spans="1:11" x14ac:dyDescent="0.25">
      <c r="A5020" s="1">
        <v>5019</v>
      </c>
      <c r="B5020" s="1">
        <v>2</v>
      </c>
      <c r="C5020" s="3">
        <v>2115270196501</v>
      </c>
      <c r="D5020" s="2">
        <v>44719.416666666664</v>
      </c>
      <c r="E5020" s="2">
        <v>44719.53125</v>
      </c>
      <c r="F5020" s="23">
        <f t="shared" si="234"/>
        <v>0.11458333333575865</v>
      </c>
      <c r="G5020" s="24">
        <f t="shared" si="236"/>
        <v>109.09090908860001</v>
      </c>
      <c r="H5020" s="1" t="s">
        <v>1</v>
      </c>
      <c r="I5020" s="4" t="s">
        <v>2</v>
      </c>
      <c r="J5020" s="14">
        <v>0.41666666666666669</v>
      </c>
      <c r="K5020" s="20" t="str">
        <f t="shared" si="235"/>
        <v>1st Shift</v>
      </c>
    </row>
    <row r="5021" spans="1:11" x14ac:dyDescent="0.25">
      <c r="A5021" s="1">
        <v>5020</v>
      </c>
      <c r="B5021" s="1">
        <v>2</v>
      </c>
      <c r="C5021" s="3">
        <v>2115270196500</v>
      </c>
      <c r="D5021" s="2">
        <v>44719.416666666664</v>
      </c>
      <c r="E5021" s="2">
        <v>44719.53125</v>
      </c>
      <c r="F5021" s="23">
        <f t="shared" si="234"/>
        <v>0.11458333333575865</v>
      </c>
      <c r="G5021" s="24">
        <f t="shared" si="236"/>
        <v>109.09090908860001</v>
      </c>
      <c r="H5021" s="1" t="s">
        <v>1</v>
      </c>
      <c r="I5021" s="4" t="s">
        <v>4</v>
      </c>
      <c r="J5021" s="14">
        <v>0.41666666666666669</v>
      </c>
      <c r="K5021" s="20" t="str">
        <f t="shared" si="235"/>
        <v>1st Shift</v>
      </c>
    </row>
    <row r="5022" spans="1:11" x14ac:dyDescent="0.25">
      <c r="A5022" s="1">
        <v>5021</v>
      </c>
      <c r="B5022" s="1">
        <v>13</v>
      </c>
      <c r="C5022" s="3">
        <v>13115271612202</v>
      </c>
      <c r="D5022" s="2">
        <v>44719.673611111109</v>
      </c>
      <c r="E5022" s="2">
        <v>44719.770833333336</v>
      </c>
      <c r="F5022" s="23">
        <f t="shared" si="234"/>
        <v>9.7222222226264421E-2</v>
      </c>
      <c r="G5022" s="24">
        <f t="shared" si="236"/>
        <v>128.57142856608297</v>
      </c>
      <c r="H5022" s="1" t="s">
        <v>1</v>
      </c>
      <c r="I5022" s="4" t="s">
        <v>3</v>
      </c>
      <c r="J5022" s="14">
        <v>0.67361111111111116</v>
      </c>
      <c r="K5022" s="20" t="str">
        <f t="shared" si="235"/>
        <v>2nd Shift</v>
      </c>
    </row>
    <row r="5023" spans="1:11" x14ac:dyDescent="0.25">
      <c r="A5023" s="1">
        <v>5022</v>
      </c>
      <c r="B5023" s="1">
        <v>13</v>
      </c>
      <c r="C5023" s="3">
        <v>13115271612201</v>
      </c>
      <c r="D5023" s="2">
        <v>44719.673611111109</v>
      </c>
      <c r="E5023" s="2">
        <v>44719.770833333336</v>
      </c>
      <c r="F5023" s="23">
        <f t="shared" si="234"/>
        <v>9.7222222226264421E-2</v>
      </c>
      <c r="G5023" s="24">
        <f t="shared" si="236"/>
        <v>128.57142856608297</v>
      </c>
      <c r="H5023" s="1" t="s">
        <v>1</v>
      </c>
      <c r="I5023" s="4" t="s">
        <v>3</v>
      </c>
      <c r="J5023" s="14">
        <v>0.67361111111111116</v>
      </c>
      <c r="K5023" s="20" t="str">
        <f t="shared" si="235"/>
        <v>2nd Shift</v>
      </c>
    </row>
    <row r="5024" spans="1:11" x14ac:dyDescent="0.25">
      <c r="A5024" s="1">
        <v>5023</v>
      </c>
      <c r="B5024" s="1">
        <v>12</v>
      </c>
      <c r="C5024" s="3">
        <v>12115271569827</v>
      </c>
      <c r="D5024" s="2">
        <v>44719.673611111109</v>
      </c>
      <c r="E5024" s="2">
        <v>44719.777777777781</v>
      </c>
      <c r="F5024" s="23">
        <f t="shared" si="234"/>
        <v>0.10416666667151731</v>
      </c>
      <c r="G5024" s="24">
        <f t="shared" si="236"/>
        <v>119.99999999441206</v>
      </c>
      <c r="H5024" s="1" t="s">
        <v>1</v>
      </c>
      <c r="I5024" s="4" t="s">
        <v>8</v>
      </c>
      <c r="J5024" s="14">
        <v>0.67361111111111116</v>
      </c>
      <c r="K5024" s="20" t="str">
        <f t="shared" si="235"/>
        <v>2nd Shift</v>
      </c>
    </row>
    <row r="5025" spans="1:11" x14ac:dyDescent="0.25">
      <c r="A5025" s="1">
        <v>5024</v>
      </c>
      <c r="B5025" s="1">
        <v>12</v>
      </c>
      <c r="C5025" s="3">
        <v>12115271569827</v>
      </c>
      <c r="D5025" s="2">
        <v>44719.673611111109</v>
      </c>
      <c r="E5025" s="2">
        <v>44719.777777777781</v>
      </c>
      <c r="F5025" s="23">
        <f t="shared" si="234"/>
        <v>0.10416666667151731</v>
      </c>
      <c r="G5025" s="24">
        <f t="shared" si="236"/>
        <v>119.99999999441206</v>
      </c>
      <c r="H5025" s="1" t="s">
        <v>1</v>
      </c>
      <c r="I5025" s="4" t="s">
        <v>3</v>
      </c>
      <c r="J5025" s="14">
        <v>0.67361111111111116</v>
      </c>
      <c r="K5025" s="20" t="str">
        <f t="shared" si="235"/>
        <v>2nd Shift</v>
      </c>
    </row>
    <row r="5026" spans="1:11" x14ac:dyDescent="0.25">
      <c r="A5026" s="1">
        <v>5025</v>
      </c>
      <c r="B5026" s="1">
        <v>12</v>
      </c>
      <c r="C5026" s="3">
        <v>12115271569826</v>
      </c>
      <c r="D5026" s="2">
        <v>44719.673611111109</v>
      </c>
      <c r="E5026" s="2">
        <v>44719.777777777781</v>
      </c>
      <c r="F5026" s="23">
        <f t="shared" si="234"/>
        <v>0.10416666667151731</v>
      </c>
      <c r="G5026" s="24">
        <f t="shared" si="236"/>
        <v>119.99999999441206</v>
      </c>
      <c r="H5026" s="1" t="s">
        <v>1</v>
      </c>
      <c r="I5026" s="4" t="s">
        <v>2</v>
      </c>
      <c r="J5026" s="14">
        <v>0.67361111111111116</v>
      </c>
      <c r="K5026" s="20" t="str">
        <f t="shared" si="235"/>
        <v>2nd Shift</v>
      </c>
    </row>
    <row r="5027" spans="1:11" x14ac:dyDescent="0.25">
      <c r="A5027" s="1">
        <v>5026</v>
      </c>
      <c r="B5027" s="1">
        <v>12</v>
      </c>
      <c r="C5027" s="3">
        <v>12115271569825</v>
      </c>
      <c r="D5027" s="2">
        <v>44719.673611111109</v>
      </c>
      <c r="E5027" s="2">
        <v>44719.777777777781</v>
      </c>
      <c r="F5027" s="23">
        <f t="shared" si="234"/>
        <v>0.10416666667151731</v>
      </c>
      <c r="G5027" s="24">
        <f t="shared" si="236"/>
        <v>119.99999999441206</v>
      </c>
      <c r="H5027" s="1" t="s">
        <v>1</v>
      </c>
      <c r="I5027" s="4" t="s">
        <v>3</v>
      </c>
      <c r="J5027" s="14">
        <v>0.67361111111111116</v>
      </c>
      <c r="K5027" s="20" t="str">
        <f t="shared" si="235"/>
        <v>2nd Shift</v>
      </c>
    </row>
    <row r="5028" spans="1:11" x14ac:dyDescent="0.25">
      <c r="A5028" s="1">
        <v>5027</v>
      </c>
      <c r="B5028" s="1">
        <v>12</v>
      </c>
      <c r="C5028" s="3">
        <v>12115271569824</v>
      </c>
      <c r="D5028" s="2">
        <v>44719.673611111109</v>
      </c>
      <c r="E5028" s="2">
        <v>44719.777777777781</v>
      </c>
      <c r="F5028" s="23">
        <f t="shared" si="234"/>
        <v>0.10416666667151731</v>
      </c>
      <c r="G5028" s="24">
        <f t="shared" si="236"/>
        <v>119.99999999441206</v>
      </c>
      <c r="H5028" s="1" t="s">
        <v>1</v>
      </c>
      <c r="I5028" s="4" t="s">
        <v>3</v>
      </c>
      <c r="J5028" s="14">
        <v>0.67361111111111116</v>
      </c>
      <c r="K5028" s="20" t="str">
        <f t="shared" si="235"/>
        <v>2nd Shift</v>
      </c>
    </row>
    <row r="5029" spans="1:11" x14ac:dyDescent="0.25">
      <c r="A5029" s="1">
        <v>5028</v>
      </c>
      <c r="B5029" s="1">
        <v>12</v>
      </c>
      <c r="C5029" s="3">
        <v>12115271569824</v>
      </c>
      <c r="D5029" s="2">
        <v>44719.673611111109</v>
      </c>
      <c r="E5029" s="2">
        <v>44719.777777777781</v>
      </c>
      <c r="F5029" s="23">
        <f t="shared" si="234"/>
        <v>0.10416666667151731</v>
      </c>
      <c r="G5029" s="24">
        <f t="shared" si="236"/>
        <v>119.99999999441206</v>
      </c>
      <c r="H5029" s="1" t="s">
        <v>1</v>
      </c>
      <c r="I5029" s="4" t="s">
        <v>2</v>
      </c>
      <c r="J5029" s="14">
        <v>0.67361111111111116</v>
      </c>
      <c r="K5029" s="20" t="str">
        <f t="shared" si="235"/>
        <v>2nd Shift</v>
      </c>
    </row>
    <row r="5030" spans="1:11" x14ac:dyDescent="0.25">
      <c r="A5030" s="1">
        <v>5029</v>
      </c>
      <c r="B5030" s="1">
        <v>13</v>
      </c>
      <c r="C5030" s="3">
        <v>13115271626909</v>
      </c>
      <c r="D5030" s="2">
        <v>44720.350694444445</v>
      </c>
      <c r="E5030" s="2">
        <v>44720.4375</v>
      </c>
      <c r="F5030" s="23">
        <f t="shared" si="234"/>
        <v>8.6805555554747116E-2</v>
      </c>
      <c r="G5030" s="24">
        <f t="shared" si="236"/>
        <v>144.00000000134111</v>
      </c>
      <c r="H5030" s="1" t="s">
        <v>1</v>
      </c>
      <c r="I5030" s="4" t="s">
        <v>2</v>
      </c>
      <c r="J5030" s="14">
        <v>0.35069444444444442</v>
      </c>
      <c r="K5030" s="20" t="str">
        <f t="shared" si="235"/>
        <v>1st Shift</v>
      </c>
    </row>
    <row r="5031" spans="1:11" x14ac:dyDescent="0.25">
      <c r="A5031" s="1">
        <v>5030</v>
      </c>
      <c r="B5031" s="1">
        <v>13</v>
      </c>
      <c r="C5031" s="3">
        <v>13115271626908</v>
      </c>
      <c r="D5031" s="2">
        <v>44720.350694444445</v>
      </c>
      <c r="E5031" s="2">
        <v>44720.4375</v>
      </c>
      <c r="F5031" s="23">
        <f t="shared" si="234"/>
        <v>8.6805555554747116E-2</v>
      </c>
      <c r="G5031" s="24">
        <f t="shared" si="236"/>
        <v>144.00000000134111</v>
      </c>
      <c r="H5031" s="1" t="s">
        <v>1</v>
      </c>
      <c r="I5031" s="4" t="s">
        <v>4</v>
      </c>
      <c r="J5031" s="14">
        <v>0.35069444444444442</v>
      </c>
      <c r="K5031" s="20" t="str">
        <f t="shared" si="235"/>
        <v>1st Shift</v>
      </c>
    </row>
    <row r="5032" spans="1:11" x14ac:dyDescent="0.25">
      <c r="A5032" s="1">
        <v>5031</v>
      </c>
      <c r="B5032" s="1">
        <v>13</v>
      </c>
      <c r="C5032" s="3">
        <v>13115271626903</v>
      </c>
      <c r="D5032" s="2">
        <v>44720.350694444445</v>
      </c>
      <c r="E5032" s="2">
        <v>44720.4375</v>
      </c>
      <c r="F5032" s="23">
        <f t="shared" si="234"/>
        <v>8.6805555554747116E-2</v>
      </c>
      <c r="G5032" s="24">
        <f t="shared" si="236"/>
        <v>144.00000000134111</v>
      </c>
      <c r="H5032" s="1" t="s">
        <v>1</v>
      </c>
      <c r="I5032" s="4" t="s">
        <v>2</v>
      </c>
      <c r="J5032" s="14">
        <v>0.35069444444444442</v>
      </c>
      <c r="K5032" s="20" t="str">
        <f t="shared" si="235"/>
        <v>1st Shift</v>
      </c>
    </row>
    <row r="5033" spans="1:11" x14ac:dyDescent="0.25">
      <c r="A5033" s="1">
        <v>5032</v>
      </c>
      <c r="B5033" s="1">
        <v>13</v>
      </c>
      <c r="C5033" s="3">
        <v>13115271626902</v>
      </c>
      <c r="D5033" s="2">
        <v>44720.350694444445</v>
      </c>
      <c r="E5033" s="2">
        <v>44720.4375</v>
      </c>
      <c r="F5033" s="23">
        <f t="shared" si="234"/>
        <v>8.6805555554747116E-2</v>
      </c>
      <c r="G5033" s="24">
        <f t="shared" si="236"/>
        <v>144.00000000134111</v>
      </c>
      <c r="H5033" s="1" t="s">
        <v>1</v>
      </c>
      <c r="I5033" s="4" t="s">
        <v>3</v>
      </c>
      <c r="J5033" s="14">
        <v>0.35069444444444442</v>
      </c>
      <c r="K5033" s="20" t="str">
        <f t="shared" si="235"/>
        <v>1st Shift</v>
      </c>
    </row>
    <row r="5034" spans="1:11" x14ac:dyDescent="0.25">
      <c r="A5034" s="1">
        <v>5033</v>
      </c>
      <c r="B5034" s="1">
        <v>1</v>
      </c>
      <c r="C5034" s="3">
        <v>1115270143308</v>
      </c>
      <c r="D5034" s="2">
        <v>44720.46875</v>
      </c>
      <c r="E5034" s="2">
        <v>44720.493055555555</v>
      </c>
      <c r="F5034" s="23">
        <f t="shared" si="234"/>
        <v>2.4305555554747116E-2</v>
      </c>
      <c r="G5034" s="24">
        <f t="shared" si="236"/>
        <v>514.28571430282022</v>
      </c>
      <c r="H5034" s="1" t="s">
        <v>1</v>
      </c>
      <c r="I5034" s="4" t="s">
        <v>2</v>
      </c>
      <c r="J5034" s="14">
        <v>0.46875</v>
      </c>
      <c r="K5034" s="20" t="str">
        <f t="shared" si="235"/>
        <v>1st Shift</v>
      </c>
    </row>
    <row r="5035" spans="1:11" x14ac:dyDescent="0.25">
      <c r="A5035" s="1">
        <v>5034</v>
      </c>
      <c r="B5035" s="1">
        <v>1</v>
      </c>
      <c r="C5035" s="3">
        <v>1115270143307</v>
      </c>
      <c r="D5035" s="2">
        <v>44720.46875</v>
      </c>
      <c r="E5035" s="2">
        <v>44720.493055555555</v>
      </c>
      <c r="F5035" s="23">
        <f t="shared" si="234"/>
        <v>2.4305555554747116E-2</v>
      </c>
      <c r="G5035" s="24">
        <f t="shared" si="236"/>
        <v>514.28571430282022</v>
      </c>
      <c r="H5035" s="1" t="s">
        <v>1</v>
      </c>
      <c r="I5035" s="4" t="s">
        <v>4</v>
      </c>
      <c r="J5035" s="14">
        <v>0.46875</v>
      </c>
      <c r="K5035" s="20" t="str">
        <f t="shared" si="235"/>
        <v>1st Shift</v>
      </c>
    </row>
    <row r="5036" spans="1:11" x14ac:dyDescent="0.25">
      <c r="A5036" s="1">
        <v>5035</v>
      </c>
      <c r="B5036" s="1">
        <v>1</v>
      </c>
      <c r="C5036" s="3">
        <v>1115270143302</v>
      </c>
      <c r="D5036" s="2">
        <v>44720.46875</v>
      </c>
      <c r="E5036" s="2">
        <v>44720.493055555555</v>
      </c>
      <c r="F5036" s="23">
        <f t="shared" si="234"/>
        <v>2.4305555554747116E-2</v>
      </c>
      <c r="G5036" s="24">
        <f t="shared" si="236"/>
        <v>514.28571430282022</v>
      </c>
      <c r="H5036" s="1" t="s">
        <v>1</v>
      </c>
      <c r="I5036" s="4" t="s">
        <v>5</v>
      </c>
      <c r="J5036" s="14">
        <v>0.46875</v>
      </c>
      <c r="K5036" s="20" t="str">
        <f t="shared" si="235"/>
        <v>1st Shift</v>
      </c>
    </row>
    <row r="5037" spans="1:11" x14ac:dyDescent="0.25">
      <c r="A5037" s="1">
        <v>5036</v>
      </c>
      <c r="B5037" s="1">
        <v>1</v>
      </c>
      <c r="C5037" s="3">
        <v>1115270143301</v>
      </c>
      <c r="D5037" s="2">
        <v>44720.46875</v>
      </c>
      <c r="E5037" s="2">
        <v>44720.493055555555</v>
      </c>
      <c r="F5037" s="23">
        <f t="shared" si="234"/>
        <v>2.4305555554747116E-2</v>
      </c>
      <c r="G5037" s="24">
        <f t="shared" si="236"/>
        <v>514.28571430282022</v>
      </c>
      <c r="H5037" s="1" t="s">
        <v>1</v>
      </c>
      <c r="I5037" s="4" t="s">
        <v>2</v>
      </c>
      <c r="J5037" s="14">
        <v>0.46875</v>
      </c>
      <c r="K5037" s="20" t="str">
        <f t="shared" si="235"/>
        <v>1st Shift</v>
      </c>
    </row>
    <row r="5038" spans="1:11" x14ac:dyDescent="0.25">
      <c r="A5038" s="1">
        <v>5037</v>
      </c>
      <c r="B5038" s="1">
        <v>12</v>
      </c>
      <c r="C5038" s="3">
        <v>12115271569609</v>
      </c>
      <c r="D5038" s="2">
        <v>44720.540972222225</v>
      </c>
      <c r="E5038" s="2">
        <v>44720.576388888891</v>
      </c>
      <c r="F5038" s="23">
        <f t="shared" si="234"/>
        <v>3.5416666665696539E-2</v>
      </c>
      <c r="G5038" s="24">
        <f t="shared" si="236"/>
        <v>352.94117648025593</v>
      </c>
      <c r="H5038" s="1" t="s">
        <v>1</v>
      </c>
      <c r="I5038" s="4" t="s">
        <v>3</v>
      </c>
      <c r="J5038" s="14">
        <v>0.54097222222222219</v>
      </c>
      <c r="K5038" s="20" t="str">
        <f t="shared" si="235"/>
        <v>1st Shift</v>
      </c>
    </row>
    <row r="5039" spans="1:11" x14ac:dyDescent="0.25">
      <c r="A5039" s="1">
        <v>5038</v>
      </c>
      <c r="B5039" s="1">
        <v>12</v>
      </c>
      <c r="C5039" s="3">
        <v>12115271569607</v>
      </c>
      <c r="D5039" s="2">
        <v>44720.540972222225</v>
      </c>
      <c r="E5039" s="2">
        <v>44720.576388888891</v>
      </c>
      <c r="F5039" s="23">
        <f t="shared" si="234"/>
        <v>3.5416666665696539E-2</v>
      </c>
      <c r="G5039" s="24">
        <f t="shared" si="236"/>
        <v>352.94117648025593</v>
      </c>
      <c r="H5039" s="1" t="s">
        <v>1</v>
      </c>
      <c r="I5039" s="4" t="s">
        <v>3</v>
      </c>
      <c r="J5039" s="14">
        <v>0.54097222222222219</v>
      </c>
      <c r="K5039" s="20" t="str">
        <f t="shared" si="235"/>
        <v>1st Shift</v>
      </c>
    </row>
    <row r="5040" spans="1:11" x14ac:dyDescent="0.25">
      <c r="A5040" s="1">
        <v>5039</v>
      </c>
      <c r="B5040" s="1">
        <v>12</v>
      </c>
      <c r="C5040" s="3">
        <v>12115271569605</v>
      </c>
      <c r="D5040" s="2">
        <v>44720.540972222225</v>
      </c>
      <c r="E5040" s="2">
        <v>44720.576388888891</v>
      </c>
      <c r="F5040" s="23">
        <f t="shared" si="234"/>
        <v>3.5416666665696539E-2</v>
      </c>
      <c r="G5040" s="24">
        <f t="shared" si="236"/>
        <v>352.94117648025593</v>
      </c>
      <c r="H5040" s="1" t="s">
        <v>1</v>
      </c>
      <c r="I5040" s="4" t="s">
        <v>2</v>
      </c>
      <c r="J5040" s="14">
        <v>0.54097222222222219</v>
      </c>
      <c r="K5040" s="20" t="str">
        <f t="shared" si="235"/>
        <v>1st Shift</v>
      </c>
    </row>
    <row r="5041" spans="1:11" x14ac:dyDescent="0.25">
      <c r="A5041" s="1">
        <v>5040</v>
      </c>
      <c r="B5041" s="1">
        <v>12</v>
      </c>
      <c r="C5041" s="3">
        <v>12115271569602</v>
      </c>
      <c r="D5041" s="2">
        <v>44720.540972222225</v>
      </c>
      <c r="E5041" s="2">
        <v>44720.576388888891</v>
      </c>
      <c r="F5041" s="23">
        <f t="shared" si="234"/>
        <v>3.5416666665696539E-2</v>
      </c>
      <c r="G5041" s="24">
        <f t="shared" si="236"/>
        <v>352.94117648025593</v>
      </c>
      <c r="H5041" s="1" t="s">
        <v>1</v>
      </c>
      <c r="I5041" s="4" t="s">
        <v>2</v>
      </c>
      <c r="J5041" s="14">
        <v>0.54097222222222219</v>
      </c>
      <c r="K5041" s="20" t="str">
        <f t="shared" si="235"/>
        <v>1st Shift</v>
      </c>
    </row>
    <row r="5042" spans="1:11" x14ac:dyDescent="0.25">
      <c r="A5042" s="1">
        <v>5041</v>
      </c>
      <c r="B5042" s="1">
        <v>12</v>
      </c>
      <c r="C5042" s="3">
        <v>12115271569601</v>
      </c>
      <c r="D5042" s="2">
        <v>44720.540972222225</v>
      </c>
      <c r="E5042" s="2">
        <v>44720.576388888891</v>
      </c>
      <c r="F5042" s="23">
        <f t="shared" si="234"/>
        <v>3.5416666665696539E-2</v>
      </c>
      <c r="G5042" s="24">
        <f t="shared" si="236"/>
        <v>352.94117648025593</v>
      </c>
      <c r="H5042" s="1" t="s">
        <v>1</v>
      </c>
      <c r="I5042" s="4" t="s">
        <v>3</v>
      </c>
      <c r="J5042" s="14">
        <v>0.54097222222222219</v>
      </c>
      <c r="K5042" s="20" t="str">
        <f t="shared" si="235"/>
        <v>1st Shift</v>
      </c>
    </row>
    <row r="5043" spans="1:11" x14ac:dyDescent="0.25">
      <c r="A5043" s="1">
        <v>5042</v>
      </c>
      <c r="B5043" s="1">
        <v>3</v>
      </c>
      <c r="C5043" s="3">
        <v>3115270396409</v>
      </c>
      <c r="D5043" s="2">
        <v>44720.540972222225</v>
      </c>
      <c r="E5043" s="2">
        <v>44720.576388888891</v>
      </c>
      <c r="F5043" s="23">
        <f t="shared" si="234"/>
        <v>3.5416666665696539E-2</v>
      </c>
      <c r="G5043" s="24">
        <f t="shared" si="236"/>
        <v>352.94117648025593</v>
      </c>
      <c r="H5043" s="1" t="s">
        <v>1</v>
      </c>
      <c r="I5043" s="4" t="s">
        <v>3</v>
      </c>
      <c r="J5043" s="14">
        <v>0.54097222222222219</v>
      </c>
      <c r="K5043" s="20" t="str">
        <f t="shared" si="235"/>
        <v>1st Shift</v>
      </c>
    </row>
    <row r="5044" spans="1:11" x14ac:dyDescent="0.25">
      <c r="A5044" s="1">
        <v>5043</v>
      </c>
      <c r="B5044" s="1">
        <v>3</v>
      </c>
      <c r="C5044" s="3">
        <v>3115270396401</v>
      </c>
      <c r="D5044" s="2">
        <v>44720.540972222225</v>
      </c>
      <c r="E5044" s="2">
        <v>44720.576388888891</v>
      </c>
      <c r="F5044" s="23">
        <f t="shared" si="234"/>
        <v>3.5416666665696539E-2</v>
      </c>
      <c r="G5044" s="24">
        <f t="shared" si="236"/>
        <v>352.94117648025593</v>
      </c>
      <c r="H5044" s="1" t="s">
        <v>1</v>
      </c>
      <c r="I5044" s="4" t="s">
        <v>2</v>
      </c>
      <c r="J5044" s="14">
        <v>0.54097222222222219</v>
      </c>
      <c r="K5044" s="20" t="str">
        <f t="shared" si="235"/>
        <v>1st Shift</v>
      </c>
    </row>
    <row r="5045" spans="1:11" x14ac:dyDescent="0.25">
      <c r="A5045" s="1">
        <v>5044</v>
      </c>
      <c r="B5045" s="1">
        <v>3</v>
      </c>
      <c r="C5045" s="3">
        <v>3115270396401</v>
      </c>
      <c r="D5045" s="2">
        <v>44720.540972222225</v>
      </c>
      <c r="E5045" s="2">
        <v>44720.576388888891</v>
      </c>
      <c r="F5045" s="23">
        <f t="shared" si="234"/>
        <v>3.5416666665696539E-2</v>
      </c>
      <c r="G5045" s="24">
        <f t="shared" si="236"/>
        <v>352.94117648025593</v>
      </c>
      <c r="H5045" s="1" t="s">
        <v>1</v>
      </c>
      <c r="I5045" s="4" t="s">
        <v>2</v>
      </c>
      <c r="J5045" s="14">
        <v>0.54097222222222219</v>
      </c>
      <c r="K5045" s="20" t="str">
        <f t="shared" si="235"/>
        <v>1st Shift</v>
      </c>
    </row>
    <row r="5046" spans="1:11" x14ac:dyDescent="0.25">
      <c r="A5046" s="1">
        <v>5045</v>
      </c>
      <c r="B5046" s="1">
        <v>3</v>
      </c>
      <c r="C5046" s="3">
        <v>3115270396400</v>
      </c>
      <c r="D5046" s="2">
        <v>44720.540972222225</v>
      </c>
      <c r="E5046" s="2">
        <v>44720.576388888891</v>
      </c>
      <c r="F5046" s="23">
        <f t="shared" si="234"/>
        <v>3.5416666665696539E-2</v>
      </c>
      <c r="G5046" s="24">
        <f t="shared" si="236"/>
        <v>352.94117648025593</v>
      </c>
      <c r="H5046" s="1" t="s">
        <v>1</v>
      </c>
      <c r="I5046" s="4" t="s">
        <v>3</v>
      </c>
      <c r="J5046" s="14">
        <v>0.54097222222222219</v>
      </c>
      <c r="K5046" s="20" t="str">
        <f t="shared" si="235"/>
        <v>1st Shift</v>
      </c>
    </row>
    <row r="5047" spans="1:11" x14ac:dyDescent="0.25">
      <c r="A5047" s="1">
        <v>5046</v>
      </c>
      <c r="B5047" s="1">
        <v>7</v>
      </c>
      <c r="C5047" s="3">
        <v>7115271759017</v>
      </c>
      <c r="D5047" s="2">
        <v>44720.645833333336</v>
      </c>
      <c r="E5047" s="2">
        <v>44720.736111111109</v>
      </c>
      <c r="F5047" s="23">
        <f t="shared" si="234"/>
        <v>9.0277777773735579E-2</v>
      </c>
      <c r="G5047" s="24">
        <f t="shared" si="236"/>
        <v>138.46153846773811</v>
      </c>
      <c r="H5047" s="1" t="s">
        <v>1</v>
      </c>
      <c r="I5047" s="4" t="s">
        <v>5</v>
      </c>
      <c r="J5047" s="14">
        <v>0.64583333333333337</v>
      </c>
      <c r="K5047" s="20" t="str">
        <f t="shared" si="235"/>
        <v>2nd Shift</v>
      </c>
    </row>
    <row r="5048" spans="1:11" x14ac:dyDescent="0.25">
      <c r="A5048" s="1">
        <v>5047</v>
      </c>
      <c r="B5048" s="1">
        <v>7</v>
      </c>
      <c r="C5048" s="3">
        <v>7115271759014</v>
      </c>
      <c r="D5048" s="2">
        <v>44720.645833333336</v>
      </c>
      <c r="E5048" s="2">
        <v>44720.736111111109</v>
      </c>
      <c r="F5048" s="23">
        <f t="shared" si="234"/>
        <v>9.0277777773735579E-2</v>
      </c>
      <c r="G5048" s="24">
        <f t="shared" si="236"/>
        <v>138.46153846773811</v>
      </c>
      <c r="H5048" s="1" t="s">
        <v>1</v>
      </c>
      <c r="I5048" s="4" t="s">
        <v>3</v>
      </c>
      <c r="J5048" s="14">
        <v>0.64583333333333337</v>
      </c>
      <c r="K5048" s="20" t="str">
        <f t="shared" si="235"/>
        <v>2nd Shift</v>
      </c>
    </row>
    <row r="5049" spans="1:11" x14ac:dyDescent="0.25">
      <c r="A5049" s="1">
        <v>5048</v>
      </c>
      <c r="B5049" s="1">
        <v>7</v>
      </c>
      <c r="C5049" s="3">
        <v>7115271759013</v>
      </c>
      <c r="D5049" s="2">
        <v>44720.645833333336</v>
      </c>
      <c r="E5049" s="2">
        <v>44720.736111111109</v>
      </c>
      <c r="F5049" s="23">
        <f t="shared" si="234"/>
        <v>9.0277777773735579E-2</v>
      </c>
      <c r="G5049" s="24">
        <f t="shared" si="236"/>
        <v>138.46153846773811</v>
      </c>
      <c r="H5049" s="1" t="s">
        <v>1</v>
      </c>
      <c r="I5049" s="4" t="s">
        <v>5</v>
      </c>
      <c r="J5049" s="14">
        <v>0.64583333333333337</v>
      </c>
      <c r="K5049" s="20" t="str">
        <f t="shared" si="235"/>
        <v>2nd Shift</v>
      </c>
    </row>
    <row r="5050" spans="1:11" x14ac:dyDescent="0.25">
      <c r="A5050" s="1">
        <v>5049</v>
      </c>
      <c r="B5050" s="1">
        <v>4</v>
      </c>
      <c r="C5050" s="3">
        <v>4115270858405</v>
      </c>
      <c r="D5050" s="2">
        <v>44720.790972222225</v>
      </c>
      <c r="E5050" s="2">
        <v>44720.899305555555</v>
      </c>
      <c r="F5050" s="23">
        <f t="shared" si="234"/>
        <v>0.10833333332993789</v>
      </c>
      <c r="G5050" s="24">
        <f t="shared" si="236"/>
        <v>115.38461538823184</v>
      </c>
      <c r="H5050" s="1" t="s">
        <v>1</v>
      </c>
      <c r="I5050" s="4" t="s">
        <v>3</v>
      </c>
      <c r="J5050" s="14">
        <v>0.79097222222222219</v>
      </c>
      <c r="K5050" s="20" t="str">
        <f t="shared" si="235"/>
        <v>2nd Shift</v>
      </c>
    </row>
    <row r="5051" spans="1:11" x14ac:dyDescent="0.25">
      <c r="A5051" s="1">
        <v>5050</v>
      </c>
      <c r="B5051" s="1">
        <v>4</v>
      </c>
      <c r="C5051" s="3">
        <v>4115270858400</v>
      </c>
      <c r="D5051" s="2">
        <v>44720.790972222225</v>
      </c>
      <c r="E5051" s="2">
        <v>44720.899305555555</v>
      </c>
      <c r="F5051" s="23">
        <f t="shared" si="234"/>
        <v>0.10833333332993789</v>
      </c>
      <c r="G5051" s="24">
        <f t="shared" si="236"/>
        <v>115.38461538823184</v>
      </c>
      <c r="H5051" s="1" t="s">
        <v>1</v>
      </c>
      <c r="I5051" s="4" t="s">
        <v>4</v>
      </c>
      <c r="J5051" s="14">
        <v>0.79097222222222219</v>
      </c>
      <c r="K5051" s="20" t="str">
        <f t="shared" si="235"/>
        <v>2nd Shift</v>
      </c>
    </row>
    <row r="5052" spans="1:11" x14ac:dyDescent="0.25">
      <c r="A5052" s="1">
        <v>5051</v>
      </c>
      <c r="B5052" s="1">
        <v>3</v>
      </c>
      <c r="C5052" s="3">
        <v>3115270421804</v>
      </c>
      <c r="D5052" s="2">
        <v>44720.790972222225</v>
      </c>
      <c r="E5052" s="2">
        <v>44720.899305555555</v>
      </c>
      <c r="F5052" s="23">
        <f t="shared" si="234"/>
        <v>0.10833333332993789</v>
      </c>
      <c r="G5052" s="24">
        <f t="shared" si="236"/>
        <v>115.38461538823184</v>
      </c>
      <c r="H5052" s="1" t="s">
        <v>1</v>
      </c>
      <c r="I5052" s="4" t="s">
        <v>2</v>
      </c>
      <c r="J5052" s="14">
        <v>0.79097222222222219</v>
      </c>
      <c r="K5052" s="20" t="str">
        <f t="shared" si="235"/>
        <v>2nd Shift</v>
      </c>
    </row>
    <row r="5053" spans="1:11" x14ac:dyDescent="0.25">
      <c r="A5053" s="1">
        <v>5052</v>
      </c>
      <c r="B5053" s="1">
        <v>3</v>
      </c>
      <c r="C5053" s="3">
        <v>3115270421800</v>
      </c>
      <c r="D5053" s="2">
        <v>44720.790972222225</v>
      </c>
      <c r="E5053" s="2">
        <v>44720.899305555555</v>
      </c>
      <c r="F5053" s="23">
        <f t="shared" si="234"/>
        <v>0.10833333332993789</v>
      </c>
      <c r="G5053" s="24">
        <f t="shared" si="236"/>
        <v>115.38461538823184</v>
      </c>
      <c r="H5053" s="1" t="s">
        <v>1</v>
      </c>
      <c r="I5053" s="4" t="s">
        <v>2</v>
      </c>
      <c r="J5053" s="14">
        <v>0.79097222222222219</v>
      </c>
      <c r="K5053" s="20" t="str">
        <f t="shared" si="235"/>
        <v>2nd Shift</v>
      </c>
    </row>
    <row r="5054" spans="1:11" x14ac:dyDescent="0.25">
      <c r="A5054" s="1">
        <v>5053</v>
      </c>
      <c r="B5054" s="1">
        <v>11</v>
      </c>
      <c r="C5054" s="3">
        <v>11115271542608</v>
      </c>
      <c r="D5054" s="2">
        <v>44720.986111111109</v>
      </c>
      <c r="E5054" s="2">
        <v>44721.024305555555</v>
      </c>
      <c r="F5054" s="23">
        <f t="shared" si="234"/>
        <v>3.8194444445252884E-2</v>
      </c>
      <c r="G5054" s="24">
        <f t="shared" si="236"/>
        <v>327.27272726580009</v>
      </c>
      <c r="H5054" s="1" t="s">
        <v>1</v>
      </c>
      <c r="I5054" s="4" t="s">
        <v>2</v>
      </c>
      <c r="J5054" s="14">
        <v>0.98611111111111116</v>
      </c>
      <c r="K5054" s="20" t="str">
        <f t="shared" si="235"/>
        <v>3rd Shift</v>
      </c>
    </row>
    <row r="5055" spans="1:11" x14ac:dyDescent="0.25">
      <c r="A5055" s="1">
        <v>5054</v>
      </c>
      <c r="B5055" s="1">
        <v>11</v>
      </c>
      <c r="C5055" s="3">
        <v>11115271542607</v>
      </c>
      <c r="D5055" s="2">
        <v>44720.986111111109</v>
      </c>
      <c r="E5055" s="2">
        <v>44721.024305555555</v>
      </c>
      <c r="F5055" s="23">
        <f t="shared" si="234"/>
        <v>3.8194444445252884E-2</v>
      </c>
      <c r="G5055" s="24">
        <f t="shared" si="236"/>
        <v>327.27272726580009</v>
      </c>
      <c r="H5055" s="1" t="s">
        <v>1</v>
      </c>
      <c r="I5055" s="4" t="s">
        <v>2</v>
      </c>
      <c r="J5055" s="14">
        <v>0.98611111111111116</v>
      </c>
      <c r="K5055" s="20" t="str">
        <f t="shared" si="235"/>
        <v>3rd Shift</v>
      </c>
    </row>
    <row r="5056" spans="1:11" x14ac:dyDescent="0.25">
      <c r="A5056" s="1">
        <v>5055</v>
      </c>
      <c r="B5056" s="1">
        <v>3</v>
      </c>
      <c r="C5056" s="3">
        <v>3115270306800</v>
      </c>
      <c r="D5056" s="2">
        <v>44721.427083333336</v>
      </c>
      <c r="E5056" s="2">
        <v>44721.458333333336</v>
      </c>
      <c r="F5056" s="23">
        <f t="shared" si="234"/>
        <v>3.125E-2</v>
      </c>
      <c r="G5056" s="24">
        <f t="shared" si="236"/>
        <v>400</v>
      </c>
      <c r="H5056" s="1" t="s">
        <v>1</v>
      </c>
      <c r="I5056" s="4" t="s">
        <v>3</v>
      </c>
      <c r="J5056" s="14">
        <v>0.42708333333333331</v>
      </c>
      <c r="K5056" s="20" t="str">
        <f t="shared" si="235"/>
        <v>1st Shift</v>
      </c>
    </row>
    <row r="5057" spans="1:11" x14ac:dyDescent="0.25">
      <c r="A5057" s="1">
        <v>5056</v>
      </c>
      <c r="B5057" s="1">
        <v>6</v>
      </c>
      <c r="C5057" s="3">
        <v>6115271720829</v>
      </c>
      <c r="D5057" s="2">
        <v>44721.55972222222</v>
      </c>
      <c r="E5057" s="2">
        <v>44721.585416666669</v>
      </c>
      <c r="F5057" s="23">
        <f t="shared" si="234"/>
        <v>2.5694444448163267E-2</v>
      </c>
      <c r="G5057" s="24">
        <f t="shared" si="236"/>
        <v>486.48648641607605</v>
      </c>
      <c r="H5057" s="1" t="s">
        <v>1</v>
      </c>
      <c r="I5057" s="4" t="s">
        <v>3</v>
      </c>
      <c r="J5057" s="14">
        <v>0.55972222222222223</v>
      </c>
      <c r="K5057" s="20" t="str">
        <f t="shared" si="235"/>
        <v>1st Shift</v>
      </c>
    </row>
    <row r="5058" spans="1:11" x14ac:dyDescent="0.25">
      <c r="A5058" s="1">
        <v>5057</v>
      </c>
      <c r="B5058" s="1">
        <v>6</v>
      </c>
      <c r="C5058" s="3">
        <v>6115271720820</v>
      </c>
      <c r="D5058" s="2">
        <v>44721.55972222222</v>
      </c>
      <c r="E5058" s="2">
        <v>44721.585416666669</v>
      </c>
      <c r="F5058" s="23">
        <f t="shared" ref="F5058:F5121" si="237">E5058-D5058</f>
        <v>2.5694444448163267E-2</v>
      </c>
      <c r="G5058" s="24">
        <f t="shared" si="236"/>
        <v>486.48648641607605</v>
      </c>
      <c r="H5058" s="1" t="s">
        <v>1</v>
      </c>
      <c r="I5058" s="4" t="s">
        <v>2</v>
      </c>
      <c r="J5058" s="14">
        <v>0.55972222222222223</v>
      </c>
      <c r="K5058" s="20" t="str">
        <f t="shared" ref="K5058:K5121" si="238">IF(AND(J5058&gt;=$M$3,J5058&lt;$M$4),"1st Shift",IF(AND(J5058&gt;=$M$4,J5058&lt;$M$5),"2nd Shift","3rd Shift"))</f>
        <v>1st Shift</v>
      </c>
    </row>
    <row r="5059" spans="1:11" x14ac:dyDescent="0.25">
      <c r="A5059" s="1">
        <v>5058</v>
      </c>
      <c r="B5059" s="1">
        <v>9</v>
      </c>
      <c r="C5059" s="3">
        <v>9115271954307</v>
      </c>
      <c r="D5059" s="2">
        <v>44721.716666666667</v>
      </c>
      <c r="E5059" s="2">
        <v>44721.739583333336</v>
      </c>
      <c r="F5059" s="23">
        <f t="shared" si="237"/>
        <v>2.2916666668606922E-2</v>
      </c>
      <c r="G5059" s="24">
        <f t="shared" ref="G5059:G5122" si="239">$M$9/F5059*100</f>
        <v>545.45454540836408</v>
      </c>
      <c r="H5059" s="1" t="s">
        <v>1</v>
      </c>
      <c r="I5059" s="4" t="s">
        <v>2</v>
      </c>
      <c r="J5059" s="14">
        <v>0.71666666666666667</v>
      </c>
      <c r="K5059" s="20" t="str">
        <f t="shared" si="238"/>
        <v>2nd Shift</v>
      </c>
    </row>
    <row r="5060" spans="1:11" x14ac:dyDescent="0.25">
      <c r="A5060" s="1">
        <v>5059</v>
      </c>
      <c r="B5060" s="1">
        <v>9</v>
      </c>
      <c r="C5060" s="3">
        <v>9115271954300</v>
      </c>
      <c r="D5060" s="2">
        <v>44721.716666666667</v>
      </c>
      <c r="E5060" s="2">
        <v>44721.739583333336</v>
      </c>
      <c r="F5060" s="23">
        <f t="shared" si="237"/>
        <v>2.2916666668606922E-2</v>
      </c>
      <c r="G5060" s="24">
        <f t="shared" si="239"/>
        <v>545.45454540836408</v>
      </c>
      <c r="H5060" s="1" t="s">
        <v>1</v>
      </c>
      <c r="I5060" s="4" t="s">
        <v>2</v>
      </c>
      <c r="J5060" s="14">
        <v>0.71666666666666667</v>
      </c>
      <c r="K5060" s="20" t="str">
        <f t="shared" si="238"/>
        <v>2nd Shift</v>
      </c>
    </row>
    <row r="5061" spans="1:11" x14ac:dyDescent="0.25">
      <c r="A5061" s="1">
        <v>5060</v>
      </c>
      <c r="B5061" s="1">
        <v>14</v>
      </c>
      <c r="C5061" s="3">
        <v>14115271676909</v>
      </c>
      <c r="D5061" s="2">
        <v>44721.881944444445</v>
      </c>
      <c r="E5061" s="2">
        <v>44721.944444444445</v>
      </c>
      <c r="F5061" s="23">
        <f t="shared" si="237"/>
        <v>6.25E-2</v>
      </c>
      <c r="G5061" s="24">
        <f t="shared" si="239"/>
        <v>200</v>
      </c>
      <c r="H5061" s="1" t="s">
        <v>1</v>
      </c>
      <c r="I5061" s="4" t="s">
        <v>2</v>
      </c>
      <c r="J5061" s="14">
        <v>0.88194444444444442</v>
      </c>
      <c r="K5061" s="20" t="str">
        <f t="shared" si="238"/>
        <v>2nd Shift</v>
      </c>
    </row>
    <row r="5062" spans="1:11" x14ac:dyDescent="0.25">
      <c r="A5062" s="1">
        <v>5061</v>
      </c>
      <c r="B5062" s="1">
        <v>14</v>
      </c>
      <c r="C5062" s="3">
        <v>14115271676907</v>
      </c>
      <c r="D5062" s="2">
        <v>44721.881944444445</v>
      </c>
      <c r="E5062" s="2">
        <v>44721.944444444445</v>
      </c>
      <c r="F5062" s="23">
        <f t="shared" si="237"/>
        <v>6.25E-2</v>
      </c>
      <c r="G5062" s="24">
        <f t="shared" si="239"/>
        <v>200</v>
      </c>
      <c r="H5062" s="1" t="s">
        <v>1</v>
      </c>
      <c r="I5062" s="4" t="s">
        <v>5</v>
      </c>
      <c r="J5062" s="14">
        <v>0.88194444444444442</v>
      </c>
      <c r="K5062" s="20" t="str">
        <f t="shared" si="238"/>
        <v>2nd Shift</v>
      </c>
    </row>
    <row r="5063" spans="1:11" x14ac:dyDescent="0.25">
      <c r="A5063" s="1">
        <v>5062</v>
      </c>
      <c r="B5063" s="1">
        <v>14</v>
      </c>
      <c r="C5063" s="3">
        <v>14115271676903</v>
      </c>
      <c r="D5063" s="2">
        <v>44721.881944444445</v>
      </c>
      <c r="E5063" s="2">
        <v>44721.944444444445</v>
      </c>
      <c r="F5063" s="23">
        <f t="shared" si="237"/>
        <v>6.25E-2</v>
      </c>
      <c r="G5063" s="24">
        <f t="shared" si="239"/>
        <v>200</v>
      </c>
      <c r="H5063" s="1" t="s">
        <v>1</v>
      </c>
      <c r="I5063" s="4" t="s">
        <v>2</v>
      </c>
      <c r="J5063" s="14">
        <v>0.88194444444444442</v>
      </c>
      <c r="K5063" s="20" t="str">
        <f t="shared" si="238"/>
        <v>2nd Shift</v>
      </c>
    </row>
    <row r="5064" spans="1:11" x14ac:dyDescent="0.25">
      <c r="A5064" s="1">
        <v>5063</v>
      </c>
      <c r="B5064" s="1">
        <v>14</v>
      </c>
      <c r="C5064" s="3">
        <v>14115271676901</v>
      </c>
      <c r="D5064" s="2">
        <v>44721.881944444445</v>
      </c>
      <c r="E5064" s="2">
        <v>44721.944444444445</v>
      </c>
      <c r="F5064" s="23">
        <f t="shared" si="237"/>
        <v>6.25E-2</v>
      </c>
      <c r="G5064" s="24">
        <f t="shared" si="239"/>
        <v>200</v>
      </c>
      <c r="H5064" s="1" t="s">
        <v>1</v>
      </c>
      <c r="I5064" s="4" t="s">
        <v>3</v>
      </c>
      <c r="J5064" s="14">
        <v>0.88194444444444442</v>
      </c>
      <c r="K5064" s="20" t="str">
        <f t="shared" si="238"/>
        <v>2nd Shift</v>
      </c>
    </row>
    <row r="5065" spans="1:11" x14ac:dyDescent="0.25">
      <c r="A5065" s="1">
        <v>5064</v>
      </c>
      <c r="B5065" s="1">
        <v>13</v>
      </c>
      <c r="C5065" s="3">
        <v>13115271601512</v>
      </c>
      <c r="D5065" s="2">
        <v>44721.947916666664</v>
      </c>
      <c r="E5065" s="2">
        <v>44722.145833333336</v>
      </c>
      <c r="F5065" s="23">
        <f t="shared" si="237"/>
        <v>0.19791666667151731</v>
      </c>
      <c r="G5065" s="24">
        <f t="shared" si="239"/>
        <v>63.157894735294192</v>
      </c>
      <c r="H5065" s="1" t="s">
        <v>1</v>
      </c>
      <c r="I5065" s="4" t="s">
        <v>2</v>
      </c>
      <c r="J5065" s="14">
        <v>0.94791666666666663</v>
      </c>
      <c r="K5065" s="20" t="str">
        <f t="shared" si="238"/>
        <v>3rd Shift</v>
      </c>
    </row>
    <row r="5066" spans="1:11" x14ac:dyDescent="0.25">
      <c r="A5066" s="1">
        <v>5065</v>
      </c>
      <c r="B5066" s="1">
        <v>13</v>
      </c>
      <c r="C5066" s="3">
        <v>13115271601509</v>
      </c>
      <c r="D5066" s="2">
        <v>44721.947916666664</v>
      </c>
      <c r="E5066" s="2">
        <v>44722.145833333336</v>
      </c>
      <c r="F5066" s="23">
        <f t="shared" si="237"/>
        <v>0.19791666667151731</v>
      </c>
      <c r="G5066" s="24">
        <f t="shared" si="239"/>
        <v>63.157894735294192</v>
      </c>
      <c r="H5066" s="1" t="s">
        <v>1</v>
      </c>
      <c r="I5066" s="4" t="s">
        <v>2</v>
      </c>
      <c r="J5066" s="14">
        <v>0.94791666666666663</v>
      </c>
      <c r="K5066" s="20" t="str">
        <f t="shared" si="238"/>
        <v>3rd Shift</v>
      </c>
    </row>
    <row r="5067" spans="1:11" x14ac:dyDescent="0.25">
      <c r="A5067" s="1">
        <v>5066</v>
      </c>
      <c r="B5067" s="1">
        <v>13</v>
      </c>
      <c r="C5067" s="3">
        <v>13115271601508</v>
      </c>
      <c r="D5067" s="2">
        <v>44721.947916666664</v>
      </c>
      <c r="E5067" s="2">
        <v>44722.145833333336</v>
      </c>
      <c r="F5067" s="23">
        <f t="shared" si="237"/>
        <v>0.19791666667151731</v>
      </c>
      <c r="G5067" s="24">
        <f t="shared" si="239"/>
        <v>63.157894735294192</v>
      </c>
      <c r="H5067" s="1" t="s">
        <v>1</v>
      </c>
      <c r="I5067" s="4" t="s">
        <v>3</v>
      </c>
      <c r="J5067" s="14">
        <v>0.94791666666666663</v>
      </c>
      <c r="K5067" s="20" t="str">
        <f t="shared" si="238"/>
        <v>3rd Shift</v>
      </c>
    </row>
    <row r="5068" spans="1:11" x14ac:dyDescent="0.25">
      <c r="A5068" s="1">
        <v>5067</v>
      </c>
      <c r="B5068" s="1">
        <v>13</v>
      </c>
      <c r="C5068" s="3">
        <v>13115271601507</v>
      </c>
      <c r="D5068" s="2">
        <v>44721.947916666664</v>
      </c>
      <c r="E5068" s="2">
        <v>44722.145833333336</v>
      </c>
      <c r="F5068" s="23">
        <f t="shared" si="237"/>
        <v>0.19791666667151731</v>
      </c>
      <c r="G5068" s="24">
        <f t="shared" si="239"/>
        <v>63.157894735294192</v>
      </c>
      <c r="H5068" s="1" t="s">
        <v>1</v>
      </c>
      <c r="I5068" s="4" t="s">
        <v>2</v>
      </c>
      <c r="J5068" s="14">
        <v>0.94791666666666663</v>
      </c>
      <c r="K5068" s="20" t="str">
        <f t="shared" si="238"/>
        <v>3rd Shift</v>
      </c>
    </row>
    <row r="5069" spans="1:11" x14ac:dyDescent="0.25">
      <c r="A5069" s="1">
        <v>5068</v>
      </c>
      <c r="B5069" s="1">
        <v>13</v>
      </c>
      <c r="C5069" s="3">
        <v>13115271601502</v>
      </c>
      <c r="D5069" s="2">
        <v>44721.947916666664</v>
      </c>
      <c r="E5069" s="2">
        <v>44722.145833333336</v>
      </c>
      <c r="F5069" s="23">
        <f t="shared" si="237"/>
        <v>0.19791666667151731</v>
      </c>
      <c r="G5069" s="24">
        <f t="shared" si="239"/>
        <v>63.157894735294192</v>
      </c>
      <c r="H5069" s="1" t="s">
        <v>1</v>
      </c>
      <c r="I5069" s="4" t="s">
        <v>2</v>
      </c>
      <c r="J5069" s="14">
        <v>0.94791666666666663</v>
      </c>
      <c r="K5069" s="20" t="str">
        <f t="shared" si="238"/>
        <v>3rd Shift</v>
      </c>
    </row>
    <row r="5070" spans="1:11" x14ac:dyDescent="0.25">
      <c r="A5070" s="1">
        <v>5069</v>
      </c>
      <c r="B5070" s="1">
        <v>13</v>
      </c>
      <c r="C5070" s="3">
        <v>13115271601500</v>
      </c>
      <c r="D5070" s="2">
        <v>44721.947916666664</v>
      </c>
      <c r="E5070" s="2">
        <v>44722.145833333336</v>
      </c>
      <c r="F5070" s="23">
        <f t="shared" si="237"/>
        <v>0.19791666667151731</v>
      </c>
      <c r="G5070" s="24">
        <f t="shared" si="239"/>
        <v>63.157894735294192</v>
      </c>
      <c r="H5070" s="1" t="s">
        <v>1</v>
      </c>
      <c r="I5070" s="4" t="s">
        <v>3</v>
      </c>
      <c r="J5070" s="14">
        <v>0.94791666666666663</v>
      </c>
      <c r="K5070" s="20" t="str">
        <f t="shared" si="238"/>
        <v>3rd Shift</v>
      </c>
    </row>
    <row r="5071" spans="1:11" x14ac:dyDescent="0.25">
      <c r="A5071" s="1">
        <v>5070</v>
      </c>
      <c r="B5071" s="1">
        <v>13</v>
      </c>
      <c r="C5071" s="3">
        <v>13115271600709</v>
      </c>
      <c r="D5071" s="2">
        <v>44721.947916666664</v>
      </c>
      <c r="E5071" s="2">
        <v>44722.145833333336</v>
      </c>
      <c r="F5071" s="23">
        <f t="shared" si="237"/>
        <v>0.19791666667151731</v>
      </c>
      <c r="G5071" s="24">
        <f t="shared" si="239"/>
        <v>63.157894735294192</v>
      </c>
      <c r="H5071" s="1" t="s">
        <v>1</v>
      </c>
      <c r="I5071" s="4" t="s">
        <v>2</v>
      </c>
      <c r="J5071" s="14">
        <v>0.94791666666666663</v>
      </c>
      <c r="K5071" s="20" t="str">
        <f t="shared" si="238"/>
        <v>3rd Shift</v>
      </c>
    </row>
    <row r="5072" spans="1:11" x14ac:dyDescent="0.25">
      <c r="A5072" s="1">
        <v>5071</v>
      </c>
      <c r="B5072" s="1">
        <v>13</v>
      </c>
      <c r="C5072" s="3">
        <v>13115271600707</v>
      </c>
      <c r="D5072" s="2">
        <v>44721.947916666664</v>
      </c>
      <c r="E5072" s="2">
        <v>44722.145833333336</v>
      </c>
      <c r="F5072" s="23">
        <f t="shared" si="237"/>
        <v>0.19791666667151731</v>
      </c>
      <c r="G5072" s="24">
        <f t="shared" si="239"/>
        <v>63.157894735294192</v>
      </c>
      <c r="H5072" s="1" t="s">
        <v>1</v>
      </c>
      <c r="I5072" s="4" t="s">
        <v>2</v>
      </c>
      <c r="J5072" s="14">
        <v>0.94791666666666663</v>
      </c>
      <c r="K5072" s="20" t="str">
        <f t="shared" si="238"/>
        <v>3rd Shift</v>
      </c>
    </row>
    <row r="5073" spans="1:11" x14ac:dyDescent="0.25">
      <c r="A5073" s="1">
        <v>5072</v>
      </c>
      <c r="B5073" s="1">
        <v>13</v>
      </c>
      <c r="C5073" s="3">
        <v>13115271600707</v>
      </c>
      <c r="D5073" s="2">
        <v>44721.947916666664</v>
      </c>
      <c r="E5073" s="2">
        <v>44722.145833333336</v>
      </c>
      <c r="F5073" s="23">
        <f t="shared" si="237"/>
        <v>0.19791666667151731</v>
      </c>
      <c r="G5073" s="24">
        <f t="shared" si="239"/>
        <v>63.157894735294192</v>
      </c>
      <c r="H5073" s="1" t="s">
        <v>1</v>
      </c>
      <c r="I5073" s="4" t="s">
        <v>2</v>
      </c>
      <c r="J5073" s="14">
        <v>0.94791666666666663</v>
      </c>
      <c r="K5073" s="20" t="str">
        <f t="shared" si="238"/>
        <v>3rd Shift</v>
      </c>
    </row>
    <row r="5074" spans="1:11" x14ac:dyDescent="0.25">
      <c r="A5074" s="1">
        <v>5073</v>
      </c>
      <c r="B5074" s="1">
        <v>13</v>
      </c>
      <c r="C5074" s="3">
        <v>13115271600705</v>
      </c>
      <c r="D5074" s="2">
        <v>44721.947916666664</v>
      </c>
      <c r="E5074" s="2">
        <v>44722.145833333336</v>
      </c>
      <c r="F5074" s="23">
        <f t="shared" si="237"/>
        <v>0.19791666667151731</v>
      </c>
      <c r="G5074" s="24">
        <f t="shared" si="239"/>
        <v>63.157894735294192</v>
      </c>
      <c r="H5074" s="1" t="s">
        <v>1</v>
      </c>
      <c r="I5074" s="4" t="s">
        <v>2</v>
      </c>
      <c r="J5074" s="14">
        <v>0.94791666666666663</v>
      </c>
      <c r="K5074" s="20" t="str">
        <f t="shared" si="238"/>
        <v>3rd Shift</v>
      </c>
    </row>
    <row r="5075" spans="1:11" x14ac:dyDescent="0.25">
      <c r="A5075" s="1">
        <v>5074</v>
      </c>
      <c r="B5075" s="1">
        <v>13</v>
      </c>
      <c r="C5075" s="3">
        <v>13115271600702</v>
      </c>
      <c r="D5075" s="2">
        <v>44721.947916666664</v>
      </c>
      <c r="E5075" s="2">
        <v>44722.145833333336</v>
      </c>
      <c r="F5075" s="23">
        <f t="shared" si="237"/>
        <v>0.19791666667151731</v>
      </c>
      <c r="G5075" s="24">
        <f t="shared" si="239"/>
        <v>63.157894735294192</v>
      </c>
      <c r="H5075" s="1" t="s">
        <v>1</v>
      </c>
      <c r="I5075" s="4" t="s">
        <v>2</v>
      </c>
      <c r="J5075" s="14">
        <v>0.94791666666666663</v>
      </c>
      <c r="K5075" s="20" t="str">
        <f t="shared" si="238"/>
        <v>3rd Shift</v>
      </c>
    </row>
    <row r="5076" spans="1:11" x14ac:dyDescent="0.25">
      <c r="A5076" s="1">
        <v>5075</v>
      </c>
      <c r="B5076" s="1">
        <v>13</v>
      </c>
      <c r="C5076" s="3">
        <v>13115271600701</v>
      </c>
      <c r="D5076" s="2">
        <v>44721.947916666664</v>
      </c>
      <c r="E5076" s="2">
        <v>44722.145833333336</v>
      </c>
      <c r="F5076" s="23">
        <f t="shared" si="237"/>
        <v>0.19791666667151731</v>
      </c>
      <c r="G5076" s="24">
        <f t="shared" si="239"/>
        <v>63.157894735294192</v>
      </c>
      <c r="H5076" s="1" t="s">
        <v>1</v>
      </c>
      <c r="I5076" s="4" t="s">
        <v>2</v>
      </c>
      <c r="J5076" s="14">
        <v>0.94791666666666663</v>
      </c>
      <c r="K5076" s="20" t="str">
        <f t="shared" si="238"/>
        <v>3rd Shift</v>
      </c>
    </row>
    <row r="5077" spans="1:11" x14ac:dyDescent="0.25">
      <c r="A5077" s="1">
        <v>5076</v>
      </c>
      <c r="B5077" s="1">
        <v>13</v>
      </c>
      <c r="C5077" s="3">
        <v>13115271600700</v>
      </c>
      <c r="D5077" s="2">
        <v>44721.947916666664</v>
      </c>
      <c r="E5077" s="2">
        <v>44722.145833333336</v>
      </c>
      <c r="F5077" s="23">
        <f t="shared" si="237"/>
        <v>0.19791666667151731</v>
      </c>
      <c r="G5077" s="24">
        <f t="shared" si="239"/>
        <v>63.157894735294192</v>
      </c>
      <c r="H5077" s="1" t="s">
        <v>1</v>
      </c>
      <c r="I5077" s="4" t="s">
        <v>2</v>
      </c>
      <c r="J5077" s="14">
        <v>0.94791666666666663</v>
      </c>
      <c r="K5077" s="20" t="str">
        <f t="shared" si="238"/>
        <v>3rd Shift</v>
      </c>
    </row>
    <row r="5078" spans="1:11" x14ac:dyDescent="0.25">
      <c r="A5078" s="1">
        <v>5077</v>
      </c>
      <c r="B5078" s="1">
        <v>12</v>
      </c>
      <c r="C5078" s="3">
        <v>12115271565118</v>
      </c>
      <c r="D5078" s="2">
        <v>44721.947916666664</v>
      </c>
      <c r="E5078" s="2">
        <v>44722.145833333336</v>
      </c>
      <c r="F5078" s="23">
        <f t="shared" si="237"/>
        <v>0.19791666667151731</v>
      </c>
      <c r="G5078" s="24">
        <f t="shared" si="239"/>
        <v>63.157894735294192</v>
      </c>
      <c r="H5078" s="1" t="s">
        <v>1</v>
      </c>
      <c r="I5078" s="4" t="s">
        <v>3</v>
      </c>
      <c r="J5078" s="14">
        <v>0.94791666666666663</v>
      </c>
      <c r="K5078" s="20" t="str">
        <f t="shared" si="238"/>
        <v>3rd Shift</v>
      </c>
    </row>
    <row r="5079" spans="1:11" x14ac:dyDescent="0.25">
      <c r="A5079" s="1">
        <v>5078</v>
      </c>
      <c r="B5079" s="1">
        <v>12</v>
      </c>
      <c r="C5079" s="3">
        <v>12115271565118</v>
      </c>
      <c r="D5079" s="2">
        <v>44721.947916666664</v>
      </c>
      <c r="E5079" s="2">
        <v>44722.145833333336</v>
      </c>
      <c r="F5079" s="23">
        <f t="shared" si="237"/>
        <v>0.19791666667151731</v>
      </c>
      <c r="G5079" s="24">
        <f t="shared" si="239"/>
        <v>63.157894735294192</v>
      </c>
      <c r="H5079" s="1" t="s">
        <v>1</v>
      </c>
      <c r="I5079" s="4" t="s">
        <v>2</v>
      </c>
      <c r="J5079" s="14">
        <v>0.94791666666666663</v>
      </c>
      <c r="K5079" s="20" t="str">
        <f t="shared" si="238"/>
        <v>3rd Shift</v>
      </c>
    </row>
    <row r="5080" spans="1:11" x14ac:dyDescent="0.25">
      <c r="A5080" s="1">
        <v>5079</v>
      </c>
      <c r="B5080" s="1">
        <v>12</v>
      </c>
      <c r="C5080" s="3">
        <v>12115271565116</v>
      </c>
      <c r="D5080" s="2">
        <v>44721.947916666664</v>
      </c>
      <c r="E5080" s="2">
        <v>44722.145833333336</v>
      </c>
      <c r="F5080" s="23">
        <f t="shared" si="237"/>
        <v>0.19791666667151731</v>
      </c>
      <c r="G5080" s="24">
        <f t="shared" si="239"/>
        <v>63.157894735294192</v>
      </c>
      <c r="H5080" s="1" t="s">
        <v>1</v>
      </c>
      <c r="I5080" s="4" t="s">
        <v>4</v>
      </c>
      <c r="J5080" s="14">
        <v>0.94791666666666663</v>
      </c>
      <c r="K5080" s="20" t="str">
        <f t="shared" si="238"/>
        <v>3rd Shift</v>
      </c>
    </row>
    <row r="5081" spans="1:11" x14ac:dyDescent="0.25">
      <c r="A5081" s="1">
        <v>5080</v>
      </c>
      <c r="B5081" s="1">
        <v>12</v>
      </c>
      <c r="C5081" s="3">
        <v>12115271565116</v>
      </c>
      <c r="D5081" s="2">
        <v>44721.947916666664</v>
      </c>
      <c r="E5081" s="2">
        <v>44722.145833333336</v>
      </c>
      <c r="F5081" s="23">
        <f t="shared" si="237"/>
        <v>0.19791666667151731</v>
      </c>
      <c r="G5081" s="24">
        <f t="shared" si="239"/>
        <v>63.157894735294192</v>
      </c>
      <c r="H5081" s="1" t="s">
        <v>1</v>
      </c>
      <c r="I5081" s="4" t="s">
        <v>4</v>
      </c>
      <c r="J5081" s="14">
        <v>0.94791666666666663</v>
      </c>
      <c r="K5081" s="20" t="str">
        <f t="shared" si="238"/>
        <v>3rd Shift</v>
      </c>
    </row>
    <row r="5082" spans="1:11" x14ac:dyDescent="0.25">
      <c r="A5082" s="1">
        <v>5081</v>
      </c>
      <c r="B5082" s="1">
        <v>12</v>
      </c>
      <c r="C5082" s="3">
        <v>12115271565114</v>
      </c>
      <c r="D5082" s="2">
        <v>44721.947916666664</v>
      </c>
      <c r="E5082" s="2">
        <v>44722.145833333336</v>
      </c>
      <c r="F5082" s="23">
        <f t="shared" si="237"/>
        <v>0.19791666667151731</v>
      </c>
      <c r="G5082" s="24">
        <f t="shared" si="239"/>
        <v>63.157894735294192</v>
      </c>
      <c r="H5082" s="1" t="s">
        <v>1</v>
      </c>
      <c r="I5082" s="4" t="s">
        <v>2</v>
      </c>
      <c r="J5082" s="14">
        <v>0.94791666666666663</v>
      </c>
      <c r="K5082" s="20" t="str">
        <f t="shared" si="238"/>
        <v>3rd Shift</v>
      </c>
    </row>
    <row r="5083" spans="1:11" x14ac:dyDescent="0.25">
      <c r="A5083" s="1">
        <v>5082</v>
      </c>
      <c r="B5083" s="1">
        <v>12</v>
      </c>
      <c r="C5083" s="3">
        <v>12115271565113</v>
      </c>
      <c r="D5083" s="2">
        <v>44721.947916666664</v>
      </c>
      <c r="E5083" s="2">
        <v>44722.145833333336</v>
      </c>
      <c r="F5083" s="23">
        <f t="shared" si="237"/>
        <v>0.19791666667151731</v>
      </c>
      <c r="G5083" s="24">
        <f t="shared" si="239"/>
        <v>63.157894735294192</v>
      </c>
      <c r="H5083" s="1" t="s">
        <v>1</v>
      </c>
      <c r="I5083" s="4" t="s">
        <v>2</v>
      </c>
      <c r="J5083" s="14">
        <v>0.94791666666666663</v>
      </c>
      <c r="K5083" s="20" t="str">
        <f t="shared" si="238"/>
        <v>3rd Shift</v>
      </c>
    </row>
    <row r="5084" spans="1:11" x14ac:dyDescent="0.25">
      <c r="A5084" s="1">
        <v>5083</v>
      </c>
      <c r="B5084" s="1">
        <v>12</v>
      </c>
      <c r="C5084" s="3">
        <v>12115271565112</v>
      </c>
      <c r="D5084" s="2">
        <v>44721.947916666664</v>
      </c>
      <c r="E5084" s="2">
        <v>44722.145833333336</v>
      </c>
      <c r="F5084" s="23">
        <f t="shared" si="237"/>
        <v>0.19791666667151731</v>
      </c>
      <c r="G5084" s="24">
        <f t="shared" si="239"/>
        <v>63.157894735294192</v>
      </c>
      <c r="H5084" s="1" t="s">
        <v>1</v>
      </c>
      <c r="I5084" s="4" t="s">
        <v>2</v>
      </c>
      <c r="J5084" s="14">
        <v>0.94791666666666663</v>
      </c>
      <c r="K5084" s="20" t="str">
        <f t="shared" si="238"/>
        <v>3rd Shift</v>
      </c>
    </row>
    <row r="5085" spans="1:11" x14ac:dyDescent="0.25">
      <c r="A5085" s="1">
        <v>5084</v>
      </c>
      <c r="B5085" s="1">
        <v>12</v>
      </c>
      <c r="C5085" s="3">
        <v>12115271565110</v>
      </c>
      <c r="D5085" s="2">
        <v>44721.947916666664</v>
      </c>
      <c r="E5085" s="2">
        <v>44722.145833333336</v>
      </c>
      <c r="F5085" s="23">
        <f t="shared" si="237"/>
        <v>0.19791666667151731</v>
      </c>
      <c r="G5085" s="24">
        <f t="shared" si="239"/>
        <v>63.157894735294192</v>
      </c>
      <c r="H5085" s="1" t="s">
        <v>1</v>
      </c>
      <c r="I5085" s="4" t="s">
        <v>2</v>
      </c>
      <c r="J5085" s="14">
        <v>0.94791666666666663</v>
      </c>
      <c r="K5085" s="20" t="str">
        <f t="shared" si="238"/>
        <v>3rd Shift</v>
      </c>
    </row>
    <row r="5086" spans="1:11" x14ac:dyDescent="0.25">
      <c r="A5086" s="1">
        <v>5085</v>
      </c>
      <c r="B5086" s="1">
        <v>12</v>
      </c>
      <c r="C5086" s="3">
        <v>12115271571094</v>
      </c>
      <c r="D5086" s="2">
        <v>44722.35</v>
      </c>
      <c r="E5086" s="2">
        <v>44722.414583333331</v>
      </c>
      <c r="F5086" s="23">
        <f t="shared" si="237"/>
        <v>6.4583333332848269E-2</v>
      </c>
      <c r="G5086" s="24">
        <f t="shared" si="239"/>
        <v>193.54838709822789</v>
      </c>
      <c r="H5086" s="1" t="s">
        <v>1</v>
      </c>
      <c r="I5086" s="4" t="s">
        <v>2</v>
      </c>
      <c r="J5086" s="14">
        <v>0.35</v>
      </c>
      <c r="K5086" s="20" t="str">
        <f t="shared" si="238"/>
        <v>1st Shift</v>
      </c>
    </row>
    <row r="5087" spans="1:11" x14ac:dyDescent="0.25">
      <c r="A5087" s="1">
        <v>5086</v>
      </c>
      <c r="B5087" s="1">
        <v>11</v>
      </c>
      <c r="C5087" s="3">
        <v>11115271547105</v>
      </c>
      <c r="D5087" s="2">
        <v>44722.35</v>
      </c>
      <c r="E5087" s="2">
        <v>44722.414583333331</v>
      </c>
      <c r="F5087" s="23">
        <f t="shared" si="237"/>
        <v>6.4583333332848269E-2</v>
      </c>
      <c r="G5087" s="24">
        <f t="shared" si="239"/>
        <v>193.54838709822789</v>
      </c>
      <c r="H5087" s="1" t="s">
        <v>1</v>
      </c>
      <c r="I5087" s="4" t="s">
        <v>2</v>
      </c>
      <c r="J5087" s="14">
        <v>0.35</v>
      </c>
      <c r="K5087" s="20" t="str">
        <f t="shared" si="238"/>
        <v>1st Shift</v>
      </c>
    </row>
    <row r="5088" spans="1:11" x14ac:dyDescent="0.25">
      <c r="A5088" s="1">
        <v>5087</v>
      </c>
      <c r="B5088" s="1">
        <v>10</v>
      </c>
      <c r="C5088" s="3">
        <v>10115271963200</v>
      </c>
      <c r="D5088" s="2">
        <v>44722.35</v>
      </c>
      <c r="E5088" s="2">
        <v>44722.414583333331</v>
      </c>
      <c r="F5088" s="23">
        <f t="shared" si="237"/>
        <v>6.4583333332848269E-2</v>
      </c>
      <c r="G5088" s="24">
        <f t="shared" si="239"/>
        <v>193.54838709822789</v>
      </c>
      <c r="H5088" s="1" t="s">
        <v>1</v>
      </c>
      <c r="I5088" s="4" t="s">
        <v>2</v>
      </c>
      <c r="J5088" s="14">
        <v>0.35</v>
      </c>
      <c r="K5088" s="20" t="str">
        <f t="shared" si="238"/>
        <v>1st Shift</v>
      </c>
    </row>
    <row r="5089" spans="1:11" x14ac:dyDescent="0.25">
      <c r="A5089" s="1">
        <v>5088</v>
      </c>
      <c r="B5089" s="1">
        <v>10</v>
      </c>
      <c r="C5089" s="3">
        <v>10115271450505</v>
      </c>
      <c r="D5089" s="2">
        <v>44722.541666666664</v>
      </c>
      <c r="E5089" s="2">
        <v>44722.604166666664</v>
      </c>
      <c r="F5089" s="23">
        <f t="shared" si="237"/>
        <v>6.25E-2</v>
      </c>
      <c r="G5089" s="24">
        <f t="shared" si="239"/>
        <v>200</v>
      </c>
      <c r="H5089" s="1" t="s">
        <v>1</v>
      </c>
      <c r="I5089" s="4" t="s">
        <v>3</v>
      </c>
      <c r="J5089" s="14">
        <v>0.54166666666666663</v>
      </c>
      <c r="K5089" s="20" t="str">
        <f t="shared" si="238"/>
        <v>1st Shift</v>
      </c>
    </row>
    <row r="5090" spans="1:11" x14ac:dyDescent="0.25">
      <c r="A5090" s="1">
        <v>5089</v>
      </c>
      <c r="B5090" s="1">
        <v>10</v>
      </c>
      <c r="C5090" s="3">
        <v>10115271450501</v>
      </c>
      <c r="D5090" s="2">
        <v>44722.541666666664</v>
      </c>
      <c r="E5090" s="2">
        <v>44722.604166666664</v>
      </c>
      <c r="F5090" s="23">
        <f t="shared" si="237"/>
        <v>6.25E-2</v>
      </c>
      <c r="G5090" s="24">
        <f t="shared" si="239"/>
        <v>200</v>
      </c>
      <c r="H5090" s="1" t="s">
        <v>1</v>
      </c>
      <c r="I5090" s="4" t="s">
        <v>3</v>
      </c>
      <c r="J5090" s="14">
        <v>0.54166666666666663</v>
      </c>
      <c r="K5090" s="20" t="str">
        <f t="shared" si="238"/>
        <v>1st Shift</v>
      </c>
    </row>
    <row r="5091" spans="1:11" x14ac:dyDescent="0.25">
      <c r="A5091" s="1">
        <v>5090</v>
      </c>
      <c r="B5091" s="1">
        <v>7</v>
      </c>
      <c r="C5091" s="3">
        <v>7115271759000</v>
      </c>
      <c r="D5091" s="2">
        <v>44722.458333333336</v>
      </c>
      <c r="E5091" s="2">
        <v>44722.604166666664</v>
      </c>
      <c r="F5091" s="23">
        <f t="shared" si="237"/>
        <v>0.14583333332848269</v>
      </c>
      <c r="G5091" s="24">
        <f t="shared" si="239"/>
        <v>85.714285717136704</v>
      </c>
      <c r="H5091" s="1" t="s">
        <v>1</v>
      </c>
      <c r="I5091" s="4" t="s">
        <v>2</v>
      </c>
      <c r="J5091" s="14">
        <v>0.45833333333333331</v>
      </c>
      <c r="K5091" s="20" t="str">
        <f t="shared" si="238"/>
        <v>1st Shift</v>
      </c>
    </row>
    <row r="5092" spans="1:11" x14ac:dyDescent="0.25">
      <c r="A5092" s="1">
        <v>5091</v>
      </c>
      <c r="B5092" s="1">
        <v>6</v>
      </c>
      <c r="C5092" s="3">
        <v>6115271723903</v>
      </c>
      <c r="D5092" s="2">
        <v>44722.458333333336</v>
      </c>
      <c r="E5092" s="2">
        <v>44722.604166666664</v>
      </c>
      <c r="F5092" s="23">
        <f t="shared" si="237"/>
        <v>0.14583333332848269</v>
      </c>
      <c r="G5092" s="24">
        <f t="shared" si="239"/>
        <v>85.714285717136704</v>
      </c>
      <c r="H5092" s="1" t="s">
        <v>1</v>
      </c>
      <c r="I5092" s="4" t="s">
        <v>2</v>
      </c>
      <c r="J5092" s="14">
        <v>0.45833333333333331</v>
      </c>
      <c r="K5092" s="20" t="str">
        <f t="shared" si="238"/>
        <v>1st Shift</v>
      </c>
    </row>
    <row r="5093" spans="1:11" x14ac:dyDescent="0.25">
      <c r="A5093" s="1">
        <v>5092</v>
      </c>
      <c r="B5093" s="1">
        <v>3</v>
      </c>
      <c r="C5093" s="3">
        <v>3115270441807</v>
      </c>
      <c r="D5093" s="2">
        <v>44722.541666666664</v>
      </c>
      <c r="E5093" s="2">
        <v>44722.604166666664</v>
      </c>
      <c r="F5093" s="23">
        <f t="shared" si="237"/>
        <v>6.25E-2</v>
      </c>
      <c r="G5093" s="24">
        <f t="shared" si="239"/>
        <v>200</v>
      </c>
      <c r="H5093" s="1" t="s">
        <v>1</v>
      </c>
      <c r="I5093" s="4" t="s">
        <v>2</v>
      </c>
      <c r="J5093" s="14">
        <v>0.54166666666666663</v>
      </c>
      <c r="K5093" s="20" t="str">
        <f t="shared" si="238"/>
        <v>1st Shift</v>
      </c>
    </row>
    <row r="5094" spans="1:11" x14ac:dyDescent="0.25">
      <c r="A5094" s="1">
        <v>5093</v>
      </c>
      <c r="B5094" s="1">
        <v>3</v>
      </c>
      <c r="C5094" s="3">
        <v>3115270441800</v>
      </c>
      <c r="D5094" s="2">
        <v>44722.541666666664</v>
      </c>
      <c r="E5094" s="2">
        <v>44722.604166666664</v>
      </c>
      <c r="F5094" s="23">
        <f t="shared" si="237"/>
        <v>6.25E-2</v>
      </c>
      <c r="G5094" s="24">
        <f t="shared" si="239"/>
        <v>200</v>
      </c>
      <c r="H5094" s="1" t="s">
        <v>1</v>
      </c>
      <c r="I5094" s="4" t="s">
        <v>2</v>
      </c>
      <c r="J5094" s="14">
        <v>0.54166666666666663</v>
      </c>
      <c r="K5094" s="20" t="str">
        <f t="shared" si="238"/>
        <v>1st Shift</v>
      </c>
    </row>
    <row r="5095" spans="1:11" x14ac:dyDescent="0.25">
      <c r="A5095" s="1">
        <v>5094</v>
      </c>
      <c r="B5095" s="1">
        <v>11</v>
      </c>
      <c r="C5095" s="3">
        <v>11115271554304</v>
      </c>
      <c r="D5095" s="2">
        <v>44722.659722222219</v>
      </c>
      <c r="E5095" s="2">
        <v>44722.756944444445</v>
      </c>
      <c r="F5095" s="23">
        <f t="shared" si="237"/>
        <v>9.7222222226264421E-2</v>
      </c>
      <c r="G5095" s="24">
        <f t="shared" si="239"/>
        <v>128.57142856608297</v>
      </c>
      <c r="H5095" s="1" t="s">
        <v>1</v>
      </c>
      <c r="I5095" s="4" t="s">
        <v>4</v>
      </c>
      <c r="J5095" s="14">
        <v>0.65972222222222221</v>
      </c>
      <c r="K5095" s="20" t="str">
        <f t="shared" si="238"/>
        <v>2nd Shift</v>
      </c>
    </row>
    <row r="5096" spans="1:11" x14ac:dyDescent="0.25">
      <c r="A5096" s="1">
        <v>5095</v>
      </c>
      <c r="B5096" s="1">
        <v>11</v>
      </c>
      <c r="C5096" s="3">
        <v>11115271554303</v>
      </c>
      <c r="D5096" s="2">
        <v>44722.659722222219</v>
      </c>
      <c r="E5096" s="2">
        <v>44722.756944444445</v>
      </c>
      <c r="F5096" s="23">
        <f t="shared" si="237"/>
        <v>9.7222222226264421E-2</v>
      </c>
      <c r="G5096" s="24">
        <f t="shared" si="239"/>
        <v>128.57142856608297</v>
      </c>
      <c r="H5096" s="1" t="s">
        <v>1</v>
      </c>
      <c r="I5096" s="4" t="s">
        <v>2</v>
      </c>
      <c r="J5096" s="14">
        <v>0.65972222222222221</v>
      </c>
      <c r="K5096" s="20" t="str">
        <f t="shared" si="238"/>
        <v>2nd Shift</v>
      </c>
    </row>
    <row r="5097" spans="1:11" x14ac:dyDescent="0.25">
      <c r="A5097" s="1">
        <v>5096</v>
      </c>
      <c r="B5097" s="1">
        <v>6</v>
      </c>
      <c r="C5097" s="3">
        <v>6115271722208</v>
      </c>
      <c r="D5097" s="2">
        <v>44722.659722222219</v>
      </c>
      <c r="E5097" s="2">
        <v>44722.756944444445</v>
      </c>
      <c r="F5097" s="23">
        <f t="shared" si="237"/>
        <v>9.7222222226264421E-2</v>
      </c>
      <c r="G5097" s="24">
        <f t="shared" si="239"/>
        <v>128.57142856608297</v>
      </c>
      <c r="H5097" s="1" t="s">
        <v>1</v>
      </c>
      <c r="I5097" s="4" t="s">
        <v>2</v>
      </c>
      <c r="J5097" s="14">
        <v>0.65972222222222221</v>
      </c>
      <c r="K5097" s="20" t="str">
        <f t="shared" si="238"/>
        <v>2nd Shift</v>
      </c>
    </row>
    <row r="5098" spans="1:11" x14ac:dyDescent="0.25">
      <c r="A5098" s="1">
        <v>5097</v>
      </c>
      <c r="B5098" s="1">
        <v>6</v>
      </c>
      <c r="C5098" s="3">
        <v>6115271722200</v>
      </c>
      <c r="D5098" s="2">
        <v>44722.659722222219</v>
      </c>
      <c r="E5098" s="2">
        <v>44722.756944444445</v>
      </c>
      <c r="F5098" s="23">
        <f t="shared" si="237"/>
        <v>9.7222222226264421E-2</v>
      </c>
      <c r="G5098" s="24">
        <f t="shared" si="239"/>
        <v>128.57142856608297</v>
      </c>
      <c r="H5098" s="1" t="s">
        <v>1</v>
      </c>
      <c r="I5098" s="4" t="s">
        <v>3</v>
      </c>
      <c r="J5098" s="14">
        <v>0.65972222222222221</v>
      </c>
      <c r="K5098" s="20" t="str">
        <f t="shared" si="238"/>
        <v>2nd Shift</v>
      </c>
    </row>
    <row r="5099" spans="1:11" x14ac:dyDescent="0.25">
      <c r="A5099" s="1">
        <v>5098</v>
      </c>
      <c r="B5099" s="1">
        <v>3</v>
      </c>
      <c r="C5099" s="3">
        <v>3115270403907</v>
      </c>
      <c r="D5099" s="2">
        <v>44722.659722222219</v>
      </c>
      <c r="E5099" s="2">
        <v>44722.756944444445</v>
      </c>
      <c r="F5099" s="23">
        <f t="shared" si="237"/>
        <v>9.7222222226264421E-2</v>
      </c>
      <c r="G5099" s="24">
        <f t="shared" si="239"/>
        <v>128.57142856608297</v>
      </c>
      <c r="H5099" s="1" t="s">
        <v>1</v>
      </c>
      <c r="I5099" s="4" t="s">
        <v>5</v>
      </c>
      <c r="J5099" s="14">
        <v>0.65972222222222221</v>
      </c>
      <c r="K5099" s="20" t="str">
        <f t="shared" si="238"/>
        <v>2nd Shift</v>
      </c>
    </row>
    <row r="5100" spans="1:11" x14ac:dyDescent="0.25">
      <c r="A5100" s="1">
        <v>5099</v>
      </c>
      <c r="B5100" s="1">
        <v>3</v>
      </c>
      <c r="C5100" s="3">
        <v>3115270403900</v>
      </c>
      <c r="D5100" s="2">
        <v>44722.659722222219</v>
      </c>
      <c r="E5100" s="2">
        <v>44722.756944444445</v>
      </c>
      <c r="F5100" s="23">
        <f t="shared" si="237"/>
        <v>9.7222222226264421E-2</v>
      </c>
      <c r="G5100" s="24">
        <f t="shared" si="239"/>
        <v>128.57142856608297</v>
      </c>
      <c r="H5100" s="1" t="s">
        <v>1</v>
      </c>
      <c r="I5100" s="4" t="s">
        <v>3</v>
      </c>
      <c r="J5100" s="14">
        <v>0.65972222222222221</v>
      </c>
      <c r="K5100" s="20" t="str">
        <f t="shared" si="238"/>
        <v>2nd Shift</v>
      </c>
    </row>
    <row r="5101" spans="1:11" x14ac:dyDescent="0.25">
      <c r="A5101" s="1">
        <v>5100</v>
      </c>
      <c r="B5101" s="1">
        <v>7</v>
      </c>
      <c r="C5101" s="3">
        <v>7115271755016</v>
      </c>
      <c r="D5101" s="2">
        <v>44722.875</v>
      </c>
      <c r="E5101" s="2">
        <v>44722.916666666664</v>
      </c>
      <c r="F5101" s="23">
        <f t="shared" si="237"/>
        <v>4.1666666664241347E-2</v>
      </c>
      <c r="G5101" s="24">
        <f t="shared" si="239"/>
        <v>300.0000000174623</v>
      </c>
      <c r="H5101" s="1" t="s">
        <v>1</v>
      </c>
      <c r="I5101" s="4" t="s">
        <v>2</v>
      </c>
      <c r="J5101" s="14">
        <v>0.875</v>
      </c>
      <c r="K5101" s="20" t="str">
        <f t="shared" si="238"/>
        <v>2nd Shift</v>
      </c>
    </row>
    <row r="5102" spans="1:11" x14ac:dyDescent="0.25">
      <c r="A5102" s="1">
        <v>5101</v>
      </c>
      <c r="B5102" s="1">
        <v>7</v>
      </c>
      <c r="C5102" s="3">
        <v>7115271755011</v>
      </c>
      <c r="D5102" s="2">
        <v>44722.875</v>
      </c>
      <c r="E5102" s="2">
        <v>44722.916666666664</v>
      </c>
      <c r="F5102" s="23">
        <f t="shared" si="237"/>
        <v>4.1666666664241347E-2</v>
      </c>
      <c r="G5102" s="24">
        <f t="shared" si="239"/>
        <v>300.0000000174623</v>
      </c>
      <c r="H5102" s="1" t="s">
        <v>1</v>
      </c>
      <c r="I5102" s="4" t="s">
        <v>2</v>
      </c>
      <c r="J5102" s="14">
        <v>0.875</v>
      </c>
      <c r="K5102" s="20" t="str">
        <f t="shared" si="238"/>
        <v>2nd Shift</v>
      </c>
    </row>
    <row r="5103" spans="1:11" x14ac:dyDescent="0.25">
      <c r="A5103" s="1">
        <v>5102</v>
      </c>
      <c r="B5103" s="1">
        <v>7</v>
      </c>
      <c r="C5103" s="3">
        <v>7115271755008</v>
      </c>
      <c r="D5103" s="2">
        <v>44722.875</v>
      </c>
      <c r="E5103" s="2">
        <v>44722.916666666664</v>
      </c>
      <c r="F5103" s="23">
        <f t="shared" si="237"/>
        <v>4.1666666664241347E-2</v>
      </c>
      <c r="G5103" s="24">
        <f t="shared" si="239"/>
        <v>300.0000000174623</v>
      </c>
      <c r="H5103" s="1" t="s">
        <v>1</v>
      </c>
      <c r="I5103" s="4" t="s">
        <v>2</v>
      </c>
      <c r="J5103" s="14">
        <v>0.875</v>
      </c>
      <c r="K5103" s="20" t="str">
        <f t="shared" si="238"/>
        <v>2nd Shift</v>
      </c>
    </row>
    <row r="5104" spans="1:11" x14ac:dyDescent="0.25">
      <c r="A5104" s="1">
        <v>5103</v>
      </c>
      <c r="B5104" s="1">
        <v>7</v>
      </c>
      <c r="C5104" s="3">
        <v>7115271755004</v>
      </c>
      <c r="D5104" s="2">
        <v>44722.875</v>
      </c>
      <c r="E5104" s="2">
        <v>44722.916666666664</v>
      </c>
      <c r="F5104" s="23">
        <f t="shared" si="237"/>
        <v>4.1666666664241347E-2</v>
      </c>
      <c r="G5104" s="24">
        <f t="shared" si="239"/>
        <v>300.0000000174623</v>
      </c>
      <c r="H5104" s="1" t="s">
        <v>1</v>
      </c>
      <c r="I5104" s="4" t="s">
        <v>2</v>
      </c>
      <c r="J5104" s="14">
        <v>0.875</v>
      </c>
      <c r="K5104" s="20" t="str">
        <f t="shared" si="238"/>
        <v>2nd Shift</v>
      </c>
    </row>
    <row r="5105" spans="1:11" x14ac:dyDescent="0.25">
      <c r="A5105" s="1">
        <v>5104</v>
      </c>
      <c r="B5105" s="1">
        <v>7</v>
      </c>
      <c r="C5105" s="3">
        <v>7115271755002</v>
      </c>
      <c r="D5105" s="2">
        <v>44722.875</v>
      </c>
      <c r="E5105" s="2">
        <v>44722.916666666664</v>
      </c>
      <c r="F5105" s="23">
        <f t="shared" si="237"/>
        <v>4.1666666664241347E-2</v>
      </c>
      <c r="G5105" s="24">
        <f t="shared" si="239"/>
        <v>300.0000000174623</v>
      </c>
      <c r="H5105" s="1" t="s">
        <v>1</v>
      </c>
      <c r="I5105" s="4" t="s">
        <v>3</v>
      </c>
      <c r="J5105" s="14">
        <v>0.875</v>
      </c>
      <c r="K5105" s="20" t="str">
        <f t="shared" si="238"/>
        <v>2nd Shift</v>
      </c>
    </row>
    <row r="5106" spans="1:11" x14ac:dyDescent="0.25">
      <c r="A5106" s="1">
        <v>5105</v>
      </c>
      <c r="B5106" s="1">
        <v>7</v>
      </c>
      <c r="C5106" s="3">
        <v>7115271755001</v>
      </c>
      <c r="D5106" s="2">
        <v>44722.875</v>
      </c>
      <c r="E5106" s="2">
        <v>44722.916666666664</v>
      </c>
      <c r="F5106" s="23">
        <f t="shared" si="237"/>
        <v>4.1666666664241347E-2</v>
      </c>
      <c r="G5106" s="24">
        <f t="shared" si="239"/>
        <v>300.0000000174623</v>
      </c>
      <c r="H5106" s="1" t="s">
        <v>1</v>
      </c>
      <c r="I5106" s="4" t="s">
        <v>3</v>
      </c>
      <c r="J5106" s="14">
        <v>0.875</v>
      </c>
      <c r="K5106" s="20" t="str">
        <f t="shared" si="238"/>
        <v>2nd Shift</v>
      </c>
    </row>
    <row r="5107" spans="1:11" x14ac:dyDescent="0.25">
      <c r="A5107" s="1">
        <v>5106</v>
      </c>
      <c r="B5107" s="1">
        <v>4</v>
      </c>
      <c r="C5107" s="3">
        <v>4115270850404</v>
      </c>
      <c r="D5107" s="2">
        <v>44722.875</v>
      </c>
      <c r="E5107" s="2">
        <v>44722.916666666664</v>
      </c>
      <c r="F5107" s="23">
        <f t="shared" si="237"/>
        <v>4.1666666664241347E-2</v>
      </c>
      <c r="G5107" s="24">
        <f t="shared" si="239"/>
        <v>300.0000000174623</v>
      </c>
      <c r="H5107" s="1" t="s">
        <v>1</v>
      </c>
      <c r="I5107" s="4" t="s">
        <v>2</v>
      </c>
      <c r="J5107" s="14">
        <v>0.875</v>
      </c>
      <c r="K5107" s="20" t="str">
        <f t="shared" si="238"/>
        <v>2nd Shift</v>
      </c>
    </row>
    <row r="5108" spans="1:11" x14ac:dyDescent="0.25">
      <c r="A5108" s="1">
        <v>5107</v>
      </c>
      <c r="B5108" s="1">
        <v>4</v>
      </c>
      <c r="C5108" s="3">
        <v>4115270850400</v>
      </c>
      <c r="D5108" s="2">
        <v>44722.875</v>
      </c>
      <c r="E5108" s="2">
        <v>44722.916666666664</v>
      </c>
      <c r="F5108" s="23">
        <f t="shared" si="237"/>
        <v>4.1666666664241347E-2</v>
      </c>
      <c r="G5108" s="24">
        <f t="shared" si="239"/>
        <v>300.0000000174623</v>
      </c>
      <c r="H5108" s="1" t="s">
        <v>1</v>
      </c>
      <c r="I5108" s="4" t="s">
        <v>3</v>
      </c>
      <c r="J5108" s="14">
        <v>0.875</v>
      </c>
      <c r="K5108" s="20" t="str">
        <f t="shared" si="238"/>
        <v>2nd Shift</v>
      </c>
    </row>
    <row r="5109" spans="1:11" x14ac:dyDescent="0.25">
      <c r="A5109" s="1">
        <v>5108</v>
      </c>
      <c r="B5109" s="1">
        <v>12</v>
      </c>
      <c r="C5109" s="3">
        <v>12115271569219</v>
      </c>
      <c r="D5109" s="2">
        <v>44722.9375</v>
      </c>
      <c r="E5109" s="2">
        <v>44722.975694444445</v>
      </c>
      <c r="F5109" s="23">
        <f t="shared" si="237"/>
        <v>3.8194444445252884E-2</v>
      </c>
      <c r="G5109" s="24">
        <f t="shared" si="239"/>
        <v>327.27272726580009</v>
      </c>
      <c r="H5109" s="1" t="s">
        <v>1</v>
      </c>
      <c r="I5109" s="4" t="s">
        <v>3</v>
      </c>
      <c r="J5109" s="14">
        <v>0.9375</v>
      </c>
      <c r="K5109" s="20" t="str">
        <f t="shared" si="238"/>
        <v>3rd Shift</v>
      </c>
    </row>
    <row r="5110" spans="1:11" x14ac:dyDescent="0.25">
      <c r="A5110" s="1">
        <v>5109</v>
      </c>
      <c r="B5110" s="1">
        <v>12</v>
      </c>
      <c r="C5110" s="3">
        <v>12115271569211</v>
      </c>
      <c r="D5110" s="2">
        <v>44722.9375</v>
      </c>
      <c r="E5110" s="2">
        <v>44722.975694444445</v>
      </c>
      <c r="F5110" s="23">
        <f t="shared" si="237"/>
        <v>3.8194444445252884E-2</v>
      </c>
      <c r="G5110" s="24">
        <f t="shared" si="239"/>
        <v>327.27272726580009</v>
      </c>
      <c r="H5110" s="1" t="s">
        <v>1</v>
      </c>
      <c r="I5110" s="4" t="s">
        <v>4</v>
      </c>
      <c r="J5110" s="14">
        <v>0.9375</v>
      </c>
      <c r="K5110" s="20" t="str">
        <f t="shared" si="238"/>
        <v>3rd Shift</v>
      </c>
    </row>
    <row r="5111" spans="1:11" x14ac:dyDescent="0.25">
      <c r="A5111" s="1">
        <v>5110</v>
      </c>
      <c r="B5111" s="1">
        <v>12</v>
      </c>
      <c r="C5111" s="3">
        <v>12115271569208</v>
      </c>
      <c r="D5111" s="2">
        <v>44722.9375</v>
      </c>
      <c r="E5111" s="2">
        <v>44722.975694444445</v>
      </c>
      <c r="F5111" s="23">
        <f t="shared" si="237"/>
        <v>3.8194444445252884E-2</v>
      </c>
      <c r="G5111" s="24">
        <f t="shared" si="239"/>
        <v>327.27272726580009</v>
      </c>
      <c r="H5111" s="1" t="s">
        <v>1</v>
      </c>
      <c r="I5111" s="4" t="s">
        <v>3</v>
      </c>
      <c r="J5111" s="14">
        <v>0.9375</v>
      </c>
      <c r="K5111" s="20" t="str">
        <f t="shared" si="238"/>
        <v>3rd Shift</v>
      </c>
    </row>
    <row r="5112" spans="1:11" x14ac:dyDescent="0.25">
      <c r="A5112" s="1">
        <v>5111</v>
      </c>
      <c r="B5112" s="1">
        <v>12</v>
      </c>
      <c r="C5112" s="3">
        <v>12115271569202</v>
      </c>
      <c r="D5112" s="2">
        <v>44722.9375</v>
      </c>
      <c r="E5112" s="2">
        <v>44722.975694444445</v>
      </c>
      <c r="F5112" s="23">
        <f t="shared" si="237"/>
        <v>3.8194444445252884E-2</v>
      </c>
      <c r="G5112" s="24">
        <f t="shared" si="239"/>
        <v>327.27272726580009</v>
      </c>
      <c r="H5112" s="1" t="s">
        <v>1</v>
      </c>
      <c r="I5112" s="4" t="s">
        <v>3</v>
      </c>
      <c r="J5112" s="14">
        <v>0.9375</v>
      </c>
      <c r="K5112" s="20" t="str">
        <f t="shared" si="238"/>
        <v>3rd Shift</v>
      </c>
    </row>
    <row r="5113" spans="1:11" x14ac:dyDescent="0.25">
      <c r="A5113" s="1">
        <v>5112</v>
      </c>
      <c r="B5113" s="1">
        <v>12</v>
      </c>
      <c r="C5113" s="3">
        <v>12115271569201</v>
      </c>
      <c r="D5113" s="2">
        <v>44722.9375</v>
      </c>
      <c r="E5113" s="2">
        <v>44722.975694444445</v>
      </c>
      <c r="F5113" s="23">
        <f t="shared" si="237"/>
        <v>3.8194444445252884E-2</v>
      </c>
      <c r="G5113" s="24">
        <f t="shared" si="239"/>
        <v>327.27272726580009</v>
      </c>
      <c r="H5113" s="1" t="s">
        <v>1</v>
      </c>
      <c r="I5113" s="4" t="s">
        <v>2</v>
      </c>
      <c r="J5113" s="14">
        <v>0.9375</v>
      </c>
      <c r="K5113" s="20" t="str">
        <f t="shared" si="238"/>
        <v>3rd Shift</v>
      </c>
    </row>
    <row r="5114" spans="1:11" x14ac:dyDescent="0.25">
      <c r="A5114" s="1">
        <v>5113</v>
      </c>
      <c r="B5114" s="1">
        <v>12</v>
      </c>
      <c r="C5114" s="3">
        <v>12115271569200</v>
      </c>
      <c r="D5114" s="2">
        <v>44722.9375</v>
      </c>
      <c r="E5114" s="2">
        <v>44722.975694444445</v>
      </c>
      <c r="F5114" s="23">
        <f t="shared" si="237"/>
        <v>3.8194444445252884E-2</v>
      </c>
      <c r="G5114" s="24">
        <f t="shared" si="239"/>
        <v>327.27272726580009</v>
      </c>
      <c r="H5114" s="1" t="s">
        <v>1</v>
      </c>
      <c r="I5114" s="4" t="s">
        <v>2</v>
      </c>
      <c r="J5114" s="14">
        <v>0.9375</v>
      </c>
      <c r="K5114" s="20" t="str">
        <f t="shared" si="238"/>
        <v>3rd Shift</v>
      </c>
    </row>
    <row r="5115" spans="1:11" x14ac:dyDescent="0.25">
      <c r="A5115" s="1">
        <v>5114</v>
      </c>
      <c r="B5115" s="1">
        <v>14</v>
      </c>
      <c r="C5115" s="3">
        <v>14115271690224</v>
      </c>
      <c r="D5115" s="2">
        <v>44723.409722222219</v>
      </c>
      <c r="E5115" s="2">
        <v>44723.579861111109</v>
      </c>
      <c r="F5115" s="23">
        <f t="shared" si="237"/>
        <v>0.17013888889050577</v>
      </c>
      <c r="G5115" s="24">
        <f t="shared" si="239"/>
        <v>73.46938775440384</v>
      </c>
      <c r="H5115" s="1" t="s">
        <v>1</v>
      </c>
      <c r="I5115" s="4" t="s">
        <v>3</v>
      </c>
      <c r="J5115" s="14">
        <v>0.40972222222222221</v>
      </c>
      <c r="K5115" s="20" t="str">
        <f t="shared" si="238"/>
        <v>1st Shift</v>
      </c>
    </row>
    <row r="5116" spans="1:11" x14ac:dyDescent="0.25">
      <c r="A5116" s="1">
        <v>5115</v>
      </c>
      <c r="B5116" s="1">
        <v>14</v>
      </c>
      <c r="C5116" s="3">
        <v>14115271690220</v>
      </c>
      <c r="D5116" s="2">
        <v>44723.409722222219</v>
      </c>
      <c r="E5116" s="2">
        <v>44723.579861111109</v>
      </c>
      <c r="F5116" s="23">
        <f t="shared" si="237"/>
        <v>0.17013888889050577</v>
      </c>
      <c r="G5116" s="24">
        <f t="shared" si="239"/>
        <v>73.46938775440384</v>
      </c>
      <c r="H5116" s="1" t="s">
        <v>1</v>
      </c>
      <c r="I5116" s="4" t="s">
        <v>2</v>
      </c>
      <c r="J5116" s="14">
        <v>0.40972222222222221</v>
      </c>
      <c r="K5116" s="20" t="str">
        <f t="shared" si="238"/>
        <v>1st Shift</v>
      </c>
    </row>
    <row r="5117" spans="1:11" x14ac:dyDescent="0.25">
      <c r="A5117" s="1">
        <v>5116</v>
      </c>
      <c r="B5117" s="1">
        <v>11</v>
      </c>
      <c r="C5117" s="3">
        <v>11115271508106</v>
      </c>
      <c r="D5117" s="2">
        <v>44723.520833333336</v>
      </c>
      <c r="E5117" s="2">
        <v>44723.579861111109</v>
      </c>
      <c r="F5117" s="23">
        <f t="shared" si="237"/>
        <v>5.9027777773735579E-2</v>
      </c>
      <c r="G5117" s="24">
        <f t="shared" si="239"/>
        <v>211.76470589685451</v>
      </c>
      <c r="H5117" s="1" t="s">
        <v>1</v>
      </c>
      <c r="I5117" s="4" t="s">
        <v>2</v>
      </c>
      <c r="J5117" s="14">
        <v>0.52083333333333337</v>
      </c>
      <c r="K5117" s="20" t="str">
        <f t="shared" si="238"/>
        <v>1st Shift</v>
      </c>
    </row>
    <row r="5118" spans="1:11" x14ac:dyDescent="0.25">
      <c r="A5118" s="1">
        <v>5117</v>
      </c>
      <c r="B5118" s="1">
        <v>11</v>
      </c>
      <c r="C5118" s="3">
        <v>11115271508104</v>
      </c>
      <c r="D5118" s="2">
        <v>44723.520833333336</v>
      </c>
      <c r="E5118" s="2">
        <v>44723.579861111109</v>
      </c>
      <c r="F5118" s="23">
        <f t="shared" si="237"/>
        <v>5.9027777773735579E-2</v>
      </c>
      <c r="G5118" s="24">
        <f t="shared" si="239"/>
        <v>211.76470589685451</v>
      </c>
      <c r="H5118" s="1" t="s">
        <v>1</v>
      </c>
      <c r="I5118" s="4" t="s">
        <v>2</v>
      </c>
      <c r="J5118" s="14">
        <v>0.52083333333333337</v>
      </c>
      <c r="K5118" s="20" t="str">
        <f t="shared" si="238"/>
        <v>1st Shift</v>
      </c>
    </row>
    <row r="5119" spans="1:11" x14ac:dyDescent="0.25">
      <c r="A5119" s="1">
        <v>5118</v>
      </c>
      <c r="B5119" s="1">
        <v>9</v>
      </c>
      <c r="C5119" s="3">
        <v>9115271911706</v>
      </c>
      <c r="D5119" s="2">
        <v>44723.381944444445</v>
      </c>
      <c r="E5119" s="2">
        <v>44723.579861111109</v>
      </c>
      <c r="F5119" s="23">
        <f t="shared" si="237"/>
        <v>0.19791666666424135</v>
      </c>
      <c r="G5119" s="24">
        <f t="shared" si="239"/>
        <v>63.157894737616061</v>
      </c>
      <c r="H5119" s="1" t="s">
        <v>1</v>
      </c>
      <c r="I5119" s="4" t="s">
        <v>2</v>
      </c>
      <c r="J5119" s="14">
        <v>0.38194444444444442</v>
      </c>
      <c r="K5119" s="20" t="str">
        <f t="shared" si="238"/>
        <v>1st Shift</v>
      </c>
    </row>
    <row r="5120" spans="1:11" x14ac:dyDescent="0.25">
      <c r="A5120" s="1">
        <v>5119</v>
      </c>
      <c r="B5120" s="1">
        <v>9</v>
      </c>
      <c r="C5120" s="3">
        <v>9115271911700</v>
      </c>
      <c r="D5120" s="2">
        <v>44723.381944444445</v>
      </c>
      <c r="E5120" s="2">
        <v>44723.579861111109</v>
      </c>
      <c r="F5120" s="23">
        <f t="shared" si="237"/>
        <v>0.19791666666424135</v>
      </c>
      <c r="G5120" s="24">
        <f t="shared" si="239"/>
        <v>63.157894737616061</v>
      </c>
      <c r="H5120" s="1" t="s">
        <v>1</v>
      </c>
      <c r="I5120" s="4" t="s">
        <v>2</v>
      </c>
      <c r="J5120" s="14">
        <v>0.38194444444444442</v>
      </c>
      <c r="K5120" s="20" t="str">
        <f t="shared" si="238"/>
        <v>1st Shift</v>
      </c>
    </row>
    <row r="5121" spans="1:11" x14ac:dyDescent="0.25">
      <c r="A5121" s="1">
        <v>5120</v>
      </c>
      <c r="B5121" s="1">
        <v>8</v>
      </c>
      <c r="C5121" s="3">
        <v>8115271855804</v>
      </c>
      <c r="D5121" s="2">
        <v>44723.493055555555</v>
      </c>
      <c r="E5121" s="2">
        <v>44723.579861111109</v>
      </c>
      <c r="F5121" s="23">
        <f t="shared" si="237"/>
        <v>8.6805555554747116E-2</v>
      </c>
      <c r="G5121" s="24">
        <f t="shared" si="239"/>
        <v>144.00000000134111</v>
      </c>
      <c r="H5121" s="1" t="s">
        <v>1</v>
      </c>
      <c r="I5121" s="4" t="s">
        <v>3</v>
      </c>
      <c r="J5121" s="14">
        <v>0.49305555555555558</v>
      </c>
      <c r="K5121" s="20" t="str">
        <f t="shared" si="238"/>
        <v>1st Shift</v>
      </c>
    </row>
    <row r="5122" spans="1:11" x14ac:dyDescent="0.25">
      <c r="A5122" s="1">
        <v>5121</v>
      </c>
      <c r="B5122" s="1">
        <v>8</v>
      </c>
      <c r="C5122" s="3">
        <v>8115271855800</v>
      </c>
      <c r="D5122" s="2">
        <v>44723.493055555555</v>
      </c>
      <c r="E5122" s="2">
        <v>44723.579861111109</v>
      </c>
      <c r="F5122" s="23">
        <f t="shared" ref="F5122:F5185" si="240">E5122-D5122</f>
        <v>8.6805555554747116E-2</v>
      </c>
      <c r="G5122" s="24">
        <f t="shared" si="239"/>
        <v>144.00000000134111</v>
      </c>
      <c r="H5122" s="1" t="s">
        <v>1</v>
      </c>
      <c r="I5122" s="4" t="s">
        <v>2</v>
      </c>
      <c r="J5122" s="14">
        <v>0.49305555555555558</v>
      </c>
      <c r="K5122" s="20" t="str">
        <f t="shared" ref="K5122:K5185" si="241">IF(AND(J5122&gt;=$M$3,J5122&lt;$M$4),"1st Shift",IF(AND(J5122&gt;=$M$4,J5122&lt;$M$5),"2nd Shift","3rd Shift"))</f>
        <v>1st Shift</v>
      </c>
    </row>
    <row r="5123" spans="1:11" x14ac:dyDescent="0.25">
      <c r="A5123" s="1">
        <v>5122</v>
      </c>
      <c r="B5123" s="1">
        <v>8</v>
      </c>
      <c r="C5123" s="3">
        <v>8115271825809</v>
      </c>
      <c r="D5123" s="2">
        <v>44723.381944444445</v>
      </c>
      <c r="E5123" s="2">
        <v>44723.579861111109</v>
      </c>
      <c r="F5123" s="23">
        <f t="shared" si="240"/>
        <v>0.19791666666424135</v>
      </c>
      <c r="G5123" s="24">
        <f t="shared" ref="G5123:G5186" si="242">$M$9/F5123*100</f>
        <v>63.157894737616061</v>
      </c>
      <c r="H5123" s="1" t="s">
        <v>1</v>
      </c>
      <c r="I5123" s="4" t="s">
        <v>2</v>
      </c>
      <c r="J5123" s="14">
        <v>0.38194444444444442</v>
      </c>
      <c r="K5123" s="20" t="str">
        <f t="shared" si="241"/>
        <v>1st Shift</v>
      </c>
    </row>
    <row r="5124" spans="1:11" x14ac:dyDescent="0.25">
      <c r="A5124" s="1">
        <v>5123</v>
      </c>
      <c r="B5124" s="1">
        <v>8</v>
      </c>
      <c r="C5124" s="3">
        <v>8115271825800</v>
      </c>
      <c r="D5124" s="2">
        <v>44723.381944444445</v>
      </c>
      <c r="E5124" s="2">
        <v>44723.579861111109</v>
      </c>
      <c r="F5124" s="23">
        <f t="shared" si="240"/>
        <v>0.19791666666424135</v>
      </c>
      <c r="G5124" s="24">
        <f t="shared" si="242"/>
        <v>63.157894737616061</v>
      </c>
      <c r="H5124" s="1" t="s">
        <v>1</v>
      </c>
      <c r="I5124" s="4" t="s">
        <v>2</v>
      </c>
      <c r="J5124" s="14">
        <v>0.38194444444444442</v>
      </c>
      <c r="K5124" s="20" t="str">
        <f t="shared" si="241"/>
        <v>1st Shift</v>
      </c>
    </row>
    <row r="5125" spans="1:11" x14ac:dyDescent="0.25">
      <c r="A5125" s="1">
        <v>5124</v>
      </c>
      <c r="B5125" s="1">
        <v>6</v>
      </c>
      <c r="C5125" s="3">
        <v>6115271699101</v>
      </c>
      <c r="D5125" s="2">
        <v>44723.520833333336</v>
      </c>
      <c r="E5125" s="2">
        <v>44723.579861111109</v>
      </c>
      <c r="F5125" s="23">
        <f t="shared" si="240"/>
        <v>5.9027777773735579E-2</v>
      </c>
      <c r="G5125" s="24">
        <f t="shared" si="242"/>
        <v>211.76470589685451</v>
      </c>
      <c r="H5125" s="1" t="s">
        <v>1</v>
      </c>
      <c r="I5125" s="4" t="s">
        <v>3</v>
      </c>
      <c r="J5125" s="14">
        <v>0.52083333333333337</v>
      </c>
      <c r="K5125" s="20" t="str">
        <f t="shared" si="241"/>
        <v>1st Shift</v>
      </c>
    </row>
    <row r="5126" spans="1:11" x14ac:dyDescent="0.25">
      <c r="A5126" s="1">
        <v>5125</v>
      </c>
      <c r="B5126" s="1">
        <v>6</v>
      </c>
      <c r="C5126" s="3">
        <v>6115271699100</v>
      </c>
      <c r="D5126" s="2">
        <v>44723.520833333336</v>
      </c>
      <c r="E5126" s="2">
        <v>44723.579861111109</v>
      </c>
      <c r="F5126" s="23">
        <f t="shared" si="240"/>
        <v>5.9027777773735579E-2</v>
      </c>
      <c r="G5126" s="24">
        <f t="shared" si="242"/>
        <v>211.76470589685451</v>
      </c>
      <c r="H5126" s="1" t="s">
        <v>1</v>
      </c>
      <c r="I5126" s="4" t="s">
        <v>2</v>
      </c>
      <c r="J5126" s="14">
        <v>0.52083333333333337</v>
      </c>
      <c r="K5126" s="20" t="str">
        <f t="shared" si="241"/>
        <v>1st Shift</v>
      </c>
    </row>
    <row r="5127" spans="1:11" x14ac:dyDescent="0.25">
      <c r="A5127" s="1">
        <v>5126</v>
      </c>
      <c r="B5127" s="1">
        <v>1</v>
      </c>
      <c r="C5127" s="3">
        <v>1115270107501</v>
      </c>
      <c r="D5127" s="2">
        <v>44723.381944444445</v>
      </c>
      <c r="E5127" s="2">
        <v>44723.579861111109</v>
      </c>
      <c r="F5127" s="23">
        <f t="shared" si="240"/>
        <v>0.19791666666424135</v>
      </c>
      <c r="G5127" s="24">
        <f t="shared" si="242"/>
        <v>63.157894737616061</v>
      </c>
      <c r="H5127" s="1" t="s">
        <v>1</v>
      </c>
      <c r="I5127" s="4" t="s">
        <v>3</v>
      </c>
      <c r="J5127" s="14">
        <v>0.38194444444444442</v>
      </c>
      <c r="K5127" s="20" t="str">
        <f t="shared" si="241"/>
        <v>1st Shift</v>
      </c>
    </row>
    <row r="5128" spans="1:11" x14ac:dyDescent="0.25">
      <c r="A5128" s="1">
        <v>5127</v>
      </c>
      <c r="B5128" s="1">
        <v>1</v>
      </c>
      <c r="C5128" s="3">
        <v>1115270107500</v>
      </c>
      <c r="D5128" s="2">
        <v>44723.381944444445</v>
      </c>
      <c r="E5128" s="2">
        <v>44723.579861111109</v>
      </c>
      <c r="F5128" s="23">
        <f t="shared" si="240"/>
        <v>0.19791666666424135</v>
      </c>
      <c r="G5128" s="24">
        <f t="shared" si="242"/>
        <v>63.157894737616061</v>
      </c>
      <c r="H5128" s="1" t="s">
        <v>1</v>
      </c>
      <c r="I5128" s="4" t="s">
        <v>2</v>
      </c>
      <c r="J5128" s="14">
        <v>0.38194444444444442</v>
      </c>
      <c r="K5128" s="20" t="str">
        <f t="shared" si="241"/>
        <v>1st Shift</v>
      </c>
    </row>
    <row r="5129" spans="1:11" x14ac:dyDescent="0.25">
      <c r="A5129" s="1">
        <v>5128</v>
      </c>
      <c r="B5129" s="1">
        <v>15</v>
      </c>
      <c r="C5129" s="3">
        <v>15115271780900</v>
      </c>
      <c r="D5129" s="2">
        <v>44723.697916666664</v>
      </c>
      <c r="E5129" s="2">
        <v>44723.913194444445</v>
      </c>
      <c r="F5129" s="23">
        <f t="shared" si="240"/>
        <v>0.21527777778101154</v>
      </c>
      <c r="G5129" s="24">
        <f t="shared" si="242"/>
        <v>58.064516128160051</v>
      </c>
      <c r="H5129" s="1" t="s">
        <v>1</v>
      </c>
      <c r="I5129" s="4" t="s">
        <v>2</v>
      </c>
      <c r="J5129" s="14">
        <v>0.69791666666666663</v>
      </c>
      <c r="K5129" s="20" t="str">
        <f t="shared" si="241"/>
        <v>2nd Shift</v>
      </c>
    </row>
    <row r="5130" spans="1:11" x14ac:dyDescent="0.25">
      <c r="A5130" s="1">
        <v>5129</v>
      </c>
      <c r="B5130" s="1">
        <v>13</v>
      </c>
      <c r="C5130" s="3">
        <v>13115271592301</v>
      </c>
      <c r="D5130" s="2">
        <v>44723.840277777781</v>
      </c>
      <c r="E5130" s="2">
        <v>44723.913194444445</v>
      </c>
      <c r="F5130" s="23">
        <f t="shared" si="240"/>
        <v>7.2916666664241347E-2</v>
      </c>
      <c r="G5130" s="24">
        <f t="shared" si="242"/>
        <v>171.42857143427341</v>
      </c>
      <c r="H5130" s="1" t="s">
        <v>1</v>
      </c>
      <c r="I5130" s="4" t="s">
        <v>2</v>
      </c>
      <c r="J5130" s="14">
        <v>0.84027777777777779</v>
      </c>
      <c r="K5130" s="20" t="str">
        <f t="shared" si="241"/>
        <v>2nd Shift</v>
      </c>
    </row>
    <row r="5131" spans="1:11" x14ac:dyDescent="0.25">
      <c r="A5131" s="1">
        <v>5130</v>
      </c>
      <c r="B5131" s="1">
        <v>12</v>
      </c>
      <c r="C5131" s="3">
        <v>12115271569813</v>
      </c>
      <c r="D5131" s="2">
        <v>44723.697916666664</v>
      </c>
      <c r="E5131" s="2">
        <v>44723.913194444445</v>
      </c>
      <c r="F5131" s="23">
        <f t="shared" si="240"/>
        <v>0.21527777778101154</v>
      </c>
      <c r="G5131" s="24">
        <f t="shared" si="242"/>
        <v>58.064516128160051</v>
      </c>
      <c r="H5131" s="1" t="s">
        <v>1</v>
      </c>
      <c r="I5131" s="4" t="s">
        <v>2</v>
      </c>
      <c r="J5131" s="14">
        <v>0.69791666666666663</v>
      </c>
      <c r="K5131" s="20" t="str">
        <f t="shared" si="241"/>
        <v>2nd Shift</v>
      </c>
    </row>
    <row r="5132" spans="1:11" x14ac:dyDescent="0.25">
      <c r="A5132" s="1">
        <v>5131</v>
      </c>
      <c r="B5132" s="1">
        <v>11</v>
      </c>
      <c r="C5132" s="3">
        <v>11115271524400</v>
      </c>
      <c r="D5132" s="2">
        <v>44723.854166666664</v>
      </c>
      <c r="E5132" s="2">
        <v>44723.913194444445</v>
      </c>
      <c r="F5132" s="23">
        <f t="shared" si="240"/>
        <v>5.9027777781011537E-2</v>
      </c>
      <c r="G5132" s="24">
        <f t="shared" si="242"/>
        <v>211.7647058707517</v>
      </c>
      <c r="H5132" s="1" t="s">
        <v>1</v>
      </c>
      <c r="I5132" s="4" t="s">
        <v>3</v>
      </c>
      <c r="J5132" s="14">
        <v>0.85416666666666663</v>
      </c>
      <c r="K5132" s="20" t="str">
        <f t="shared" si="241"/>
        <v>2nd Shift</v>
      </c>
    </row>
    <row r="5133" spans="1:11" x14ac:dyDescent="0.25">
      <c r="A5133" s="1">
        <v>5132</v>
      </c>
      <c r="B5133" s="1">
        <v>9</v>
      </c>
      <c r="C5133" s="3">
        <v>9115271931900</v>
      </c>
      <c r="D5133" s="2">
        <v>44723.840277777781</v>
      </c>
      <c r="E5133" s="2">
        <v>44723.913194444445</v>
      </c>
      <c r="F5133" s="23">
        <f t="shared" si="240"/>
        <v>7.2916666664241347E-2</v>
      </c>
      <c r="G5133" s="24">
        <f t="shared" si="242"/>
        <v>171.42857143427341</v>
      </c>
      <c r="H5133" s="1" t="s">
        <v>1</v>
      </c>
      <c r="I5133" s="4" t="s">
        <v>2</v>
      </c>
      <c r="J5133" s="14">
        <v>0.84027777777777779</v>
      </c>
      <c r="K5133" s="20" t="str">
        <f t="shared" si="241"/>
        <v>2nd Shift</v>
      </c>
    </row>
    <row r="5134" spans="1:11" x14ac:dyDescent="0.25">
      <c r="A5134" s="1">
        <v>5133</v>
      </c>
      <c r="B5134" s="1">
        <v>8</v>
      </c>
      <c r="C5134" s="3">
        <v>8115271830907</v>
      </c>
      <c r="D5134" s="2">
        <v>44723.697916666664</v>
      </c>
      <c r="E5134" s="2">
        <v>44723.913194444445</v>
      </c>
      <c r="F5134" s="23">
        <f t="shared" si="240"/>
        <v>0.21527777778101154</v>
      </c>
      <c r="G5134" s="24">
        <f t="shared" si="242"/>
        <v>58.064516128160051</v>
      </c>
      <c r="H5134" s="1" t="s">
        <v>1</v>
      </c>
      <c r="I5134" s="4" t="s">
        <v>3</v>
      </c>
      <c r="J5134" s="14">
        <v>0.69791666666666663</v>
      </c>
      <c r="K5134" s="20" t="str">
        <f t="shared" si="241"/>
        <v>2nd Shift</v>
      </c>
    </row>
    <row r="5135" spans="1:11" x14ac:dyDescent="0.25">
      <c r="A5135" s="1">
        <v>5134</v>
      </c>
      <c r="B5135" s="1">
        <v>8</v>
      </c>
      <c r="C5135" s="3">
        <v>8115271830900</v>
      </c>
      <c r="D5135" s="2">
        <v>44723.697916666664</v>
      </c>
      <c r="E5135" s="2">
        <v>44723.913194444445</v>
      </c>
      <c r="F5135" s="23">
        <f t="shared" si="240"/>
        <v>0.21527777778101154</v>
      </c>
      <c r="G5135" s="24">
        <f t="shared" si="242"/>
        <v>58.064516128160051</v>
      </c>
      <c r="H5135" s="1" t="s">
        <v>1</v>
      </c>
      <c r="I5135" s="4" t="s">
        <v>2</v>
      </c>
      <c r="J5135" s="14">
        <v>0.69791666666666663</v>
      </c>
      <c r="K5135" s="20" t="str">
        <f t="shared" si="241"/>
        <v>2nd Shift</v>
      </c>
    </row>
    <row r="5136" spans="1:11" x14ac:dyDescent="0.25">
      <c r="A5136" s="1">
        <v>5135</v>
      </c>
      <c r="B5136" s="1">
        <v>3</v>
      </c>
      <c r="C5136" s="3">
        <v>3115270321602</v>
      </c>
      <c r="D5136" s="2">
        <v>44723.854166666664</v>
      </c>
      <c r="E5136" s="2">
        <v>44723.913194444445</v>
      </c>
      <c r="F5136" s="23">
        <f t="shared" si="240"/>
        <v>5.9027777781011537E-2</v>
      </c>
      <c r="G5136" s="24">
        <f t="shared" si="242"/>
        <v>211.7647058707517</v>
      </c>
      <c r="H5136" s="1" t="s">
        <v>1</v>
      </c>
      <c r="I5136" s="4" t="s">
        <v>2</v>
      </c>
      <c r="J5136" s="14">
        <v>0.85416666666666663</v>
      </c>
      <c r="K5136" s="20" t="str">
        <f t="shared" si="241"/>
        <v>2nd Shift</v>
      </c>
    </row>
    <row r="5137" spans="1:11" x14ac:dyDescent="0.25">
      <c r="A5137" s="1">
        <v>5136</v>
      </c>
      <c r="B5137" s="1">
        <v>1</v>
      </c>
      <c r="C5137" s="3">
        <v>1115270035400</v>
      </c>
      <c r="D5137" s="2">
        <v>44723.854166666664</v>
      </c>
      <c r="E5137" s="2">
        <v>44723.913194444445</v>
      </c>
      <c r="F5137" s="23">
        <f t="shared" si="240"/>
        <v>5.9027777781011537E-2</v>
      </c>
      <c r="G5137" s="24">
        <f t="shared" si="242"/>
        <v>211.7647058707517</v>
      </c>
      <c r="H5137" s="1" t="s">
        <v>1</v>
      </c>
      <c r="I5137" s="4" t="s">
        <v>3</v>
      </c>
      <c r="J5137" s="14">
        <v>0.85416666666666663</v>
      </c>
      <c r="K5137" s="20" t="str">
        <f t="shared" si="241"/>
        <v>2nd Shift</v>
      </c>
    </row>
    <row r="5138" spans="1:11" x14ac:dyDescent="0.25">
      <c r="A5138" s="1">
        <v>5137</v>
      </c>
      <c r="B5138" s="1">
        <v>1</v>
      </c>
      <c r="C5138" s="3">
        <v>1115270034908</v>
      </c>
      <c r="D5138" s="2">
        <v>44723.697916666664</v>
      </c>
      <c r="E5138" s="2">
        <v>44723.913194444445</v>
      </c>
      <c r="F5138" s="23">
        <f t="shared" si="240"/>
        <v>0.21527777778101154</v>
      </c>
      <c r="G5138" s="24">
        <f t="shared" si="242"/>
        <v>58.064516128160051</v>
      </c>
      <c r="H5138" s="1" t="s">
        <v>1</v>
      </c>
      <c r="I5138" s="4" t="s">
        <v>3</v>
      </c>
      <c r="J5138" s="14">
        <v>0.69791666666666663</v>
      </c>
      <c r="K5138" s="20" t="str">
        <f t="shared" si="241"/>
        <v>2nd Shift</v>
      </c>
    </row>
    <row r="5139" spans="1:11" x14ac:dyDescent="0.25">
      <c r="A5139" s="1">
        <v>5138</v>
      </c>
      <c r="B5139" s="1">
        <v>1</v>
      </c>
      <c r="C5139" s="3">
        <v>1115270034900</v>
      </c>
      <c r="D5139" s="2">
        <v>44723.697916666664</v>
      </c>
      <c r="E5139" s="2">
        <v>44723.913194444445</v>
      </c>
      <c r="F5139" s="23">
        <f t="shared" si="240"/>
        <v>0.21527777778101154</v>
      </c>
      <c r="G5139" s="24">
        <f t="shared" si="242"/>
        <v>58.064516128160051</v>
      </c>
      <c r="H5139" s="1" t="s">
        <v>1</v>
      </c>
      <c r="I5139" s="4" t="s">
        <v>3</v>
      </c>
      <c r="J5139" s="14">
        <v>0.69791666666666663</v>
      </c>
      <c r="K5139" s="20" t="str">
        <f t="shared" si="241"/>
        <v>2nd Shift</v>
      </c>
    </row>
    <row r="5140" spans="1:11" x14ac:dyDescent="0.25">
      <c r="A5140" s="1">
        <v>5139</v>
      </c>
      <c r="B5140" s="1">
        <v>14</v>
      </c>
      <c r="C5140" s="3">
        <v>14115271680500</v>
      </c>
      <c r="D5140" s="2">
        <v>44723.979166666664</v>
      </c>
      <c r="E5140" s="2">
        <v>44724.048611111109</v>
      </c>
      <c r="F5140" s="23">
        <f t="shared" si="240"/>
        <v>6.9444444445252884E-2</v>
      </c>
      <c r="G5140" s="24">
        <f t="shared" si="242"/>
        <v>179.99999999790452</v>
      </c>
      <c r="H5140" s="1" t="s">
        <v>1</v>
      </c>
      <c r="I5140" s="4" t="s">
        <v>3</v>
      </c>
      <c r="J5140" s="14">
        <v>0.97916666666666663</v>
      </c>
      <c r="K5140" s="20" t="str">
        <f t="shared" si="241"/>
        <v>3rd Shift</v>
      </c>
    </row>
    <row r="5141" spans="1:11" x14ac:dyDescent="0.25">
      <c r="A5141" s="1">
        <v>5140</v>
      </c>
      <c r="B5141" s="1">
        <v>12</v>
      </c>
      <c r="C5141" s="3">
        <v>12115271574508</v>
      </c>
      <c r="D5141" s="2">
        <v>44723.979166666664</v>
      </c>
      <c r="E5141" s="2">
        <v>44724.048611111109</v>
      </c>
      <c r="F5141" s="23">
        <f t="shared" si="240"/>
        <v>6.9444444445252884E-2</v>
      </c>
      <c r="G5141" s="24">
        <f t="shared" si="242"/>
        <v>179.99999999790452</v>
      </c>
      <c r="H5141" s="1" t="s">
        <v>1</v>
      </c>
      <c r="I5141" s="4" t="s">
        <v>3</v>
      </c>
      <c r="J5141" s="14">
        <v>0.97916666666666663</v>
      </c>
      <c r="K5141" s="20" t="str">
        <f t="shared" si="241"/>
        <v>3rd Shift</v>
      </c>
    </row>
    <row r="5142" spans="1:11" x14ac:dyDescent="0.25">
      <c r="A5142" s="1">
        <v>5141</v>
      </c>
      <c r="B5142" s="1">
        <v>3</v>
      </c>
      <c r="C5142" s="3">
        <v>3115270336103</v>
      </c>
      <c r="D5142" s="2">
        <v>44724.293055555558</v>
      </c>
      <c r="E5142" s="2">
        <v>44724.375</v>
      </c>
      <c r="F5142" s="23">
        <f t="shared" si="240"/>
        <v>8.1944444442342501E-2</v>
      </c>
      <c r="G5142" s="24">
        <f t="shared" si="242"/>
        <v>152.54237288526878</v>
      </c>
      <c r="H5142" s="1" t="s">
        <v>1</v>
      </c>
      <c r="I5142" s="4" t="s">
        <v>2</v>
      </c>
      <c r="J5142" s="14">
        <v>0.29305555555555557</v>
      </c>
      <c r="K5142" s="20" t="str">
        <f t="shared" si="241"/>
        <v>1st Shift</v>
      </c>
    </row>
    <row r="5143" spans="1:11" x14ac:dyDescent="0.25">
      <c r="A5143" s="1">
        <v>5142</v>
      </c>
      <c r="B5143" s="1">
        <v>3</v>
      </c>
      <c r="C5143" s="3">
        <v>3115270336100</v>
      </c>
      <c r="D5143" s="2">
        <v>44724.293055555558</v>
      </c>
      <c r="E5143" s="2">
        <v>44724.375</v>
      </c>
      <c r="F5143" s="23">
        <f t="shared" si="240"/>
        <v>8.1944444442342501E-2</v>
      </c>
      <c r="G5143" s="24">
        <f t="shared" si="242"/>
        <v>152.54237288526878</v>
      </c>
      <c r="H5143" s="1" t="s">
        <v>1</v>
      </c>
      <c r="I5143" s="4" t="s">
        <v>3</v>
      </c>
      <c r="J5143" s="14">
        <v>0.29305555555555557</v>
      </c>
      <c r="K5143" s="20" t="str">
        <f t="shared" si="241"/>
        <v>1st Shift</v>
      </c>
    </row>
    <row r="5144" spans="1:11" x14ac:dyDescent="0.25">
      <c r="A5144" s="1">
        <v>5143</v>
      </c>
      <c r="B5144" s="1">
        <v>2</v>
      </c>
      <c r="C5144" s="3">
        <v>2115270221508</v>
      </c>
      <c r="D5144" s="2">
        <v>44724.293055555558</v>
      </c>
      <c r="E5144" s="2">
        <v>44724.375</v>
      </c>
      <c r="F5144" s="23">
        <f t="shared" si="240"/>
        <v>8.1944444442342501E-2</v>
      </c>
      <c r="G5144" s="24">
        <f t="shared" si="242"/>
        <v>152.54237288526878</v>
      </c>
      <c r="H5144" s="1" t="s">
        <v>1</v>
      </c>
      <c r="I5144" s="4" t="s">
        <v>2</v>
      </c>
      <c r="J5144" s="14">
        <v>0.29305555555555557</v>
      </c>
      <c r="K5144" s="20" t="str">
        <f t="shared" si="241"/>
        <v>1st Shift</v>
      </c>
    </row>
    <row r="5145" spans="1:11" x14ac:dyDescent="0.25">
      <c r="A5145" s="1">
        <v>5144</v>
      </c>
      <c r="B5145" s="1">
        <v>2</v>
      </c>
      <c r="C5145" s="3">
        <v>2115270221502</v>
      </c>
      <c r="D5145" s="2">
        <v>44724.293055555558</v>
      </c>
      <c r="E5145" s="2">
        <v>44724.375</v>
      </c>
      <c r="F5145" s="23">
        <f t="shared" si="240"/>
        <v>8.1944444442342501E-2</v>
      </c>
      <c r="G5145" s="24">
        <f t="shared" si="242"/>
        <v>152.54237288526878</v>
      </c>
      <c r="H5145" s="1" t="s">
        <v>1</v>
      </c>
      <c r="I5145" s="4" t="s">
        <v>3</v>
      </c>
      <c r="J5145" s="14">
        <v>0.29305555555555557</v>
      </c>
      <c r="K5145" s="20" t="str">
        <f t="shared" si="241"/>
        <v>1st Shift</v>
      </c>
    </row>
    <row r="5146" spans="1:11" x14ac:dyDescent="0.25">
      <c r="A5146" s="1">
        <v>5145</v>
      </c>
      <c r="B5146" s="1">
        <v>2</v>
      </c>
      <c r="C5146" s="3">
        <v>2115270221500</v>
      </c>
      <c r="D5146" s="2">
        <v>44724.293055555558</v>
      </c>
      <c r="E5146" s="2">
        <v>44724.375</v>
      </c>
      <c r="F5146" s="23">
        <f t="shared" si="240"/>
        <v>8.1944444442342501E-2</v>
      </c>
      <c r="G5146" s="24">
        <f t="shared" si="242"/>
        <v>152.54237288526878</v>
      </c>
      <c r="H5146" s="1" t="s">
        <v>1</v>
      </c>
      <c r="I5146" s="4" t="s">
        <v>3</v>
      </c>
      <c r="J5146" s="14">
        <v>0.29305555555555557</v>
      </c>
      <c r="K5146" s="20" t="str">
        <f t="shared" si="241"/>
        <v>1st Shift</v>
      </c>
    </row>
    <row r="5147" spans="1:11" x14ac:dyDescent="0.25">
      <c r="A5147" s="1">
        <v>5146</v>
      </c>
      <c r="B5147" s="1">
        <v>14</v>
      </c>
      <c r="C5147" s="3">
        <v>14115271687637</v>
      </c>
      <c r="D5147" s="2">
        <v>44724.427083333336</v>
      </c>
      <c r="E5147" s="2">
        <v>44724.601388888892</v>
      </c>
      <c r="F5147" s="23">
        <f t="shared" si="240"/>
        <v>0.17430555555620231</v>
      </c>
      <c r="G5147" s="24">
        <f t="shared" si="242"/>
        <v>71.713147410092475</v>
      </c>
      <c r="H5147" s="1" t="s">
        <v>1</v>
      </c>
      <c r="I5147" s="4" t="s">
        <v>2</v>
      </c>
      <c r="J5147" s="14">
        <v>0.42708333333333331</v>
      </c>
      <c r="K5147" s="20" t="str">
        <f t="shared" si="241"/>
        <v>1st Shift</v>
      </c>
    </row>
    <row r="5148" spans="1:11" x14ac:dyDescent="0.25">
      <c r="A5148" s="1">
        <v>5147</v>
      </c>
      <c r="B5148" s="1">
        <v>14</v>
      </c>
      <c r="C5148" s="3">
        <v>14115271687633</v>
      </c>
      <c r="D5148" s="2">
        <v>44724.427083333336</v>
      </c>
      <c r="E5148" s="2">
        <v>44724.601388888892</v>
      </c>
      <c r="F5148" s="23">
        <f t="shared" si="240"/>
        <v>0.17430555555620231</v>
      </c>
      <c r="G5148" s="24">
        <f t="shared" si="242"/>
        <v>71.713147410092475</v>
      </c>
      <c r="H5148" s="1" t="s">
        <v>1</v>
      </c>
      <c r="I5148" s="4" t="s">
        <v>2</v>
      </c>
      <c r="J5148" s="14">
        <v>0.42708333333333331</v>
      </c>
      <c r="K5148" s="20" t="str">
        <f t="shared" si="241"/>
        <v>1st Shift</v>
      </c>
    </row>
    <row r="5149" spans="1:11" x14ac:dyDescent="0.25">
      <c r="A5149" s="1">
        <v>5148</v>
      </c>
      <c r="B5149" s="1">
        <v>13</v>
      </c>
      <c r="C5149" s="3">
        <v>13115271606009</v>
      </c>
      <c r="D5149" s="2">
        <v>44724.427083333336</v>
      </c>
      <c r="E5149" s="2">
        <v>44724.601388888892</v>
      </c>
      <c r="F5149" s="23">
        <f t="shared" si="240"/>
        <v>0.17430555555620231</v>
      </c>
      <c r="G5149" s="24">
        <f t="shared" si="242"/>
        <v>71.713147410092475</v>
      </c>
      <c r="H5149" s="1" t="s">
        <v>1</v>
      </c>
      <c r="I5149" s="4" t="s">
        <v>5</v>
      </c>
      <c r="J5149" s="14">
        <v>0.42708333333333331</v>
      </c>
      <c r="K5149" s="20" t="str">
        <f t="shared" si="241"/>
        <v>1st Shift</v>
      </c>
    </row>
    <row r="5150" spans="1:11" x14ac:dyDescent="0.25">
      <c r="A5150" s="1">
        <v>5149</v>
      </c>
      <c r="B5150" s="1">
        <v>13</v>
      </c>
      <c r="C5150" s="3">
        <v>13115271606005</v>
      </c>
      <c r="D5150" s="2">
        <v>44724.427083333336</v>
      </c>
      <c r="E5150" s="2">
        <v>44724.601388888892</v>
      </c>
      <c r="F5150" s="23">
        <f t="shared" si="240"/>
        <v>0.17430555555620231</v>
      </c>
      <c r="G5150" s="24">
        <f t="shared" si="242"/>
        <v>71.713147410092475</v>
      </c>
      <c r="H5150" s="1" t="s">
        <v>1</v>
      </c>
      <c r="I5150" s="4" t="s">
        <v>2</v>
      </c>
      <c r="J5150" s="14">
        <v>0.42708333333333331</v>
      </c>
      <c r="K5150" s="20" t="str">
        <f t="shared" si="241"/>
        <v>1st Shift</v>
      </c>
    </row>
    <row r="5151" spans="1:11" x14ac:dyDescent="0.25">
      <c r="A5151" s="1">
        <v>5150</v>
      </c>
      <c r="B5151" s="1">
        <v>12</v>
      </c>
      <c r="C5151" s="3">
        <v>12115271584408</v>
      </c>
      <c r="D5151" s="2">
        <v>44724.427083333336</v>
      </c>
      <c r="E5151" s="2">
        <v>44724.601388888892</v>
      </c>
      <c r="F5151" s="23">
        <f t="shared" si="240"/>
        <v>0.17430555555620231</v>
      </c>
      <c r="G5151" s="24">
        <f t="shared" si="242"/>
        <v>71.713147410092475</v>
      </c>
      <c r="H5151" s="1" t="s">
        <v>1</v>
      </c>
      <c r="I5151" s="4" t="s">
        <v>2</v>
      </c>
      <c r="J5151" s="14">
        <v>0.42708333333333331</v>
      </c>
      <c r="K5151" s="20" t="str">
        <f t="shared" si="241"/>
        <v>1st Shift</v>
      </c>
    </row>
    <row r="5152" spans="1:11" x14ac:dyDescent="0.25">
      <c r="A5152" s="1">
        <v>5151</v>
      </c>
      <c r="B5152" s="1">
        <v>12</v>
      </c>
      <c r="C5152" s="3">
        <v>12115271584406</v>
      </c>
      <c r="D5152" s="2">
        <v>44724.427083333336</v>
      </c>
      <c r="E5152" s="2">
        <v>44724.601388888892</v>
      </c>
      <c r="F5152" s="23">
        <f t="shared" si="240"/>
        <v>0.17430555555620231</v>
      </c>
      <c r="G5152" s="24">
        <f t="shared" si="242"/>
        <v>71.713147410092475</v>
      </c>
      <c r="H5152" s="1" t="s">
        <v>1</v>
      </c>
      <c r="I5152" s="4" t="s">
        <v>2</v>
      </c>
      <c r="J5152" s="14">
        <v>0.42708333333333331</v>
      </c>
      <c r="K5152" s="20" t="str">
        <f t="shared" si="241"/>
        <v>1st Shift</v>
      </c>
    </row>
    <row r="5153" spans="1:11" x14ac:dyDescent="0.25">
      <c r="A5153" s="1">
        <v>5152</v>
      </c>
      <c r="B5153" s="1">
        <v>12</v>
      </c>
      <c r="C5153" s="3">
        <v>12115271573309</v>
      </c>
      <c r="D5153" s="2">
        <v>44724.427083333336</v>
      </c>
      <c r="E5153" s="2">
        <v>44724.601388888892</v>
      </c>
      <c r="F5153" s="23">
        <f t="shared" si="240"/>
        <v>0.17430555555620231</v>
      </c>
      <c r="G5153" s="24">
        <f t="shared" si="242"/>
        <v>71.713147410092475</v>
      </c>
      <c r="H5153" s="1" t="s">
        <v>1</v>
      </c>
      <c r="I5153" s="4" t="s">
        <v>4</v>
      </c>
      <c r="J5153" s="14">
        <v>0.42708333333333331</v>
      </c>
      <c r="K5153" s="20" t="str">
        <f t="shared" si="241"/>
        <v>1st Shift</v>
      </c>
    </row>
    <row r="5154" spans="1:11" x14ac:dyDescent="0.25">
      <c r="A5154" s="1">
        <v>5153</v>
      </c>
      <c r="B5154" s="1">
        <v>12</v>
      </c>
      <c r="C5154" s="3">
        <v>12115271573306</v>
      </c>
      <c r="D5154" s="2">
        <v>44724.427083333336</v>
      </c>
      <c r="E5154" s="2">
        <v>44724.601388888892</v>
      </c>
      <c r="F5154" s="23">
        <f t="shared" si="240"/>
        <v>0.17430555555620231</v>
      </c>
      <c r="G5154" s="24">
        <f t="shared" si="242"/>
        <v>71.713147410092475</v>
      </c>
      <c r="H5154" s="1" t="s">
        <v>1</v>
      </c>
      <c r="I5154" s="4" t="s">
        <v>2</v>
      </c>
      <c r="J5154" s="14">
        <v>0.42708333333333331</v>
      </c>
      <c r="K5154" s="20" t="str">
        <f t="shared" si="241"/>
        <v>1st Shift</v>
      </c>
    </row>
    <row r="5155" spans="1:11" x14ac:dyDescent="0.25">
      <c r="A5155" s="1">
        <v>5154</v>
      </c>
      <c r="B5155" s="1">
        <v>11</v>
      </c>
      <c r="C5155" s="3">
        <v>11115271542802</v>
      </c>
      <c r="D5155" s="2">
        <v>44724.427083333336</v>
      </c>
      <c r="E5155" s="2">
        <v>44724.601388888892</v>
      </c>
      <c r="F5155" s="23">
        <f t="shared" si="240"/>
        <v>0.17430555555620231</v>
      </c>
      <c r="G5155" s="24">
        <f t="shared" si="242"/>
        <v>71.713147410092475</v>
      </c>
      <c r="H5155" s="1" t="s">
        <v>1</v>
      </c>
      <c r="I5155" s="4" t="s">
        <v>8</v>
      </c>
      <c r="J5155" s="14">
        <v>0.42708333333333331</v>
      </c>
      <c r="K5155" s="20" t="str">
        <f t="shared" si="241"/>
        <v>1st Shift</v>
      </c>
    </row>
    <row r="5156" spans="1:11" x14ac:dyDescent="0.25">
      <c r="A5156" s="1">
        <v>5155</v>
      </c>
      <c r="B5156" s="1">
        <v>11</v>
      </c>
      <c r="C5156" s="3">
        <v>11115271542801</v>
      </c>
      <c r="D5156" s="2">
        <v>44724.427083333336</v>
      </c>
      <c r="E5156" s="2">
        <v>44724.601388888892</v>
      </c>
      <c r="F5156" s="23">
        <f t="shared" si="240"/>
        <v>0.17430555555620231</v>
      </c>
      <c r="G5156" s="24">
        <f t="shared" si="242"/>
        <v>71.713147410092475</v>
      </c>
      <c r="H5156" s="1" t="s">
        <v>1</v>
      </c>
      <c r="I5156" s="4" t="s">
        <v>3</v>
      </c>
      <c r="J5156" s="14">
        <v>0.42708333333333331</v>
      </c>
      <c r="K5156" s="20" t="str">
        <f t="shared" si="241"/>
        <v>1st Shift</v>
      </c>
    </row>
    <row r="5157" spans="1:11" x14ac:dyDescent="0.25">
      <c r="A5157" s="1">
        <v>5156</v>
      </c>
      <c r="B5157" s="1">
        <v>7</v>
      </c>
      <c r="C5157" s="3">
        <v>7115271804514</v>
      </c>
      <c r="D5157" s="2">
        <v>44724.427083333336</v>
      </c>
      <c r="E5157" s="2">
        <v>44724.601388888892</v>
      </c>
      <c r="F5157" s="23">
        <f t="shared" si="240"/>
        <v>0.17430555555620231</v>
      </c>
      <c r="G5157" s="24">
        <f t="shared" si="242"/>
        <v>71.713147410092475</v>
      </c>
      <c r="H5157" s="1" t="s">
        <v>1</v>
      </c>
      <c r="I5157" s="4" t="s">
        <v>3</v>
      </c>
      <c r="J5157" s="14">
        <v>0.42708333333333331</v>
      </c>
      <c r="K5157" s="20" t="str">
        <f t="shared" si="241"/>
        <v>1st Shift</v>
      </c>
    </row>
    <row r="5158" spans="1:11" x14ac:dyDescent="0.25">
      <c r="A5158" s="1">
        <v>5157</v>
      </c>
      <c r="B5158" s="1">
        <v>7</v>
      </c>
      <c r="C5158" s="3">
        <v>7115271804514</v>
      </c>
      <c r="D5158" s="2">
        <v>44724.427083333336</v>
      </c>
      <c r="E5158" s="2">
        <v>44724.601388888892</v>
      </c>
      <c r="F5158" s="23">
        <f t="shared" si="240"/>
        <v>0.17430555555620231</v>
      </c>
      <c r="G5158" s="24">
        <f t="shared" si="242"/>
        <v>71.713147410092475</v>
      </c>
      <c r="H5158" s="1" t="s">
        <v>1</v>
      </c>
      <c r="I5158" s="4" t="s">
        <v>2</v>
      </c>
      <c r="J5158" s="14">
        <v>0.42708333333333331</v>
      </c>
      <c r="K5158" s="20" t="str">
        <f t="shared" si="241"/>
        <v>1st Shift</v>
      </c>
    </row>
    <row r="5159" spans="1:11" x14ac:dyDescent="0.25">
      <c r="A5159" s="1">
        <v>5158</v>
      </c>
      <c r="B5159" s="1">
        <v>13</v>
      </c>
      <c r="C5159" s="3">
        <v>13115271612117</v>
      </c>
      <c r="D5159" s="2">
        <v>44724.763888888891</v>
      </c>
      <c r="E5159" s="2">
        <v>44724.805555555555</v>
      </c>
      <c r="F5159" s="23">
        <f t="shared" si="240"/>
        <v>4.1666666664241347E-2</v>
      </c>
      <c r="G5159" s="24">
        <f t="shared" si="242"/>
        <v>300.0000000174623</v>
      </c>
      <c r="H5159" s="1" t="s">
        <v>1</v>
      </c>
      <c r="I5159" s="4" t="s">
        <v>3</v>
      </c>
      <c r="J5159" s="14">
        <v>0.76388888888888884</v>
      </c>
      <c r="K5159" s="20" t="str">
        <f t="shared" si="241"/>
        <v>2nd Shift</v>
      </c>
    </row>
    <row r="5160" spans="1:11" x14ac:dyDescent="0.25">
      <c r="A5160" s="1">
        <v>5159</v>
      </c>
      <c r="B5160" s="1">
        <v>13</v>
      </c>
      <c r="C5160" s="3">
        <v>13115271612110</v>
      </c>
      <c r="D5160" s="2">
        <v>44724.763888888891</v>
      </c>
      <c r="E5160" s="2">
        <v>44724.805555555555</v>
      </c>
      <c r="F5160" s="23">
        <f t="shared" si="240"/>
        <v>4.1666666664241347E-2</v>
      </c>
      <c r="G5160" s="24">
        <f t="shared" si="242"/>
        <v>300.0000000174623</v>
      </c>
      <c r="H5160" s="1" t="s">
        <v>1</v>
      </c>
      <c r="I5160" s="4" t="s">
        <v>2</v>
      </c>
      <c r="J5160" s="14">
        <v>0.76388888888888884</v>
      </c>
      <c r="K5160" s="20" t="str">
        <f t="shared" si="241"/>
        <v>2nd Shift</v>
      </c>
    </row>
    <row r="5161" spans="1:11" x14ac:dyDescent="0.25">
      <c r="A5161" s="1">
        <v>5160</v>
      </c>
      <c r="B5161" s="1">
        <v>13</v>
      </c>
      <c r="C5161" s="3">
        <v>13115271606006</v>
      </c>
      <c r="D5161" s="2">
        <v>44724.763888888891</v>
      </c>
      <c r="E5161" s="2">
        <v>44724.805555555555</v>
      </c>
      <c r="F5161" s="23">
        <f t="shared" si="240"/>
        <v>4.1666666664241347E-2</v>
      </c>
      <c r="G5161" s="24">
        <f t="shared" si="242"/>
        <v>300.0000000174623</v>
      </c>
      <c r="H5161" s="1" t="s">
        <v>1</v>
      </c>
      <c r="I5161" s="4" t="s">
        <v>2</v>
      </c>
      <c r="J5161" s="14">
        <v>0.76388888888888884</v>
      </c>
      <c r="K5161" s="20" t="str">
        <f t="shared" si="241"/>
        <v>2nd Shift</v>
      </c>
    </row>
    <row r="5162" spans="1:11" x14ac:dyDescent="0.25">
      <c r="A5162" s="1">
        <v>5161</v>
      </c>
      <c r="B5162" s="1">
        <v>13</v>
      </c>
      <c r="C5162" s="3">
        <v>13115271606005</v>
      </c>
      <c r="D5162" s="2">
        <v>44724.763888888891</v>
      </c>
      <c r="E5162" s="2">
        <v>44724.805555555555</v>
      </c>
      <c r="F5162" s="23">
        <f t="shared" si="240"/>
        <v>4.1666666664241347E-2</v>
      </c>
      <c r="G5162" s="24">
        <f t="shared" si="242"/>
        <v>300.0000000174623</v>
      </c>
      <c r="H5162" s="1" t="s">
        <v>1</v>
      </c>
      <c r="I5162" s="4" t="s">
        <v>5</v>
      </c>
      <c r="J5162" s="14">
        <v>0.76388888888888884</v>
      </c>
      <c r="K5162" s="20" t="str">
        <f t="shared" si="241"/>
        <v>2nd Shift</v>
      </c>
    </row>
    <row r="5163" spans="1:11" x14ac:dyDescent="0.25">
      <c r="A5163" s="1">
        <v>5162</v>
      </c>
      <c r="B5163" s="1">
        <v>3</v>
      </c>
      <c r="C5163" s="3">
        <v>3115270355900</v>
      </c>
      <c r="D5163" s="2">
        <v>44724.854166666664</v>
      </c>
      <c r="E5163" s="2">
        <v>44724.878472222219</v>
      </c>
      <c r="F5163" s="23">
        <f t="shared" si="240"/>
        <v>2.4305555554747116E-2</v>
      </c>
      <c r="G5163" s="24">
        <f t="shared" si="242"/>
        <v>514.28571430282022</v>
      </c>
      <c r="H5163" s="1" t="s">
        <v>1</v>
      </c>
      <c r="I5163" s="4" t="s">
        <v>3</v>
      </c>
      <c r="J5163" s="14">
        <v>0.85416666666666663</v>
      </c>
      <c r="K5163" s="20" t="str">
        <f t="shared" si="241"/>
        <v>2nd Shift</v>
      </c>
    </row>
    <row r="5164" spans="1:11" x14ac:dyDescent="0.25">
      <c r="A5164" s="1">
        <v>5163</v>
      </c>
      <c r="B5164" s="1">
        <v>1</v>
      </c>
      <c r="C5164" s="3">
        <v>1115270029200</v>
      </c>
      <c r="D5164" s="2">
        <v>44724.9375</v>
      </c>
      <c r="E5164" s="2">
        <v>44724.972222222219</v>
      </c>
      <c r="F5164" s="23">
        <f t="shared" si="240"/>
        <v>3.4722222218988463E-2</v>
      </c>
      <c r="G5164" s="24">
        <f t="shared" si="242"/>
        <v>360.00000003352761</v>
      </c>
      <c r="H5164" s="1" t="s">
        <v>1</v>
      </c>
      <c r="I5164" s="4" t="s">
        <v>3</v>
      </c>
      <c r="J5164" s="14">
        <v>0.9375</v>
      </c>
      <c r="K5164" s="20" t="str">
        <f t="shared" si="241"/>
        <v>3rd Shift</v>
      </c>
    </row>
    <row r="5165" spans="1:11" x14ac:dyDescent="0.25">
      <c r="A5165" s="1">
        <v>5164</v>
      </c>
      <c r="B5165" s="1">
        <v>7</v>
      </c>
      <c r="C5165" s="3">
        <v>7115271798219</v>
      </c>
      <c r="D5165" s="2">
        <v>44725.368055555555</v>
      </c>
      <c r="E5165" s="2">
        <v>44725.395833333336</v>
      </c>
      <c r="F5165" s="23">
        <f t="shared" si="240"/>
        <v>2.7777777781011537E-2</v>
      </c>
      <c r="G5165" s="24">
        <f t="shared" si="242"/>
        <v>449.99999994761311</v>
      </c>
      <c r="H5165" s="1" t="s">
        <v>1</v>
      </c>
      <c r="I5165" s="4" t="s">
        <v>3</v>
      </c>
      <c r="J5165" s="14">
        <v>0.36805555555555558</v>
      </c>
      <c r="K5165" s="20" t="str">
        <f t="shared" si="241"/>
        <v>1st Shift</v>
      </c>
    </row>
    <row r="5166" spans="1:11" x14ac:dyDescent="0.25">
      <c r="A5166" s="1">
        <v>5165</v>
      </c>
      <c r="B5166" s="1">
        <v>7</v>
      </c>
      <c r="C5166" s="3">
        <v>7115271798212</v>
      </c>
      <c r="D5166" s="2">
        <v>44725.368055555555</v>
      </c>
      <c r="E5166" s="2">
        <v>44725.395833333336</v>
      </c>
      <c r="F5166" s="23">
        <f t="shared" si="240"/>
        <v>2.7777777781011537E-2</v>
      </c>
      <c r="G5166" s="24">
        <f t="shared" si="242"/>
        <v>449.99999994761311</v>
      </c>
      <c r="H5166" s="1" t="s">
        <v>1</v>
      </c>
      <c r="I5166" s="4" t="s">
        <v>3</v>
      </c>
      <c r="J5166" s="14">
        <v>0.36805555555555558</v>
      </c>
      <c r="K5166" s="20" t="str">
        <f t="shared" si="241"/>
        <v>1st Shift</v>
      </c>
    </row>
    <row r="5167" spans="1:11" x14ac:dyDescent="0.25">
      <c r="A5167" s="1">
        <v>5166</v>
      </c>
      <c r="B5167" s="1">
        <v>7</v>
      </c>
      <c r="C5167" s="3">
        <v>7115271798209</v>
      </c>
      <c r="D5167" s="2">
        <v>44725.368055555555</v>
      </c>
      <c r="E5167" s="2">
        <v>44725.395833333336</v>
      </c>
      <c r="F5167" s="23">
        <f t="shared" si="240"/>
        <v>2.7777777781011537E-2</v>
      </c>
      <c r="G5167" s="24">
        <f t="shared" si="242"/>
        <v>449.99999994761311</v>
      </c>
      <c r="H5167" s="1" t="s">
        <v>1</v>
      </c>
      <c r="I5167" s="4" t="s">
        <v>2</v>
      </c>
      <c r="J5167" s="14">
        <v>0.36805555555555558</v>
      </c>
      <c r="K5167" s="20" t="str">
        <f t="shared" si="241"/>
        <v>1st Shift</v>
      </c>
    </row>
    <row r="5168" spans="1:11" x14ac:dyDescent="0.25">
      <c r="A5168" s="1">
        <v>5167</v>
      </c>
      <c r="B5168" s="1">
        <v>7</v>
      </c>
      <c r="C5168" s="3">
        <v>7115271798208</v>
      </c>
      <c r="D5168" s="2">
        <v>44725.368055555555</v>
      </c>
      <c r="E5168" s="2">
        <v>44725.395833333336</v>
      </c>
      <c r="F5168" s="23">
        <f t="shared" si="240"/>
        <v>2.7777777781011537E-2</v>
      </c>
      <c r="G5168" s="24">
        <f t="shared" si="242"/>
        <v>449.99999994761311</v>
      </c>
      <c r="H5168" s="1" t="s">
        <v>1</v>
      </c>
      <c r="I5168" s="4" t="s">
        <v>2</v>
      </c>
      <c r="J5168" s="14">
        <v>0.36805555555555558</v>
      </c>
      <c r="K5168" s="20" t="str">
        <f t="shared" si="241"/>
        <v>1st Shift</v>
      </c>
    </row>
    <row r="5169" spans="1:11" x14ac:dyDescent="0.25">
      <c r="A5169" s="1">
        <v>5168</v>
      </c>
      <c r="B5169" s="1">
        <v>7</v>
      </c>
      <c r="C5169" s="3">
        <v>7115271798207</v>
      </c>
      <c r="D5169" s="2">
        <v>44725.368055555555</v>
      </c>
      <c r="E5169" s="2">
        <v>44725.395833333336</v>
      </c>
      <c r="F5169" s="23">
        <f t="shared" si="240"/>
        <v>2.7777777781011537E-2</v>
      </c>
      <c r="G5169" s="24">
        <f t="shared" si="242"/>
        <v>449.99999994761311</v>
      </c>
      <c r="H5169" s="1" t="s">
        <v>1</v>
      </c>
      <c r="I5169" s="4" t="s">
        <v>2</v>
      </c>
      <c r="J5169" s="14">
        <v>0.36805555555555558</v>
      </c>
      <c r="K5169" s="20" t="str">
        <f t="shared" si="241"/>
        <v>1st Shift</v>
      </c>
    </row>
    <row r="5170" spans="1:11" x14ac:dyDescent="0.25">
      <c r="A5170" s="1">
        <v>5169</v>
      </c>
      <c r="B5170" s="1">
        <v>7</v>
      </c>
      <c r="C5170" s="3">
        <v>7115271798204</v>
      </c>
      <c r="D5170" s="2">
        <v>44725.368055555555</v>
      </c>
      <c r="E5170" s="2">
        <v>44725.395833333336</v>
      </c>
      <c r="F5170" s="23">
        <f t="shared" si="240"/>
        <v>2.7777777781011537E-2</v>
      </c>
      <c r="G5170" s="24">
        <f t="shared" si="242"/>
        <v>449.99999994761311</v>
      </c>
      <c r="H5170" s="1" t="s">
        <v>1</v>
      </c>
      <c r="I5170" s="4" t="s">
        <v>3</v>
      </c>
      <c r="J5170" s="14">
        <v>0.36805555555555558</v>
      </c>
      <c r="K5170" s="20" t="str">
        <f t="shared" si="241"/>
        <v>1st Shift</v>
      </c>
    </row>
    <row r="5171" spans="1:11" x14ac:dyDescent="0.25">
      <c r="A5171" s="1">
        <v>5170</v>
      </c>
      <c r="B5171" s="1">
        <v>7</v>
      </c>
      <c r="C5171" s="3">
        <v>7115271798204</v>
      </c>
      <c r="D5171" s="2">
        <v>44725.368055555555</v>
      </c>
      <c r="E5171" s="2">
        <v>44725.395833333336</v>
      </c>
      <c r="F5171" s="23">
        <f t="shared" si="240"/>
        <v>2.7777777781011537E-2</v>
      </c>
      <c r="G5171" s="24">
        <f t="shared" si="242"/>
        <v>449.99999994761311</v>
      </c>
      <c r="H5171" s="1" t="s">
        <v>1</v>
      </c>
      <c r="I5171" s="4" t="s">
        <v>3</v>
      </c>
      <c r="J5171" s="14">
        <v>0.36805555555555558</v>
      </c>
      <c r="K5171" s="20" t="str">
        <f t="shared" si="241"/>
        <v>1st Shift</v>
      </c>
    </row>
    <row r="5172" spans="1:11" x14ac:dyDescent="0.25">
      <c r="A5172" s="1">
        <v>5171</v>
      </c>
      <c r="B5172" s="1">
        <v>7</v>
      </c>
      <c r="C5172" s="3">
        <v>7115271798203</v>
      </c>
      <c r="D5172" s="2">
        <v>44725.368055555555</v>
      </c>
      <c r="E5172" s="2">
        <v>44725.395833333336</v>
      </c>
      <c r="F5172" s="23">
        <f t="shared" si="240"/>
        <v>2.7777777781011537E-2</v>
      </c>
      <c r="G5172" s="24">
        <f t="shared" si="242"/>
        <v>449.99999994761311</v>
      </c>
      <c r="H5172" s="1" t="s">
        <v>1</v>
      </c>
      <c r="I5172" s="4" t="s">
        <v>4</v>
      </c>
      <c r="J5172" s="14">
        <v>0.36805555555555558</v>
      </c>
      <c r="K5172" s="20" t="str">
        <f t="shared" si="241"/>
        <v>1st Shift</v>
      </c>
    </row>
    <row r="5173" spans="1:11" x14ac:dyDescent="0.25">
      <c r="A5173" s="1">
        <v>5172</v>
      </c>
      <c r="B5173" s="1">
        <v>7</v>
      </c>
      <c r="C5173" s="3">
        <v>7115271798201</v>
      </c>
      <c r="D5173" s="2">
        <v>44725.368055555555</v>
      </c>
      <c r="E5173" s="2">
        <v>44725.395833333336</v>
      </c>
      <c r="F5173" s="23">
        <f t="shared" si="240"/>
        <v>2.7777777781011537E-2</v>
      </c>
      <c r="G5173" s="24">
        <f t="shared" si="242"/>
        <v>449.99999994761311</v>
      </c>
      <c r="H5173" s="1" t="s">
        <v>1</v>
      </c>
      <c r="I5173" s="4" t="s">
        <v>4</v>
      </c>
      <c r="J5173" s="14">
        <v>0.36805555555555558</v>
      </c>
      <c r="K5173" s="20" t="str">
        <f t="shared" si="241"/>
        <v>1st Shift</v>
      </c>
    </row>
    <row r="5174" spans="1:11" x14ac:dyDescent="0.25">
      <c r="A5174" s="1">
        <v>5173</v>
      </c>
      <c r="B5174" s="1">
        <v>7</v>
      </c>
      <c r="C5174" s="3">
        <v>7115271795317</v>
      </c>
      <c r="D5174" s="2">
        <v>44725.427083333336</v>
      </c>
      <c r="E5174" s="2">
        <v>44725.510416666664</v>
      </c>
      <c r="F5174" s="23">
        <f t="shared" si="240"/>
        <v>8.3333333328482695E-2</v>
      </c>
      <c r="G5174" s="24">
        <f t="shared" si="242"/>
        <v>150.00000000873115</v>
      </c>
      <c r="H5174" s="1" t="s">
        <v>1</v>
      </c>
      <c r="I5174" s="4" t="s">
        <v>3</v>
      </c>
      <c r="J5174" s="14">
        <v>0.42708333333333331</v>
      </c>
      <c r="K5174" s="20" t="str">
        <f t="shared" si="241"/>
        <v>1st Shift</v>
      </c>
    </row>
    <row r="5175" spans="1:11" x14ac:dyDescent="0.25">
      <c r="A5175" s="1">
        <v>5174</v>
      </c>
      <c r="B5175" s="1">
        <v>7</v>
      </c>
      <c r="C5175" s="3">
        <v>7115271795307</v>
      </c>
      <c r="D5175" s="2">
        <v>44725.427083333336</v>
      </c>
      <c r="E5175" s="2">
        <v>44725.510416666664</v>
      </c>
      <c r="F5175" s="23">
        <f t="shared" si="240"/>
        <v>8.3333333328482695E-2</v>
      </c>
      <c r="G5175" s="24">
        <f t="shared" si="242"/>
        <v>150.00000000873115</v>
      </c>
      <c r="H5175" s="1" t="s">
        <v>1</v>
      </c>
      <c r="I5175" s="4" t="s">
        <v>3</v>
      </c>
      <c r="J5175" s="14">
        <v>0.42708333333333331</v>
      </c>
      <c r="K5175" s="20" t="str">
        <f t="shared" si="241"/>
        <v>1st Shift</v>
      </c>
    </row>
    <row r="5176" spans="1:11" x14ac:dyDescent="0.25">
      <c r="A5176" s="1">
        <v>5175</v>
      </c>
      <c r="B5176" s="1">
        <v>7</v>
      </c>
      <c r="C5176" s="3">
        <v>7115271795306</v>
      </c>
      <c r="D5176" s="2">
        <v>44725.427083333336</v>
      </c>
      <c r="E5176" s="2">
        <v>44725.510416666664</v>
      </c>
      <c r="F5176" s="23">
        <f t="shared" si="240"/>
        <v>8.3333333328482695E-2</v>
      </c>
      <c r="G5176" s="24">
        <f t="shared" si="242"/>
        <v>150.00000000873115</v>
      </c>
      <c r="H5176" s="1" t="s">
        <v>1</v>
      </c>
      <c r="I5176" s="4" t="s">
        <v>3</v>
      </c>
      <c r="J5176" s="14">
        <v>0.42708333333333331</v>
      </c>
      <c r="K5176" s="20" t="str">
        <f t="shared" si="241"/>
        <v>1st Shift</v>
      </c>
    </row>
    <row r="5177" spans="1:11" x14ac:dyDescent="0.25">
      <c r="A5177" s="1">
        <v>5176</v>
      </c>
      <c r="B5177" s="1">
        <v>7</v>
      </c>
      <c r="C5177" s="3">
        <v>7115271795303</v>
      </c>
      <c r="D5177" s="2">
        <v>44725.427083333336</v>
      </c>
      <c r="E5177" s="2">
        <v>44725.510416666664</v>
      </c>
      <c r="F5177" s="23">
        <f t="shared" si="240"/>
        <v>8.3333333328482695E-2</v>
      </c>
      <c r="G5177" s="24">
        <f t="shared" si="242"/>
        <v>150.00000000873115</v>
      </c>
      <c r="H5177" s="1" t="s">
        <v>1</v>
      </c>
      <c r="I5177" s="4" t="s">
        <v>5</v>
      </c>
      <c r="J5177" s="14">
        <v>0.42708333333333331</v>
      </c>
      <c r="K5177" s="20" t="str">
        <f t="shared" si="241"/>
        <v>1st Shift</v>
      </c>
    </row>
    <row r="5178" spans="1:11" x14ac:dyDescent="0.25">
      <c r="A5178" s="1">
        <v>5177</v>
      </c>
      <c r="B5178" s="1">
        <v>7</v>
      </c>
      <c r="C5178" s="3">
        <v>7115271795300</v>
      </c>
      <c r="D5178" s="2">
        <v>44725.427083333336</v>
      </c>
      <c r="E5178" s="2">
        <v>44725.510416666664</v>
      </c>
      <c r="F5178" s="23">
        <f t="shared" si="240"/>
        <v>8.3333333328482695E-2</v>
      </c>
      <c r="G5178" s="24">
        <f t="shared" si="242"/>
        <v>150.00000000873115</v>
      </c>
      <c r="H5178" s="1" t="s">
        <v>1</v>
      </c>
      <c r="I5178" s="4" t="s">
        <v>3</v>
      </c>
      <c r="J5178" s="14">
        <v>0.42708333333333331</v>
      </c>
      <c r="K5178" s="20" t="str">
        <f t="shared" si="241"/>
        <v>1st Shift</v>
      </c>
    </row>
    <row r="5179" spans="1:11" x14ac:dyDescent="0.25">
      <c r="A5179" s="1">
        <v>5178</v>
      </c>
      <c r="B5179" s="1">
        <v>1</v>
      </c>
      <c r="C5179" s="3">
        <v>1115270132118</v>
      </c>
      <c r="D5179" s="2">
        <v>44725.427083333336</v>
      </c>
      <c r="E5179" s="2">
        <v>44725.510416666664</v>
      </c>
      <c r="F5179" s="23">
        <f t="shared" si="240"/>
        <v>8.3333333328482695E-2</v>
      </c>
      <c r="G5179" s="24">
        <f t="shared" si="242"/>
        <v>150.00000000873115</v>
      </c>
      <c r="H5179" s="1" t="s">
        <v>1</v>
      </c>
      <c r="I5179" s="4" t="s">
        <v>2</v>
      </c>
      <c r="J5179" s="14">
        <v>0.42708333333333331</v>
      </c>
      <c r="K5179" s="20" t="str">
        <f t="shared" si="241"/>
        <v>1st Shift</v>
      </c>
    </row>
    <row r="5180" spans="1:11" x14ac:dyDescent="0.25">
      <c r="A5180" s="1">
        <v>5179</v>
      </c>
      <c r="B5180" s="1">
        <v>1</v>
      </c>
      <c r="C5180" s="3">
        <v>1115270132113</v>
      </c>
      <c r="D5180" s="2">
        <v>44725.427083333336</v>
      </c>
      <c r="E5180" s="2">
        <v>44725.510416666664</v>
      </c>
      <c r="F5180" s="23">
        <f t="shared" si="240"/>
        <v>8.3333333328482695E-2</v>
      </c>
      <c r="G5180" s="24">
        <f t="shared" si="242"/>
        <v>150.00000000873115</v>
      </c>
      <c r="H5180" s="1" t="s">
        <v>1</v>
      </c>
      <c r="I5180" s="4" t="s">
        <v>3</v>
      </c>
      <c r="J5180" s="14">
        <v>0.42708333333333331</v>
      </c>
      <c r="K5180" s="20" t="str">
        <f t="shared" si="241"/>
        <v>1st Shift</v>
      </c>
    </row>
    <row r="5181" spans="1:11" x14ac:dyDescent="0.25">
      <c r="A5181" s="1">
        <v>5180</v>
      </c>
      <c r="B5181" s="1">
        <v>1</v>
      </c>
      <c r="C5181" s="3">
        <v>1115270132108</v>
      </c>
      <c r="D5181" s="2">
        <v>44725.427083333336</v>
      </c>
      <c r="E5181" s="2">
        <v>44725.510416666664</v>
      </c>
      <c r="F5181" s="23">
        <f t="shared" si="240"/>
        <v>8.3333333328482695E-2</v>
      </c>
      <c r="G5181" s="24">
        <f t="shared" si="242"/>
        <v>150.00000000873115</v>
      </c>
      <c r="H5181" s="1" t="s">
        <v>1</v>
      </c>
      <c r="I5181" s="4" t="s">
        <v>2</v>
      </c>
      <c r="J5181" s="14">
        <v>0.42708333333333331</v>
      </c>
      <c r="K5181" s="20" t="str">
        <f t="shared" si="241"/>
        <v>1st Shift</v>
      </c>
    </row>
    <row r="5182" spans="1:11" x14ac:dyDescent="0.25">
      <c r="A5182" s="1">
        <v>5181</v>
      </c>
      <c r="B5182" s="1">
        <v>1</v>
      </c>
      <c r="C5182" s="3">
        <v>1115270132106</v>
      </c>
      <c r="D5182" s="2">
        <v>44725.427083333336</v>
      </c>
      <c r="E5182" s="2">
        <v>44725.510416666664</v>
      </c>
      <c r="F5182" s="23">
        <f t="shared" si="240"/>
        <v>8.3333333328482695E-2</v>
      </c>
      <c r="G5182" s="24">
        <f t="shared" si="242"/>
        <v>150.00000000873115</v>
      </c>
      <c r="H5182" s="1" t="s">
        <v>1</v>
      </c>
      <c r="I5182" s="4" t="s">
        <v>4</v>
      </c>
      <c r="J5182" s="14">
        <v>0.42708333333333331</v>
      </c>
      <c r="K5182" s="20" t="str">
        <f t="shared" si="241"/>
        <v>1st Shift</v>
      </c>
    </row>
    <row r="5183" spans="1:11" x14ac:dyDescent="0.25">
      <c r="A5183" s="1">
        <v>5182</v>
      </c>
      <c r="B5183" s="1">
        <v>1</v>
      </c>
      <c r="C5183" s="3">
        <v>1115270132101</v>
      </c>
      <c r="D5183" s="2">
        <v>44725.427083333336</v>
      </c>
      <c r="E5183" s="2">
        <v>44725.510416666664</v>
      </c>
      <c r="F5183" s="23">
        <f t="shared" si="240"/>
        <v>8.3333333328482695E-2</v>
      </c>
      <c r="G5183" s="24">
        <f t="shared" si="242"/>
        <v>150.00000000873115</v>
      </c>
      <c r="H5183" s="1" t="s">
        <v>1</v>
      </c>
      <c r="I5183" s="4" t="s">
        <v>2</v>
      </c>
      <c r="J5183" s="14">
        <v>0.42708333333333331</v>
      </c>
      <c r="K5183" s="20" t="str">
        <f t="shared" si="241"/>
        <v>1st Shift</v>
      </c>
    </row>
    <row r="5184" spans="1:11" x14ac:dyDescent="0.25">
      <c r="A5184" s="1">
        <v>5183</v>
      </c>
      <c r="B5184" s="1">
        <v>1</v>
      </c>
      <c r="C5184" s="3">
        <v>1115270132100</v>
      </c>
      <c r="D5184" s="2">
        <v>44725.427083333336</v>
      </c>
      <c r="E5184" s="2">
        <v>44725.510416666664</v>
      </c>
      <c r="F5184" s="23">
        <f t="shared" si="240"/>
        <v>8.3333333328482695E-2</v>
      </c>
      <c r="G5184" s="24">
        <f t="shared" si="242"/>
        <v>150.00000000873115</v>
      </c>
      <c r="H5184" s="1" t="s">
        <v>1</v>
      </c>
      <c r="I5184" s="4" t="s">
        <v>3</v>
      </c>
      <c r="J5184" s="14">
        <v>0.42708333333333331</v>
      </c>
      <c r="K5184" s="20" t="str">
        <f t="shared" si="241"/>
        <v>1st Shift</v>
      </c>
    </row>
    <row r="5185" spans="1:11" x14ac:dyDescent="0.25">
      <c r="A5185" s="1">
        <v>5184</v>
      </c>
      <c r="B5185" s="1">
        <v>1</v>
      </c>
      <c r="C5185" s="3">
        <v>1115270076716</v>
      </c>
      <c r="D5185" s="2">
        <v>44725.552083333336</v>
      </c>
      <c r="E5185" s="2">
        <v>44725.59375</v>
      </c>
      <c r="F5185" s="23">
        <f t="shared" si="240"/>
        <v>4.1666666664241347E-2</v>
      </c>
      <c r="G5185" s="24">
        <f t="shared" si="242"/>
        <v>300.0000000174623</v>
      </c>
      <c r="H5185" s="1" t="s">
        <v>1</v>
      </c>
      <c r="I5185" s="4" t="s">
        <v>3</v>
      </c>
      <c r="J5185" s="14">
        <v>0.55208333333333337</v>
      </c>
      <c r="K5185" s="20" t="str">
        <f t="shared" si="241"/>
        <v>1st Shift</v>
      </c>
    </row>
    <row r="5186" spans="1:11" x14ac:dyDescent="0.25">
      <c r="A5186" s="1">
        <v>5185</v>
      </c>
      <c r="B5186" s="1">
        <v>1</v>
      </c>
      <c r="C5186" s="3">
        <v>1115270076706</v>
      </c>
      <c r="D5186" s="2">
        <v>44725.552083333336</v>
      </c>
      <c r="E5186" s="2">
        <v>44725.59375</v>
      </c>
      <c r="F5186" s="23">
        <f t="shared" ref="F5186:F5249" si="243">E5186-D5186</f>
        <v>4.1666666664241347E-2</v>
      </c>
      <c r="G5186" s="24">
        <f t="shared" si="242"/>
        <v>300.0000000174623</v>
      </c>
      <c r="H5186" s="1" t="s">
        <v>1</v>
      </c>
      <c r="I5186" s="4" t="s">
        <v>3</v>
      </c>
      <c r="J5186" s="14">
        <v>0.55208333333333337</v>
      </c>
      <c r="K5186" s="20" t="str">
        <f t="shared" ref="K5186:K5249" si="244">IF(AND(J5186&gt;=$M$3,J5186&lt;$M$4),"1st Shift",IF(AND(J5186&gt;=$M$4,J5186&lt;$M$5),"2nd Shift","3rd Shift"))</f>
        <v>1st Shift</v>
      </c>
    </row>
    <row r="5187" spans="1:11" x14ac:dyDescent="0.25">
      <c r="A5187" s="1">
        <v>5186</v>
      </c>
      <c r="B5187" s="1">
        <v>1</v>
      </c>
      <c r="C5187" s="3">
        <v>1115270076700</v>
      </c>
      <c r="D5187" s="2">
        <v>44725.552083333336</v>
      </c>
      <c r="E5187" s="2">
        <v>44725.59375</v>
      </c>
      <c r="F5187" s="23">
        <f t="shared" si="243"/>
        <v>4.1666666664241347E-2</v>
      </c>
      <c r="G5187" s="24">
        <f t="shared" ref="G5187:G5250" si="245">$M$9/F5187*100</f>
        <v>300.0000000174623</v>
      </c>
      <c r="H5187" s="1" t="s">
        <v>1</v>
      </c>
      <c r="I5187" s="4" t="s">
        <v>3</v>
      </c>
      <c r="J5187" s="14">
        <v>0.55208333333333337</v>
      </c>
      <c r="K5187" s="20" t="str">
        <f t="shared" si="244"/>
        <v>1st Shift</v>
      </c>
    </row>
    <row r="5188" spans="1:11" x14ac:dyDescent="0.25">
      <c r="A5188" s="1">
        <v>5187</v>
      </c>
      <c r="B5188" s="1">
        <v>11</v>
      </c>
      <c r="C5188" s="3">
        <v>11115271542514</v>
      </c>
      <c r="D5188" s="2">
        <v>44725.724305555559</v>
      </c>
      <c r="E5188" s="2">
        <v>44725.819444444445</v>
      </c>
      <c r="F5188" s="23">
        <f t="shared" si="243"/>
        <v>9.5138888886140194E-2</v>
      </c>
      <c r="G5188" s="24">
        <f t="shared" si="245"/>
        <v>131.38686131766457</v>
      </c>
      <c r="H5188" s="1" t="s">
        <v>1</v>
      </c>
      <c r="I5188" s="4" t="s">
        <v>3</v>
      </c>
      <c r="J5188" s="14">
        <v>0.72430555555555554</v>
      </c>
      <c r="K5188" s="20" t="str">
        <f t="shared" si="244"/>
        <v>2nd Shift</v>
      </c>
    </row>
    <row r="5189" spans="1:11" x14ac:dyDescent="0.25">
      <c r="A5189" s="1">
        <v>5188</v>
      </c>
      <c r="B5189" s="1">
        <v>11</v>
      </c>
      <c r="C5189" s="3">
        <v>11115271542506</v>
      </c>
      <c r="D5189" s="2">
        <v>44725.724305555559</v>
      </c>
      <c r="E5189" s="2">
        <v>44725.819444444445</v>
      </c>
      <c r="F5189" s="23">
        <f t="shared" si="243"/>
        <v>9.5138888886140194E-2</v>
      </c>
      <c r="G5189" s="24">
        <f t="shared" si="245"/>
        <v>131.38686131766457</v>
      </c>
      <c r="H5189" s="1" t="s">
        <v>1</v>
      </c>
      <c r="I5189" s="4" t="s">
        <v>5</v>
      </c>
      <c r="J5189" s="14">
        <v>0.72430555555555554</v>
      </c>
      <c r="K5189" s="20" t="str">
        <f t="shared" si="244"/>
        <v>2nd Shift</v>
      </c>
    </row>
    <row r="5190" spans="1:11" x14ac:dyDescent="0.25">
      <c r="A5190" s="1">
        <v>5189</v>
      </c>
      <c r="B5190" s="1">
        <v>11</v>
      </c>
      <c r="C5190" s="3">
        <v>11115271542504</v>
      </c>
      <c r="D5190" s="2">
        <v>44725.724305555559</v>
      </c>
      <c r="E5190" s="2">
        <v>44725.819444444445</v>
      </c>
      <c r="F5190" s="23">
        <f t="shared" si="243"/>
        <v>9.5138888886140194E-2</v>
      </c>
      <c r="G5190" s="24">
        <f t="shared" si="245"/>
        <v>131.38686131766457</v>
      </c>
      <c r="H5190" s="1" t="s">
        <v>1</v>
      </c>
      <c r="I5190" s="4" t="s">
        <v>2</v>
      </c>
      <c r="J5190" s="14">
        <v>0.72430555555555554</v>
      </c>
      <c r="K5190" s="20" t="str">
        <f t="shared" si="244"/>
        <v>2nd Shift</v>
      </c>
    </row>
    <row r="5191" spans="1:11" x14ac:dyDescent="0.25">
      <c r="A5191" s="1">
        <v>5190</v>
      </c>
      <c r="B5191" s="1">
        <v>11</v>
      </c>
      <c r="C5191" s="3">
        <v>11115271532515</v>
      </c>
      <c r="D5191" s="2">
        <v>44725.724305555559</v>
      </c>
      <c r="E5191" s="2">
        <v>44725.819444444445</v>
      </c>
      <c r="F5191" s="23">
        <f t="shared" si="243"/>
        <v>9.5138888886140194E-2</v>
      </c>
      <c r="G5191" s="24">
        <f t="shared" si="245"/>
        <v>131.38686131766457</v>
      </c>
      <c r="H5191" s="1" t="s">
        <v>1</v>
      </c>
      <c r="I5191" s="4" t="s">
        <v>4</v>
      </c>
      <c r="J5191" s="14">
        <v>0.72430555555555554</v>
      </c>
      <c r="K5191" s="20" t="str">
        <f t="shared" si="244"/>
        <v>2nd Shift</v>
      </c>
    </row>
    <row r="5192" spans="1:11" x14ac:dyDescent="0.25">
      <c r="A5192" s="1">
        <v>5191</v>
      </c>
      <c r="B5192" s="1">
        <v>11</v>
      </c>
      <c r="C5192" s="3">
        <v>11115271532505</v>
      </c>
      <c r="D5192" s="2">
        <v>44725.724305555559</v>
      </c>
      <c r="E5192" s="2">
        <v>44725.819444444445</v>
      </c>
      <c r="F5192" s="23">
        <f t="shared" si="243"/>
        <v>9.5138888886140194E-2</v>
      </c>
      <c r="G5192" s="24">
        <f t="shared" si="245"/>
        <v>131.38686131766457</v>
      </c>
      <c r="H5192" s="1" t="s">
        <v>1</v>
      </c>
      <c r="I5192" s="4" t="s">
        <v>2</v>
      </c>
      <c r="J5192" s="14">
        <v>0.72430555555555554</v>
      </c>
      <c r="K5192" s="20" t="str">
        <f t="shared" si="244"/>
        <v>2nd Shift</v>
      </c>
    </row>
    <row r="5193" spans="1:11" x14ac:dyDescent="0.25">
      <c r="A5193" s="1">
        <v>5192</v>
      </c>
      <c r="B5193" s="1">
        <v>11</v>
      </c>
      <c r="C5193" s="3">
        <v>11115271532500</v>
      </c>
      <c r="D5193" s="2">
        <v>44725.724305555559</v>
      </c>
      <c r="E5193" s="2">
        <v>44725.819444444445</v>
      </c>
      <c r="F5193" s="23">
        <f t="shared" si="243"/>
        <v>9.5138888886140194E-2</v>
      </c>
      <c r="G5193" s="24">
        <f t="shared" si="245"/>
        <v>131.38686131766457</v>
      </c>
      <c r="H5193" s="1" t="s">
        <v>1</v>
      </c>
      <c r="I5193" s="4" t="s">
        <v>4</v>
      </c>
      <c r="J5193" s="14">
        <v>0.72430555555555554</v>
      </c>
      <c r="K5193" s="20" t="str">
        <f t="shared" si="244"/>
        <v>2nd Shift</v>
      </c>
    </row>
    <row r="5194" spans="1:11" x14ac:dyDescent="0.25">
      <c r="A5194" s="1">
        <v>5193</v>
      </c>
      <c r="B5194" s="1">
        <v>13</v>
      </c>
      <c r="C5194" s="3">
        <v>13115271591411</v>
      </c>
      <c r="D5194" s="2">
        <v>44726.395833333336</v>
      </c>
      <c r="E5194" s="2">
        <v>44726.427083333336</v>
      </c>
      <c r="F5194" s="23">
        <f t="shared" si="243"/>
        <v>3.125E-2</v>
      </c>
      <c r="G5194" s="24">
        <f t="shared" si="245"/>
        <v>400</v>
      </c>
      <c r="H5194" s="1" t="s">
        <v>1</v>
      </c>
      <c r="I5194" s="4" t="s">
        <v>2</v>
      </c>
      <c r="J5194" s="14">
        <v>0.39583333333333331</v>
      </c>
      <c r="K5194" s="20" t="str">
        <f t="shared" si="244"/>
        <v>1st Shift</v>
      </c>
    </row>
    <row r="5195" spans="1:11" x14ac:dyDescent="0.25">
      <c r="A5195" s="1">
        <v>5194</v>
      </c>
      <c r="B5195" s="1">
        <v>13</v>
      </c>
      <c r="C5195" s="3">
        <v>13115271591406</v>
      </c>
      <c r="D5195" s="2">
        <v>44726.395833333336</v>
      </c>
      <c r="E5195" s="2">
        <v>44726.427083333336</v>
      </c>
      <c r="F5195" s="23">
        <f t="shared" si="243"/>
        <v>3.125E-2</v>
      </c>
      <c r="G5195" s="24">
        <f t="shared" si="245"/>
        <v>400</v>
      </c>
      <c r="H5195" s="1" t="s">
        <v>1</v>
      </c>
      <c r="I5195" s="4" t="s">
        <v>3</v>
      </c>
      <c r="J5195" s="14">
        <v>0.39583333333333331</v>
      </c>
      <c r="K5195" s="20" t="str">
        <f t="shared" si="244"/>
        <v>1st Shift</v>
      </c>
    </row>
    <row r="5196" spans="1:11" x14ac:dyDescent="0.25">
      <c r="A5196" s="1">
        <v>5195</v>
      </c>
      <c r="B5196" s="1">
        <v>13</v>
      </c>
      <c r="C5196" s="3">
        <v>13115271591401</v>
      </c>
      <c r="D5196" s="2">
        <v>44726.395833333336</v>
      </c>
      <c r="E5196" s="2">
        <v>44726.427083333336</v>
      </c>
      <c r="F5196" s="23">
        <f t="shared" si="243"/>
        <v>3.125E-2</v>
      </c>
      <c r="G5196" s="24">
        <f t="shared" si="245"/>
        <v>400</v>
      </c>
      <c r="H5196" s="1" t="s">
        <v>1</v>
      </c>
      <c r="I5196" s="4" t="s">
        <v>4</v>
      </c>
      <c r="J5196" s="14">
        <v>0.39583333333333331</v>
      </c>
      <c r="K5196" s="20" t="str">
        <f t="shared" si="244"/>
        <v>1st Shift</v>
      </c>
    </row>
    <row r="5197" spans="1:11" x14ac:dyDescent="0.25">
      <c r="A5197" s="1">
        <v>5196</v>
      </c>
      <c r="B5197" s="1">
        <v>13</v>
      </c>
      <c r="C5197" s="3">
        <v>13115271591400</v>
      </c>
      <c r="D5197" s="2">
        <v>44726.395833333336</v>
      </c>
      <c r="E5197" s="2">
        <v>44726.427083333336</v>
      </c>
      <c r="F5197" s="23">
        <f t="shared" si="243"/>
        <v>3.125E-2</v>
      </c>
      <c r="G5197" s="24">
        <f t="shared" si="245"/>
        <v>400</v>
      </c>
      <c r="H5197" s="1" t="s">
        <v>1</v>
      </c>
      <c r="I5197" s="4" t="s">
        <v>4</v>
      </c>
      <c r="J5197" s="14">
        <v>0.39583333333333331</v>
      </c>
      <c r="K5197" s="20" t="str">
        <f t="shared" si="244"/>
        <v>1st Shift</v>
      </c>
    </row>
    <row r="5198" spans="1:11" x14ac:dyDescent="0.25">
      <c r="A5198" s="1">
        <v>5197</v>
      </c>
      <c r="B5198" s="1">
        <v>13</v>
      </c>
      <c r="C5198" s="3">
        <v>13115271591211</v>
      </c>
      <c r="D5198" s="2">
        <v>44726.395833333336</v>
      </c>
      <c r="E5198" s="2">
        <v>44726.427083333336</v>
      </c>
      <c r="F5198" s="23">
        <f t="shared" si="243"/>
        <v>3.125E-2</v>
      </c>
      <c r="G5198" s="24">
        <f t="shared" si="245"/>
        <v>400</v>
      </c>
      <c r="H5198" s="1" t="s">
        <v>1</v>
      </c>
      <c r="I5198" s="4" t="s">
        <v>5</v>
      </c>
      <c r="J5198" s="14">
        <v>0.39583333333333331</v>
      </c>
      <c r="K5198" s="20" t="str">
        <f t="shared" si="244"/>
        <v>1st Shift</v>
      </c>
    </row>
    <row r="5199" spans="1:11" x14ac:dyDescent="0.25">
      <c r="A5199" s="1">
        <v>5198</v>
      </c>
      <c r="B5199" s="1">
        <v>14</v>
      </c>
      <c r="C5199" s="3">
        <v>14115271672419</v>
      </c>
      <c r="D5199" s="2">
        <v>44726.694444444445</v>
      </c>
      <c r="E5199" s="2">
        <v>44726.854166666664</v>
      </c>
      <c r="F5199" s="23">
        <f t="shared" si="243"/>
        <v>0.15972222221898846</v>
      </c>
      <c r="G5199" s="24">
        <f t="shared" si="245"/>
        <v>78.260869566801873</v>
      </c>
      <c r="H5199" s="1" t="s">
        <v>1</v>
      </c>
      <c r="I5199" s="4" t="s">
        <v>2</v>
      </c>
      <c r="J5199" s="14">
        <v>0.69444444444444442</v>
      </c>
      <c r="K5199" s="20" t="str">
        <f t="shared" si="244"/>
        <v>2nd Shift</v>
      </c>
    </row>
    <row r="5200" spans="1:11" x14ac:dyDescent="0.25">
      <c r="A5200" s="1">
        <v>5199</v>
      </c>
      <c r="B5200" s="1">
        <v>14</v>
      </c>
      <c r="C5200" s="3">
        <v>14115271672412</v>
      </c>
      <c r="D5200" s="2">
        <v>44726.694444444445</v>
      </c>
      <c r="E5200" s="2">
        <v>44726.854166666664</v>
      </c>
      <c r="F5200" s="23">
        <f t="shared" si="243"/>
        <v>0.15972222221898846</v>
      </c>
      <c r="G5200" s="24">
        <f t="shared" si="245"/>
        <v>78.260869566801873</v>
      </c>
      <c r="H5200" s="1" t="s">
        <v>1</v>
      </c>
      <c r="I5200" s="4" t="s">
        <v>2</v>
      </c>
      <c r="J5200" s="14">
        <v>0.69444444444444442</v>
      </c>
      <c r="K5200" s="20" t="str">
        <f t="shared" si="244"/>
        <v>2nd Shift</v>
      </c>
    </row>
    <row r="5201" spans="1:11" x14ac:dyDescent="0.25">
      <c r="A5201" s="1">
        <v>5200</v>
      </c>
      <c r="B5201" s="1">
        <v>14</v>
      </c>
      <c r="C5201" s="3">
        <v>14115271672411</v>
      </c>
      <c r="D5201" s="2">
        <v>44726.694444444445</v>
      </c>
      <c r="E5201" s="2">
        <v>44726.854166666664</v>
      </c>
      <c r="F5201" s="23">
        <f t="shared" si="243"/>
        <v>0.15972222221898846</v>
      </c>
      <c r="G5201" s="24">
        <f t="shared" si="245"/>
        <v>78.260869566801873</v>
      </c>
      <c r="H5201" s="1" t="s">
        <v>1</v>
      </c>
      <c r="I5201" s="4" t="s">
        <v>2</v>
      </c>
      <c r="J5201" s="14">
        <v>0.69444444444444442</v>
      </c>
      <c r="K5201" s="20" t="str">
        <f t="shared" si="244"/>
        <v>2nd Shift</v>
      </c>
    </row>
    <row r="5202" spans="1:11" x14ac:dyDescent="0.25">
      <c r="A5202" s="1">
        <v>5201</v>
      </c>
      <c r="B5202" s="1">
        <v>14</v>
      </c>
      <c r="C5202" s="3">
        <v>14115271672402</v>
      </c>
      <c r="D5202" s="2">
        <v>44726.694444444445</v>
      </c>
      <c r="E5202" s="2">
        <v>44726.854166666664</v>
      </c>
      <c r="F5202" s="23">
        <f t="shared" si="243"/>
        <v>0.15972222221898846</v>
      </c>
      <c r="G5202" s="24">
        <f t="shared" si="245"/>
        <v>78.260869566801873</v>
      </c>
      <c r="H5202" s="1" t="s">
        <v>1</v>
      </c>
      <c r="I5202" s="4" t="s">
        <v>2</v>
      </c>
      <c r="J5202" s="14">
        <v>0.69444444444444442</v>
      </c>
      <c r="K5202" s="20" t="str">
        <f t="shared" si="244"/>
        <v>2nd Shift</v>
      </c>
    </row>
    <row r="5203" spans="1:11" x14ac:dyDescent="0.25">
      <c r="A5203" s="1">
        <v>5202</v>
      </c>
      <c r="B5203" s="1">
        <v>14</v>
      </c>
      <c r="C5203" s="3">
        <v>14115271672202</v>
      </c>
      <c r="D5203" s="2">
        <v>44726.694444444445</v>
      </c>
      <c r="E5203" s="2">
        <v>44726.854166666664</v>
      </c>
      <c r="F5203" s="23">
        <f t="shared" si="243"/>
        <v>0.15972222221898846</v>
      </c>
      <c r="G5203" s="24">
        <f t="shared" si="245"/>
        <v>78.260869566801873</v>
      </c>
      <c r="H5203" s="1" t="s">
        <v>1</v>
      </c>
      <c r="I5203" s="4" t="s">
        <v>2</v>
      </c>
      <c r="J5203" s="14">
        <v>0.69444444444444442</v>
      </c>
      <c r="K5203" s="20" t="str">
        <f t="shared" si="244"/>
        <v>2nd Shift</v>
      </c>
    </row>
    <row r="5204" spans="1:11" x14ac:dyDescent="0.25">
      <c r="A5204" s="1">
        <v>5203</v>
      </c>
      <c r="B5204" s="1">
        <v>12</v>
      </c>
      <c r="C5204" s="3">
        <v>12115271573413</v>
      </c>
      <c r="D5204" s="2">
        <v>44726.711805555555</v>
      </c>
      <c r="E5204" s="2">
        <v>44726.854166666664</v>
      </c>
      <c r="F5204" s="23">
        <f t="shared" si="243"/>
        <v>0.14236111110949423</v>
      </c>
      <c r="G5204" s="24">
        <f t="shared" si="245"/>
        <v>87.804878049777741</v>
      </c>
      <c r="H5204" s="1" t="s">
        <v>1</v>
      </c>
      <c r="I5204" s="4" t="s">
        <v>2</v>
      </c>
      <c r="J5204" s="14">
        <v>0.71180555555555558</v>
      </c>
      <c r="K5204" s="20" t="str">
        <f t="shared" si="244"/>
        <v>2nd Shift</v>
      </c>
    </row>
    <row r="5205" spans="1:11" x14ac:dyDescent="0.25">
      <c r="A5205" s="1">
        <v>5204</v>
      </c>
      <c r="B5205" s="1">
        <v>12</v>
      </c>
      <c r="C5205" s="3">
        <v>12115271573408</v>
      </c>
      <c r="D5205" s="2">
        <v>44726.711805555555</v>
      </c>
      <c r="E5205" s="2">
        <v>44726.854166666664</v>
      </c>
      <c r="F5205" s="23">
        <f t="shared" si="243"/>
        <v>0.14236111110949423</v>
      </c>
      <c r="G5205" s="24">
        <f t="shared" si="245"/>
        <v>87.804878049777741</v>
      </c>
      <c r="H5205" s="1" t="s">
        <v>1</v>
      </c>
      <c r="I5205" s="4" t="s">
        <v>2</v>
      </c>
      <c r="J5205" s="14">
        <v>0.71180555555555558</v>
      </c>
      <c r="K5205" s="20" t="str">
        <f t="shared" si="244"/>
        <v>2nd Shift</v>
      </c>
    </row>
    <row r="5206" spans="1:11" x14ac:dyDescent="0.25">
      <c r="A5206" s="1">
        <v>5205</v>
      </c>
      <c r="B5206" s="1">
        <v>12</v>
      </c>
      <c r="C5206" s="3">
        <v>12115271573403</v>
      </c>
      <c r="D5206" s="2">
        <v>44726.711805555555</v>
      </c>
      <c r="E5206" s="2">
        <v>44726.854166666664</v>
      </c>
      <c r="F5206" s="23">
        <f t="shared" si="243"/>
        <v>0.14236111110949423</v>
      </c>
      <c r="G5206" s="24">
        <f t="shared" si="245"/>
        <v>87.804878049777741</v>
      </c>
      <c r="H5206" s="1" t="s">
        <v>1</v>
      </c>
      <c r="I5206" s="4" t="s">
        <v>2</v>
      </c>
      <c r="J5206" s="14">
        <v>0.71180555555555558</v>
      </c>
      <c r="K5206" s="20" t="str">
        <f t="shared" si="244"/>
        <v>2nd Shift</v>
      </c>
    </row>
    <row r="5207" spans="1:11" x14ac:dyDescent="0.25">
      <c r="A5207" s="1">
        <v>5206</v>
      </c>
      <c r="B5207" s="1">
        <v>12</v>
      </c>
      <c r="C5207" s="3">
        <v>12115271573313</v>
      </c>
      <c r="D5207" s="2">
        <v>44726.711805555555</v>
      </c>
      <c r="E5207" s="2">
        <v>44726.854166666664</v>
      </c>
      <c r="F5207" s="23">
        <f t="shared" si="243"/>
        <v>0.14236111110949423</v>
      </c>
      <c r="G5207" s="24">
        <f t="shared" si="245"/>
        <v>87.804878049777741</v>
      </c>
      <c r="H5207" s="1" t="s">
        <v>1</v>
      </c>
      <c r="I5207" s="4" t="s">
        <v>3</v>
      </c>
      <c r="J5207" s="14">
        <v>0.71180555555555558</v>
      </c>
      <c r="K5207" s="20" t="str">
        <f t="shared" si="244"/>
        <v>2nd Shift</v>
      </c>
    </row>
    <row r="5208" spans="1:11" x14ac:dyDescent="0.25">
      <c r="A5208" s="1">
        <v>5207</v>
      </c>
      <c r="B5208" s="1">
        <v>12</v>
      </c>
      <c r="C5208" s="3">
        <v>12115271569914</v>
      </c>
      <c r="D5208" s="2">
        <v>44726.75</v>
      </c>
      <c r="E5208" s="2">
        <v>44726.854166666664</v>
      </c>
      <c r="F5208" s="23">
        <f t="shared" si="243"/>
        <v>0.10416666666424135</v>
      </c>
      <c r="G5208" s="24">
        <f t="shared" si="245"/>
        <v>120.00000000279397</v>
      </c>
      <c r="H5208" s="1" t="s">
        <v>1</v>
      </c>
      <c r="I5208" s="4" t="s">
        <v>2</v>
      </c>
      <c r="J5208" s="14">
        <v>0.75</v>
      </c>
      <c r="K5208" s="20" t="str">
        <f t="shared" si="244"/>
        <v>2nd Shift</v>
      </c>
    </row>
    <row r="5209" spans="1:11" x14ac:dyDescent="0.25">
      <c r="A5209" s="1">
        <v>5208</v>
      </c>
      <c r="B5209" s="1">
        <v>12</v>
      </c>
      <c r="C5209" s="3">
        <v>12115271569904</v>
      </c>
      <c r="D5209" s="2">
        <v>44726.75</v>
      </c>
      <c r="E5209" s="2">
        <v>44726.854166666664</v>
      </c>
      <c r="F5209" s="23">
        <f t="shared" si="243"/>
        <v>0.10416666666424135</v>
      </c>
      <c r="G5209" s="24">
        <f t="shared" si="245"/>
        <v>120.00000000279397</v>
      </c>
      <c r="H5209" s="1" t="s">
        <v>1</v>
      </c>
      <c r="I5209" s="4" t="s">
        <v>2</v>
      </c>
      <c r="J5209" s="14">
        <v>0.75</v>
      </c>
      <c r="K5209" s="20" t="str">
        <f t="shared" si="244"/>
        <v>2nd Shift</v>
      </c>
    </row>
    <row r="5210" spans="1:11" x14ac:dyDescent="0.25">
      <c r="A5210" s="1">
        <v>5209</v>
      </c>
      <c r="B5210" s="1">
        <v>12</v>
      </c>
      <c r="C5210" s="3">
        <v>12115271569903</v>
      </c>
      <c r="D5210" s="2">
        <v>44726.75</v>
      </c>
      <c r="E5210" s="2">
        <v>44726.854166666664</v>
      </c>
      <c r="F5210" s="23">
        <f t="shared" si="243"/>
        <v>0.10416666666424135</v>
      </c>
      <c r="G5210" s="24">
        <f t="shared" si="245"/>
        <v>120.00000000279397</v>
      </c>
      <c r="H5210" s="1" t="s">
        <v>1</v>
      </c>
      <c r="I5210" s="4" t="s">
        <v>2</v>
      </c>
      <c r="J5210" s="14">
        <v>0.75</v>
      </c>
      <c r="K5210" s="20" t="str">
        <f t="shared" si="244"/>
        <v>2nd Shift</v>
      </c>
    </row>
    <row r="5211" spans="1:11" x14ac:dyDescent="0.25">
      <c r="A5211" s="1">
        <v>5210</v>
      </c>
      <c r="B5211" s="1">
        <v>12</v>
      </c>
      <c r="C5211" s="3">
        <v>12115271569814</v>
      </c>
      <c r="D5211" s="2">
        <v>44726.75</v>
      </c>
      <c r="E5211" s="2">
        <v>44726.854166666664</v>
      </c>
      <c r="F5211" s="23">
        <f t="shared" si="243"/>
        <v>0.10416666666424135</v>
      </c>
      <c r="G5211" s="24">
        <f t="shared" si="245"/>
        <v>120.00000000279397</v>
      </c>
      <c r="H5211" s="1" t="s">
        <v>1</v>
      </c>
      <c r="I5211" s="4" t="s">
        <v>2</v>
      </c>
      <c r="J5211" s="14">
        <v>0.75</v>
      </c>
      <c r="K5211" s="20" t="str">
        <f t="shared" si="244"/>
        <v>2nd Shift</v>
      </c>
    </row>
    <row r="5212" spans="1:11" x14ac:dyDescent="0.25">
      <c r="A5212" s="1">
        <v>5211</v>
      </c>
      <c r="B5212" s="1">
        <v>14</v>
      </c>
      <c r="C5212" s="3">
        <v>14115271678815</v>
      </c>
      <c r="D5212" s="2">
        <v>44726.930555555555</v>
      </c>
      <c r="E5212" s="2">
        <v>44727.083333333336</v>
      </c>
      <c r="F5212" s="23">
        <f t="shared" si="243"/>
        <v>0.15277777778101154</v>
      </c>
      <c r="G5212" s="24">
        <f t="shared" si="245"/>
        <v>81.818181816450021</v>
      </c>
      <c r="H5212" s="1" t="s">
        <v>1</v>
      </c>
      <c r="I5212" s="4" t="s">
        <v>3</v>
      </c>
      <c r="J5212" s="14">
        <v>0.93055555555555558</v>
      </c>
      <c r="K5212" s="20" t="str">
        <f t="shared" si="244"/>
        <v>3rd Shift</v>
      </c>
    </row>
    <row r="5213" spans="1:11" x14ac:dyDescent="0.25">
      <c r="A5213" s="1">
        <v>5212</v>
      </c>
      <c r="B5213" s="1">
        <v>14</v>
      </c>
      <c r="C5213" s="3">
        <v>14115271678805</v>
      </c>
      <c r="D5213" s="2">
        <v>44726.930555555555</v>
      </c>
      <c r="E5213" s="2">
        <v>44727.083333333336</v>
      </c>
      <c r="F5213" s="23">
        <f t="shared" si="243"/>
        <v>0.15277777778101154</v>
      </c>
      <c r="G5213" s="24">
        <f t="shared" si="245"/>
        <v>81.818181816450021</v>
      </c>
      <c r="H5213" s="1" t="s">
        <v>1</v>
      </c>
      <c r="I5213" s="4" t="s">
        <v>2</v>
      </c>
      <c r="J5213" s="14">
        <v>0.93055555555555558</v>
      </c>
      <c r="K5213" s="20" t="str">
        <f t="shared" si="244"/>
        <v>3rd Shift</v>
      </c>
    </row>
    <row r="5214" spans="1:11" x14ac:dyDescent="0.25">
      <c r="A5214" s="1">
        <v>5213</v>
      </c>
      <c r="B5214" s="1">
        <v>14</v>
      </c>
      <c r="C5214" s="3">
        <v>14115271678801</v>
      </c>
      <c r="D5214" s="2">
        <v>44726.930555555555</v>
      </c>
      <c r="E5214" s="2">
        <v>44727.083333333336</v>
      </c>
      <c r="F5214" s="23">
        <f t="shared" si="243"/>
        <v>0.15277777778101154</v>
      </c>
      <c r="G5214" s="24">
        <f t="shared" si="245"/>
        <v>81.818181816450021</v>
      </c>
      <c r="H5214" s="1" t="s">
        <v>1</v>
      </c>
      <c r="I5214" s="4" t="s">
        <v>2</v>
      </c>
      <c r="J5214" s="14">
        <v>0.93055555555555558</v>
      </c>
      <c r="K5214" s="20" t="str">
        <f t="shared" si="244"/>
        <v>3rd Shift</v>
      </c>
    </row>
    <row r="5215" spans="1:11" x14ac:dyDescent="0.25">
      <c r="A5215" s="1">
        <v>5214</v>
      </c>
      <c r="B5215" s="1">
        <v>14</v>
      </c>
      <c r="C5215" s="3">
        <v>14115271678715</v>
      </c>
      <c r="D5215" s="2">
        <v>44726.930555555555</v>
      </c>
      <c r="E5215" s="2">
        <v>44727.083333333336</v>
      </c>
      <c r="F5215" s="23">
        <f t="shared" si="243"/>
        <v>0.15277777778101154</v>
      </c>
      <c r="G5215" s="24">
        <f t="shared" si="245"/>
        <v>81.818181816450021</v>
      </c>
      <c r="H5215" s="1" t="s">
        <v>1</v>
      </c>
      <c r="I5215" s="4" t="s">
        <v>2</v>
      </c>
      <c r="J5215" s="14">
        <v>0.93055555555555558</v>
      </c>
      <c r="K5215" s="20" t="str">
        <f t="shared" si="244"/>
        <v>3rd Shift</v>
      </c>
    </row>
    <row r="5216" spans="1:11" x14ac:dyDescent="0.25">
      <c r="A5216" s="1">
        <v>5215</v>
      </c>
      <c r="B5216" s="1">
        <v>11</v>
      </c>
      <c r="C5216" s="3">
        <v>11115271542703</v>
      </c>
      <c r="D5216" s="2">
        <v>44727.104166666664</v>
      </c>
      <c r="E5216" s="2">
        <v>44727.166666666664</v>
      </c>
      <c r="F5216" s="23">
        <f t="shared" si="243"/>
        <v>6.25E-2</v>
      </c>
      <c r="G5216" s="24">
        <f t="shared" si="245"/>
        <v>200</v>
      </c>
      <c r="H5216" s="1" t="s">
        <v>1</v>
      </c>
      <c r="I5216" s="4" t="s">
        <v>3</v>
      </c>
      <c r="J5216" s="14">
        <v>0.10416666666666667</v>
      </c>
      <c r="K5216" s="20" t="str">
        <f t="shared" si="244"/>
        <v>3rd Shift</v>
      </c>
    </row>
    <row r="5217" spans="1:11" x14ac:dyDescent="0.25">
      <c r="A5217" s="1">
        <v>5216</v>
      </c>
      <c r="B5217" s="1">
        <v>11</v>
      </c>
      <c r="C5217" s="3">
        <v>11115271542702</v>
      </c>
      <c r="D5217" s="2">
        <v>44727.104166666664</v>
      </c>
      <c r="E5217" s="2">
        <v>44727.166666666664</v>
      </c>
      <c r="F5217" s="23">
        <f t="shared" si="243"/>
        <v>6.25E-2</v>
      </c>
      <c r="G5217" s="24">
        <f t="shared" si="245"/>
        <v>200</v>
      </c>
      <c r="H5217" s="1" t="s">
        <v>1</v>
      </c>
      <c r="I5217" s="4" t="s">
        <v>2</v>
      </c>
      <c r="J5217" s="14">
        <v>0.10416666666666667</v>
      </c>
      <c r="K5217" s="20" t="str">
        <f t="shared" si="244"/>
        <v>3rd Shift</v>
      </c>
    </row>
    <row r="5218" spans="1:11" x14ac:dyDescent="0.25">
      <c r="A5218" s="1">
        <v>5217</v>
      </c>
      <c r="B5218" s="1">
        <v>9</v>
      </c>
      <c r="C5218" s="3">
        <v>9115271934306</v>
      </c>
      <c r="D5218" s="2">
        <v>44727.104166666664</v>
      </c>
      <c r="E5218" s="2">
        <v>44727.166666666664</v>
      </c>
      <c r="F5218" s="23">
        <f t="shared" si="243"/>
        <v>6.25E-2</v>
      </c>
      <c r="G5218" s="24">
        <f t="shared" si="245"/>
        <v>200</v>
      </c>
      <c r="H5218" s="1" t="s">
        <v>1</v>
      </c>
      <c r="I5218" s="4" t="s">
        <v>2</v>
      </c>
      <c r="J5218" s="14">
        <v>0.10416666666666667</v>
      </c>
      <c r="K5218" s="20" t="str">
        <f t="shared" si="244"/>
        <v>3rd Shift</v>
      </c>
    </row>
    <row r="5219" spans="1:11" x14ac:dyDescent="0.25">
      <c r="A5219" s="1">
        <v>5218</v>
      </c>
      <c r="B5219" s="1">
        <v>9</v>
      </c>
      <c r="C5219" s="3">
        <v>9115271934304</v>
      </c>
      <c r="D5219" s="2">
        <v>44727.104166666664</v>
      </c>
      <c r="E5219" s="2">
        <v>44727.166666666664</v>
      </c>
      <c r="F5219" s="23">
        <f t="shared" si="243"/>
        <v>6.25E-2</v>
      </c>
      <c r="G5219" s="24">
        <f t="shared" si="245"/>
        <v>200</v>
      </c>
      <c r="H5219" s="1" t="s">
        <v>1</v>
      </c>
      <c r="I5219" s="4" t="s">
        <v>2</v>
      </c>
      <c r="J5219" s="14">
        <v>0.10416666666666667</v>
      </c>
      <c r="K5219" s="20" t="str">
        <f t="shared" si="244"/>
        <v>3rd Shift</v>
      </c>
    </row>
    <row r="5220" spans="1:11" x14ac:dyDescent="0.25">
      <c r="A5220" s="1">
        <v>5219</v>
      </c>
      <c r="B5220" s="1">
        <v>9</v>
      </c>
      <c r="C5220" s="3">
        <v>9115271934300</v>
      </c>
      <c r="D5220" s="2">
        <v>44727.104166666664</v>
      </c>
      <c r="E5220" s="2">
        <v>44727.166666666664</v>
      </c>
      <c r="F5220" s="23">
        <f t="shared" si="243"/>
        <v>6.25E-2</v>
      </c>
      <c r="G5220" s="24">
        <f t="shared" si="245"/>
        <v>200</v>
      </c>
      <c r="H5220" s="1" t="s">
        <v>1</v>
      </c>
      <c r="I5220" s="4" t="s">
        <v>2</v>
      </c>
      <c r="J5220" s="14">
        <v>0.10416666666666667</v>
      </c>
      <c r="K5220" s="20" t="str">
        <f t="shared" si="244"/>
        <v>3rd Shift</v>
      </c>
    </row>
    <row r="5221" spans="1:11" x14ac:dyDescent="0.25">
      <c r="A5221" s="1">
        <v>5220</v>
      </c>
      <c r="B5221" s="1">
        <v>12</v>
      </c>
      <c r="C5221" s="3">
        <v>12115271571605</v>
      </c>
      <c r="D5221" s="2">
        <v>44727.375</v>
      </c>
      <c r="E5221" s="2">
        <v>44727.395833333336</v>
      </c>
      <c r="F5221" s="23">
        <f t="shared" si="243"/>
        <v>2.0833333335758653E-2</v>
      </c>
      <c r="G5221" s="24">
        <f t="shared" si="245"/>
        <v>599.99999993015081</v>
      </c>
      <c r="H5221" s="1" t="s">
        <v>1</v>
      </c>
      <c r="I5221" s="4" t="s">
        <v>2</v>
      </c>
      <c r="J5221" s="14">
        <v>0.375</v>
      </c>
      <c r="K5221" s="20" t="str">
        <f t="shared" si="244"/>
        <v>1st Shift</v>
      </c>
    </row>
    <row r="5222" spans="1:11" x14ac:dyDescent="0.25">
      <c r="A5222" s="1">
        <v>5221</v>
      </c>
      <c r="B5222" s="1">
        <v>12</v>
      </c>
      <c r="C5222" s="3">
        <v>12115271571604</v>
      </c>
      <c r="D5222" s="2">
        <v>44727.375</v>
      </c>
      <c r="E5222" s="2">
        <v>44727.395833333336</v>
      </c>
      <c r="F5222" s="23">
        <f t="shared" si="243"/>
        <v>2.0833333335758653E-2</v>
      </c>
      <c r="G5222" s="24">
        <f t="shared" si="245"/>
        <v>599.99999993015081</v>
      </c>
      <c r="H5222" s="1" t="s">
        <v>1</v>
      </c>
      <c r="I5222" s="4" t="s">
        <v>2</v>
      </c>
      <c r="J5222" s="14">
        <v>0.375</v>
      </c>
      <c r="K5222" s="20" t="str">
        <f t="shared" si="244"/>
        <v>1st Shift</v>
      </c>
    </row>
    <row r="5223" spans="1:11" x14ac:dyDescent="0.25">
      <c r="A5223" s="1">
        <v>5222</v>
      </c>
      <c r="B5223" s="1">
        <v>12</v>
      </c>
      <c r="C5223" s="3">
        <v>12115271562118</v>
      </c>
      <c r="D5223" s="2">
        <v>44727.427083333336</v>
      </c>
      <c r="E5223" s="2">
        <v>44727.461805555555</v>
      </c>
      <c r="F5223" s="23">
        <f t="shared" si="243"/>
        <v>3.4722222218988463E-2</v>
      </c>
      <c r="G5223" s="24">
        <f t="shared" si="245"/>
        <v>360.00000003352761</v>
      </c>
      <c r="H5223" s="1" t="s">
        <v>1</v>
      </c>
      <c r="I5223" s="4" t="s">
        <v>3</v>
      </c>
      <c r="J5223" s="14">
        <v>0.42708333333333331</v>
      </c>
      <c r="K5223" s="20" t="str">
        <f t="shared" si="244"/>
        <v>1st Shift</v>
      </c>
    </row>
    <row r="5224" spans="1:11" x14ac:dyDescent="0.25">
      <c r="A5224" s="1">
        <v>5223</v>
      </c>
      <c r="B5224" s="1">
        <v>12</v>
      </c>
      <c r="C5224" s="3">
        <v>12115271562116</v>
      </c>
      <c r="D5224" s="2">
        <v>44727.427083333336</v>
      </c>
      <c r="E5224" s="2">
        <v>44727.461805555555</v>
      </c>
      <c r="F5224" s="23">
        <f t="shared" si="243"/>
        <v>3.4722222218988463E-2</v>
      </c>
      <c r="G5224" s="24">
        <f t="shared" si="245"/>
        <v>360.00000003352761</v>
      </c>
      <c r="H5224" s="1" t="s">
        <v>1</v>
      </c>
      <c r="I5224" s="4" t="s">
        <v>2</v>
      </c>
      <c r="J5224" s="14">
        <v>0.42708333333333331</v>
      </c>
      <c r="K5224" s="20" t="str">
        <f t="shared" si="244"/>
        <v>1st Shift</v>
      </c>
    </row>
    <row r="5225" spans="1:11" x14ac:dyDescent="0.25">
      <c r="A5225" s="1">
        <v>5224</v>
      </c>
      <c r="B5225" s="1">
        <v>15</v>
      </c>
      <c r="C5225" s="3">
        <v>15115271747205</v>
      </c>
      <c r="D5225" s="2">
        <v>44727.510416666664</v>
      </c>
      <c r="E5225" s="2">
        <v>44727.586805555555</v>
      </c>
      <c r="F5225" s="23">
        <f t="shared" si="243"/>
        <v>7.6388888890505768E-2</v>
      </c>
      <c r="G5225" s="24">
        <f t="shared" si="245"/>
        <v>163.63636363290004</v>
      </c>
      <c r="H5225" s="1" t="s">
        <v>1</v>
      </c>
      <c r="I5225" s="4" t="s">
        <v>2</v>
      </c>
      <c r="J5225" s="14">
        <v>0.51041666666666663</v>
      </c>
      <c r="K5225" s="20" t="str">
        <f t="shared" si="244"/>
        <v>1st Shift</v>
      </c>
    </row>
    <row r="5226" spans="1:11" x14ac:dyDescent="0.25">
      <c r="A5226" s="1">
        <v>5225</v>
      </c>
      <c r="B5226" s="1">
        <v>15</v>
      </c>
      <c r="C5226" s="3">
        <v>15115271747200</v>
      </c>
      <c r="D5226" s="2">
        <v>44727.510416666664</v>
      </c>
      <c r="E5226" s="2">
        <v>44727.586805555555</v>
      </c>
      <c r="F5226" s="23">
        <f t="shared" si="243"/>
        <v>7.6388888890505768E-2</v>
      </c>
      <c r="G5226" s="24">
        <f t="shared" si="245"/>
        <v>163.63636363290004</v>
      </c>
      <c r="H5226" s="1" t="s">
        <v>1</v>
      </c>
      <c r="I5226" s="4" t="s">
        <v>2</v>
      </c>
      <c r="J5226" s="14">
        <v>0.51041666666666663</v>
      </c>
      <c r="K5226" s="20" t="str">
        <f t="shared" si="244"/>
        <v>1st Shift</v>
      </c>
    </row>
    <row r="5227" spans="1:11" x14ac:dyDescent="0.25">
      <c r="A5227" s="1">
        <v>5226</v>
      </c>
      <c r="B5227" s="1">
        <v>7</v>
      </c>
      <c r="C5227" s="3">
        <v>7115271792406</v>
      </c>
      <c r="D5227" s="2">
        <v>44727.510416666664</v>
      </c>
      <c r="E5227" s="2">
        <v>44727.586805555555</v>
      </c>
      <c r="F5227" s="23">
        <f t="shared" si="243"/>
        <v>7.6388888890505768E-2</v>
      </c>
      <c r="G5227" s="24">
        <f t="shared" si="245"/>
        <v>163.63636363290004</v>
      </c>
      <c r="H5227" s="1" t="s">
        <v>1</v>
      </c>
      <c r="I5227" s="4" t="s">
        <v>2</v>
      </c>
      <c r="J5227" s="14">
        <v>0.51041666666666663</v>
      </c>
      <c r="K5227" s="20" t="str">
        <f t="shared" si="244"/>
        <v>1st Shift</v>
      </c>
    </row>
    <row r="5228" spans="1:11" x14ac:dyDescent="0.25">
      <c r="A5228" s="1">
        <v>5227</v>
      </c>
      <c r="B5228" s="1">
        <v>7</v>
      </c>
      <c r="C5228" s="3">
        <v>7115271792406</v>
      </c>
      <c r="D5228" s="2">
        <v>44727.510416666664</v>
      </c>
      <c r="E5228" s="2">
        <v>44727.586805555555</v>
      </c>
      <c r="F5228" s="23">
        <f t="shared" si="243"/>
        <v>7.6388888890505768E-2</v>
      </c>
      <c r="G5228" s="24">
        <f t="shared" si="245"/>
        <v>163.63636363290004</v>
      </c>
      <c r="H5228" s="1" t="s">
        <v>1</v>
      </c>
      <c r="I5228" s="4" t="s">
        <v>4</v>
      </c>
      <c r="J5228" s="14">
        <v>0.51041666666666663</v>
      </c>
      <c r="K5228" s="20" t="str">
        <f t="shared" si="244"/>
        <v>1st Shift</v>
      </c>
    </row>
    <row r="5229" spans="1:11" x14ac:dyDescent="0.25">
      <c r="A5229" s="1">
        <v>5228</v>
      </c>
      <c r="B5229" s="1">
        <v>1</v>
      </c>
      <c r="C5229" s="3">
        <v>1115270064107</v>
      </c>
      <c r="D5229" s="2">
        <v>44727.427083333336</v>
      </c>
      <c r="E5229" s="2">
        <v>44727.586805555555</v>
      </c>
      <c r="F5229" s="23">
        <f t="shared" si="243"/>
        <v>0.15972222221898846</v>
      </c>
      <c r="G5229" s="24">
        <f t="shared" si="245"/>
        <v>78.260869566801873</v>
      </c>
      <c r="H5229" s="1" t="s">
        <v>1</v>
      </c>
      <c r="I5229" s="4" t="s">
        <v>2</v>
      </c>
      <c r="J5229" s="14">
        <v>0.42708333333333331</v>
      </c>
      <c r="K5229" s="20" t="str">
        <f t="shared" si="244"/>
        <v>1st Shift</v>
      </c>
    </row>
    <row r="5230" spans="1:11" x14ac:dyDescent="0.25">
      <c r="A5230" s="1">
        <v>5229</v>
      </c>
      <c r="B5230" s="1">
        <v>1</v>
      </c>
      <c r="C5230" s="3">
        <v>1115270064100</v>
      </c>
      <c r="D5230" s="2">
        <v>44727.427083333336</v>
      </c>
      <c r="E5230" s="2">
        <v>44727.586805555555</v>
      </c>
      <c r="F5230" s="23">
        <f t="shared" si="243"/>
        <v>0.15972222221898846</v>
      </c>
      <c r="G5230" s="24">
        <f t="shared" si="245"/>
        <v>78.260869566801873</v>
      </c>
      <c r="H5230" s="1" t="s">
        <v>1</v>
      </c>
      <c r="I5230" s="4" t="s">
        <v>3</v>
      </c>
      <c r="J5230" s="14">
        <v>0.42708333333333331</v>
      </c>
      <c r="K5230" s="20" t="str">
        <f t="shared" si="244"/>
        <v>1st Shift</v>
      </c>
    </row>
    <row r="5231" spans="1:11" x14ac:dyDescent="0.25">
      <c r="A5231" s="1">
        <v>5230</v>
      </c>
      <c r="B5231" s="1">
        <v>14</v>
      </c>
      <c r="C5231" s="3">
        <v>14115271685700</v>
      </c>
      <c r="D5231" s="2">
        <v>44727.847916666666</v>
      </c>
      <c r="E5231" s="2">
        <v>44727.941666666666</v>
      </c>
      <c r="F5231" s="23">
        <f t="shared" si="243"/>
        <v>9.375E-2</v>
      </c>
      <c r="G5231" s="24">
        <f t="shared" si="245"/>
        <v>133.33333333333331</v>
      </c>
      <c r="H5231" s="1" t="s">
        <v>1</v>
      </c>
      <c r="I5231" s="4" t="s">
        <v>2</v>
      </c>
      <c r="J5231" s="14">
        <v>0.84791666666666665</v>
      </c>
      <c r="K5231" s="20" t="str">
        <f t="shared" si="244"/>
        <v>2nd Shift</v>
      </c>
    </row>
    <row r="5232" spans="1:11" x14ac:dyDescent="0.25">
      <c r="A5232" s="1">
        <v>5231</v>
      </c>
      <c r="B5232" s="1">
        <v>13</v>
      </c>
      <c r="C5232" s="3">
        <v>13115271656308</v>
      </c>
      <c r="D5232" s="2">
        <v>44727.753472222219</v>
      </c>
      <c r="E5232" s="2">
        <v>44727.941666666666</v>
      </c>
      <c r="F5232" s="23">
        <f t="shared" si="243"/>
        <v>0.18819444444670808</v>
      </c>
      <c r="G5232" s="24">
        <f t="shared" si="245"/>
        <v>66.420664205843153</v>
      </c>
      <c r="H5232" s="1" t="s">
        <v>1</v>
      </c>
      <c r="I5232" s="4" t="s">
        <v>2</v>
      </c>
      <c r="J5232" s="14">
        <v>0.75347222222222221</v>
      </c>
      <c r="K5232" s="20" t="str">
        <f t="shared" si="244"/>
        <v>2nd Shift</v>
      </c>
    </row>
    <row r="5233" spans="1:11" x14ac:dyDescent="0.25">
      <c r="A5233" s="1">
        <v>5232</v>
      </c>
      <c r="B5233" s="1">
        <v>12</v>
      </c>
      <c r="C5233" s="3">
        <v>12115271581001</v>
      </c>
      <c r="D5233" s="2">
        <v>44727.730555555558</v>
      </c>
      <c r="E5233" s="2">
        <v>44727.941666666666</v>
      </c>
      <c r="F5233" s="23">
        <f t="shared" si="243"/>
        <v>0.21111111110803904</v>
      </c>
      <c r="G5233" s="24">
        <f t="shared" si="245"/>
        <v>59.210526316651105</v>
      </c>
      <c r="H5233" s="1" t="s">
        <v>1</v>
      </c>
      <c r="I5233" s="4" t="s">
        <v>2</v>
      </c>
      <c r="J5233" s="14">
        <v>0.73055555555555551</v>
      </c>
      <c r="K5233" s="20" t="str">
        <f t="shared" si="244"/>
        <v>2nd Shift</v>
      </c>
    </row>
    <row r="5234" spans="1:11" x14ac:dyDescent="0.25">
      <c r="A5234" s="1">
        <v>5233</v>
      </c>
      <c r="B5234" s="1">
        <v>11</v>
      </c>
      <c r="C5234" s="3">
        <v>11115271543300</v>
      </c>
      <c r="D5234" s="2">
        <v>44727.847916666666</v>
      </c>
      <c r="E5234" s="2">
        <v>44727.941666666666</v>
      </c>
      <c r="F5234" s="23">
        <f t="shared" si="243"/>
        <v>9.375E-2</v>
      </c>
      <c r="G5234" s="24">
        <f t="shared" si="245"/>
        <v>133.33333333333331</v>
      </c>
      <c r="H5234" s="1" t="s">
        <v>1</v>
      </c>
      <c r="I5234" s="4" t="s">
        <v>2</v>
      </c>
      <c r="J5234" s="14">
        <v>0.84791666666666665</v>
      </c>
      <c r="K5234" s="20" t="str">
        <f t="shared" si="244"/>
        <v>2nd Shift</v>
      </c>
    </row>
    <row r="5235" spans="1:11" x14ac:dyDescent="0.25">
      <c r="A5235" s="1">
        <v>5234</v>
      </c>
      <c r="B5235" s="1">
        <v>10</v>
      </c>
      <c r="C5235" s="3">
        <v>10115271433700</v>
      </c>
      <c r="D5235" s="2">
        <v>44727.730555555558</v>
      </c>
      <c r="E5235" s="2">
        <v>44727.941666666666</v>
      </c>
      <c r="F5235" s="23">
        <f t="shared" si="243"/>
        <v>0.21111111110803904</v>
      </c>
      <c r="G5235" s="24">
        <f t="shared" si="245"/>
        <v>59.210526316651105</v>
      </c>
      <c r="H5235" s="1" t="s">
        <v>1</v>
      </c>
      <c r="I5235" s="4" t="s">
        <v>3</v>
      </c>
      <c r="J5235" s="14">
        <v>0.73055555555555551</v>
      </c>
      <c r="K5235" s="20" t="str">
        <f t="shared" si="244"/>
        <v>2nd Shift</v>
      </c>
    </row>
    <row r="5236" spans="1:11" x14ac:dyDescent="0.25">
      <c r="A5236" s="1">
        <v>5235</v>
      </c>
      <c r="B5236" s="1">
        <v>7</v>
      </c>
      <c r="C5236" s="3">
        <v>7115271804620</v>
      </c>
      <c r="D5236" s="2">
        <v>44727.652777777781</v>
      </c>
      <c r="E5236" s="2">
        <v>44727.941666666666</v>
      </c>
      <c r="F5236" s="23">
        <f t="shared" si="243"/>
        <v>0.288888888884685</v>
      </c>
      <c r="G5236" s="24">
        <f t="shared" si="245"/>
        <v>43.269230769860414</v>
      </c>
      <c r="H5236" s="1" t="s">
        <v>1</v>
      </c>
      <c r="I5236" s="4" t="s">
        <v>2</v>
      </c>
      <c r="J5236" s="14">
        <v>0.65277777777777779</v>
      </c>
      <c r="K5236" s="20" t="str">
        <f t="shared" si="244"/>
        <v>2nd Shift</v>
      </c>
    </row>
    <row r="5237" spans="1:11" x14ac:dyDescent="0.25">
      <c r="A5237" s="1">
        <v>5236</v>
      </c>
      <c r="B5237" s="1">
        <v>7</v>
      </c>
      <c r="C5237" s="3">
        <v>7115271787804</v>
      </c>
      <c r="D5237" s="2">
        <v>44727.847916666666</v>
      </c>
      <c r="E5237" s="2">
        <v>44727.941666666666</v>
      </c>
      <c r="F5237" s="23">
        <f t="shared" si="243"/>
        <v>9.375E-2</v>
      </c>
      <c r="G5237" s="24">
        <f t="shared" si="245"/>
        <v>133.33333333333331</v>
      </c>
      <c r="H5237" s="1" t="s">
        <v>1</v>
      </c>
      <c r="I5237" s="4" t="s">
        <v>2</v>
      </c>
      <c r="J5237" s="14">
        <v>0.84791666666666665</v>
      </c>
      <c r="K5237" s="20" t="str">
        <f t="shared" si="244"/>
        <v>2nd Shift</v>
      </c>
    </row>
    <row r="5238" spans="1:11" x14ac:dyDescent="0.25">
      <c r="A5238" s="1">
        <v>5237</v>
      </c>
      <c r="B5238" s="1">
        <v>5</v>
      </c>
      <c r="C5238" s="3">
        <v>5115271238900</v>
      </c>
      <c r="D5238" s="2">
        <v>44727.847916666666</v>
      </c>
      <c r="E5238" s="2">
        <v>44727.941666666666</v>
      </c>
      <c r="F5238" s="23">
        <f t="shared" si="243"/>
        <v>9.375E-2</v>
      </c>
      <c r="G5238" s="24">
        <f t="shared" si="245"/>
        <v>133.33333333333331</v>
      </c>
      <c r="H5238" s="1" t="s">
        <v>1</v>
      </c>
      <c r="I5238" s="4" t="s">
        <v>2</v>
      </c>
      <c r="J5238" s="14">
        <v>0.84791666666666665</v>
      </c>
      <c r="K5238" s="20" t="str">
        <f t="shared" si="244"/>
        <v>2nd Shift</v>
      </c>
    </row>
    <row r="5239" spans="1:11" x14ac:dyDescent="0.25">
      <c r="A5239" s="1">
        <v>5238</v>
      </c>
      <c r="B5239" s="1">
        <v>11</v>
      </c>
      <c r="C5239" s="3">
        <v>11115271547304</v>
      </c>
      <c r="D5239" s="2">
        <v>44727.986111111109</v>
      </c>
      <c r="E5239" s="2">
        <v>44728.152777777781</v>
      </c>
      <c r="F5239" s="23">
        <f t="shared" si="243"/>
        <v>0.16666666667151731</v>
      </c>
      <c r="G5239" s="24">
        <f t="shared" si="245"/>
        <v>74.999999997817213</v>
      </c>
      <c r="H5239" s="1" t="s">
        <v>1</v>
      </c>
      <c r="I5239" s="4" t="s">
        <v>2</v>
      </c>
      <c r="J5239" s="14">
        <v>0.98611111111111116</v>
      </c>
      <c r="K5239" s="20" t="str">
        <f t="shared" si="244"/>
        <v>3rd Shift</v>
      </c>
    </row>
    <row r="5240" spans="1:11" x14ac:dyDescent="0.25">
      <c r="A5240" s="1">
        <v>5239</v>
      </c>
      <c r="B5240" s="1">
        <v>6</v>
      </c>
      <c r="C5240" s="3">
        <v>6115271741600</v>
      </c>
      <c r="D5240" s="2">
        <v>44727.986111111109</v>
      </c>
      <c r="E5240" s="2">
        <v>44728.152777777781</v>
      </c>
      <c r="F5240" s="23">
        <f t="shared" si="243"/>
        <v>0.16666666667151731</v>
      </c>
      <c r="G5240" s="24">
        <f t="shared" si="245"/>
        <v>74.999999997817213</v>
      </c>
      <c r="H5240" s="1" t="s">
        <v>1</v>
      </c>
      <c r="I5240" s="4" t="s">
        <v>2</v>
      </c>
      <c r="J5240" s="14">
        <v>0.98611111111111116</v>
      </c>
      <c r="K5240" s="20" t="str">
        <f t="shared" si="244"/>
        <v>3rd Shift</v>
      </c>
    </row>
    <row r="5241" spans="1:11" x14ac:dyDescent="0.25">
      <c r="A5241" s="1">
        <v>5240</v>
      </c>
      <c r="B5241" s="1">
        <v>6</v>
      </c>
      <c r="C5241" s="3">
        <v>6115271733601</v>
      </c>
      <c r="D5241" s="2">
        <v>44727.986111111109</v>
      </c>
      <c r="E5241" s="2">
        <v>44728.152777777781</v>
      </c>
      <c r="F5241" s="23">
        <f t="shared" si="243"/>
        <v>0.16666666667151731</v>
      </c>
      <c r="G5241" s="24">
        <f t="shared" si="245"/>
        <v>74.999999997817213</v>
      </c>
      <c r="H5241" s="1" t="s">
        <v>1</v>
      </c>
      <c r="I5241" s="4" t="s">
        <v>3</v>
      </c>
      <c r="J5241" s="14">
        <v>0.98611111111111116</v>
      </c>
      <c r="K5241" s="20" t="str">
        <f t="shared" si="244"/>
        <v>3rd Shift</v>
      </c>
    </row>
    <row r="5242" spans="1:11" x14ac:dyDescent="0.25">
      <c r="A5242" s="1">
        <v>5241</v>
      </c>
      <c r="B5242" s="1">
        <v>3</v>
      </c>
      <c r="C5242" s="3">
        <v>3115270336500</v>
      </c>
      <c r="D5242" s="2">
        <v>44727.986111111109</v>
      </c>
      <c r="E5242" s="2">
        <v>44728.152777777781</v>
      </c>
      <c r="F5242" s="23">
        <f t="shared" si="243"/>
        <v>0.16666666667151731</v>
      </c>
      <c r="G5242" s="24">
        <f t="shared" si="245"/>
        <v>74.999999997817213</v>
      </c>
      <c r="H5242" s="1" t="s">
        <v>1</v>
      </c>
      <c r="I5242" s="4" t="s">
        <v>2</v>
      </c>
      <c r="J5242" s="14">
        <v>0.98611111111111116</v>
      </c>
      <c r="K5242" s="20" t="str">
        <f t="shared" si="244"/>
        <v>3rd Shift</v>
      </c>
    </row>
    <row r="5243" spans="1:11" x14ac:dyDescent="0.25">
      <c r="A5243" s="1">
        <v>5242</v>
      </c>
      <c r="B5243" s="1">
        <v>12</v>
      </c>
      <c r="C5243" s="3">
        <v>12115271569906</v>
      </c>
      <c r="D5243" s="2">
        <v>44728.1875</v>
      </c>
      <c r="E5243" s="2">
        <v>44728.256944444445</v>
      </c>
      <c r="F5243" s="23">
        <f t="shared" si="243"/>
        <v>6.9444444445252884E-2</v>
      </c>
      <c r="G5243" s="24">
        <f t="shared" si="245"/>
        <v>179.99999999790452</v>
      </c>
      <c r="H5243" s="1" t="s">
        <v>1</v>
      </c>
      <c r="I5243" s="4" t="s">
        <v>2</v>
      </c>
      <c r="J5243" s="14">
        <v>0.1875</v>
      </c>
      <c r="K5243" s="20" t="str">
        <f t="shared" si="244"/>
        <v>3rd Shift</v>
      </c>
    </row>
    <row r="5244" spans="1:11" x14ac:dyDescent="0.25">
      <c r="A5244" s="1">
        <v>5243</v>
      </c>
      <c r="B5244" s="1">
        <v>12</v>
      </c>
      <c r="C5244" s="3">
        <v>12115271569902</v>
      </c>
      <c r="D5244" s="2">
        <v>44728.1875</v>
      </c>
      <c r="E5244" s="2">
        <v>44728.256944444445</v>
      </c>
      <c r="F5244" s="23">
        <f t="shared" si="243"/>
        <v>6.9444444445252884E-2</v>
      </c>
      <c r="G5244" s="24">
        <f t="shared" si="245"/>
        <v>179.99999999790452</v>
      </c>
      <c r="H5244" s="1" t="s">
        <v>1</v>
      </c>
      <c r="I5244" s="4" t="s">
        <v>8</v>
      </c>
      <c r="J5244" s="14">
        <v>0.1875</v>
      </c>
      <c r="K5244" s="20" t="str">
        <f t="shared" si="244"/>
        <v>3rd Shift</v>
      </c>
    </row>
    <row r="5245" spans="1:11" x14ac:dyDescent="0.25">
      <c r="A5245" s="1">
        <v>5244</v>
      </c>
      <c r="B5245" s="1">
        <v>12</v>
      </c>
      <c r="C5245" s="3">
        <v>12115271569901</v>
      </c>
      <c r="D5245" s="2">
        <v>44728.1875</v>
      </c>
      <c r="E5245" s="2">
        <v>44728.256944444445</v>
      </c>
      <c r="F5245" s="23">
        <f t="shared" si="243"/>
        <v>6.9444444445252884E-2</v>
      </c>
      <c r="G5245" s="24">
        <f t="shared" si="245"/>
        <v>179.99999999790452</v>
      </c>
      <c r="H5245" s="1" t="s">
        <v>1</v>
      </c>
      <c r="I5245" s="4" t="s">
        <v>2</v>
      </c>
      <c r="J5245" s="14">
        <v>0.1875</v>
      </c>
      <c r="K5245" s="20" t="str">
        <f t="shared" si="244"/>
        <v>3rd Shift</v>
      </c>
    </row>
    <row r="5246" spans="1:11" x14ac:dyDescent="0.25">
      <c r="A5246" s="1">
        <v>5245</v>
      </c>
      <c r="B5246" s="1">
        <v>1</v>
      </c>
      <c r="C5246" s="3">
        <v>1115270019209</v>
      </c>
      <c r="D5246" s="2">
        <v>44728.1875</v>
      </c>
      <c r="E5246" s="2">
        <v>44728.256944444445</v>
      </c>
      <c r="F5246" s="23">
        <f t="shared" si="243"/>
        <v>6.9444444445252884E-2</v>
      </c>
      <c r="G5246" s="24">
        <f t="shared" si="245"/>
        <v>179.99999999790452</v>
      </c>
      <c r="H5246" s="1" t="s">
        <v>1</v>
      </c>
      <c r="I5246" s="4" t="s">
        <v>3</v>
      </c>
      <c r="J5246" s="14">
        <v>0.1875</v>
      </c>
      <c r="K5246" s="20" t="str">
        <f t="shared" si="244"/>
        <v>3rd Shift</v>
      </c>
    </row>
    <row r="5247" spans="1:11" x14ac:dyDescent="0.25">
      <c r="A5247" s="1">
        <v>5246</v>
      </c>
      <c r="B5247" s="1">
        <v>1</v>
      </c>
      <c r="C5247" s="3">
        <v>1115270019201</v>
      </c>
      <c r="D5247" s="2">
        <v>44728.1875</v>
      </c>
      <c r="E5247" s="2">
        <v>44728.256944444445</v>
      </c>
      <c r="F5247" s="23">
        <f t="shared" si="243"/>
        <v>6.9444444445252884E-2</v>
      </c>
      <c r="G5247" s="24">
        <f t="shared" si="245"/>
        <v>179.99999999790452</v>
      </c>
      <c r="H5247" s="1" t="s">
        <v>1</v>
      </c>
      <c r="I5247" s="4" t="s">
        <v>2</v>
      </c>
      <c r="J5247" s="14">
        <v>0.1875</v>
      </c>
      <c r="K5247" s="20" t="str">
        <f t="shared" si="244"/>
        <v>3rd Shift</v>
      </c>
    </row>
    <row r="5248" spans="1:11" x14ac:dyDescent="0.25">
      <c r="A5248" s="1">
        <v>5247</v>
      </c>
      <c r="B5248" s="1">
        <v>1</v>
      </c>
      <c r="C5248" s="3">
        <v>1115270019200</v>
      </c>
      <c r="D5248" s="2">
        <v>44728.1875</v>
      </c>
      <c r="E5248" s="2">
        <v>44728.256944444445</v>
      </c>
      <c r="F5248" s="23">
        <f t="shared" si="243"/>
        <v>6.9444444445252884E-2</v>
      </c>
      <c r="G5248" s="24">
        <f t="shared" si="245"/>
        <v>179.99999999790452</v>
      </c>
      <c r="H5248" s="1" t="s">
        <v>1</v>
      </c>
      <c r="I5248" s="4" t="s">
        <v>2</v>
      </c>
      <c r="J5248" s="14">
        <v>0.1875</v>
      </c>
      <c r="K5248" s="20" t="str">
        <f t="shared" si="244"/>
        <v>3rd Shift</v>
      </c>
    </row>
    <row r="5249" spans="1:11" x14ac:dyDescent="0.25">
      <c r="A5249" s="1">
        <v>5248</v>
      </c>
      <c r="B5249" s="1">
        <v>13</v>
      </c>
      <c r="C5249" s="3">
        <v>13115271617702</v>
      </c>
      <c r="D5249" s="2">
        <v>44728.527777777781</v>
      </c>
      <c r="E5249" s="2">
        <v>44728.576388888891</v>
      </c>
      <c r="F5249" s="23">
        <f t="shared" si="243"/>
        <v>4.8611111109494232E-2</v>
      </c>
      <c r="G5249" s="24">
        <f t="shared" si="245"/>
        <v>257.14285715141011</v>
      </c>
      <c r="H5249" s="1" t="s">
        <v>1</v>
      </c>
      <c r="I5249" s="4" t="s">
        <v>4</v>
      </c>
      <c r="J5249" s="14">
        <v>0.52777777777777779</v>
      </c>
      <c r="K5249" s="20" t="str">
        <f t="shared" si="244"/>
        <v>1st Shift</v>
      </c>
    </row>
    <row r="5250" spans="1:11" x14ac:dyDescent="0.25">
      <c r="A5250" s="1">
        <v>5249</v>
      </c>
      <c r="B5250" s="1">
        <v>13</v>
      </c>
      <c r="C5250" s="3">
        <v>13115271617701</v>
      </c>
      <c r="D5250" s="2">
        <v>44728.527777777781</v>
      </c>
      <c r="E5250" s="2">
        <v>44728.576388888891</v>
      </c>
      <c r="F5250" s="23">
        <f t="shared" ref="F5250:F5313" si="246">E5250-D5250</f>
        <v>4.8611111109494232E-2</v>
      </c>
      <c r="G5250" s="24">
        <f t="shared" si="245"/>
        <v>257.14285715141011</v>
      </c>
      <c r="H5250" s="1" t="s">
        <v>1</v>
      </c>
      <c r="I5250" s="4" t="s">
        <v>2</v>
      </c>
      <c r="J5250" s="14">
        <v>0.52777777777777779</v>
      </c>
      <c r="K5250" s="20" t="str">
        <f t="shared" ref="K5250:K5313" si="247">IF(AND(J5250&gt;=$M$3,J5250&lt;$M$4),"1st Shift",IF(AND(J5250&gt;=$M$4,J5250&lt;$M$5),"2nd Shift","3rd Shift"))</f>
        <v>1st Shift</v>
      </c>
    </row>
    <row r="5251" spans="1:11" x14ac:dyDescent="0.25">
      <c r="A5251" s="1">
        <v>5250</v>
      </c>
      <c r="B5251" s="1">
        <v>11</v>
      </c>
      <c r="C5251" s="3">
        <v>11115271557909</v>
      </c>
      <c r="D5251" s="2">
        <v>44728.388888888891</v>
      </c>
      <c r="E5251" s="2">
        <v>44728.576388888891</v>
      </c>
      <c r="F5251" s="23">
        <f t="shared" si="246"/>
        <v>0.1875</v>
      </c>
      <c r="G5251" s="24">
        <f t="shared" ref="G5251:G5314" si="248">$M$9/F5251*100</f>
        <v>66.666666666666657</v>
      </c>
      <c r="H5251" s="1" t="s">
        <v>1</v>
      </c>
      <c r="I5251" s="4" t="s">
        <v>2</v>
      </c>
      <c r="J5251" s="14">
        <v>0.3888888888888889</v>
      </c>
      <c r="K5251" s="20" t="str">
        <f t="shared" si="247"/>
        <v>1st Shift</v>
      </c>
    </row>
    <row r="5252" spans="1:11" x14ac:dyDescent="0.25">
      <c r="A5252" s="1">
        <v>5251</v>
      </c>
      <c r="B5252" s="1">
        <v>11</v>
      </c>
      <c r="C5252" s="3">
        <v>11115271557900</v>
      </c>
      <c r="D5252" s="2">
        <v>44728.388888888891</v>
      </c>
      <c r="E5252" s="2">
        <v>44728.576388888891</v>
      </c>
      <c r="F5252" s="23">
        <f t="shared" si="246"/>
        <v>0.1875</v>
      </c>
      <c r="G5252" s="24">
        <f t="shared" si="248"/>
        <v>66.666666666666657</v>
      </c>
      <c r="H5252" s="1" t="s">
        <v>1</v>
      </c>
      <c r="I5252" s="4" t="s">
        <v>2</v>
      </c>
      <c r="J5252" s="14">
        <v>0.3888888888888889</v>
      </c>
      <c r="K5252" s="20" t="str">
        <f t="shared" si="247"/>
        <v>1st Shift</v>
      </c>
    </row>
    <row r="5253" spans="1:11" x14ac:dyDescent="0.25">
      <c r="A5253" s="1">
        <v>5252</v>
      </c>
      <c r="B5253" s="1">
        <v>7</v>
      </c>
      <c r="C5253" s="3">
        <v>7115271758708</v>
      </c>
      <c r="D5253" s="2">
        <v>44728.388888888891</v>
      </c>
      <c r="E5253" s="2">
        <v>44728.576388888891</v>
      </c>
      <c r="F5253" s="23">
        <f t="shared" si="246"/>
        <v>0.1875</v>
      </c>
      <c r="G5253" s="24">
        <f t="shared" si="248"/>
        <v>66.666666666666657</v>
      </c>
      <c r="H5253" s="1" t="s">
        <v>1</v>
      </c>
      <c r="I5253" s="4" t="s">
        <v>2</v>
      </c>
      <c r="J5253" s="14">
        <v>0.3888888888888889</v>
      </c>
      <c r="K5253" s="20" t="str">
        <f t="shared" si="247"/>
        <v>1st Shift</v>
      </c>
    </row>
    <row r="5254" spans="1:11" x14ac:dyDescent="0.25">
      <c r="A5254" s="1">
        <v>5253</v>
      </c>
      <c r="B5254" s="1">
        <v>7</v>
      </c>
      <c r="C5254" s="3">
        <v>7115271758703</v>
      </c>
      <c r="D5254" s="2">
        <v>44728.388888888891</v>
      </c>
      <c r="E5254" s="2">
        <v>44728.576388888891</v>
      </c>
      <c r="F5254" s="23">
        <f t="shared" si="246"/>
        <v>0.1875</v>
      </c>
      <c r="G5254" s="24">
        <f t="shared" si="248"/>
        <v>66.666666666666657</v>
      </c>
      <c r="H5254" s="1" t="s">
        <v>1</v>
      </c>
      <c r="I5254" s="4" t="s">
        <v>3</v>
      </c>
      <c r="J5254" s="14">
        <v>0.3888888888888889</v>
      </c>
      <c r="K5254" s="20" t="str">
        <f t="shared" si="247"/>
        <v>1st Shift</v>
      </c>
    </row>
    <row r="5255" spans="1:11" x14ac:dyDescent="0.25">
      <c r="A5255" s="1">
        <v>5254</v>
      </c>
      <c r="B5255" s="1">
        <v>7</v>
      </c>
      <c r="C5255" s="3">
        <v>7115271758702</v>
      </c>
      <c r="D5255" s="2">
        <v>44728.388888888891</v>
      </c>
      <c r="E5255" s="2">
        <v>44728.576388888891</v>
      </c>
      <c r="F5255" s="23">
        <f t="shared" si="246"/>
        <v>0.1875</v>
      </c>
      <c r="G5255" s="24">
        <f t="shared" si="248"/>
        <v>66.666666666666657</v>
      </c>
      <c r="H5255" s="1" t="s">
        <v>1</v>
      </c>
      <c r="I5255" s="4" t="s">
        <v>2</v>
      </c>
      <c r="J5255" s="14">
        <v>0.3888888888888889</v>
      </c>
      <c r="K5255" s="20" t="str">
        <f t="shared" si="247"/>
        <v>1st Shift</v>
      </c>
    </row>
    <row r="5256" spans="1:11" x14ac:dyDescent="0.25">
      <c r="A5256" s="1">
        <v>5255</v>
      </c>
      <c r="B5256" s="1">
        <v>1</v>
      </c>
      <c r="C5256" s="3">
        <v>1115270087304</v>
      </c>
      <c r="D5256" s="2">
        <v>44728.536111111112</v>
      </c>
      <c r="E5256" s="2">
        <v>44728.576388888891</v>
      </c>
      <c r="F5256" s="23">
        <f t="shared" si="246"/>
        <v>4.0277777778101154E-2</v>
      </c>
      <c r="G5256" s="24">
        <f t="shared" si="248"/>
        <v>310.34482758371524</v>
      </c>
      <c r="H5256" s="1" t="s">
        <v>1</v>
      </c>
      <c r="I5256" s="4" t="s">
        <v>2</v>
      </c>
      <c r="J5256" s="14">
        <v>0.53611111111111109</v>
      </c>
      <c r="K5256" s="20" t="str">
        <f t="shared" si="247"/>
        <v>1st Shift</v>
      </c>
    </row>
    <row r="5257" spans="1:11" x14ac:dyDescent="0.25">
      <c r="A5257" s="1">
        <v>5256</v>
      </c>
      <c r="B5257" s="1">
        <v>1</v>
      </c>
      <c r="C5257" s="3">
        <v>1115270087300</v>
      </c>
      <c r="D5257" s="2">
        <v>44728.536111111112</v>
      </c>
      <c r="E5257" s="2">
        <v>44728.576388888891</v>
      </c>
      <c r="F5257" s="23">
        <f t="shared" si="246"/>
        <v>4.0277777778101154E-2</v>
      </c>
      <c r="G5257" s="24">
        <f t="shared" si="248"/>
        <v>310.34482758371524</v>
      </c>
      <c r="H5257" s="1" t="s">
        <v>1</v>
      </c>
      <c r="I5257" s="4" t="s">
        <v>2</v>
      </c>
      <c r="J5257" s="14">
        <v>0.53611111111111109</v>
      </c>
      <c r="K5257" s="20" t="str">
        <f t="shared" si="247"/>
        <v>1st Shift</v>
      </c>
    </row>
    <row r="5258" spans="1:11" x14ac:dyDescent="0.25">
      <c r="A5258" s="1">
        <v>5257</v>
      </c>
      <c r="B5258" s="1">
        <v>12</v>
      </c>
      <c r="C5258" s="3">
        <v>12115271569919</v>
      </c>
      <c r="D5258" s="2">
        <v>44728.847222222219</v>
      </c>
      <c r="E5258" s="2">
        <v>44728.911111111112</v>
      </c>
      <c r="F5258" s="23">
        <f t="shared" si="246"/>
        <v>6.3888888893416151E-2</v>
      </c>
      <c r="G5258" s="24">
        <f t="shared" si="248"/>
        <v>195.65217389917927</v>
      </c>
      <c r="H5258" s="1" t="s">
        <v>1</v>
      </c>
      <c r="I5258" s="4" t="s">
        <v>2</v>
      </c>
      <c r="J5258" s="14">
        <v>0.84722222222222221</v>
      </c>
      <c r="K5258" s="20" t="str">
        <f t="shared" si="247"/>
        <v>2nd Shift</v>
      </c>
    </row>
    <row r="5259" spans="1:11" x14ac:dyDescent="0.25">
      <c r="A5259" s="1">
        <v>5258</v>
      </c>
      <c r="B5259" s="1">
        <v>12</v>
      </c>
      <c r="C5259" s="3">
        <v>12115271569917</v>
      </c>
      <c r="D5259" s="2">
        <v>44728.847222222219</v>
      </c>
      <c r="E5259" s="2">
        <v>44728.911111111112</v>
      </c>
      <c r="F5259" s="23">
        <f t="shared" si="246"/>
        <v>6.3888888893416151E-2</v>
      </c>
      <c r="G5259" s="24">
        <f t="shared" si="248"/>
        <v>195.65217389917927</v>
      </c>
      <c r="H5259" s="1" t="s">
        <v>1</v>
      </c>
      <c r="I5259" s="4" t="s">
        <v>2</v>
      </c>
      <c r="J5259" s="14">
        <v>0.84722222222222221</v>
      </c>
      <c r="K5259" s="20" t="str">
        <f t="shared" si="247"/>
        <v>2nd Shift</v>
      </c>
    </row>
    <row r="5260" spans="1:11" x14ac:dyDescent="0.25">
      <c r="A5260" s="1">
        <v>5259</v>
      </c>
      <c r="B5260" s="1">
        <v>12</v>
      </c>
      <c r="C5260" s="3">
        <v>12115271569910</v>
      </c>
      <c r="D5260" s="2">
        <v>44728.847222222219</v>
      </c>
      <c r="E5260" s="2">
        <v>44728.911111111112</v>
      </c>
      <c r="F5260" s="23">
        <f t="shared" si="246"/>
        <v>6.3888888893416151E-2</v>
      </c>
      <c r="G5260" s="24">
        <f t="shared" si="248"/>
        <v>195.65217389917927</v>
      </c>
      <c r="H5260" s="1" t="s">
        <v>1</v>
      </c>
      <c r="I5260" s="4" t="s">
        <v>4</v>
      </c>
      <c r="J5260" s="14">
        <v>0.84722222222222221</v>
      </c>
      <c r="K5260" s="20" t="str">
        <f t="shared" si="247"/>
        <v>2nd Shift</v>
      </c>
    </row>
    <row r="5261" spans="1:11" x14ac:dyDescent="0.25">
      <c r="A5261" s="1">
        <v>5260</v>
      </c>
      <c r="B5261" s="1">
        <v>11</v>
      </c>
      <c r="C5261" s="3">
        <v>11115271541206</v>
      </c>
      <c r="D5261" s="2">
        <v>44728.847222222219</v>
      </c>
      <c r="E5261" s="2">
        <v>44728.911111111112</v>
      </c>
      <c r="F5261" s="23">
        <f t="shared" si="246"/>
        <v>6.3888888893416151E-2</v>
      </c>
      <c r="G5261" s="24">
        <f t="shared" si="248"/>
        <v>195.65217389917927</v>
      </c>
      <c r="H5261" s="1" t="s">
        <v>1</v>
      </c>
      <c r="I5261" s="4" t="s">
        <v>3</v>
      </c>
      <c r="J5261" s="14">
        <v>0.84722222222222221</v>
      </c>
      <c r="K5261" s="20" t="str">
        <f t="shared" si="247"/>
        <v>2nd Shift</v>
      </c>
    </row>
    <row r="5262" spans="1:11" x14ac:dyDescent="0.25">
      <c r="A5262" s="1">
        <v>5261</v>
      </c>
      <c r="B5262" s="1">
        <v>11</v>
      </c>
      <c r="C5262" s="3">
        <v>11115271541206</v>
      </c>
      <c r="D5262" s="2">
        <v>44728.847222222219</v>
      </c>
      <c r="E5262" s="2">
        <v>44728.911111111112</v>
      </c>
      <c r="F5262" s="23">
        <f t="shared" si="246"/>
        <v>6.3888888893416151E-2</v>
      </c>
      <c r="G5262" s="24">
        <f t="shared" si="248"/>
        <v>195.65217389917927</v>
      </c>
      <c r="H5262" s="1" t="s">
        <v>1</v>
      </c>
      <c r="I5262" s="4" t="s">
        <v>5</v>
      </c>
      <c r="J5262" s="14">
        <v>0.84722222222222221</v>
      </c>
      <c r="K5262" s="20" t="str">
        <f t="shared" si="247"/>
        <v>2nd Shift</v>
      </c>
    </row>
    <row r="5263" spans="1:11" x14ac:dyDescent="0.25">
      <c r="A5263" s="1">
        <v>5262</v>
      </c>
      <c r="B5263" s="1">
        <v>11</v>
      </c>
      <c r="C5263" s="3">
        <v>11115271541201</v>
      </c>
      <c r="D5263" s="2">
        <v>44728.847222222219</v>
      </c>
      <c r="E5263" s="2">
        <v>44728.911111111112</v>
      </c>
      <c r="F5263" s="23">
        <f t="shared" si="246"/>
        <v>6.3888888893416151E-2</v>
      </c>
      <c r="G5263" s="24">
        <f t="shared" si="248"/>
        <v>195.65217389917927</v>
      </c>
      <c r="H5263" s="1" t="s">
        <v>1</v>
      </c>
      <c r="I5263" s="4" t="s">
        <v>2</v>
      </c>
      <c r="J5263" s="14">
        <v>0.84722222222222221</v>
      </c>
      <c r="K5263" s="20" t="str">
        <f t="shared" si="247"/>
        <v>2nd Shift</v>
      </c>
    </row>
    <row r="5264" spans="1:11" x14ac:dyDescent="0.25">
      <c r="A5264" s="1">
        <v>5263</v>
      </c>
      <c r="B5264" s="1">
        <v>10</v>
      </c>
      <c r="C5264" s="3">
        <v>10115271433909</v>
      </c>
      <c r="D5264" s="2">
        <v>44728.847222222219</v>
      </c>
      <c r="E5264" s="2">
        <v>44728.911111111112</v>
      </c>
      <c r="F5264" s="23">
        <f t="shared" si="246"/>
        <v>6.3888888893416151E-2</v>
      </c>
      <c r="G5264" s="24">
        <f t="shared" si="248"/>
        <v>195.65217389917927</v>
      </c>
      <c r="H5264" s="1" t="s">
        <v>1</v>
      </c>
      <c r="I5264" s="4" t="s">
        <v>2</v>
      </c>
      <c r="J5264" s="14">
        <v>0.84722222222222221</v>
      </c>
      <c r="K5264" s="20" t="str">
        <f t="shared" si="247"/>
        <v>2nd Shift</v>
      </c>
    </row>
    <row r="5265" spans="1:11" x14ac:dyDescent="0.25">
      <c r="A5265" s="1">
        <v>5264</v>
      </c>
      <c r="B5265" s="1">
        <v>10</v>
      </c>
      <c r="C5265" s="3">
        <v>10115271433900</v>
      </c>
      <c r="D5265" s="2">
        <v>44728.847222222219</v>
      </c>
      <c r="E5265" s="2">
        <v>44728.911111111112</v>
      </c>
      <c r="F5265" s="23">
        <f t="shared" si="246"/>
        <v>6.3888888893416151E-2</v>
      </c>
      <c r="G5265" s="24">
        <f t="shared" si="248"/>
        <v>195.65217389917927</v>
      </c>
      <c r="H5265" s="1" t="s">
        <v>1</v>
      </c>
      <c r="I5265" s="4" t="s">
        <v>2</v>
      </c>
      <c r="J5265" s="14">
        <v>0.84722222222222221</v>
      </c>
      <c r="K5265" s="20" t="str">
        <f t="shared" si="247"/>
        <v>2nd Shift</v>
      </c>
    </row>
    <row r="5266" spans="1:11" x14ac:dyDescent="0.25">
      <c r="A5266" s="1">
        <v>5265</v>
      </c>
      <c r="B5266" s="1">
        <v>13</v>
      </c>
      <c r="C5266" s="3">
        <v>13115271627409</v>
      </c>
      <c r="D5266" s="2">
        <v>44729.472222222219</v>
      </c>
      <c r="E5266" s="2">
        <v>44729.583333333336</v>
      </c>
      <c r="F5266" s="23">
        <f t="shared" si="246"/>
        <v>0.11111111111677019</v>
      </c>
      <c r="G5266" s="24">
        <f t="shared" si="248"/>
        <v>112.49999999427018</v>
      </c>
      <c r="H5266" s="1" t="s">
        <v>1</v>
      </c>
      <c r="I5266" s="4" t="s">
        <v>2</v>
      </c>
      <c r="J5266" s="14">
        <v>0.47222222222222221</v>
      </c>
      <c r="K5266" s="20" t="str">
        <f t="shared" si="247"/>
        <v>1st Shift</v>
      </c>
    </row>
    <row r="5267" spans="1:11" x14ac:dyDescent="0.25">
      <c r="A5267" s="1">
        <v>5266</v>
      </c>
      <c r="B5267" s="1">
        <v>13</v>
      </c>
      <c r="C5267" s="3">
        <v>13115271627405</v>
      </c>
      <c r="D5267" s="2">
        <v>44729.472222222219</v>
      </c>
      <c r="E5267" s="2">
        <v>44729.583333333336</v>
      </c>
      <c r="F5267" s="23">
        <f t="shared" si="246"/>
        <v>0.11111111111677019</v>
      </c>
      <c r="G5267" s="24">
        <f t="shared" si="248"/>
        <v>112.49999999427018</v>
      </c>
      <c r="H5267" s="1" t="s">
        <v>1</v>
      </c>
      <c r="I5267" s="4" t="s">
        <v>2</v>
      </c>
      <c r="J5267" s="14">
        <v>0.47222222222222221</v>
      </c>
      <c r="K5267" s="20" t="str">
        <f t="shared" si="247"/>
        <v>1st Shift</v>
      </c>
    </row>
    <row r="5268" spans="1:11" x14ac:dyDescent="0.25">
      <c r="A5268" s="1">
        <v>5267</v>
      </c>
      <c r="B5268" s="1">
        <v>13</v>
      </c>
      <c r="C5268" s="3">
        <v>13115271627404</v>
      </c>
      <c r="D5268" s="2">
        <v>44729.472222222219</v>
      </c>
      <c r="E5268" s="2">
        <v>44729.583333333336</v>
      </c>
      <c r="F5268" s="23">
        <f t="shared" si="246"/>
        <v>0.11111111111677019</v>
      </c>
      <c r="G5268" s="24">
        <f t="shared" si="248"/>
        <v>112.49999999427018</v>
      </c>
      <c r="H5268" s="1" t="s">
        <v>1</v>
      </c>
      <c r="I5268" s="4" t="s">
        <v>2</v>
      </c>
      <c r="J5268" s="14">
        <v>0.47222222222222221</v>
      </c>
      <c r="K5268" s="20" t="str">
        <f t="shared" si="247"/>
        <v>1st Shift</v>
      </c>
    </row>
    <row r="5269" spans="1:11" x14ac:dyDescent="0.25">
      <c r="A5269" s="1">
        <v>5268</v>
      </c>
      <c r="B5269" s="1">
        <v>7</v>
      </c>
      <c r="C5269" s="3">
        <v>7115271758707</v>
      </c>
      <c r="D5269" s="2">
        <v>44729.472222222219</v>
      </c>
      <c r="E5269" s="2">
        <v>44729.583333333336</v>
      </c>
      <c r="F5269" s="23">
        <f t="shared" si="246"/>
        <v>0.11111111111677019</v>
      </c>
      <c r="G5269" s="24">
        <f t="shared" si="248"/>
        <v>112.49999999427018</v>
      </c>
      <c r="H5269" s="1" t="s">
        <v>1</v>
      </c>
      <c r="I5269" s="4" t="s">
        <v>2</v>
      </c>
      <c r="J5269" s="14">
        <v>0.47222222222222221</v>
      </c>
      <c r="K5269" s="20" t="str">
        <f t="shared" si="247"/>
        <v>1st Shift</v>
      </c>
    </row>
    <row r="5270" spans="1:11" x14ac:dyDescent="0.25">
      <c r="A5270" s="1">
        <v>5269</v>
      </c>
      <c r="B5270" s="1">
        <v>7</v>
      </c>
      <c r="C5270" s="3">
        <v>7115271758701</v>
      </c>
      <c r="D5270" s="2">
        <v>44729.472222222219</v>
      </c>
      <c r="E5270" s="2">
        <v>44729.583333333336</v>
      </c>
      <c r="F5270" s="23">
        <f t="shared" si="246"/>
        <v>0.11111111111677019</v>
      </c>
      <c r="G5270" s="24">
        <f t="shared" si="248"/>
        <v>112.49999999427018</v>
      </c>
      <c r="H5270" s="1" t="s">
        <v>1</v>
      </c>
      <c r="I5270" s="4" t="s">
        <v>2</v>
      </c>
      <c r="J5270" s="14">
        <v>0.47222222222222221</v>
      </c>
      <c r="K5270" s="20" t="str">
        <f t="shared" si="247"/>
        <v>1st Shift</v>
      </c>
    </row>
    <row r="5271" spans="1:11" x14ac:dyDescent="0.25">
      <c r="A5271" s="1">
        <v>5270</v>
      </c>
      <c r="B5271" s="1">
        <v>7</v>
      </c>
      <c r="C5271" s="3">
        <v>7115271758700</v>
      </c>
      <c r="D5271" s="2">
        <v>44729.472222222219</v>
      </c>
      <c r="E5271" s="2">
        <v>44729.583333333336</v>
      </c>
      <c r="F5271" s="23">
        <f t="shared" si="246"/>
        <v>0.11111111111677019</v>
      </c>
      <c r="G5271" s="24">
        <f t="shared" si="248"/>
        <v>112.49999999427018</v>
      </c>
      <c r="H5271" s="1" t="s">
        <v>1</v>
      </c>
      <c r="I5271" s="4" t="s">
        <v>2</v>
      </c>
      <c r="J5271" s="14">
        <v>0.47222222222222221</v>
      </c>
      <c r="K5271" s="20" t="str">
        <f t="shared" si="247"/>
        <v>1st Shift</v>
      </c>
    </row>
    <row r="5272" spans="1:11" x14ac:dyDescent="0.25">
      <c r="A5272" s="1">
        <v>5271</v>
      </c>
      <c r="B5272" s="1">
        <v>14</v>
      </c>
      <c r="C5272" s="3">
        <v>14115271680508</v>
      </c>
      <c r="D5272" s="2">
        <v>44729.736111111109</v>
      </c>
      <c r="E5272" s="2">
        <v>44729.791666666664</v>
      </c>
      <c r="F5272" s="23">
        <f t="shared" si="246"/>
        <v>5.5555555554747116E-2</v>
      </c>
      <c r="G5272" s="24">
        <f t="shared" si="248"/>
        <v>225.00000000327418</v>
      </c>
      <c r="H5272" s="1" t="s">
        <v>1</v>
      </c>
      <c r="I5272" s="4" t="s">
        <v>3</v>
      </c>
      <c r="J5272" s="14">
        <v>0.73611111111111116</v>
      </c>
      <c r="K5272" s="20" t="str">
        <f t="shared" si="247"/>
        <v>2nd Shift</v>
      </c>
    </row>
    <row r="5273" spans="1:11" x14ac:dyDescent="0.25">
      <c r="A5273" s="1">
        <v>5272</v>
      </c>
      <c r="B5273" s="1">
        <v>14</v>
      </c>
      <c r="C5273" s="3">
        <v>14115271680501</v>
      </c>
      <c r="D5273" s="2">
        <v>44729.736111111109</v>
      </c>
      <c r="E5273" s="2">
        <v>44729.791666666664</v>
      </c>
      <c r="F5273" s="23">
        <f t="shared" si="246"/>
        <v>5.5555555554747116E-2</v>
      </c>
      <c r="G5273" s="24">
        <f t="shared" si="248"/>
        <v>225.00000000327418</v>
      </c>
      <c r="H5273" s="1" t="s">
        <v>1</v>
      </c>
      <c r="I5273" s="4" t="s">
        <v>3</v>
      </c>
      <c r="J5273" s="14">
        <v>0.73611111111111116</v>
      </c>
      <c r="K5273" s="20" t="str">
        <f t="shared" si="247"/>
        <v>2nd Shift</v>
      </c>
    </row>
    <row r="5274" spans="1:11" x14ac:dyDescent="0.25">
      <c r="A5274" s="1">
        <v>5273</v>
      </c>
      <c r="B5274" s="1">
        <v>14</v>
      </c>
      <c r="C5274" s="3">
        <v>14115271680500</v>
      </c>
      <c r="D5274" s="2">
        <v>44729.736111111109</v>
      </c>
      <c r="E5274" s="2">
        <v>44729.791666666664</v>
      </c>
      <c r="F5274" s="23">
        <f t="shared" si="246"/>
        <v>5.5555555554747116E-2</v>
      </c>
      <c r="G5274" s="24">
        <f t="shared" si="248"/>
        <v>225.00000000327418</v>
      </c>
      <c r="H5274" s="1" t="s">
        <v>1</v>
      </c>
      <c r="I5274" s="4" t="s">
        <v>2</v>
      </c>
      <c r="J5274" s="14">
        <v>0.73611111111111116</v>
      </c>
      <c r="K5274" s="20" t="str">
        <f t="shared" si="247"/>
        <v>2nd Shift</v>
      </c>
    </row>
    <row r="5275" spans="1:11" x14ac:dyDescent="0.25">
      <c r="A5275" s="1">
        <v>5274</v>
      </c>
      <c r="B5275" s="1">
        <v>1</v>
      </c>
      <c r="C5275" s="3">
        <v>1115270062109</v>
      </c>
      <c r="D5275" s="2">
        <v>44729.736111111109</v>
      </c>
      <c r="E5275" s="2">
        <v>44729.791666666664</v>
      </c>
      <c r="F5275" s="23">
        <f t="shared" si="246"/>
        <v>5.5555555554747116E-2</v>
      </c>
      <c r="G5275" s="24">
        <f t="shared" si="248"/>
        <v>225.00000000327418</v>
      </c>
      <c r="H5275" s="1" t="s">
        <v>1</v>
      </c>
      <c r="I5275" s="4" t="s">
        <v>8</v>
      </c>
      <c r="J5275" s="14">
        <v>0.73611111111111116</v>
      </c>
      <c r="K5275" s="20" t="str">
        <f t="shared" si="247"/>
        <v>2nd Shift</v>
      </c>
    </row>
    <row r="5276" spans="1:11" x14ac:dyDescent="0.25">
      <c r="A5276" s="1">
        <v>5275</v>
      </c>
      <c r="B5276" s="1">
        <v>1</v>
      </c>
      <c r="C5276" s="3">
        <v>1115270062101</v>
      </c>
      <c r="D5276" s="2">
        <v>44729.736111111109</v>
      </c>
      <c r="E5276" s="2">
        <v>44729.791666666664</v>
      </c>
      <c r="F5276" s="23">
        <f t="shared" si="246"/>
        <v>5.5555555554747116E-2</v>
      </c>
      <c r="G5276" s="24">
        <f t="shared" si="248"/>
        <v>225.00000000327418</v>
      </c>
      <c r="H5276" s="1" t="s">
        <v>1</v>
      </c>
      <c r="I5276" s="4" t="s">
        <v>3</v>
      </c>
      <c r="J5276" s="14">
        <v>0.73611111111111116</v>
      </c>
      <c r="K5276" s="20" t="str">
        <f t="shared" si="247"/>
        <v>2nd Shift</v>
      </c>
    </row>
    <row r="5277" spans="1:11" x14ac:dyDescent="0.25">
      <c r="A5277" s="1">
        <v>5276</v>
      </c>
      <c r="B5277" s="1">
        <v>1</v>
      </c>
      <c r="C5277" s="3">
        <v>1115270062100</v>
      </c>
      <c r="D5277" s="2">
        <v>44729.736111111109</v>
      </c>
      <c r="E5277" s="2">
        <v>44729.791666666664</v>
      </c>
      <c r="F5277" s="23">
        <f t="shared" si="246"/>
        <v>5.5555555554747116E-2</v>
      </c>
      <c r="G5277" s="24">
        <f t="shared" si="248"/>
        <v>225.00000000327418</v>
      </c>
      <c r="H5277" s="1" t="s">
        <v>1</v>
      </c>
      <c r="I5277" s="4" t="s">
        <v>3</v>
      </c>
      <c r="J5277" s="14">
        <v>0.73611111111111116</v>
      </c>
      <c r="K5277" s="20" t="str">
        <f t="shared" si="247"/>
        <v>2nd Shift</v>
      </c>
    </row>
    <row r="5278" spans="1:11" x14ac:dyDescent="0.25">
      <c r="A5278" s="1">
        <v>5277</v>
      </c>
      <c r="B5278" s="1">
        <v>11</v>
      </c>
      <c r="C5278" s="3">
        <v>11115271536009</v>
      </c>
      <c r="D5278" s="2">
        <v>44729.802083333336</v>
      </c>
      <c r="E5278" s="2">
        <v>44729.857638888891</v>
      </c>
      <c r="F5278" s="23">
        <f t="shared" si="246"/>
        <v>5.5555555554747116E-2</v>
      </c>
      <c r="G5278" s="24">
        <f t="shared" si="248"/>
        <v>225.00000000327418</v>
      </c>
      <c r="H5278" s="1" t="s">
        <v>1</v>
      </c>
      <c r="I5278" s="4" t="s">
        <v>3</v>
      </c>
      <c r="J5278" s="14">
        <v>0.80208333333333337</v>
      </c>
      <c r="K5278" s="20" t="str">
        <f t="shared" si="247"/>
        <v>2nd Shift</v>
      </c>
    </row>
    <row r="5279" spans="1:11" x14ac:dyDescent="0.25">
      <c r="A5279" s="1">
        <v>5278</v>
      </c>
      <c r="B5279" s="1">
        <v>11</v>
      </c>
      <c r="C5279" s="3">
        <v>11115271536007</v>
      </c>
      <c r="D5279" s="2">
        <v>44729.802083333336</v>
      </c>
      <c r="E5279" s="2">
        <v>44729.857638888891</v>
      </c>
      <c r="F5279" s="23">
        <f t="shared" si="246"/>
        <v>5.5555555554747116E-2</v>
      </c>
      <c r="G5279" s="24">
        <f t="shared" si="248"/>
        <v>225.00000000327418</v>
      </c>
      <c r="H5279" s="1" t="s">
        <v>1</v>
      </c>
      <c r="I5279" s="4" t="s">
        <v>3</v>
      </c>
      <c r="J5279" s="14">
        <v>0.80208333333333337</v>
      </c>
      <c r="K5279" s="20" t="str">
        <f t="shared" si="247"/>
        <v>2nd Shift</v>
      </c>
    </row>
    <row r="5280" spans="1:11" x14ac:dyDescent="0.25">
      <c r="A5280" s="1">
        <v>5279</v>
      </c>
      <c r="B5280" s="1">
        <v>11</v>
      </c>
      <c r="C5280" s="3">
        <v>11115271536002</v>
      </c>
      <c r="D5280" s="2">
        <v>44729.802083333336</v>
      </c>
      <c r="E5280" s="2">
        <v>44729.857638888891</v>
      </c>
      <c r="F5280" s="23">
        <f t="shared" si="246"/>
        <v>5.5555555554747116E-2</v>
      </c>
      <c r="G5280" s="24">
        <f t="shared" si="248"/>
        <v>225.00000000327418</v>
      </c>
      <c r="H5280" s="1" t="s">
        <v>1</v>
      </c>
      <c r="I5280" s="4" t="s">
        <v>2</v>
      </c>
      <c r="J5280" s="14">
        <v>0.80208333333333337</v>
      </c>
      <c r="K5280" s="20" t="str">
        <f t="shared" si="247"/>
        <v>2nd Shift</v>
      </c>
    </row>
    <row r="5281" spans="1:11" x14ac:dyDescent="0.25">
      <c r="A5281" s="1">
        <v>5280</v>
      </c>
      <c r="B5281" s="1">
        <v>11</v>
      </c>
      <c r="C5281" s="3">
        <v>11115271536001</v>
      </c>
      <c r="D5281" s="2">
        <v>44729.802083333336</v>
      </c>
      <c r="E5281" s="2">
        <v>44729.857638888891</v>
      </c>
      <c r="F5281" s="23">
        <f t="shared" si="246"/>
        <v>5.5555555554747116E-2</v>
      </c>
      <c r="G5281" s="24">
        <f t="shared" si="248"/>
        <v>225.00000000327418</v>
      </c>
      <c r="H5281" s="1" t="s">
        <v>1</v>
      </c>
      <c r="I5281" s="4" t="s">
        <v>3</v>
      </c>
      <c r="J5281" s="14">
        <v>0.80208333333333337</v>
      </c>
      <c r="K5281" s="20" t="str">
        <f t="shared" si="247"/>
        <v>2nd Shift</v>
      </c>
    </row>
    <row r="5282" spans="1:11" x14ac:dyDescent="0.25">
      <c r="A5282" s="1">
        <v>5281</v>
      </c>
      <c r="B5282" s="1">
        <v>2</v>
      </c>
      <c r="C5282" s="3">
        <v>2115270297501</v>
      </c>
      <c r="D5282" s="2">
        <v>44729.802083333336</v>
      </c>
      <c r="E5282" s="2">
        <v>44729.857638888891</v>
      </c>
      <c r="F5282" s="23">
        <f t="shared" si="246"/>
        <v>5.5555555554747116E-2</v>
      </c>
      <c r="G5282" s="24">
        <f t="shared" si="248"/>
        <v>225.00000000327418</v>
      </c>
      <c r="H5282" s="1" t="s">
        <v>1</v>
      </c>
      <c r="I5282" s="4" t="s">
        <v>4</v>
      </c>
      <c r="J5282" s="14">
        <v>0.80208333333333337</v>
      </c>
      <c r="K5282" s="20" t="str">
        <f t="shared" si="247"/>
        <v>2nd Shift</v>
      </c>
    </row>
    <row r="5283" spans="1:11" x14ac:dyDescent="0.25">
      <c r="A5283" s="1">
        <v>5282</v>
      </c>
      <c r="B5283" s="1">
        <v>2</v>
      </c>
      <c r="C5283" s="3">
        <v>2115270297500</v>
      </c>
      <c r="D5283" s="2">
        <v>44729.802083333336</v>
      </c>
      <c r="E5283" s="2">
        <v>44729.857638888891</v>
      </c>
      <c r="F5283" s="23">
        <f t="shared" si="246"/>
        <v>5.5555555554747116E-2</v>
      </c>
      <c r="G5283" s="24">
        <f t="shared" si="248"/>
        <v>225.00000000327418</v>
      </c>
      <c r="H5283" s="1" t="s">
        <v>1</v>
      </c>
      <c r="I5283" s="4" t="s">
        <v>3</v>
      </c>
      <c r="J5283" s="14">
        <v>0.80208333333333337</v>
      </c>
      <c r="K5283" s="20" t="str">
        <f t="shared" si="247"/>
        <v>2nd Shift</v>
      </c>
    </row>
    <row r="5284" spans="1:11" x14ac:dyDescent="0.25">
      <c r="A5284" s="1">
        <v>5283</v>
      </c>
      <c r="B5284" s="1">
        <v>1</v>
      </c>
      <c r="C5284" s="3">
        <v>1115270107501</v>
      </c>
      <c r="D5284" s="2">
        <v>44729.802083333336</v>
      </c>
      <c r="E5284" s="2">
        <v>44729.857638888891</v>
      </c>
      <c r="F5284" s="23">
        <f t="shared" si="246"/>
        <v>5.5555555554747116E-2</v>
      </c>
      <c r="G5284" s="24">
        <f t="shared" si="248"/>
        <v>225.00000000327418</v>
      </c>
      <c r="H5284" s="1" t="s">
        <v>1</v>
      </c>
      <c r="I5284" s="4" t="s">
        <v>3</v>
      </c>
      <c r="J5284" s="14">
        <v>0.80208333333333337</v>
      </c>
      <c r="K5284" s="20" t="str">
        <f t="shared" si="247"/>
        <v>2nd Shift</v>
      </c>
    </row>
    <row r="5285" spans="1:11" x14ac:dyDescent="0.25">
      <c r="A5285" s="1">
        <v>5284</v>
      </c>
      <c r="B5285" s="1">
        <v>1</v>
      </c>
      <c r="C5285" s="3">
        <v>1115270107500</v>
      </c>
      <c r="D5285" s="2">
        <v>44729.802083333336</v>
      </c>
      <c r="E5285" s="2">
        <v>44729.857638888891</v>
      </c>
      <c r="F5285" s="23">
        <f t="shared" si="246"/>
        <v>5.5555555554747116E-2</v>
      </c>
      <c r="G5285" s="24">
        <f t="shared" si="248"/>
        <v>225.00000000327418</v>
      </c>
      <c r="H5285" s="1" t="s">
        <v>1</v>
      </c>
      <c r="I5285" s="4" t="s">
        <v>8</v>
      </c>
      <c r="J5285" s="14">
        <v>0.80208333333333337</v>
      </c>
      <c r="K5285" s="20" t="str">
        <f t="shared" si="247"/>
        <v>2nd Shift</v>
      </c>
    </row>
    <row r="5286" spans="1:11" x14ac:dyDescent="0.25">
      <c r="A5286" s="1">
        <v>5285</v>
      </c>
      <c r="B5286" s="1">
        <v>8</v>
      </c>
      <c r="C5286" s="3">
        <v>8115271821108</v>
      </c>
      <c r="D5286" s="2">
        <v>44729.9375</v>
      </c>
      <c r="E5286" s="2">
        <v>44729.979166666664</v>
      </c>
      <c r="F5286" s="23">
        <f t="shared" si="246"/>
        <v>4.1666666664241347E-2</v>
      </c>
      <c r="G5286" s="24">
        <f t="shared" si="248"/>
        <v>300.0000000174623</v>
      </c>
      <c r="H5286" s="1" t="s">
        <v>1</v>
      </c>
      <c r="I5286" s="4" t="s">
        <v>3</v>
      </c>
      <c r="J5286" s="14">
        <v>0.9375</v>
      </c>
      <c r="K5286" s="20" t="str">
        <f t="shared" si="247"/>
        <v>3rd Shift</v>
      </c>
    </row>
    <row r="5287" spans="1:11" x14ac:dyDescent="0.25">
      <c r="A5287" s="1">
        <v>5286</v>
      </c>
      <c r="B5287" s="1">
        <v>8</v>
      </c>
      <c r="C5287" s="3">
        <v>8115271821105</v>
      </c>
      <c r="D5287" s="2">
        <v>44729.9375</v>
      </c>
      <c r="E5287" s="2">
        <v>44729.979166666664</v>
      </c>
      <c r="F5287" s="23">
        <f t="shared" si="246"/>
        <v>4.1666666664241347E-2</v>
      </c>
      <c r="G5287" s="24">
        <f t="shared" si="248"/>
        <v>300.0000000174623</v>
      </c>
      <c r="H5287" s="1" t="s">
        <v>1</v>
      </c>
      <c r="I5287" s="4" t="s">
        <v>3</v>
      </c>
      <c r="J5287" s="14">
        <v>0.9375</v>
      </c>
      <c r="K5287" s="20" t="str">
        <f t="shared" si="247"/>
        <v>3rd Shift</v>
      </c>
    </row>
    <row r="5288" spans="1:11" x14ac:dyDescent="0.25">
      <c r="A5288" s="1">
        <v>5287</v>
      </c>
      <c r="B5288" s="1">
        <v>8</v>
      </c>
      <c r="C5288" s="3">
        <v>8115271821101</v>
      </c>
      <c r="D5288" s="2">
        <v>44729.9375</v>
      </c>
      <c r="E5288" s="2">
        <v>44729.979166666664</v>
      </c>
      <c r="F5288" s="23">
        <f t="shared" si="246"/>
        <v>4.1666666664241347E-2</v>
      </c>
      <c r="G5288" s="24">
        <f t="shared" si="248"/>
        <v>300.0000000174623</v>
      </c>
      <c r="H5288" s="1" t="s">
        <v>1</v>
      </c>
      <c r="I5288" s="4" t="s">
        <v>3</v>
      </c>
      <c r="J5288" s="14">
        <v>0.9375</v>
      </c>
      <c r="K5288" s="20" t="str">
        <f t="shared" si="247"/>
        <v>3rd Shift</v>
      </c>
    </row>
    <row r="5289" spans="1:11" x14ac:dyDescent="0.25">
      <c r="A5289" s="1">
        <v>5288</v>
      </c>
      <c r="B5289" s="1">
        <v>8</v>
      </c>
      <c r="C5289" s="3">
        <v>8115271821100</v>
      </c>
      <c r="D5289" s="2">
        <v>44729.9375</v>
      </c>
      <c r="E5289" s="2">
        <v>44729.979166666664</v>
      </c>
      <c r="F5289" s="23">
        <f t="shared" si="246"/>
        <v>4.1666666664241347E-2</v>
      </c>
      <c r="G5289" s="24">
        <f t="shared" si="248"/>
        <v>300.0000000174623</v>
      </c>
      <c r="H5289" s="1" t="s">
        <v>1</v>
      </c>
      <c r="I5289" s="4" t="s">
        <v>3</v>
      </c>
      <c r="J5289" s="14">
        <v>0.9375</v>
      </c>
      <c r="K5289" s="20" t="str">
        <f t="shared" si="247"/>
        <v>3rd Shift</v>
      </c>
    </row>
    <row r="5290" spans="1:11" x14ac:dyDescent="0.25">
      <c r="A5290" s="1">
        <v>5289</v>
      </c>
      <c r="B5290" s="1">
        <v>14</v>
      </c>
      <c r="C5290" s="3">
        <v>14111527168040</v>
      </c>
      <c r="D5290" s="2">
        <v>44730.013888888891</v>
      </c>
      <c r="E5290" s="2">
        <v>44730.152777777781</v>
      </c>
      <c r="F5290" s="23">
        <f t="shared" si="246"/>
        <v>0.13888888889050577</v>
      </c>
      <c r="G5290" s="24">
        <f t="shared" si="248"/>
        <v>89.999999998952262</v>
      </c>
      <c r="H5290" s="1" t="s">
        <v>1</v>
      </c>
      <c r="I5290" s="4" t="s">
        <v>2</v>
      </c>
      <c r="J5290" s="14">
        <v>1.3888888888888888E-2</v>
      </c>
      <c r="K5290" s="20" t="str">
        <f t="shared" si="247"/>
        <v>3rd Shift</v>
      </c>
    </row>
    <row r="5291" spans="1:11" x14ac:dyDescent="0.25">
      <c r="A5291" s="1">
        <v>5290</v>
      </c>
      <c r="B5291" s="1">
        <v>7</v>
      </c>
      <c r="C5291" s="3">
        <v>7115271768104</v>
      </c>
      <c r="D5291" s="2">
        <v>44730.013888888891</v>
      </c>
      <c r="E5291" s="2">
        <v>44730.152777777781</v>
      </c>
      <c r="F5291" s="23">
        <f t="shared" si="246"/>
        <v>0.13888888889050577</v>
      </c>
      <c r="G5291" s="24">
        <f t="shared" si="248"/>
        <v>89.999999998952262</v>
      </c>
      <c r="H5291" s="1" t="s">
        <v>1</v>
      </c>
      <c r="I5291" s="4" t="s">
        <v>2</v>
      </c>
      <c r="J5291" s="14">
        <v>1.3888888888888888E-2</v>
      </c>
      <c r="K5291" s="20" t="str">
        <f t="shared" si="247"/>
        <v>3rd Shift</v>
      </c>
    </row>
    <row r="5292" spans="1:11" x14ac:dyDescent="0.25">
      <c r="A5292" s="1">
        <v>5291</v>
      </c>
      <c r="B5292" s="1">
        <v>4</v>
      </c>
      <c r="C5292" s="3">
        <v>4115270868903</v>
      </c>
      <c r="D5292" s="2">
        <v>44730.013888888891</v>
      </c>
      <c r="E5292" s="2">
        <v>44730.152777777781</v>
      </c>
      <c r="F5292" s="23">
        <f t="shared" si="246"/>
        <v>0.13888888889050577</v>
      </c>
      <c r="G5292" s="24">
        <f t="shared" si="248"/>
        <v>89.999999998952262</v>
      </c>
      <c r="H5292" s="1" t="s">
        <v>1</v>
      </c>
      <c r="I5292" s="4" t="s">
        <v>3</v>
      </c>
      <c r="J5292" s="14">
        <v>1.3888888888888888E-2</v>
      </c>
      <c r="K5292" s="20" t="str">
        <f t="shared" si="247"/>
        <v>3rd Shift</v>
      </c>
    </row>
    <row r="5293" spans="1:11" x14ac:dyDescent="0.25">
      <c r="A5293" s="1">
        <v>5292</v>
      </c>
      <c r="B5293" s="1">
        <v>3</v>
      </c>
      <c r="C5293" s="3">
        <v>3115270341006</v>
      </c>
      <c r="D5293" s="2">
        <v>44730.013888888891</v>
      </c>
      <c r="E5293" s="2">
        <v>44730.152777777781</v>
      </c>
      <c r="F5293" s="23">
        <f t="shared" si="246"/>
        <v>0.13888888889050577</v>
      </c>
      <c r="G5293" s="24">
        <f t="shared" si="248"/>
        <v>89.999999998952262</v>
      </c>
      <c r="H5293" s="1" t="s">
        <v>1</v>
      </c>
      <c r="I5293" s="4" t="s">
        <v>3</v>
      </c>
      <c r="J5293" s="14">
        <v>1.3888888888888888E-2</v>
      </c>
      <c r="K5293" s="20" t="str">
        <f t="shared" si="247"/>
        <v>3rd Shift</v>
      </c>
    </row>
    <row r="5294" spans="1:11" x14ac:dyDescent="0.25">
      <c r="A5294" s="1">
        <v>5293</v>
      </c>
      <c r="B5294" s="1">
        <v>1</v>
      </c>
      <c r="C5294" s="3">
        <v>1115270028900</v>
      </c>
      <c r="D5294" s="2">
        <v>44730.013888888891</v>
      </c>
      <c r="E5294" s="2">
        <v>44730.152777777781</v>
      </c>
      <c r="F5294" s="23">
        <f t="shared" si="246"/>
        <v>0.13888888889050577</v>
      </c>
      <c r="G5294" s="24">
        <f t="shared" si="248"/>
        <v>89.999999998952262</v>
      </c>
      <c r="H5294" s="1" t="s">
        <v>1</v>
      </c>
      <c r="I5294" s="4" t="s">
        <v>3</v>
      </c>
      <c r="J5294" s="14">
        <v>1.3888888888888888E-2</v>
      </c>
      <c r="K5294" s="20" t="str">
        <f t="shared" si="247"/>
        <v>3rd Shift</v>
      </c>
    </row>
    <row r="5295" spans="1:11" x14ac:dyDescent="0.25">
      <c r="A5295" s="1">
        <v>5294</v>
      </c>
      <c r="B5295" s="1">
        <v>15</v>
      </c>
      <c r="C5295" s="3">
        <v>15115271719272</v>
      </c>
      <c r="D5295" s="2">
        <v>44730.472222222219</v>
      </c>
      <c r="E5295" s="2">
        <v>44730.590277777781</v>
      </c>
      <c r="F5295" s="23">
        <f t="shared" si="246"/>
        <v>0.11805555556202307</v>
      </c>
      <c r="G5295" s="24">
        <f t="shared" si="248"/>
        <v>105.88235293537585</v>
      </c>
      <c r="H5295" s="1" t="s">
        <v>1</v>
      </c>
      <c r="I5295" s="4" t="s">
        <v>2</v>
      </c>
      <c r="J5295" s="14">
        <v>0.47222222222222221</v>
      </c>
      <c r="K5295" s="20" t="str">
        <f t="shared" si="247"/>
        <v>1st Shift</v>
      </c>
    </row>
    <row r="5296" spans="1:11" x14ac:dyDescent="0.25">
      <c r="A5296" s="1">
        <v>5295</v>
      </c>
      <c r="B5296" s="1">
        <v>12</v>
      </c>
      <c r="C5296" s="3">
        <v>12115271567350</v>
      </c>
      <c r="D5296" s="2">
        <v>44730.381944444445</v>
      </c>
      <c r="E5296" s="2">
        <v>44730.590277777781</v>
      </c>
      <c r="F5296" s="23">
        <f t="shared" si="246"/>
        <v>0.20833333333575865</v>
      </c>
      <c r="G5296" s="24">
        <f t="shared" si="248"/>
        <v>59.999999999301515</v>
      </c>
      <c r="H5296" s="1" t="s">
        <v>1</v>
      </c>
      <c r="I5296" s="4" t="s">
        <v>2</v>
      </c>
      <c r="J5296" s="14">
        <v>0.38194444444444442</v>
      </c>
      <c r="K5296" s="20" t="str">
        <f t="shared" si="247"/>
        <v>1st Shift</v>
      </c>
    </row>
    <row r="5297" spans="1:11" x14ac:dyDescent="0.25">
      <c r="A5297" s="1">
        <v>5296</v>
      </c>
      <c r="B5297" s="1">
        <v>10</v>
      </c>
      <c r="C5297" s="3">
        <v>10115271957600</v>
      </c>
      <c r="D5297" s="2">
        <v>44730.479166666664</v>
      </c>
      <c r="E5297" s="2">
        <v>44730.590277777781</v>
      </c>
      <c r="F5297" s="23">
        <f t="shared" si="246"/>
        <v>0.11111111111677019</v>
      </c>
      <c r="G5297" s="24">
        <f t="shared" si="248"/>
        <v>112.49999999427018</v>
      </c>
      <c r="H5297" s="1" t="s">
        <v>1</v>
      </c>
      <c r="I5297" s="4" t="s">
        <v>2</v>
      </c>
      <c r="J5297" s="14">
        <v>0.47916666666666669</v>
      </c>
      <c r="K5297" s="20" t="str">
        <f t="shared" si="247"/>
        <v>1st Shift</v>
      </c>
    </row>
    <row r="5298" spans="1:11" x14ac:dyDescent="0.25">
      <c r="A5298" s="1">
        <v>5297</v>
      </c>
      <c r="B5298" s="1">
        <v>8</v>
      </c>
      <c r="C5298" s="3">
        <v>8115271838900</v>
      </c>
      <c r="D5298" s="2">
        <v>44730.381944444445</v>
      </c>
      <c r="E5298" s="2">
        <v>44730.590277777781</v>
      </c>
      <c r="F5298" s="23">
        <f t="shared" si="246"/>
        <v>0.20833333333575865</v>
      </c>
      <c r="G5298" s="24">
        <f t="shared" si="248"/>
        <v>59.999999999301515</v>
      </c>
      <c r="H5298" s="1" t="s">
        <v>1</v>
      </c>
      <c r="I5298" s="4" t="s">
        <v>2</v>
      </c>
      <c r="J5298" s="14">
        <v>0.38194444444444442</v>
      </c>
      <c r="K5298" s="20" t="str">
        <f t="shared" si="247"/>
        <v>1st Shift</v>
      </c>
    </row>
    <row r="5299" spans="1:11" x14ac:dyDescent="0.25">
      <c r="A5299" s="1">
        <v>5298</v>
      </c>
      <c r="B5299" s="1">
        <v>7</v>
      </c>
      <c r="C5299" s="3">
        <v>7115271779306</v>
      </c>
      <c r="D5299" s="2">
        <v>44730.4375</v>
      </c>
      <c r="E5299" s="2">
        <v>44730.590277777781</v>
      </c>
      <c r="F5299" s="23">
        <f t="shared" si="246"/>
        <v>0.15277777778101154</v>
      </c>
      <c r="G5299" s="24">
        <f t="shared" si="248"/>
        <v>81.818181816450021</v>
      </c>
      <c r="H5299" s="1" t="s">
        <v>1</v>
      </c>
      <c r="I5299" s="4" t="s">
        <v>2</v>
      </c>
      <c r="J5299" s="14">
        <v>0.4375</v>
      </c>
      <c r="K5299" s="20" t="str">
        <f t="shared" si="247"/>
        <v>1st Shift</v>
      </c>
    </row>
    <row r="5300" spans="1:11" x14ac:dyDescent="0.25">
      <c r="A5300" s="1">
        <v>5299</v>
      </c>
      <c r="B5300" s="1">
        <v>7</v>
      </c>
      <c r="C5300" s="3">
        <v>7115271768300</v>
      </c>
      <c r="D5300" s="2">
        <v>44730.4375</v>
      </c>
      <c r="E5300" s="2">
        <v>44730.590277777781</v>
      </c>
      <c r="F5300" s="23">
        <f t="shared" si="246"/>
        <v>0.15277777778101154</v>
      </c>
      <c r="G5300" s="24">
        <f t="shared" si="248"/>
        <v>81.818181816450021</v>
      </c>
      <c r="H5300" s="1" t="s">
        <v>1</v>
      </c>
      <c r="I5300" s="4" t="s">
        <v>4</v>
      </c>
      <c r="J5300" s="14">
        <v>0.4375</v>
      </c>
      <c r="K5300" s="20" t="str">
        <f t="shared" si="247"/>
        <v>1st Shift</v>
      </c>
    </row>
    <row r="5301" spans="1:11" x14ac:dyDescent="0.25">
      <c r="A5301" s="1">
        <v>5300</v>
      </c>
      <c r="B5301" s="1">
        <v>7</v>
      </c>
      <c r="C5301" s="3">
        <v>7115271759014</v>
      </c>
      <c r="D5301" s="2">
        <v>44730.381944444445</v>
      </c>
      <c r="E5301" s="2">
        <v>44730.590277777781</v>
      </c>
      <c r="F5301" s="23">
        <f t="shared" si="246"/>
        <v>0.20833333333575865</v>
      </c>
      <c r="G5301" s="24">
        <f t="shared" si="248"/>
        <v>59.999999999301515</v>
      </c>
      <c r="H5301" s="1" t="s">
        <v>1</v>
      </c>
      <c r="I5301" s="4" t="s">
        <v>3</v>
      </c>
      <c r="J5301" s="14">
        <v>0.38194444444444442</v>
      </c>
      <c r="K5301" s="20" t="str">
        <f t="shared" si="247"/>
        <v>1st Shift</v>
      </c>
    </row>
    <row r="5302" spans="1:11" x14ac:dyDescent="0.25">
      <c r="A5302" s="1">
        <v>5301</v>
      </c>
      <c r="B5302" s="1">
        <v>6</v>
      </c>
      <c r="C5302" s="3">
        <v>6115271698300</v>
      </c>
      <c r="D5302" s="2">
        <v>44730.4375</v>
      </c>
      <c r="E5302" s="2">
        <v>44730.590277777781</v>
      </c>
      <c r="F5302" s="23">
        <f t="shared" si="246"/>
        <v>0.15277777778101154</v>
      </c>
      <c r="G5302" s="24">
        <f t="shared" si="248"/>
        <v>81.818181816450021</v>
      </c>
      <c r="H5302" s="1" t="s">
        <v>1</v>
      </c>
      <c r="I5302" s="4" t="s">
        <v>2</v>
      </c>
      <c r="J5302" s="14">
        <v>0.4375</v>
      </c>
      <c r="K5302" s="20" t="str">
        <f t="shared" si="247"/>
        <v>1st Shift</v>
      </c>
    </row>
    <row r="5303" spans="1:11" x14ac:dyDescent="0.25">
      <c r="A5303" s="1">
        <v>5302</v>
      </c>
      <c r="B5303" s="1">
        <v>3</v>
      </c>
      <c r="C5303" s="3">
        <v>3115270317900</v>
      </c>
      <c r="D5303" s="2">
        <v>44730.552083333336</v>
      </c>
      <c r="E5303" s="2">
        <v>44730.590277777781</v>
      </c>
      <c r="F5303" s="23">
        <f t="shared" si="246"/>
        <v>3.8194444445252884E-2</v>
      </c>
      <c r="G5303" s="24">
        <f t="shared" si="248"/>
        <v>327.27272726580009</v>
      </c>
      <c r="H5303" s="1" t="s">
        <v>1</v>
      </c>
      <c r="I5303" s="4" t="s">
        <v>3</v>
      </c>
      <c r="J5303" s="14">
        <v>0.55208333333333337</v>
      </c>
      <c r="K5303" s="20" t="str">
        <f t="shared" si="247"/>
        <v>1st Shift</v>
      </c>
    </row>
    <row r="5304" spans="1:11" x14ac:dyDescent="0.25">
      <c r="A5304" s="1">
        <v>5303</v>
      </c>
      <c r="B5304" s="1">
        <v>3</v>
      </c>
      <c r="C5304" s="3">
        <v>3115270317100</v>
      </c>
      <c r="D5304" s="2">
        <v>44730.381944444445</v>
      </c>
      <c r="E5304" s="2">
        <v>44730.590277777781</v>
      </c>
      <c r="F5304" s="23">
        <f t="shared" si="246"/>
        <v>0.20833333333575865</v>
      </c>
      <c r="G5304" s="24">
        <f t="shared" si="248"/>
        <v>59.999999999301515</v>
      </c>
      <c r="H5304" s="1" t="s">
        <v>1</v>
      </c>
      <c r="I5304" s="4" t="s">
        <v>3</v>
      </c>
      <c r="J5304" s="14">
        <v>0.38194444444444442</v>
      </c>
      <c r="K5304" s="20" t="str">
        <f t="shared" si="247"/>
        <v>1st Shift</v>
      </c>
    </row>
    <row r="5305" spans="1:11" x14ac:dyDescent="0.25">
      <c r="A5305" s="1">
        <v>5304</v>
      </c>
      <c r="B5305" s="1">
        <v>1</v>
      </c>
      <c r="C5305" s="3">
        <v>1115270093100</v>
      </c>
      <c r="D5305" s="2">
        <v>44730.472222222219</v>
      </c>
      <c r="E5305" s="2">
        <v>44730.590277777781</v>
      </c>
      <c r="F5305" s="23">
        <f t="shared" si="246"/>
        <v>0.11805555556202307</v>
      </c>
      <c r="G5305" s="24">
        <f t="shared" si="248"/>
        <v>105.88235293537585</v>
      </c>
      <c r="H5305" s="1" t="s">
        <v>1</v>
      </c>
      <c r="I5305" s="4" t="s">
        <v>3</v>
      </c>
      <c r="J5305" s="14">
        <v>0.47222222222222221</v>
      </c>
      <c r="K5305" s="20" t="str">
        <f t="shared" si="247"/>
        <v>1st Shift</v>
      </c>
    </row>
    <row r="5306" spans="1:11" x14ac:dyDescent="0.25">
      <c r="A5306" s="1">
        <v>5305</v>
      </c>
      <c r="B5306" s="1">
        <v>1</v>
      </c>
      <c r="C5306" s="3">
        <v>1115270067301</v>
      </c>
      <c r="D5306" s="2">
        <v>44730.472222222219</v>
      </c>
      <c r="E5306" s="2">
        <v>44730.590277777781</v>
      </c>
      <c r="F5306" s="23">
        <f t="shared" si="246"/>
        <v>0.11805555556202307</v>
      </c>
      <c r="G5306" s="24">
        <f t="shared" si="248"/>
        <v>105.88235293537585</v>
      </c>
      <c r="H5306" s="1" t="s">
        <v>1</v>
      </c>
      <c r="I5306" s="4" t="s">
        <v>2</v>
      </c>
      <c r="J5306" s="14">
        <v>0.47222222222222221</v>
      </c>
      <c r="K5306" s="20" t="str">
        <f t="shared" si="247"/>
        <v>1st Shift</v>
      </c>
    </row>
    <row r="5307" spans="1:11" x14ac:dyDescent="0.25">
      <c r="A5307" s="1">
        <v>5306</v>
      </c>
      <c r="B5307" s="1">
        <v>11</v>
      </c>
      <c r="C5307" s="3">
        <v>11115271542101</v>
      </c>
      <c r="D5307" s="2">
        <v>44730.694444444445</v>
      </c>
      <c r="E5307" s="2">
        <v>44730.927083333336</v>
      </c>
      <c r="F5307" s="23">
        <f t="shared" si="246"/>
        <v>0.23263888889050577</v>
      </c>
      <c r="G5307" s="24">
        <f t="shared" si="248"/>
        <v>53.731343283208645</v>
      </c>
      <c r="H5307" s="1" t="s">
        <v>1</v>
      </c>
      <c r="I5307" s="4" t="s">
        <v>2</v>
      </c>
      <c r="J5307" s="14">
        <v>0.69444444444444442</v>
      </c>
      <c r="K5307" s="20" t="str">
        <f t="shared" si="247"/>
        <v>2nd Shift</v>
      </c>
    </row>
    <row r="5308" spans="1:11" x14ac:dyDescent="0.25">
      <c r="A5308" s="1">
        <v>5307</v>
      </c>
      <c r="B5308" s="1">
        <v>6</v>
      </c>
      <c r="C5308" s="3">
        <v>6115271731800</v>
      </c>
      <c r="D5308" s="2">
        <v>44730.833333333336</v>
      </c>
      <c r="E5308" s="2">
        <v>44730.927083333336</v>
      </c>
      <c r="F5308" s="23">
        <f t="shared" si="246"/>
        <v>9.375E-2</v>
      </c>
      <c r="G5308" s="24">
        <f t="shared" si="248"/>
        <v>133.33333333333331</v>
      </c>
      <c r="H5308" s="1" t="s">
        <v>1</v>
      </c>
      <c r="I5308" s="4" t="s">
        <v>2</v>
      </c>
      <c r="J5308" s="14">
        <v>0.83333333333333337</v>
      </c>
      <c r="K5308" s="20" t="str">
        <f t="shared" si="247"/>
        <v>2nd Shift</v>
      </c>
    </row>
    <row r="5309" spans="1:11" x14ac:dyDescent="0.25">
      <c r="A5309" s="1">
        <v>5308</v>
      </c>
      <c r="B5309" s="1">
        <v>6</v>
      </c>
      <c r="C5309" s="3">
        <v>6115271692300</v>
      </c>
      <c r="D5309" s="2">
        <v>44730.694444444445</v>
      </c>
      <c r="E5309" s="2">
        <v>44730.927083333336</v>
      </c>
      <c r="F5309" s="23">
        <f t="shared" si="246"/>
        <v>0.23263888889050577</v>
      </c>
      <c r="G5309" s="24">
        <f t="shared" si="248"/>
        <v>53.731343283208645</v>
      </c>
      <c r="H5309" s="1" t="s">
        <v>1</v>
      </c>
      <c r="I5309" s="4" t="s">
        <v>3</v>
      </c>
      <c r="J5309" s="14">
        <v>0.69444444444444442</v>
      </c>
      <c r="K5309" s="20" t="str">
        <f t="shared" si="247"/>
        <v>2nd Shift</v>
      </c>
    </row>
    <row r="5310" spans="1:11" x14ac:dyDescent="0.25">
      <c r="A5310" s="1">
        <v>5309</v>
      </c>
      <c r="B5310" s="1">
        <v>2</v>
      </c>
      <c r="C5310" s="3">
        <v>2115270217800</v>
      </c>
      <c r="D5310" s="2">
        <v>44730.833333333336</v>
      </c>
      <c r="E5310" s="2">
        <v>44730.927083333336</v>
      </c>
      <c r="F5310" s="23">
        <f t="shared" si="246"/>
        <v>9.375E-2</v>
      </c>
      <c r="G5310" s="24">
        <f t="shared" si="248"/>
        <v>133.33333333333331</v>
      </c>
      <c r="H5310" s="1" t="s">
        <v>1</v>
      </c>
      <c r="I5310" s="4" t="s">
        <v>2</v>
      </c>
      <c r="J5310" s="14">
        <v>0.83333333333333337</v>
      </c>
      <c r="K5310" s="20" t="str">
        <f t="shared" si="247"/>
        <v>2nd Shift</v>
      </c>
    </row>
    <row r="5311" spans="1:11" x14ac:dyDescent="0.25">
      <c r="A5311" s="1">
        <v>5310</v>
      </c>
      <c r="B5311" s="1">
        <v>7</v>
      </c>
      <c r="C5311" s="3">
        <v>7115271761101</v>
      </c>
      <c r="D5311" s="2">
        <v>44730.958333333336</v>
      </c>
      <c r="E5311" s="2">
        <v>44731.03125</v>
      </c>
      <c r="F5311" s="23">
        <f t="shared" si="246"/>
        <v>7.2916666664241347E-2</v>
      </c>
      <c r="G5311" s="24">
        <f t="shared" si="248"/>
        <v>171.42857143427341</v>
      </c>
      <c r="H5311" s="1" t="s">
        <v>1</v>
      </c>
      <c r="I5311" s="4" t="s">
        <v>2</v>
      </c>
      <c r="J5311" s="14">
        <v>0.95833333333333337</v>
      </c>
      <c r="K5311" s="20" t="str">
        <f t="shared" si="247"/>
        <v>3rd Shift</v>
      </c>
    </row>
    <row r="5312" spans="1:11" x14ac:dyDescent="0.25">
      <c r="A5312" s="1">
        <v>5311</v>
      </c>
      <c r="B5312" s="1">
        <v>3</v>
      </c>
      <c r="C5312" s="3">
        <v>3115270327200</v>
      </c>
      <c r="D5312" s="2">
        <v>44730.958333333336</v>
      </c>
      <c r="E5312" s="2">
        <v>44731.03125</v>
      </c>
      <c r="F5312" s="23">
        <f t="shared" si="246"/>
        <v>7.2916666664241347E-2</v>
      </c>
      <c r="G5312" s="24">
        <f t="shared" si="248"/>
        <v>171.42857143427341</v>
      </c>
      <c r="H5312" s="1" t="s">
        <v>1</v>
      </c>
      <c r="I5312" s="4" t="s">
        <v>3</v>
      </c>
      <c r="J5312" s="14">
        <v>0.95833333333333337</v>
      </c>
      <c r="K5312" s="20" t="str">
        <f t="shared" si="247"/>
        <v>3rd Shift</v>
      </c>
    </row>
    <row r="5313" spans="1:11" x14ac:dyDescent="0.25">
      <c r="A5313" s="1">
        <v>5312</v>
      </c>
      <c r="B5313" s="1">
        <v>1</v>
      </c>
      <c r="C5313" s="3">
        <v>1115270112700</v>
      </c>
      <c r="D5313" s="2">
        <v>44730.958333333336</v>
      </c>
      <c r="E5313" s="2">
        <v>44731.03125</v>
      </c>
      <c r="F5313" s="23">
        <f t="shared" si="246"/>
        <v>7.2916666664241347E-2</v>
      </c>
      <c r="G5313" s="24">
        <f t="shared" si="248"/>
        <v>171.42857143427341</v>
      </c>
      <c r="H5313" s="1" t="s">
        <v>1</v>
      </c>
      <c r="I5313" s="4" t="s">
        <v>2</v>
      </c>
      <c r="J5313" s="14">
        <v>0.95833333333333337</v>
      </c>
      <c r="K5313" s="20" t="str">
        <f t="shared" si="247"/>
        <v>3rd Shift</v>
      </c>
    </row>
    <row r="5314" spans="1:11" x14ac:dyDescent="0.25">
      <c r="A5314" s="1">
        <v>5313</v>
      </c>
      <c r="B5314" s="1">
        <v>15</v>
      </c>
      <c r="C5314" s="3">
        <v>15115271779108</v>
      </c>
      <c r="D5314" s="2">
        <v>44732.513888888891</v>
      </c>
      <c r="E5314" s="2">
        <v>44732.5625</v>
      </c>
      <c r="F5314" s="23">
        <f t="shared" ref="F5314:F5377" si="249">E5314-D5314</f>
        <v>4.8611111109494232E-2</v>
      </c>
      <c r="G5314" s="24">
        <f t="shared" si="248"/>
        <v>257.14285715141011</v>
      </c>
      <c r="H5314" s="1" t="s">
        <v>1</v>
      </c>
      <c r="I5314" s="4" t="s">
        <v>2</v>
      </c>
      <c r="J5314" s="14">
        <v>0.51388888888888884</v>
      </c>
      <c r="K5314" s="20" t="str">
        <f t="shared" ref="K5314:K5377" si="250">IF(AND(J5314&gt;=$M$3,J5314&lt;$M$4),"1st Shift",IF(AND(J5314&gt;=$M$4,J5314&lt;$M$5),"2nd Shift","3rd Shift"))</f>
        <v>1st Shift</v>
      </c>
    </row>
    <row r="5315" spans="1:11" x14ac:dyDescent="0.25">
      <c r="A5315" s="1">
        <v>5314</v>
      </c>
      <c r="B5315" s="1">
        <v>15</v>
      </c>
      <c r="C5315" s="3">
        <v>15115271779100</v>
      </c>
      <c r="D5315" s="2">
        <v>44731.513888888891</v>
      </c>
      <c r="E5315" s="2">
        <v>44731.5625</v>
      </c>
      <c r="F5315" s="23">
        <f t="shared" si="249"/>
        <v>4.8611111109494232E-2</v>
      </c>
      <c r="G5315" s="24">
        <f t="shared" ref="G5315:G5378" si="251">$M$9/F5315*100</f>
        <v>257.14285715141011</v>
      </c>
      <c r="H5315" s="1" t="s">
        <v>1</v>
      </c>
      <c r="I5315" s="4" t="s">
        <v>2</v>
      </c>
      <c r="J5315" s="14">
        <v>0.51388888888888884</v>
      </c>
      <c r="K5315" s="20" t="str">
        <f t="shared" si="250"/>
        <v>1st Shift</v>
      </c>
    </row>
    <row r="5316" spans="1:11" x14ac:dyDescent="0.25">
      <c r="A5316" s="1">
        <v>5315</v>
      </c>
      <c r="B5316" s="1">
        <v>12</v>
      </c>
      <c r="C5316" s="3">
        <v>12115271564751</v>
      </c>
      <c r="D5316" s="2">
        <v>44731.434027777781</v>
      </c>
      <c r="E5316" s="2">
        <v>44731.5625</v>
      </c>
      <c r="F5316" s="23">
        <f t="shared" si="249"/>
        <v>0.12847222221898846</v>
      </c>
      <c r="G5316" s="24">
        <f t="shared" si="251"/>
        <v>97.297297299746361</v>
      </c>
      <c r="H5316" s="1" t="s">
        <v>1</v>
      </c>
      <c r="I5316" s="4" t="s">
        <v>2</v>
      </c>
      <c r="J5316" s="14">
        <v>0.43402777777777779</v>
      </c>
      <c r="K5316" s="20" t="str">
        <f t="shared" si="250"/>
        <v>1st Shift</v>
      </c>
    </row>
    <row r="5317" spans="1:11" x14ac:dyDescent="0.25">
      <c r="A5317" s="1">
        <v>5316</v>
      </c>
      <c r="B5317" s="1">
        <v>9</v>
      </c>
      <c r="C5317" s="3">
        <v>9115271942708</v>
      </c>
      <c r="D5317" s="2">
        <v>44731.463194444441</v>
      </c>
      <c r="E5317" s="2">
        <v>44731.5625</v>
      </c>
      <c r="F5317" s="23">
        <f t="shared" si="249"/>
        <v>9.930555555911269E-2</v>
      </c>
      <c r="G5317" s="24">
        <f t="shared" si="251"/>
        <v>125.87412586961706</v>
      </c>
      <c r="H5317" s="1" t="s">
        <v>1</v>
      </c>
      <c r="I5317" s="4" t="s">
        <v>2</v>
      </c>
      <c r="J5317" s="14">
        <v>0.46319444444444446</v>
      </c>
      <c r="K5317" s="20" t="str">
        <f t="shared" si="250"/>
        <v>1st Shift</v>
      </c>
    </row>
    <row r="5318" spans="1:11" x14ac:dyDescent="0.25">
      <c r="A5318" s="1">
        <v>5317</v>
      </c>
      <c r="B5318" s="1">
        <v>9</v>
      </c>
      <c r="C5318" s="3">
        <v>9115271942700</v>
      </c>
      <c r="D5318" s="2">
        <v>44731.463194444441</v>
      </c>
      <c r="E5318" s="2">
        <v>44731.5625</v>
      </c>
      <c r="F5318" s="23">
        <f t="shared" si="249"/>
        <v>9.930555555911269E-2</v>
      </c>
      <c r="G5318" s="24">
        <f t="shared" si="251"/>
        <v>125.87412586961706</v>
      </c>
      <c r="H5318" s="1" t="s">
        <v>1</v>
      </c>
      <c r="I5318" s="4" t="s">
        <v>3</v>
      </c>
      <c r="J5318" s="14">
        <v>0.46319444444444446</v>
      </c>
      <c r="K5318" s="20" t="str">
        <f t="shared" si="250"/>
        <v>1st Shift</v>
      </c>
    </row>
    <row r="5319" spans="1:11" x14ac:dyDescent="0.25">
      <c r="A5319" s="1">
        <v>5318</v>
      </c>
      <c r="B5319" s="1">
        <v>3</v>
      </c>
      <c r="C5319" s="3">
        <v>3115270433400</v>
      </c>
      <c r="D5319" s="2">
        <v>44731.434027777781</v>
      </c>
      <c r="E5319" s="2">
        <v>44731.5625</v>
      </c>
      <c r="F5319" s="23">
        <f t="shared" si="249"/>
        <v>0.12847222221898846</v>
      </c>
      <c r="G5319" s="24">
        <f t="shared" si="251"/>
        <v>97.297297299746361</v>
      </c>
      <c r="H5319" s="1" t="s">
        <v>1</v>
      </c>
      <c r="I5319" s="4" t="s">
        <v>3</v>
      </c>
      <c r="J5319" s="14">
        <v>0.43402777777777779</v>
      </c>
      <c r="K5319" s="20" t="str">
        <f t="shared" si="250"/>
        <v>1st Shift</v>
      </c>
    </row>
    <row r="5320" spans="1:11" x14ac:dyDescent="0.25">
      <c r="A5320" s="1">
        <v>5319</v>
      </c>
      <c r="B5320" s="1">
        <v>1</v>
      </c>
      <c r="C5320" s="3">
        <v>1115270037305</v>
      </c>
      <c r="D5320" s="2">
        <v>44731.463194444441</v>
      </c>
      <c r="E5320" s="2">
        <v>44731.5625</v>
      </c>
      <c r="F5320" s="23">
        <f t="shared" si="249"/>
        <v>9.930555555911269E-2</v>
      </c>
      <c r="G5320" s="24">
        <f t="shared" si="251"/>
        <v>125.87412586961706</v>
      </c>
      <c r="H5320" s="1" t="s">
        <v>1</v>
      </c>
      <c r="I5320" s="4" t="s">
        <v>2</v>
      </c>
      <c r="J5320" s="14">
        <v>0.46319444444444446</v>
      </c>
      <c r="K5320" s="20" t="str">
        <f t="shared" si="250"/>
        <v>1st Shift</v>
      </c>
    </row>
    <row r="5321" spans="1:11" x14ac:dyDescent="0.25">
      <c r="A5321" s="1">
        <v>5320</v>
      </c>
      <c r="B5321" s="1">
        <v>1</v>
      </c>
      <c r="C5321" s="3">
        <v>1115270037300</v>
      </c>
      <c r="D5321" s="2">
        <v>44731.463194444441</v>
      </c>
      <c r="E5321" s="2">
        <v>44731.5625</v>
      </c>
      <c r="F5321" s="23">
        <f t="shared" si="249"/>
        <v>9.930555555911269E-2</v>
      </c>
      <c r="G5321" s="24">
        <f t="shared" si="251"/>
        <v>125.87412586961706</v>
      </c>
      <c r="H5321" s="1" t="s">
        <v>1</v>
      </c>
      <c r="I5321" s="4" t="s">
        <v>4</v>
      </c>
      <c r="J5321" s="14">
        <v>0.46319444444444446</v>
      </c>
      <c r="K5321" s="20" t="str">
        <f t="shared" si="250"/>
        <v>1st Shift</v>
      </c>
    </row>
    <row r="5322" spans="1:11" x14ac:dyDescent="0.25">
      <c r="A5322" s="1">
        <v>5321</v>
      </c>
      <c r="B5322" s="1">
        <v>8</v>
      </c>
      <c r="C5322" s="3">
        <v>8115271820404</v>
      </c>
      <c r="D5322" s="2">
        <v>44732.694444444445</v>
      </c>
      <c r="E5322" s="2">
        <v>44732.854166666664</v>
      </c>
      <c r="F5322" s="23">
        <f t="shared" si="249"/>
        <v>0.15972222221898846</v>
      </c>
      <c r="G5322" s="24">
        <f t="shared" si="251"/>
        <v>78.260869566801873</v>
      </c>
      <c r="H5322" s="1" t="s">
        <v>1</v>
      </c>
      <c r="I5322" s="4" t="s">
        <v>2</v>
      </c>
      <c r="J5322" s="14">
        <v>0.69444444444444442</v>
      </c>
      <c r="K5322" s="20" t="str">
        <f t="shared" si="250"/>
        <v>2nd Shift</v>
      </c>
    </row>
    <row r="5323" spans="1:11" x14ac:dyDescent="0.25">
      <c r="A5323" s="1">
        <v>5322</v>
      </c>
      <c r="B5323" s="1">
        <v>8</v>
      </c>
      <c r="C5323" s="3">
        <v>8115271820403</v>
      </c>
      <c r="D5323" s="2">
        <v>44731.694444444445</v>
      </c>
      <c r="E5323" s="2">
        <v>44731.854166666664</v>
      </c>
      <c r="F5323" s="23">
        <f t="shared" si="249"/>
        <v>0.15972222221898846</v>
      </c>
      <c r="G5323" s="24">
        <f t="shared" si="251"/>
        <v>78.260869566801873</v>
      </c>
      <c r="H5323" s="1" t="s">
        <v>1</v>
      </c>
      <c r="I5323" s="4" t="s">
        <v>2</v>
      </c>
      <c r="J5323" s="14">
        <v>0.69444444444444442</v>
      </c>
      <c r="K5323" s="20" t="str">
        <f t="shared" si="250"/>
        <v>2nd Shift</v>
      </c>
    </row>
    <row r="5324" spans="1:11" x14ac:dyDescent="0.25">
      <c r="A5324" s="1">
        <v>5323</v>
      </c>
      <c r="B5324" s="1">
        <v>8</v>
      </c>
      <c r="C5324" s="3">
        <v>8115271820402</v>
      </c>
      <c r="D5324" s="2">
        <v>44731.694444444445</v>
      </c>
      <c r="E5324" s="2">
        <v>44731.854166666664</v>
      </c>
      <c r="F5324" s="23">
        <f t="shared" si="249"/>
        <v>0.15972222221898846</v>
      </c>
      <c r="G5324" s="24">
        <f t="shared" si="251"/>
        <v>78.260869566801873</v>
      </c>
      <c r="H5324" s="1" t="s">
        <v>1</v>
      </c>
      <c r="I5324" s="4" t="s">
        <v>2</v>
      </c>
      <c r="J5324" s="14">
        <v>0.69444444444444442</v>
      </c>
      <c r="K5324" s="20" t="str">
        <f t="shared" si="250"/>
        <v>2nd Shift</v>
      </c>
    </row>
    <row r="5325" spans="1:11" x14ac:dyDescent="0.25">
      <c r="A5325" s="1">
        <v>5324</v>
      </c>
      <c r="B5325" s="1">
        <v>7</v>
      </c>
      <c r="C5325" s="3">
        <v>7115271769609</v>
      </c>
      <c r="D5325" s="2">
        <v>44732.694444444445</v>
      </c>
      <c r="E5325" s="2">
        <v>44732.854166666664</v>
      </c>
      <c r="F5325" s="23">
        <f t="shared" si="249"/>
        <v>0.15972222221898846</v>
      </c>
      <c r="G5325" s="24">
        <f t="shared" si="251"/>
        <v>78.260869566801873</v>
      </c>
      <c r="H5325" s="1" t="s">
        <v>1</v>
      </c>
      <c r="I5325" s="4" t="s">
        <v>2</v>
      </c>
      <c r="J5325" s="14">
        <v>0.69444444444444442</v>
      </c>
      <c r="K5325" s="20" t="str">
        <f t="shared" si="250"/>
        <v>2nd Shift</v>
      </c>
    </row>
    <row r="5326" spans="1:11" x14ac:dyDescent="0.25">
      <c r="A5326" s="1">
        <v>5325</v>
      </c>
      <c r="B5326" s="1">
        <v>7</v>
      </c>
      <c r="C5326" s="3">
        <v>7115271769608</v>
      </c>
      <c r="D5326" s="2">
        <v>44731.694444444445</v>
      </c>
      <c r="E5326" s="2">
        <v>44731.854166666664</v>
      </c>
      <c r="F5326" s="23">
        <f t="shared" si="249"/>
        <v>0.15972222221898846</v>
      </c>
      <c r="G5326" s="24">
        <f t="shared" si="251"/>
        <v>78.260869566801873</v>
      </c>
      <c r="H5326" s="1" t="s">
        <v>1</v>
      </c>
      <c r="I5326" s="4" t="s">
        <v>2</v>
      </c>
      <c r="J5326" s="14">
        <v>0.69444444444444442</v>
      </c>
      <c r="K5326" s="20" t="str">
        <f t="shared" si="250"/>
        <v>2nd Shift</v>
      </c>
    </row>
    <row r="5327" spans="1:11" x14ac:dyDescent="0.25">
      <c r="A5327" s="1">
        <v>5326</v>
      </c>
      <c r="B5327" s="1">
        <v>7</v>
      </c>
      <c r="C5327" s="3">
        <v>7115271769604</v>
      </c>
      <c r="D5327" s="2">
        <v>44731.694444444445</v>
      </c>
      <c r="E5327" s="2">
        <v>44731.854166666664</v>
      </c>
      <c r="F5327" s="23">
        <f t="shared" si="249"/>
        <v>0.15972222221898846</v>
      </c>
      <c r="G5327" s="24">
        <f t="shared" si="251"/>
        <v>78.260869566801873</v>
      </c>
      <c r="H5327" s="1" t="s">
        <v>1</v>
      </c>
      <c r="I5327" s="4" t="s">
        <v>2</v>
      </c>
      <c r="J5327" s="14">
        <v>0.69444444444444442</v>
      </c>
      <c r="K5327" s="20" t="str">
        <f t="shared" si="250"/>
        <v>2nd Shift</v>
      </c>
    </row>
    <row r="5328" spans="1:11" x14ac:dyDescent="0.25">
      <c r="A5328" s="1">
        <v>5327</v>
      </c>
      <c r="B5328" s="1">
        <v>3</v>
      </c>
      <c r="C5328" s="3">
        <v>3115270386307</v>
      </c>
      <c r="D5328" s="2">
        <v>44731.694444444445</v>
      </c>
      <c r="E5328" s="2">
        <v>44731.854166666664</v>
      </c>
      <c r="F5328" s="23">
        <f t="shared" si="249"/>
        <v>0.15972222221898846</v>
      </c>
      <c r="G5328" s="24">
        <f t="shared" si="251"/>
        <v>78.260869566801873</v>
      </c>
      <c r="H5328" s="1" t="s">
        <v>1</v>
      </c>
      <c r="I5328" s="4" t="s">
        <v>3</v>
      </c>
      <c r="J5328" s="14">
        <v>0.69444444444444442</v>
      </c>
      <c r="K5328" s="20" t="str">
        <f t="shared" si="250"/>
        <v>2nd Shift</v>
      </c>
    </row>
    <row r="5329" spans="1:11" x14ac:dyDescent="0.25">
      <c r="A5329" s="1">
        <v>5328</v>
      </c>
      <c r="B5329" s="1">
        <v>3</v>
      </c>
      <c r="C5329" s="3">
        <v>3115270386302</v>
      </c>
      <c r="D5329" s="2">
        <v>44731.694444444445</v>
      </c>
      <c r="E5329" s="2">
        <v>44731.854166666664</v>
      </c>
      <c r="F5329" s="23">
        <f t="shared" si="249"/>
        <v>0.15972222221898846</v>
      </c>
      <c r="G5329" s="24">
        <f t="shared" si="251"/>
        <v>78.260869566801873</v>
      </c>
      <c r="H5329" s="1" t="s">
        <v>1</v>
      </c>
      <c r="I5329" s="4" t="s">
        <v>2</v>
      </c>
      <c r="J5329" s="14">
        <v>0.69444444444444442</v>
      </c>
      <c r="K5329" s="20" t="str">
        <f t="shared" si="250"/>
        <v>2nd Shift</v>
      </c>
    </row>
    <row r="5330" spans="1:11" x14ac:dyDescent="0.25">
      <c r="A5330" s="1">
        <v>5329</v>
      </c>
      <c r="B5330" s="1">
        <v>3</v>
      </c>
      <c r="C5330" s="3">
        <v>3115270386301</v>
      </c>
      <c r="D5330" s="2">
        <v>44732.694444444445</v>
      </c>
      <c r="E5330" s="2">
        <v>44732.854166666664</v>
      </c>
      <c r="F5330" s="23">
        <f t="shared" si="249"/>
        <v>0.15972222221898846</v>
      </c>
      <c r="G5330" s="24">
        <f t="shared" si="251"/>
        <v>78.260869566801873</v>
      </c>
      <c r="H5330" s="1" t="s">
        <v>1</v>
      </c>
      <c r="I5330" s="4" t="s">
        <v>2</v>
      </c>
      <c r="J5330" s="14">
        <v>0.69444444444444442</v>
      </c>
      <c r="K5330" s="20" t="str">
        <f t="shared" si="250"/>
        <v>2nd Shift</v>
      </c>
    </row>
    <row r="5331" spans="1:11" x14ac:dyDescent="0.25">
      <c r="A5331" s="1">
        <v>5330</v>
      </c>
      <c r="B5331" s="1">
        <v>2</v>
      </c>
      <c r="C5331" s="3">
        <v>2115270229903</v>
      </c>
      <c r="D5331" s="2">
        <v>44732.708333333336</v>
      </c>
      <c r="E5331" s="2">
        <v>44732.854166666664</v>
      </c>
      <c r="F5331" s="23">
        <f t="shared" si="249"/>
        <v>0.14583333332848269</v>
      </c>
      <c r="G5331" s="24">
        <f t="shared" si="251"/>
        <v>85.714285717136704</v>
      </c>
      <c r="H5331" s="1" t="s">
        <v>1</v>
      </c>
      <c r="I5331" s="4" t="s">
        <v>2</v>
      </c>
      <c r="J5331" s="14">
        <v>0.70833333333333337</v>
      </c>
      <c r="K5331" s="20" t="str">
        <f t="shared" si="250"/>
        <v>2nd Shift</v>
      </c>
    </row>
    <row r="5332" spans="1:11" x14ac:dyDescent="0.25">
      <c r="A5332" s="1">
        <v>5331</v>
      </c>
      <c r="B5332" s="1">
        <v>2</v>
      </c>
      <c r="C5332" s="3">
        <v>2115270229902</v>
      </c>
      <c r="D5332" s="2">
        <v>44731.708333333336</v>
      </c>
      <c r="E5332" s="2">
        <v>44731.854166666664</v>
      </c>
      <c r="F5332" s="23">
        <f t="shared" si="249"/>
        <v>0.14583333332848269</v>
      </c>
      <c r="G5332" s="24">
        <f t="shared" si="251"/>
        <v>85.714285717136704</v>
      </c>
      <c r="H5332" s="1" t="s">
        <v>1</v>
      </c>
      <c r="I5332" s="4" t="s">
        <v>2</v>
      </c>
      <c r="J5332" s="14">
        <v>0.70833333333333337</v>
      </c>
      <c r="K5332" s="20" t="str">
        <f t="shared" si="250"/>
        <v>2nd Shift</v>
      </c>
    </row>
    <row r="5333" spans="1:11" x14ac:dyDescent="0.25">
      <c r="A5333" s="1">
        <v>5332</v>
      </c>
      <c r="B5333" s="1">
        <v>2</v>
      </c>
      <c r="C5333" s="3">
        <v>2115270229900</v>
      </c>
      <c r="D5333" s="2">
        <v>44731.708333333336</v>
      </c>
      <c r="E5333" s="2">
        <v>44731.854166666664</v>
      </c>
      <c r="F5333" s="23">
        <f t="shared" si="249"/>
        <v>0.14583333332848269</v>
      </c>
      <c r="G5333" s="24">
        <f t="shared" si="251"/>
        <v>85.714285717136704</v>
      </c>
      <c r="H5333" s="1" t="s">
        <v>1</v>
      </c>
      <c r="I5333" s="4" t="s">
        <v>3</v>
      </c>
      <c r="J5333" s="14">
        <v>0.70833333333333337</v>
      </c>
      <c r="K5333" s="20" t="str">
        <f t="shared" si="250"/>
        <v>2nd Shift</v>
      </c>
    </row>
    <row r="5334" spans="1:11" x14ac:dyDescent="0.25">
      <c r="A5334" s="1">
        <v>5333</v>
      </c>
      <c r="B5334" s="1">
        <v>1</v>
      </c>
      <c r="C5334" s="3">
        <v>1115270097409</v>
      </c>
      <c r="D5334" s="2">
        <v>44731.708333333336</v>
      </c>
      <c r="E5334" s="2">
        <v>44731.854166666664</v>
      </c>
      <c r="F5334" s="23">
        <f t="shared" si="249"/>
        <v>0.14583333332848269</v>
      </c>
      <c r="G5334" s="24">
        <f t="shared" si="251"/>
        <v>85.714285717136704</v>
      </c>
      <c r="H5334" s="1" t="s">
        <v>1</v>
      </c>
      <c r="I5334" s="4" t="s">
        <v>2</v>
      </c>
      <c r="J5334" s="14">
        <v>0.70833333333333337</v>
      </c>
      <c r="K5334" s="20" t="str">
        <f t="shared" si="250"/>
        <v>2nd Shift</v>
      </c>
    </row>
    <row r="5335" spans="1:11" x14ac:dyDescent="0.25">
      <c r="A5335" s="1">
        <v>5334</v>
      </c>
      <c r="B5335" s="1">
        <v>1</v>
      </c>
      <c r="C5335" s="3">
        <v>1115270097405</v>
      </c>
      <c r="D5335" s="2">
        <v>44732.708333333336</v>
      </c>
      <c r="E5335" s="2">
        <v>44732.854166666664</v>
      </c>
      <c r="F5335" s="23">
        <f t="shared" si="249"/>
        <v>0.14583333332848269</v>
      </c>
      <c r="G5335" s="24">
        <f t="shared" si="251"/>
        <v>85.714285717136704</v>
      </c>
      <c r="H5335" s="1" t="s">
        <v>1</v>
      </c>
      <c r="I5335" s="4" t="s">
        <v>2</v>
      </c>
      <c r="J5335" s="14">
        <v>0.70833333333333337</v>
      </c>
      <c r="K5335" s="20" t="str">
        <f t="shared" si="250"/>
        <v>2nd Shift</v>
      </c>
    </row>
    <row r="5336" spans="1:11" x14ac:dyDescent="0.25">
      <c r="A5336" s="1">
        <v>5335</v>
      </c>
      <c r="B5336" s="1">
        <v>1</v>
      </c>
      <c r="C5336" s="3">
        <v>1115270097400</v>
      </c>
      <c r="D5336" s="2">
        <v>44731.708333333336</v>
      </c>
      <c r="E5336" s="2">
        <v>44731.854166666664</v>
      </c>
      <c r="F5336" s="23">
        <f t="shared" si="249"/>
        <v>0.14583333332848269</v>
      </c>
      <c r="G5336" s="24">
        <f t="shared" si="251"/>
        <v>85.714285717136704</v>
      </c>
      <c r="H5336" s="1" t="s">
        <v>1</v>
      </c>
      <c r="I5336" s="4" t="s">
        <v>2</v>
      </c>
      <c r="J5336" s="14">
        <v>0.70833333333333337</v>
      </c>
      <c r="K5336" s="20" t="str">
        <f t="shared" si="250"/>
        <v>2nd Shift</v>
      </c>
    </row>
    <row r="5337" spans="1:11" x14ac:dyDescent="0.25">
      <c r="A5337" s="1">
        <v>5336</v>
      </c>
      <c r="B5337" s="1">
        <v>10</v>
      </c>
      <c r="C5337" s="3">
        <v>10115271433907</v>
      </c>
      <c r="D5337" s="2">
        <v>44731.881944444445</v>
      </c>
      <c r="E5337" s="2">
        <v>44731.916666666664</v>
      </c>
      <c r="F5337" s="23">
        <f t="shared" si="249"/>
        <v>3.4722222218988463E-2</v>
      </c>
      <c r="G5337" s="24">
        <f t="shared" si="251"/>
        <v>360.00000003352761</v>
      </c>
      <c r="H5337" s="1" t="s">
        <v>1</v>
      </c>
      <c r="I5337" s="4" t="s">
        <v>2</v>
      </c>
      <c r="J5337" s="14">
        <v>0.88194444444444442</v>
      </c>
      <c r="K5337" s="20" t="str">
        <f t="shared" si="250"/>
        <v>2nd Shift</v>
      </c>
    </row>
    <row r="5338" spans="1:11" x14ac:dyDescent="0.25">
      <c r="A5338" s="1">
        <v>5337</v>
      </c>
      <c r="B5338" s="1">
        <v>10</v>
      </c>
      <c r="C5338" s="3">
        <v>10115271433907</v>
      </c>
      <c r="D5338" s="2">
        <v>44732.881944444445</v>
      </c>
      <c r="E5338" s="2">
        <v>44732.916666666664</v>
      </c>
      <c r="F5338" s="23">
        <f t="shared" si="249"/>
        <v>3.4722222218988463E-2</v>
      </c>
      <c r="G5338" s="24">
        <f t="shared" si="251"/>
        <v>360.00000003352761</v>
      </c>
      <c r="H5338" s="1" t="s">
        <v>1</v>
      </c>
      <c r="I5338" s="4" t="s">
        <v>3</v>
      </c>
      <c r="J5338" s="14">
        <v>0.88194444444444442</v>
      </c>
      <c r="K5338" s="20" t="str">
        <f t="shared" si="250"/>
        <v>2nd Shift</v>
      </c>
    </row>
    <row r="5339" spans="1:11" x14ac:dyDescent="0.25">
      <c r="A5339" s="1">
        <v>5338</v>
      </c>
      <c r="B5339" s="1">
        <v>10</v>
      </c>
      <c r="C5339" s="3">
        <v>10115271433901</v>
      </c>
      <c r="D5339" s="2">
        <v>44731.881944444445</v>
      </c>
      <c r="E5339" s="2">
        <v>44731.916666666664</v>
      </c>
      <c r="F5339" s="23">
        <f t="shared" si="249"/>
        <v>3.4722222218988463E-2</v>
      </c>
      <c r="G5339" s="24">
        <f t="shared" si="251"/>
        <v>360.00000003352761</v>
      </c>
      <c r="H5339" s="1" t="s">
        <v>1</v>
      </c>
      <c r="I5339" s="4" t="s">
        <v>4</v>
      </c>
      <c r="J5339" s="14">
        <v>0.88194444444444442</v>
      </c>
      <c r="K5339" s="20" t="str">
        <f t="shared" si="250"/>
        <v>2nd Shift</v>
      </c>
    </row>
    <row r="5340" spans="1:11" x14ac:dyDescent="0.25">
      <c r="A5340" s="1">
        <v>5339</v>
      </c>
      <c r="B5340" s="1">
        <v>6</v>
      </c>
      <c r="C5340" s="3">
        <v>6115271721709</v>
      </c>
      <c r="D5340" s="2">
        <v>44731.940972222219</v>
      </c>
      <c r="E5340" s="2">
        <v>44732.020833333336</v>
      </c>
      <c r="F5340" s="23">
        <f t="shared" si="249"/>
        <v>7.9861111116770189E-2</v>
      </c>
      <c r="G5340" s="24">
        <f t="shared" si="251"/>
        <v>156.52173911934341</v>
      </c>
      <c r="H5340" s="1" t="s">
        <v>1</v>
      </c>
      <c r="I5340" s="4" t="s">
        <v>3</v>
      </c>
      <c r="J5340" s="14">
        <v>0.94097222222222221</v>
      </c>
      <c r="K5340" s="20" t="str">
        <f t="shared" si="250"/>
        <v>3rd Shift</v>
      </c>
    </row>
    <row r="5341" spans="1:11" x14ac:dyDescent="0.25">
      <c r="A5341" s="1">
        <v>5340</v>
      </c>
      <c r="B5341" s="1">
        <v>6</v>
      </c>
      <c r="C5341" s="3">
        <v>6115271721708</v>
      </c>
      <c r="D5341" s="2">
        <v>44731.940972222219</v>
      </c>
      <c r="E5341" s="2">
        <v>44732.020833333336</v>
      </c>
      <c r="F5341" s="23">
        <f t="shared" si="249"/>
        <v>7.9861111116770189E-2</v>
      </c>
      <c r="G5341" s="24">
        <f t="shared" si="251"/>
        <v>156.52173911934341</v>
      </c>
      <c r="H5341" s="1" t="s">
        <v>1</v>
      </c>
      <c r="I5341" s="4" t="s">
        <v>3</v>
      </c>
      <c r="J5341" s="14">
        <v>0.94097222222222221</v>
      </c>
      <c r="K5341" s="20" t="str">
        <f t="shared" si="250"/>
        <v>3rd Shift</v>
      </c>
    </row>
    <row r="5342" spans="1:11" x14ac:dyDescent="0.25">
      <c r="A5342" s="1">
        <v>5341</v>
      </c>
      <c r="B5342" s="1">
        <v>6</v>
      </c>
      <c r="C5342" s="3">
        <v>6115271721703</v>
      </c>
      <c r="D5342" s="2">
        <v>44732.940972222219</v>
      </c>
      <c r="E5342" s="2">
        <v>44733.020833333336</v>
      </c>
      <c r="F5342" s="23">
        <f t="shared" si="249"/>
        <v>7.9861111116770189E-2</v>
      </c>
      <c r="G5342" s="24">
        <f t="shared" si="251"/>
        <v>156.52173911934341</v>
      </c>
      <c r="H5342" s="1" t="s">
        <v>1</v>
      </c>
      <c r="I5342" s="4" t="s">
        <v>2</v>
      </c>
      <c r="J5342" s="14">
        <v>0.94097222222222221</v>
      </c>
      <c r="K5342" s="20" t="str">
        <f t="shared" si="250"/>
        <v>3rd Shift</v>
      </c>
    </row>
    <row r="5343" spans="1:11" x14ac:dyDescent="0.25">
      <c r="A5343" s="1">
        <v>5342</v>
      </c>
      <c r="B5343" s="1">
        <v>1</v>
      </c>
      <c r="C5343" s="3">
        <v>1115270067105</v>
      </c>
      <c r="D5343" s="2">
        <v>44731.940972222219</v>
      </c>
      <c r="E5343" s="2">
        <v>44732.020833333336</v>
      </c>
      <c r="F5343" s="23">
        <f t="shared" si="249"/>
        <v>7.9861111116770189E-2</v>
      </c>
      <c r="G5343" s="24">
        <f t="shared" si="251"/>
        <v>156.52173911934341</v>
      </c>
      <c r="H5343" s="1" t="s">
        <v>1</v>
      </c>
      <c r="I5343" s="4" t="s">
        <v>3</v>
      </c>
      <c r="J5343" s="14">
        <v>0.94097222222222221</v>
      </c>
      <c r="K5343" s="20" t="str">
        <f t="shared" si="250"/>
        <v>3rd Shift</v>
      </c>
    </row>
    <row r="5344" spans="1:11" x14ac:dyDescent="0.25">
      <c r="A5344" s="1">
        <v>5343</v>
      </c>
      <c r="B5344" s="1">
        <v>1</v>
      </c>
      <c r="C5344" s="3">
        <v>1115270067105</v>
      </c>
      <c r="D5344" s="2">
        <v>44732.940972222219</v>
      </c>
      <c r="E5344" s="2">
        <v>44733.020833333336</v>
      </c>
      <c r="F5344" s="23">
        <f t="shared" si="249"/>
        <v>7.9861111116770189E-2</v>
      </c>
      <c r="G5344" s="24">
        <f t="shared" si="251"/>
        <v>156.52173911934341</v>
      </c>
      <c r="H5344" s="1" t="s">
        <v>1</v>
      </c>
      <c r="I5344" s="4" t="s">
        <v>8</v>
      </c>
      <c r="J5344" s="14">
        <v>0.94097222222222221</v>
      </c>
      <c r="K5344" s="20" t="str">
        <f t="shared" si="250"/>
        <v>3rd Shift</v>
      </c>
    </row>
    <row r="5345" spans="1:11" x14ac:dyDescent="0.25">
      <c r="A5345" s="1">
        <v>5344</v>
      </c>
      <c r="B5345" s="1">
        <v>1</v>
      </c>
      <c r="C5345" s="3">
        <v>1115270067100</v>
      </c>
      <c r="D5345" s="2">
        <v>44731.940972222219</v>
      </c>
      <c r="E5345" s="2">
        <v>44732.020833333336</v>
      </c>
      <c r="F5345" s="23">
        <f t="shared" si="249"/>
        <v>7.9861111116770189E-2</v>
      </c>
      <c r="G5345" s="24">
        <f t="shared" si="251"/>
        <v>156.52173911934341</v>
      </c>
      <c r="H5345" s="1" t="s">
        <v>1</v>
      </c>
      <c r="I5345" s="4" t="s">
        <v>3</v>
      </c>
      <c r="J5345" s="14">
        <v>0.94097222222222221</v>
      </c>
      <c r="K5345" s="20" t="str">
        <f t="shared" si="250"/>
        <v>3rd Shift</v>
      </c>
    </row>
    <row r="5346" spans="1:11" x14ac:dyDescent="0.25">
      <c r="A5346" s="1">
        <v>5345</v>
      </c>
      <c r="B5346" s="1">
        <v>12</v>
      </c>
      <c r="C5346" s="3">
        <v>12115271563008</v>
      </c>
      <c r="D5346" s="2">
        <v>44732.395833333336</v>
      </c>
      <c r="E5346" s="2">
        <v>44733.576388888891</v>
      </c>
      <c r="F5346" s="23">
        <f t="shared" si="249"/>
        <v>1.1805555555547471</v>
      </c>
      <c r="G5346" s="24">
        <f t="shared" si="251"/>
        <v>10.588235294124898</v>
      </c>
      <c r="H5346" s="1" t="s">
        <v>1</v>
      </c>
      <c r="I5346" s="4" t="s">
        <v>2</v>
      </c>
      <c r="J5346" s="14">
        <v>0.39583333333333331</v>
      </c>
      <c r="K5346" s="20" t="str">
        <f t="shared" si="250"/>
        <v>1st Shift</v>
      </c>
    </row>
    <row r="5347" spans="1:11" x14ac:dyDescent="0.25">
      <c r="A5347" s="1">
        <v>5346</v>
      </c>
      <c r="B5347" s="1">
        <v>12</v>
      </c>
      <c r="C5347" s="3">
        <v>12115271563003</v>
      </c>
      <c r="D5347" s="2">
        <v>44732.395833333336</v>
      </c>
      <c r="E5347" s="2">
        <v>44733.576388888891</v>
      </c>
      <c r="F5347" s="23">
        <f t="shared" si="249"/>
        <v>1.1805555555547471</v>
      </c>
      <c r="G5347" s="24">
        <f t="shared" si="251"/>
        <v>10.588235294124898</v>
      </c>
      <c r="H5347" s="1" t="s">
        <v>1</v>
      </c>
      <c r="I5347" s="4" t="s">
        <v>3</v>
      </c>
      <c r="J5347" s="14">
        <v>0.39583333333333331</v>
      </c>
      <c r="K5347" s="20" t="str">
        <f t="shared" si="250"/>
        <v>1st Shift</v>
      </c>
    </row>
    <row r="5348" spans="1:11" x14ac:dyDescent="0.25">
      <c r="A5348" s="1">
        <v>5347</v>
      </c>
      <c r="B5348" s="1">
        <v>12</v>
      </c>
      <c r="C5348" s="3">
        <v>12115271563001</v>
      </c>
      <c r="D5348" s="2">
        <v>44733.395833333336</v>
      </c>
      <c r="E5348" s="2">
        <v>44733.576388888891</v>
      </c>
      <c r="F5348" s="23">
        <f t="shared" si="249"/>
        <v>0.18055555555474712</v>
      </c>
      <c r="G5348" s="24">
        <f t="shared" si="251"/>
        <v>69.230769231079208</v>
      </c>
      <c r="H5348" s="1" t="s">
        <v>1</v>
      </c>
      <c r="I5348" s="4" t="s">
        <v>2</v>
      </c>
      <c r="J5348" s="14">
        <v>0.39583333333333331</v>
      </c>
      <c r="K5348" s="20" t="str">
        <f t="shared" si="250"/>
        <v>1st Shift</v>
      </c>
    </row>
    <row r="5349" spans="1:11" x14ac:dyDescent="0.25">
      <c r="A5349" s="1">
        <v>5348</v>
      </c>
      <c r="B5349" s="1">
        <v>12</v>
      </c>
      <c r="C5349" s="3">
        <v>12115271563000</v>
      </c>
      <c r="D5349" s="2">
        <v>44733.395833333336</v>
      </c>
      <c r="E5349" s="2">
        <v>44733.576388888891</v>
      </c>
      <c r="F5349" s="23">
        <f t="shared" si="249"/>
        <v>0.18055555555474712</v>
      </c>
      <c r="G5349" s="24">
        <f t="shared" si="251"/>
        <v>69.230769231079208</v>
      </c>
      <c r="H5349" s="1" t="s">
        <v>1</v>
      </c>
      <c r="I5349" s="4" t="s">
        <v>3</v>
      </c>
      <c r="J5349" s="14">
        <v>0.39583333333333331</v>
      </c>
      <c r="K5349" s="20" t="str">
        <f t="shared" si="250"/>
        <v>1st Shift</v>
      </c>
    </row>
    <row r="5350" spans="1:11" x14ac:dyDescent="0.25">
      <c r="A5350" s="1">
        <v>5349</v>
      </c>
      <c r="B5350" s="1">
        <v>12</v>
      </c>
      <c r="C5350" s="3">
        <v>12115271560116</v>
      </c>
      <c r="D5350" s="2">
        <v>44732.395833333336</v>
      </c>
      <c r="E5350" s="2">
        <v>44733.576388888891</v>
      </c>
      <c r="F5350" s="23">
        <f t="shared" si="249"/>
        <v>1.1805555555547471</v>
      </c>
      <c r="G5350" s="24">
        <f t="shared" si="251"/>
        <v>10.588235294124898</v>
      </c>
      <c r="H5350" s="1" t="s">
        <v>1</v>
      </c>
      <c r="I5350" s="4" t="s">
        <v>2</v>
      </c>
      <c r="J5350" s="14">
        <v>0.39583333333333331</v>
      </c>
      <c r="K5350" s="20" t="str">
        <f t="shared" si="250"/>
        <v>1st Shift</v>
      </c>
    </row>
    <row r="5351" spans="1:11" x14ac:dyDescent="0.25">
      <c r="A5351" s="1">
        <v>5350</v>
      </c>
      <c r="B5351" s="1">
        <v>12</v>
      </c>
      <c r="C5351" s="3">
        <v>12115271560116</v>
      </c>
      <c r="D5351" s="2">
        <v>44732.395833333336</v>
      </c>
      <c r="E5351" s="2">
        <v>44733.576388888891</v>
      </c>
      <c r="F5351" s="23">
        <f t="shared" si="249"/>
        <v>1.1805555555547471</v>
      </c>
      <c r="G5351" s="24">
        <f t="shared" si="251"/>
        <v>10.588235294124898</v>
      </c>
      <c r="H5351" s="1" t="s">
        <v>1</v>
      </c>
      <c r="I5351" s="4" t="s">
        <v>2</v>
      </c>
      <c r="J5351" s="14">
        <v>0.39583333333333331</v>
      </c>
      <c r="K5351" s="20" t="str">
        <f t="shared" si="250"/>
        <v>1st Shift</v>
      </c>
    </row>
    <row r="5352" spans="1:11" x14ac:dyDescent="0.25">
      <c r="A5352" s="1">
        <v>5351</v>
      </c>
      <c r="B5352" s="1">
        <v>12</v>
      </c>
      <c r="C5352" s="3">
        <v>12115271560114</v>
      </c>
      <c r="D5352" s="2">
        <v>44733.395833333336</v>
      </c>
      <c r="E5352" s="2">
        <v>44733.576388888891</v>
      </c>
      <c r="F5352" s="23">
        <f t="shared" si="249"/>
        <v>0.18055555555474712</v>
      </c>
      <c r="G5352" s="24">
        <f t="shared" si="251"/>
        <v>69.230769231079208</v>
      </c>
      <c r="H5352" s="1" t="s">
        <v>1</v>
      </c>
      <c r="I5352" s="4" t="s">
        <v>4</v>
      </c>
      <c r="J5352" s="14">
        <v>0.39583333333333331</v>
      </c>
      <c r="K5352" s="20" t="str">
        <f t="shared" si="250"/>
        <v>1st Shift</v>
      </c>
    </row>
    <row r="5353" spans="1:11" x14ac:dyDescent="0.25">
      <c r="A5353" s="1">
        <v>5352</v>
      </c>
      <c r="B5353" s="1">
        <v>12</v>
      </c>
      <c r="C5353" s="3">
        <v>12115271560113</v>
      </c>
      <c r="D5353" s="2">
        <v>44733.395833333336</v>
      </c>
      <c r="E5353" s="2">
        <v>44733.576388888891</v>
      </c>
      <c r="F5353" s="23">
        <f t="shared" si="249"/>
        <v>0.18055555555474712</v>
      </c>
      <c r="G5353" s="24">
        <f t="shared" si="251"/>
        <v>69.230769231079208</v>
      </c>
      <c r="H5353" s="1" t="s">
        <v>1</v>
      </c>
      <c r="I5353" s="4" t="s">
        <v>3</v>
      </c>
      <c r="J5353" s="14">
        <v>0.39583333333333331</v>
      </c>
      <c r="K5353" s="20" t="str">
        <f t="shared" si="250"/>
        <v>1st Shift</v>
      </c>
    </row>
    <row r="5354" spans="1:11" x14ac:dyDescent="0.25">
      <c r="A5354" s="1">
        <v>5353</v>
      </c>
      <c r="B5354" s="1">
        <v>9</v>
      </c>
      <c r="C5354" s="3">
        <v>9115271933512</v>
      </c>
      <c r="D5354" s="2">
        <v>44732.395833333336</v>
      </c>
      <c r="E5354" s="2">
        <v>44733.576388888891</v>
      </c>
      <c r="F5354" s="23">
        <f t="shared" si="249"/>
        <v>1.1805555555547471</v>
      </c>
      <c r="G5354" s="24">
        <f t="shared" si="251"/>
        <v>10.588235294124898</v>
      </c>
      <c r="H5354" s="1" t="s">
        <v>1</v>
      </c>
      <c r="I5354" s="4" t="s">
        <v>8</v>
      </c>
      <c r="J5354" s="14">
        <v>0.39583333333333331</v>
      </c>
      <c r="K5354" s="20" t="str">
        <f t="shared" si="250"/>
        <v>1st Shift</v>
      </c>
    </row>
    <row r="5355" spans="1:11" x14ac:dyDescent="0.25">
      <c r="A5355" s="1">
        <v>5354</v>
      </c>
      <c r="B5355" s="1">
        <v>9</v>
      </c>
      <c r="C5355" s="3">
        <v>9115271933510</v>
      </c>
      <c r="D5355" s="2">
        <v>44732.395833333336</v>
      </c>
      <c r="E5355" s="2">
        <v>44733.576388888891</v>
      </c>
      <c r="F5355" s="23">
        <f t="shared" si="249"/>
        <v>1.1805555555547471</v>
      </c>
      <c r="G5355" s="24">
        <f t="shared" si="251"/>
        <v>10.588235294124898</v>
      </c>
      <c r="H5355" s="1" t="s">
        <v>1</v>
      </c>
      <c r="I5355" s="4" t="s">
        <v>2</v>
      </c>
      <c r="J5355" s="14">
        <v>0.39583333333333331</v>
      </c>
      <c r="K5355" s="20" t="str">
        <f t="shared" si="250"/>
        <v>1st Shift</v>
      </c>
    </row>
    <row r="5356" spans="1:11" x14ac:dyDescent="0.25">
      <c r="A5356" s="1">
        <v>5355</v>
      </c>
      <c r="B5356" s="1">
        <v>9</v>
      </c>
      <c r="C5356" s="3">
        <v>9115271933502</v>
      </c>
      <c r="D5356" s="2">
        <v>44733.395833333336</v>
      </c>
      <c r="E5356" s="2">
        <v>44733.576388888891</v>
      </c>
      <c r="F5356" s="23">
        <f t="shared" si="249"/>
        <v>0.18055555555474712</v>
      </c>
      <c r="G5356" s="24">
        <f t="shared" si="251"/>
        <v>69.230769231079208</v>
      </c>
      <c r="H5356" s="1" t="s">
        <v>1</v>
      </c>
      <c r="I5356" s="4" t="s">
        <v>3</v>
      </c>
      <c r="J5356" s="14">
        <v>0.39583333333333331</v>
      </c>
      <c r="K5356" s="20" t="str">
        <f t="shared" si="250"/>
        <v>1st Shift</v>
      </c>
    </row>
    <row r="5357" spans="1:11" x14ac:dyDescent="0.25">
      <c r="A5357" s="1">
        <v>5356</v>
      </c>
      <c r="B5357" s="1">
        <v>9</v>
      </c>
      <c r="C5357" s="3">
        <v>9115271933500</v>
      </c>
      <c r="D5357" s="2">
        <v>44733.395833333336</v>
      </c>
      <c r="E5357" s="2">
        <v>44733.576388888891</v>
      </c>
      <c r="F5357" s="23">
        <f t="shared" si="249"/>
        <v>0.18055555555474712</v>
      </c>
      <c r="G5357" s="24">
        <f t="shared" si="251"/>
        <v>69.230769231079208</v>
      </c>
      <c r="H5357" s="1" t="s">
        <v>1</v>
      </c>
      <c r="I5357" s="4" t="s">
        <v>8</v>
      </c>
      <c r="J5357" s="14">
        <v>0.39583333333333331</v>
      </c>
      <c r="K5357" s="20" t="str">
        <f t="shared" si="250"/>
        <v>1st Shift</v>
      </c>
    </row>
    <row r="5358" spans="1:11" x14ac:dyDescent="0.25">
      <c r="A5358" s="1">
        <v>5357</v>
      </c>
      <c r="B5358" s="1">
        <v>5</v>
      </c>
      <c r="C5358" s="3">
        <v>5115271239408</v>
      </c>
      <c r="D5358" s="2">
        <v>44732.395833333336</v>
      </c>
      <c r="E5358" s="2">
        <v>44733.576388888891</v>
      </c>
      <c r="F5358" s="23">
        <f t="shared" si="249"/>
        <v>1.1805555555547471</v>
      </c>
      <c r="G5358" s="24">
        <f t="shared" si="251"/>
        <v>10.588235294124898</v>
      </c>
      <c r="H5358" s="1" t="s">
        <v>1</v>
      </c>
      <c r="I5358" s="4" t="s">
        <v>2</v>
      </c>
      <c r="J5358" s="14">
        <v>0.39583333333333331</v>
      </c>
      <c r="K5358" s="20" t="str">
        <f t="shared" si="250"/>
        <v>1st Shift</v>
      </c>
    </row>
    <row r="5359" spans="1:11" x14ac:dyDescent="0.25">
      <c r="A5359" s="1">
        <v>5358</v>
      </c>
      <c r="B5359" s="1">
        <v>5</v>
      </c>
      <c r="C5359" s="3">
        <v>5115271239406</v>
      </c>
      <c r="D5359" s="2">
        <v>44732.395833333336</v>
      </c>
      <c r="E5359" s="2">
        <v>44733.576388888891</v>
      </c>
      <c r="F5359" s="23">
        <f t="shared" si="249"/>
        <v>1.1805555555547471</v>
      </c>
      <c r="G5359" s="24">
        <f t="shared" si="251"/>
        <v>10.588235294124898</v>
      </c>
      <c r="H5359" s="1" t="s">
        <v>1</v>
      </c>
      <c r="I5359" s="4" t="s">
        <v>2</v>
      </c>
      <c r="J5359" s="14">
        <v>0.39583333333333331</v>
      </c>
      <c r="K5359" s="20" t="str">
        <f t="shared" si="250"/>
        <v>1st Shift</v>
      </c>
    </row>
    <row r="5360" spans="1:11" x14ac:dyDescent="0.25">
      <c r="A5360" s="1">
        <v>5359</v>
      </c>
      <c r="B5360" s="1">
        <v>5</v>
      </c>
      <c r="C5360" s="3">
        <v>5115271239401</v>
      </c>
      <c r="D5360" s="2">
        <v>44733.395833333336</v>
      </c>
      <c r="E5360" s="2">
        <v>44733.576388888891</v>
      </c>
      <c r="F5360" s="23">
        <f t="shared" si="249"/>
        <v>0.18055555555474712</v>
      </c>
      <c r="G5360" s="24">
        <f t="shared" si="251"/>
        <v>69.230769231079208</v>
      </c>
      <c r="H5360" s="1" t="s">
        <v>1</v>
      </c>
      <c r="I5360" s="4" t="s">
        <v>3</v>
      </c>
      <c r="J5360" s="14">
        <v>0.39583333333333331</v>
      </c>
      <c r="K5360" s="20" t="str">
        <f t="shared" si="250"/>
        <v>1st Shift</v>
      </c>
    </row>
    <row r="5361" spans="1:11" x14ac:dyDescent="0.25">
      <c r="A5361" s="1">
        <v>5360</v>
      </c>
      <c r="B5361" s="1">
        <v>5</v>
      </c>
      <c r="C5361" s="3">
        <v>5115271239400</v>
      </c>
      <c r="D5361" s="2">
        <v>44733.395833333336</v>
      </c>
      <c r="E5361" s="2">
        <v>44733.576388888891</v>
      </c>
      <c r="F5361" s="23">
        <f t="shared" si="249"/>
        <v>0.18055555555474712</v>
      </c>
      <c r="G5361" s="24">
        <f t="shared" si="251"/>
        <v>69.230769231079208</v>
      </c>
      <c r="H5361" s="1" t="s">
        <v>1</v>
      </c>
      <c r="I5361" s="4" t="s">
        <v>3</v>
      </c>
      <c r="J5361" s="14">
        <v>0.39583333333333331</v>
      </c>
      <c r="K5361" s="20" t="str">
        <f t="shared" si="250"/>
        <v>1st Shift</v>
      </c>
    </row>
    <row r="5362" spans="1:11" x14ac:dyDescent="0.25">
      <c r="A5362" s="1">
        <v>5361</v>
      </c>
      <c r="B5362" s="1">
        <v>3</v>
      </c>
      <c r="C5362" s="3">
        <v>3115270370508</v>
      </c>
      <c r="D5362" s="2">
        <v>44732.645833333336</v>
      </c>
      <c r="E5362" s="2">
        <v>44733.6875</v>
      </c>
      <c r="F5362" s="23">
        <f t="shared" si="249"/>
        <v>1.0416666666642413</v>
      </c>
      <c r="G5362" s="24">
        <f t="shared" si="251"/>
        <v>12.00000000002794</v>
      </c>
      <c r="H5362" s="1" t="s">
        <v>1</v>
      </c>
      <c r="I5362" s="4" t="s">
        <v>2</v>
      </c>
      <c r="J5362" s="14">
        <v>0.64583333333333337</v>
      </c>
      <c r="K5362" s="20" t="str">
        <f t="shared" si="250"/>
        <v>2nd Shift</v>
      </c>
    </row>
    <row r="5363" spans="1:11" x14ac:dyDescent="0.25">
      <c r="A5363" s="1">
        <v>5362</v>
      </c>
      <c r="B5363" s="1">
        <v>3</v>
      </c>
      <c r="C5363" s="3">
        <v>3115270370506</v>
      </c>
      <c r="D5363" s="2">
        <v>44733.645833333336</v>
      </c>
      <c r="E5363" s="2">
        <v>44733.6875</v>
      </c>
      <c r="F5363" s="23">
        <f t="shared" si="249"/>
        <v>4.1666666664241347E-2</v>
      </c>
      <c r="G5363" s="24">
        <f t="shared" si="251"/>
        <v>300.0000000174623</v>
      </c>
      <c r="H5363" s="1" t="s">
        <v>1</v>
      </c>
      <c r="I5363" s="4" t="s">
        <v>3</v>
      </c>
      <c r="J5363" s="14">
        <v>0.64583333333333337</v>
      </c>
      <c r="K5363" s="20" t="str">
        <f t="shared" si="250"/>
        <v>2nd Shift</v>
      </c>
    </row>
    <row r="5364" spans="1:11" x14ac:dyDescent="0.25">
      <c r="A5364" s="1">
        <v>5363</v>
      </c>
      <c r="B5364" s="1">
        <v>3</v>
      </c>
      <c r="C5364" s="3">
        <v>3115270370505</v>
      </c>
      <c r="D5364" s="2">
        <v>44732.645833333336</v>
      </c>
      <c r="E5364" s="2">
        <v>44733.6875</v>
      </c>
      <c r="F5364" s="23">
        <f t="shared" si="249"/>
        <v>1.0416666666642413</v>
      </c>
      <c r="G5364" s="24">
        <f t="shared" si="251"/>
        <v>12.00000000002794</v>
      </c>
      <c r="H5364" s="1" t="s">
        <v>1</v>
      </c>
      <c r="I5364" s="4" t="s">
        <v>2</v>
      </c>
      <c r="J5364" s="14">
        <v>0.64583333333333337</v>
      </c>
      <c r="K5364" s="20" t="str">
        <f t="shared" si="250"/>
        <v>2nd Shift</v>
      </c>
    </row>
    <row r="5365" spans="1:11" x14ac:dyDescent="0.25">
      <c r="A5365" s="1">
        <v>5364</v>
      </c>
      <c r="B5365" s="1">
        <v>3</v>
      </c>
      <c r="C5365" s="3">
        <v>3115270370501</v>
      </c>
      <c r="D5365" s="2">
        <v>44733.645833333336</v>
      </c>
      <c r="E5365" s="2">
        <v>44733.6875</v>
      </c>
      <c r="F5365" s="23">
        <f t="shared" si="249"/>
        <v>4.1666666664241347E-2</v>
      </c>
      <c r="G5365" s="24">
        <f t="shared" si="251"/>
        <v>300.0000000174623</v>
      </c>
      <c r="H5365" s="1" t="s">
        <v>1</v>
      </c>
      <c r="I5365" s="4" t="s">
        <v>3</v>
      </c>
      <c r="J5365" s="14">
        <v>0.64583333333333337</v>
      </c>
      <c r="K5365" s="20" t="str">
        <f t="shared" si="250"/>
        <v>2nd Shift</v>
      </c>
    </row>
    <row r="5366" spans="1:11" x14ac:dyDescent="0.25">
      <c r="A5366" s="1">
        <v>5365</v>
      </c>
      <c r="B5366" s="1">
        <v>15</v>
      </c>
      <c r="C5366" s="3">
        <v>15115271770509</v>
      </c>
      <c r="D5366" s="2">
        <v>44733.75</v>
      </c>
      <c r="E5366" s="2">
        <v>44733.868055555555</v>
      </c>
      <c r="F5366" s="23">
        <f t="shared" si="249"/>
        <v>0.11805555555474712</v>
      </c>
      <c r="G5366" s="24">
        <f t="shared" si="251"/>
        <v>105.88235294190156</v>
      </c>
      <c r="H5366" s="1" t="s">
        <v>1</v>
      </c>
      <c r="I5366" s="4" t="s">
        <v>3</v>
      </c>
      <c r="J5366" s="14">
        <v>0.75</v>
      </c>
      <c r="K5366" s="20" t="str">
        <f t="shared" si="250"/>
        <v>2nd Shift</v>
      </c>
    </row>
    <row r="5367" spans="1:11" x14ac:dyDescent="0.25">
      <c r="A5367" s="1">
        <v>5366</v>
      </c>
      <c r="B5367" s="1">
        <v>15</v>
      </c>
      <c r="C5367" s="3">
        <v>15115271770508</v>
      </c>
      <c r="D5367" s="2">
        <v>44733.75</v>
      </c>
      <c r="E5367" s="2">
        <v>44733.868055555555</v>
      </c>
      <c r="F5367" s="23">
        <f t="shared" si="249"/>
        <v>0.11805555555474712</v>
      </c>
      <c r="G5367" s="24">
        <f t="shared" si="251"/>
        <v>105.88235294190156</v>
      </c>
      <c r="H5367" s="1" t="s">
        <v>1</v>
      </c>
      <c r="I5367" s="4" t="s">
        <v>3</v>
      </c>
      <c r="J5367" s="14">
        <v>0.75</v>
      </c>
      <c r="K5367" s="20" t="str">
        <f t="shared" si="250"/>
        <v>2nd Shift</v>
      </c>
    </row>
    <row r="5368" spans="1:11" x14ac:dyDescent="0.25">
      <c r="A5368" s="1">
        <v>5367</v>
      </c>
      <c r="B5368" s="1">
        <v>6</v>
      </c>
      <c r="C5368" s="3">
        <v>6115271720407</v>
      </c>
      <c r="D5368" s="2">
        <v>44732.75</v>
      </c>
      <c r="E5368" s="2">
        <v>44733.868055555555</v>
      </c>
      <c r="F5368" s="23">
        <f t="shared" si="249"/>
        <v>1.1180555555547471</v>
      </c>
      <c r="G5368" s="24">
        <f t="shared" si="251"/>
        <v>11.180124223610569</v>
      </c>
      <c r="H5368" s="1" t="s">
        <v>1</v>
      </c>
      <c r="I5368" s="4" t="s">
        <v>3</v>
      </c>
      <c r="J5368" s="14">
        <v>0.75</v>
      </c>
      <c r="K5368" s="20" t="str">
        <f t="shared" si="250"/>
        <v>2nd Shift</v>
      </c>
    </row>
    <row r="5369" spans="1:11" x14ac:dyDescent="0.25">
      <c r="A5369" s="1">
        <v>5368</v>
      </c>
      <c r="B5369" s="1">
        <v>6</v>
      </c>
      <c r="C5369" s="3">
        <v>6115271720407</v>
      </c>
      <c r="D5369" s="2">
        <v>44733.75</v>
      </c>
      <c r="E5369" s="2">
        <v>44733.868055555555</v>
      </c>
      <c r="F5369" s="23">
        <f t="shared" si="249"/>
        <v>0.11805555555474712</v>
      </c>
      <c r="G5369" s="24">
        <f t="shared" si="251"/>
        <v>105.88235294190156</v>
      </c>
      <c r="H5369" s="1" t="s">
        <v>1</v>
      </c>
      <c r="I5369" s="4" t="s">
        <v>3</v>
      </c>
      <c r="J5369" s="14">
        <v>0.75</v>
      </c>
      <c r="K5369" s="20" t="str">
        <f t="shared" si="250"/>
        <v>2nd Shift</v>
      </c>
    </row>
    <row r="5370" spans="1:11" x14ac:dyDescent="0.25">
      <c r="A5370" s="1">
        <v>5369</v>
      </c>
      <c r="B5370" s="1">
        <v>6</v>
      </c>
      <c r="C5370" s="3">
        <v>6115271720402</v>
      </c>
      <c r="D5370" s="2">
        <v>44733.75</v>
      </c>
      <c r="E5370" s="2">
        <v>44733.868055555555</v>
      </c>
      <c r="F5370" s="23">
        <f t="shared" si="249"/>
        <v>0.11805555555474712</v>
      </c>
      <c r="G5370" s="24">
        <f t="shared" si="251"/>
        <v>105.88235294190156</v>
      </c>
      <c r="H5370" s="1" t="s">
        <v>1</v>
      </c>
      <c r="I5370" s="4" t="s">
        <v>3</v>
      </c>
      <c r="J5370" s="14">
        <v>0.75</v>
      </c>
      <c r="K5370" s="20" t="str">
        <f t="shared" si="250"/>
        <v>2nd Shift</v>
      </c>
    </row>
    <row r="5371" spans="1:11" x14ac:dyDescent="0.25">
      <c r="A5371" s="1">
        <v>5370</v>
      </c>
      <c r="B5371" s="1">
        <v>1</v>
      </c>
      <c r="C5371" s="3">
        <v>1115270052108</v>
      </c>
      <c r="D5371" s="2">
        <v>44733.947916666664</v>
      </c>
      <c r="E5371" s="2">
        <v>44733.979166666664</v>
      </c>
      <c r="F5371" s="23">
        <f t="shared" si="249"/>
        <v>3.125E-2</v>
      </c>
      <c r="G5371" s="24">
        <f t="shared" si="251"/>
        <v>400</v>
      </c>
      <c r="H5371" s="1" t="s">
        <v>1</v>
      </c>
      <c r="I5371" s="4" t="s">
        <v>3</v>
      </c>
      <c r="J5371" s="14">
        <v>0.94791666666666663</v>
      </c>
      <c r="K5371" s="20" t="str">
        <f t="shared" si="250"/>
        <v>3rd Shift</v>
      </c>
    </row>
    <row r="5372" spans="1:11" x14ac:dyDescent="0.25">
      <c r="A5372" s="1">
        <v>5371</v>
      </c>
      <c r="B5372" s="1">
        <v>1</v>
      </c>
      <c r="C5372" s="3">
        <v>1115270052104</v>
      </c>
      <c r="D5372" s="2">
        <v>44733.947916666664</v>
      </c>
      <c r="E5372" s="2">
        <v>44733.979166666664</v>
      </c>
      <c r="F5372" s="23">
        <f t="shared" si="249"/>
        <v>3.125E-2</v>
      </c>
      <c r="G5372" s="24">
        <f t="shared" si="251"/>
        <v>400</v>
      </c>
      <c r="H5372" s="1" t="s">
        <v>1</v>
      </c>
      <c r="I5372" s="4" t="s">
        <v>3</v>
      </c>
      <c r="J5372" s="14">
        <v>0.94791666666666663</v>
      </c>
      <c r="K5372" s="20" t="str">
        <f t="shared" si="250"/>
        <v>3rd Shift</v>
      </c>
    </row>
    <row r="5373" spans="1:11" x14ac:dyDescent="0.25">
      <c r="A5373" s="1">
        <v>5372</v>
      </c>
      <c r="B5373" s="1">
        <v>1</v>
      </c>
      <c r="C5373" s="3">
        <v>1115270052100</v>
      </c>
      <c r="D5373" s="2">
        <v>44733.947916666664</v>
      </c>
      <c r="E5373" s="2">
        <v>44733.979166666664</v>
      </c>
      <c r="F5373" s="23">
        <f t="shared" si="249"/>
        <v>3.125E-2</v>
      </c>
      <c r="G5373" s="24">
        <f t="shared" si="251"/>
        <v>400</v>
      </c>
      <c r="H5373" s="1" t="s">
        <v>1</v>
      </c>
      <c r="I5373" s="4" t="s">
        <v>3</v>
      </c>
      <c r="J5373" s="14">
        <v>0.94791666666666663</v>
      </c>
      <c r="K5373" s="20" t="str">
        <f t="shared" si="250"/>
        <v>3rd Shift</v>
      </c>
    </row>
    <row r="5374" spans="1:11" x14ac:dyDescent="0.25">
      <c r="A5374" s="1">
        <v>5373</v>
      </c>
      <c r="B5374" s="1">
        <v>12</v>
      </c>
      <c r="C5374" s="3">
        <v>12115271560819</v>
      </c>
      <c r="D5374" s="2">
        <v>44733.996527777781</v>
      </c>
      <c r="E5374" s="2">
        <v>44734.25</v>
      </c>
      <c r="F5374" s="23">
        <f t="shared" si="249"/>
        <v>0.25347222221898846</v>
      </c>
      <c r="G5374" s="24">
        <f t="shared" si="251"/>
        <v>49.31506849377984</v>
      </c>
      <c r="H5374" s="1" t="s">
        <v>1</v>
      </c>
      <c r="I5374" s="4" t="s">
        <v>2</v>
      </c>
      <c r="J5374" s="14">
        <v>0.99652777777777779</v>
      </c>
      <c r="K5374" s="20" t="str">
        <f t="shared" si="250"/>
        <v>3rd Shift</v>
      </c>
    </row>
    <row r="5375" spans="1:11" x14ac:dyDescent="0.25">
      <c r="A5375" s="1">
        <v>5374</v>
      </c>
      <c r="B5375" s="1">
        <v>12</v>
      </c>
      <c r="C5375" s="3">
        <v>12115271560818</v>
      </c>
      <c r="D5375" s="2">
        <v>44733.996527777781</v>
      </c>
      <c r="E5375" s="2">
        <v>44734.25</v>
      </c>
      <c r="F5375" s="23">
        <f t="shared" si="249"/>
        <v>0.25347222221898846</v>
      </c>
      <c r="G5375" s="24">
        <f t="shared" si="251"/>
        <v>49.31506849377984</v>
      </c>
      <c r="H5375" s="1" t="s">
        <v>1</v>
      </c>
      <c r="I5375" s="4" t="s">
        <v>2</v>
      </c>
      <c r="J5375" s="14">
        <v>0.99652777777777779</v>
      </c>
      <c r="K5375" s="20" t="str">
        <f t="shared" si="250"/>
        <v>3rd Shift</v>
      </c>
    </row>
    <row r="5376" spans="1:11" x14ac:dyDescent="0.25">
      <c r="A5376" s="1">
        <v>5375</v>
      </c>
      <c r="B5376" s="1">
        <v>7</v>
      </c>
      <c r="C5376" s="3">
        <v>7115271793205</v>
      </c>
      <c r="D5376" s="2">
        <v>44733.996527777781</v>
      </c>
      <c r="E5376" s="2">
        <v>44734.25</v>
      </c>
      <c r="F5376" s="23">
        <f t="shared" si="249"/>
        <v>0.25347222221898846</v>
      </c>
      <c r="G5376" s="24">
        <f t="shared" si="251"/>
        <v>49.31506849377984</v>
      </c>
      <c r="H5376" s="1" t="s">
        <v>1</v>
      </c>
      <c r="I5376" s="4" t="s">
        <v>3</v>
      </c>
      <c r="J5376" s="14">
        <v>0.99652777777777779</v>
      </c>
      <c r="K5376" s="20" t="str">
        <f t="shared" si="250"/>
        <v>3rd Shift</v>
      </c>
    </row>
    <row r="5377" spans="1:11" x14ac:dyDescent="0.25">
      <c r="A5377" s="1">
        <v>5376</v>
      </c>
      <c r="B5377" s="1">
        <v>7</v>
      </c>
      <c r="C5377" s="3">
        <v>7115271793203</v>
      </c>
      <c r="D5377" s="2">
        <v>44733.996527777781</v>
      </c>
      <c r="E5377" s="2">
        <v>44734.25</v>
      </c>
      <c r="F5377" s="23">
        <f t="shared" si="249"/>
        <v>0.25347222221898846</v>
      </c>
      <c r="G5377" s="24">
        <f t="shared" si="251"/>
        <v>49.31506849377984</v>
      </c>
      <c r="H5377" s="1" t="s">
        <v>1</v>
      </c>
      <c r="I5377" s="4" t="s">
        <v>3</v>
      </c>
      <c r="J5377" s="14">
        <v>0.99652777777777779</v>
      </c>
      <c r="K5377" s="20" t="str">
        <f t="shared" si="250"/>
        <v>3rd Shift</v>
      </c>
    </row>
    <row r="5378" spans="1:11" x14ac:dyDescent="0.25">
      <c r="A5378" s="1">
        <v>5377</v>
      </c>
      <c r="B5378" s="1">
        <v>1</v>
      </c>
      <c r="C5378" s="3">
        <v>1115270028107</v>
      </c>
      <c r="D5378" s="2">
        <v>44733.996527777781</v>
      </c>
      <c r="E5378" s="2">
        <v>44734.25</v>
      </c>
      <c r="F5378" s="23">
        <f t="shared" ref="F5378:F5441" si="252">E5378-D5378</f>
        <v>0.25347222221898846</v>
      </c>
      <c r="G5378" s="24">
        <f t="shared" si="251"/>
        <v>49.31506849377984</v>
      </c>
      <c r="H5378" s="1" t="s">
        <v>1</v>
      </c>
      <c r="I5378" s="4" t="s">
        <v>2</v>
      </c>
      <c r="J5378" s="14">
        <v>0.99652777777777779</v>
      </c>
      <c r="K5378" s="20" t="str">
        <f t="shared" ref="K5378:K5441" si="253">IF(AND(J5378&gt;=$M$3,J5378&lt;$M$4),"1st Shift",IF(AND(J5378&gt;=$M$4,J5378&lt;$M$5),"2nd Shift","3rd Shift"))</f>
        <v>3rd Shift</v>
      </c>
    </row>
    <row r="5379" spans="1:11" x14ac:dyDescent="0.25">
      <c r="A5379" s="1">
        <v>5378</v>
      </c>
      <c r="B5379" s="1">
        <v>1</v>
      </c>
      <c r="C5379" s="3">
        <v>1115270028100</v>
      </c>
      <c r="D5379" s="2">
        <v>44733.996527777781</v>
      </c>
      <c r="E5379" s="2">
        <v>44734.25</v>
      </c>
      <c r="F5379" s="23">
        <f t="shared" si="252"/>
        <v>0.25347222221898846</v>
      </c>
      <c r="G5379" s="24">
        <f t="shared" ref="G5379:G5442" si="254">$M$9/F5379*100</f>
        <v>49.31506849377984</v>
      </c>
      <c r="H5379" s="1" t="s">
        <v>1</v>
      </c>
      <c r="I5379" s="4" t="s">
        <v>2</v>
      </c>
      <c r="J5379" s="14">
        <v>0.99652777777777779</v>
      </c>
      <c r="K5379" s="20" t="str">
        <f t="shared" si="253"/>
        <v>3rd Shift</v>
      </c>
    </row>
    <row r="5380" spans="1:11" x14ac:dyDescent="0.25">
      <c r="A5380" s="1">
        <v>5379</v>
      </c>
      <c r="B5380" s="1">
        <v>1</v>
      </c>
      <c r="C5380" s="3">
        <v>1115270067506</v>
      </c>
      <c r="D5380" s="2">
        <v>44734.305555555555</v>
      </c>
      <c r="E5380" s="2">
        <v>44734.354166666664</v>
      </c>
      <c r="F5380" s="23">
        <f t="shared" si="252"/>
        <v>4.8611111109494232E-2</v>
      </c>
      <c r="G5380" s="24">
        <f t="shared" si="254"/>
        <v>257.14285715141011</v>
      </c>
      <c r="H5380" s="1" t="s">
        <v>1</v>
      </c>
      <c r="I5380" s="4" t="s">
        <v>2</v>
      </c>
      <c r="J5380" s="14">
        <v>0.30555555555555558</v>
      </c>
      <c r="K5380" s="20" t="str">
        <f t="shared" si="253"/>
        <v>1st Shift</v>
      </c>
    </row>
    <row r="5381" spans="1:11" x14ac:dyDescent="0.25">
      <c r="A5381" s="1">
        <v>5380</v>
      </c>
      <c r="B5381" s="1">
        <v>1</v>
      </c>
      <c r="C5381" s="3">
        <v>1115270067503</v>
      </c>
      <c r="D5381" s="2">
        <v>44734.305555555555</v>
      </c>
      <c r="E5381" s="2">
        <v>44734.354166666664</v>
      </c>
      <c r="F5381" s="23">
        <f t="shared" si="252"/>
        <v>4.8611111109494232E-2</v>
      </c>
      <c r="G5381" s="24">
        <f t="shared" si="254"/>
        <v>257.14285715141011</v>
      </c>
      <c r="H5381" s="1" t="s">
        <v>1</v>
      </c>
      <c r="I5381" s="4" t="s">
        <v>2</v>
      </c>
      <c r="J5381" s="14">
        <v>0.30555555555555558</v>
      </c>
      <c r="K5381" s="20" t="str">
        <f t="shared" si="253"/>
        <v>1st Shift</v>
      </c>
    </row>
    <row r="5382" spans="1:11" x14ac:dyDescent="0.25">
      <c r="A5382" s="1">
        <v>5381</v>
      </c>
      <c r="B5382" s="1">
        <v>1</v>
      </c>
      <c r="C5382" s="3">
        <v>1115270067502</v>
      </c>
      <c r="D5382" s="2">
        <v>44734.305555555555</v>
      </c>
      <c r="E5382" s="2">
        <v>44734.354166666664</v>
      </c>
      <c r="F5382" s="23">
        <f t="shared" si="252"/>
        <v>4.8611111109494232E-2</v>
      </c>
      <c r="G5382" s="24">
        <f t="shared" si="254"/>
        <v>257.14285715141011</v>
      </c>
      <c r="H5382" s="1" t="s">
        <v>1</v>
      </c>
      <c r="I5382" s="4" t="s">
        <v>4</v>
      </c>
      <c r="J5382" s="14">
        <v>0.30555555555555558</v>
      </c>
      <c r="K5382" s="20" t="str">
        <f t="shared" si="253"/>
        <v>1st Shift</v>
      </c>
    </row>
    <row r="5383" spans="1:11" x14ac:dyDescent="0.25">
      <c r="A5383" s="1">
        <v>5382</v>
      </c>
      <c r="B5383" s="1">
        <v>1</v>
      </c>
      <c r="C5383" s="3">
        <v>1115270067501</v>
      </c>
      <c r="D5383" s="2">
        <v>44734.305555555555</v>
      </c>
      <c r="E5383" s="2">
        <v>44734.354166666664</v>
      </c>
      <c r="F5383" s="23">
        <f t="shared" si="252"/>
        <v>4.8611111109494232E-2</v>
      </c>
      <c r="G5383" s="24">
        <f t="shared" si="254"/>
        <v>257.14285715141011</v>
      </c>
      <c r="H5383" s="1" t="s">
        <v>1</v>
      </c>
      <c r="I5383" s="4" t="s">
        <v>2</v>
      </c>
      <c r="J5383" s="14">
        <v>0.30555555555555558</v>
      </c>
      <c r="K5383" s="20" t="str">
        <f t="shared" si="253"/>
        <v>1st Shift</v>
      </c>
    </row>
    <row r="5384" spans="1:11" x14ac:dyDescent="0.25">
      <c r="A5384" s="1">
        <v>5383</v>
      </c>
      <c r="B5384" s="1">
        <v>15</v>
      </c>
      <c r="C5384" s="3">
        <v>15115271562409</v>
      </c>
      <c r="D5384" s="2">
        <v>44734.46875</v>
      </c>
      <c r="E5384" s="2">
        <v>44734.579861111109</v>
      </c>
      <c r="F5384" s="23">
        <f t="shared" si="252"/>
        <v>0.11111111110949423</v>
      </c>
      <c r="G5384" s="24">
        <f t="shared" si="254"/>
        <v>112.50000000163709</v>
      </c>
      <c r="H5384" s="1" t="s">
        <v>1</v>
      </c>
      <c r="I5384" s="4" t="s">
        <v>2</v>
      </c>
      <c r="J5384" s="14">
        <v>0.46875</v>
      </c>
      <c r="K5384" s="20" t="str">
        <f t="shared" si="253"/>
        <v>1st Shift</v>
      </c>
    </row>
    <row r="5385" spans="1:11" x14ac:dyDescent="0.25">
      <c r="A5385" s="1">
        <v>5384</v>
      </c>
      <c r="B5385" s="1">
        <v>15</v>
      </c>
      <c r="C5385" s="3">
        <v>15115271562401</v>
      </c>
      <c r="D5385" s="2">
        <v>44734.46875</v>
      </c>
      <c r="E5385" s="2">
        <v>44734.579861111109</v>
      </c>
      <c r="F5385" s="23">
        <f t="shared" si="252"/>
        <v>0.11111111110949423</v>
      </c>
      <c r="G5385" s="24">
        <f t="shared" si="254"/>
        <v>112.50000000163709</v>
      </c>
      <c r="H5385" s="1" t="s">
        <v>1</v>
      </c>
      <c r="I5385" s="4" t="s">
        <v>3</v>
      </c>
      <c r="J5385" s="14">
        <v>0.46875</v>
      </c>
      <c r="K5385" s="20" t="str">
        <f t="shared" si="253"/>
        <v>1st Shift</v>
      </c>
    </row>
    <row r="5386" spans="1:11" x14ac:dyDescent="0.25">
      <c r="A5386" s="1">
        <v>5385</v>
      </c>
      <c r="B5386" s="1">
        <v>14</v>
      </c>
      <c r="C5386" s="3">
        <v>14115271727407</v>
      </c>
      <c r="D5386" s="2">
        <v>44734.46875</v>
      </c>
      <c r="E5386" s="2">
        <v>44734.579861111109</v>
      </c>
      <c r="F5386" s="23">
        <f t="shared" si="252"/>
        <v>0.11111111110949423</v>
      </c>
      <c r="G5386" s="24">
        <f t="shared" si="254"/>
        <v>112.50000000163709</v>
      </c>
      <c r="H5386" s="1" t="s">
        <v>1</v>
      </c>
      <c r="I5386" s="4" t="s">
        <v>2</v>
      </c>
      <c r="J5386" s="14">
        <v>0.46875</v>
      </c>
      <c r="K5386" s="20" t="str">
        <f t="shared" si="253"/>
        <v>1st Shift</v>
      </c>
    </row>
    <row r="5387" spans="1:11" x14ac:dyDescent="0.25">
      <c r="A5387" s="1">
        <v>5386</v>
      </c>
      <c r="B5387" s="1">
        <v>14</v>
      </c>
      <c r="C5387" s="3">
        <v>14115271727403</v>
      </c>
      <c r="D5387" s="2">
        <v>44734.46875</v>
      </c>
      <c r="E5387" s="2">
        <v>44734.579861111109</v>
      </c>
      <c r="F5387" s="23">
        <f t="shared" si="252"/>
        <v>0.11111111110949423</v>
      </c>
      <c r="G5387" s="24">
        <f t="shared" si="254"/>
        <v>112.50000000163709</v>
      </c>
      <c r="H5387" s="1" t="s">
        <v>1</v>
      </c>
      <c r="I5387" s="4" t="s">
        <v>2</v>
      </c>
      <c r="J5387" s="14">
        <v>0.46875</v>
      </c>
      <c r="K5387" s="20" t="str">
        <f t="shared" si="253"/>
        <v>1st Shift</v>
      </c>
    </row>
    <row r="5388" spans="1:11" x14ac:dyDescent="0.25">
      <c r="A5388" s="1">
        <v>5387</v>
      </c>
      <c r="B5388" s="1">
        <v>14</v>
      </c>
      <c r="C5388" s="3">
        <v>14115271727400</v>
      </c>
      <c r="D5388" s="2">
        <v>44734.46875</v>
      </c>
      <c r="E5388" s="2">
        <v>44734.579861111109</v>
      </c>
      <c r="F5388" s="23">
        <f t="shared" si="252"/>
        <v>0.11111111110949423</v>
      </c>
      <c r="G5388" s="24">
        <f t="shared" si="254"/>
        <v>112.50000000163709</v>
      </c>
      <c r="H5388" s="1" t="s">
        <v>1</v>
      </c>
      <c r="I5388" s="4" t="s">
        <v>2</v>
      </c>
      <c r="J5388" s="14">
        <v>0.46875</v>
      </c>
      <c r="K5388" s="20" t="str">
        <f t="shared" si="253"/>
        <v>1st Shift</v>
      </c>
    </row>
    <row r="5389" spans="1:11" x14ac:dyDescent="0.25">
      <c r="A5389" s="1">
        <v>5388</v>
      </c>
      <c r="B5389" s="1">
        <v>11</v>
      </c>
      <c r="C5389" s="3">
        <v>11115271521705</v>
      </c>
      <c r="D5389" s="2">
        <v>44734.46875</v>
      </c>
      <c r="E5389" s="2">
        <v>44734.579861111109</v>
      </c>
      <c r="F5389" s="23">
        <f t="shared" si="252"/>
        <v>0.11111111110949423</v>
      </c>
      <c r="G5389" s="24">
        <f t="shared" si="254"/>
        <v>112.50000000163709</v>
      </c>
      <c r="H5389" s="1" t="s">
        <v>1</v>
      </c>
      <c r="I5389" s="4" t="s">
        <v>2</v>
      </c>
      <c r="J5389" s="14">
        <v>0.46875</v>
      </c>
      <c r="K5389" s="20" t="str">
        <f t="shared" si="253"/>
        <v>1st Shift</v>
      </c>
    </row>
    <row r="5390" spans="1:11" x14ac:dyDescent="0.25">
      <c r="A5390" s="1">
        <v>5389</v>
      </c>
      <c r="B5390" s="1">
        <v>11</v>
      </c>
      <c r="C5390" s="3">
        <v>11115271521703</v>
      </c>
      <c r="D5390" s="2">
        <v>44734.46875</v>
      </c>
      <c r="E5390" s="2">
        <v>44734.579861111109</v>
      </c>
      <c r="F5390" s="23">
        <f t="shared" si="252"/>
        <v>0.11111111110949423</v>
      </c>
      <c r="G5390" s="24">
        <f t="shared" si="254"/>
        <v>112.50000000163709</v>
      </c>
      <c r="H5390" s="1" t="s">
        <v>1</v>
      </c>
      <c r="I5390" s="4" t="s">
        <v>3</v>
      </c>
      <c r="J5390" s="14">
        <v>0.46875</v>
      </c>
      <c r="K5390" s="20" t="str">
        <f t="shared" si="253"/>
        <v>1st Shift</v>
      </c>
    </row>
    <row r="5391" spans="1:11" x14ac:dyDescent="0.25">
      <c r="A5391" s="1">
        <v>5390</v>
      </c>
      <c r="B5391" s="1">
        <v>11</v>
      </c>
      <c r="C5391" s="3">
        <v>11115271521700</v>
      </c>
      <c r="D5391" s="2">
        <v>44734.46875</v>
      </c>
      <c r="E5391" s="2">
        <v>44734.579861111109</v>
      </c>
      <c r="F5391" s="23">
        <f t="shared" si="252"/>
        <v>0.11111111110949423</v>
      </c>
      <c r="G5391" s="24">
        <f t="shared" si="254"/>
        <v>112.50000000163709</v>
      </c>
      <c r="H5391" s="1" t="s">
        <v>1</v>
      </c>
      <c r="I5391" s="4" t="s">
        <v>3</v>
      </c>
      <c r="J5391" s="14">
        <v>0.46875</v>
      </c>
      <c r="K5391" s="20" t="str">
        <f t="shared" si="253"/>
        <v>1st Shift</v>
      </c>
    </row>
    <row r="5392" spans="1:11" x14ac:dyDescent="0.25">
      <c r="A5392" s="1">
        <v>5391</v>
      </c>
      <c r="B5392" s="1">
        <v>11</v>
      </c>
      <c r="C5392" s="3">
        <v>11115271484005</v>
      </c>
      <c r="D5392" s="2">
        <v>44734.46875</v>
      </c>
      <c r="E5392" s="2">
        <v>44734.579861111109</v>
      </c>
      <c r="F5392" s="23">
        <f t="shared" si="252"/>
        <v>0.11111111110949423</v>
      </c>
      <c r="G5392" s="24">
        <f t="shared" si="254"/>
        <v>112.50000000163709</v>
      </c>
      <c r="H5392" s="1" t="s">
        <v>1</v>
      </c>
      <c r="I5392" s="4" t="s">
        <v>2</v>
      </c>
      <c r="J5392" s="14">
        <v>0.46875</v>
      </c>
      <c r="K5392" s="20" t="str">
        <f t="shared" si="253"/>
        <v>1st Shift</v>
      </c>
    </row>
    <row r="5393" spans="1:11" x14ac:dyDescent="0.25">
      <c r="A5393" s="1">
        <v>5392</v>
      </c>
      <c r="B5393" s="1">
        <v>11</v>
      </c>
      <c r="C5393" s="3">
        <v>11115271484001</v>
      </c>
      <c r="D5393" s="2">
        <v>44734.46875</v>
      </c>
      <c r="E5393" s="2">
        <v>44734.579861111109</v>
      </c>
      <c r="F5393" s="23">
        <f t="shared" si="252"/>
        <v>0.11111111110949423</v>
      </c>
      <c r="G5393" s="24">
        <f t="shared" si="254"/>
        <v>112.50000000163709</v>
      </c>
      <c r="H5393" s="1" t="s">
        <v>1</v>
      </c>
      <c r="I5393" s="4" t="s">
        <v>2</v>
      </c>
      <c r="J5393" s="14">
        <v>0.46875</v>
      </c>
      <c r="K5393" s="20" t="str">
        <f t="shared" si="253"/>
        <v>1st Shift</v>
      </c>
    </row>
    <row r="5394" spans="1:11" x14ac:dyDescent="0.25">
      <c r="A5394" s="1">
        <v>5393</v>
      </c>
      <c r="B5394" s="1">
        <v>11</v>
      </c>
      <c r="C5394" s="3">
        <v>11115271484000</v>
      </c>
      <c r="D5394" s="2">
        <v>44734.46875</v>
      </c>
      <c r="E5394" s="2">
        <v>44734.579861111109</v>
      </c>
      <c r="F5394" s="23">
        <f t="shared" si="252"/>
        <v>0.11111111110949423</v>
      </c>
      <c r="G5394" s="24">
        <f t="shared" si="254"/>
        <v>112.50000000163709</v>
      </c>
      <c r="H5394" s="1" t="s">
        <v>1</v>
      </c>
      <c r="I5394" s="4" t="s">
        <v>3</v>
      </c>
      <c r="J5394" s="14">
        <v>0.46875</v>
      </c>
      <c r="K5394" s="20" t="str">
        <f t="shared" si="253"/>
        <v>1st Shift</v>
      </c>
    </row>
    <row r="5395" spans="1:11" x14ac:dyDescent="0.25">
      <c r="A5395" s="1">
        <v>5394</v>
      </c>
      <c r="B5395" s="1">
        <v>13</v>
      </c>
      <c r="C5395" s="3">
        <v>13115271608607</v>
      </c>
      <c r="D5395" s="2">
        <v>44734.6875</v>
      </c>
      <c r="E5395" s="2">
        <v>44734.788194444445</v>
      </c>
      <c r="F5395" s="23">
        <f t="shared" si="252"/>
        <v>0.10069444444525288</v>
      </c>
      <c r="G5395" s="24">
        <f t="shared" si="254"/>
        <v>124.1379310334861</v>
      </c>
      <c r="H5395" s="1" t="s">
        <v>1</v>
      </c>
      <c r="I5395" s="4" t="s">
        <v>2</v>
      </c>
      <c r="J5395" s="14">
        <v>0.6875</v>
      </c>
      <c r="K5395" s="20" t="str">
        <f t="shared" si="253"/>
        <v>2nd Shift</v>
      </c>
    </row>
    <row r="5396" spans="1:11" x14ac:dyDescent="0.25">
      <c r="A5396" s="1">
        <v>5395</v>
      </c>
      <c r="B5396" s="1">
        <v>13</v>
      </c>
      <c r="C5396" s="3">
        <v>13115271608606</v>
      </c>
      <c r="D5396" s="2">
        <v>44734.6875</v>
      </c>
      <c r="E5396" s="2">
        <v>44734.788194444445</v>
      </c>
      <c r="F5396" s="23">
        <f t="shared" si="252"/>
        <v>0.10069444444525288</v>
      </c>
      <c r="G5396" s="24">
        <f t="shared" si="254"/>
        <v>124.1379310334861</v>
      </c>
      <c r="H5396" s="1" t="s">
        <v>1</v>
      </c>
      <c r="I5396" s="4" t="s">
        <v>2</v>
      </c>
      <c r="J5396" s="14">
        <v>0.6875</v>
      </c>
      <c r="K5396" s="20" t="str">
        <f t="shared" si="253"/>
        <v>2nd Shift</v>
      </c>
    </row>
    <row r="5397" spans="1:11" x14ac:dyDescent="0.25">
      <c r="A5397" s="1">
        <v>5396</v>
      </c>
      <c r="B5397" s="1">
        <v>13</v>
      </c>
      <c r="C5397" s="3">
        <v>13115271608606</v>
      </c>
      <c r="D5397" s="2">
        <v>44734.6875</v>
      </c>
      <c r="E5397" s="2">
        <v>44734.788194444445</v>
      </c>
      <c r="F5397" s="23">
        <f t="shared" si="252"/>
        <v>0.10069444444525288</v>
      </c>
      <c r="G5397" s="24">
        <f t="shared" si="254"/>
        <v>124.1379310334861</v>
      </c>
      <c r="H5397" s="1" t="s">
        <v>1</v>
      </c>
      <c r="I5397" s="4" t="s">
        <v>3</v>
      </c>
      <c r="J5397" s="14">
        <v>0.6875</v>
      </c>
      <c r="K5397" s="20" t="str">
        <f t="shared" si="253"/>
        <v>2nd Shift</v>
      </c>
    </row>
    <row r="5398" spans="1:11" x14ac:dyDescent="0.25">
      <c r="A5398" s="1">
        <v>5397</v>
      </c>
      <c r="B5398" s="1">
        <v>13</v>
      </c>
      <c r="C5398" s="3">
        <v>13115271608600</v>
      </c>
      <c r="D5398" s="2">
        <v>44734.6875</v>
      </c>
      <c r="E5398" s="2">
        <v>44734.788194444445</v>
      </c>
      <c r="F5398" s="23">
        <f t="shared" si="252"/>
        <v>0.10069444444525288</v>
      </c>
      <c r="G5398" s="24">
        <f t="shared" si="254"/>
        <v>124.1379310334861</v>
      </c>
      <c r="H5398" s="1" t="s">
        <v>1</v>
      </c>
      <c r="I5398" s="4" t="s">
        <v>2</v>
      </c>
      <c r="J5398" s="14">
        <v>0.6875</v>
      </c>
      <c r="K5398" s="20" t="str">
        <f t="shared" si="253"/>
        <v>2nd Shift</v>
      </c>
    </row>
    <row r="5399" spans="1:11" x14ac:dyDescent="0.25">
      <c r="A5399" s="1">
        <v>5398</v>
      </c>
      <c r="B5399" s="1">
        <v>6</v>
      </c>
      <c r="C5399" s="3">
        <v>6115271698209</v>
      </c>
      <c r="D5399" s="2">
        <v>44734.6875</v>
      </c>
      <c r="E5399" s="2">
        <v>44734.788194444445</v>
      </c>
      <c r="F5399" s="23">
        <f t="shared" si="252"/>
        <v>0.10069444444525288</v>
      </c>
      <c r="G5399" s="24">
        <f t="shared" si="254"/>
        <v>124.1379310334861</v>
      </c>
      <c r="H5399" s="1" t="s">
        <v>1</v>
      </c>
      <c r="I5399" s="4" t="s">
        <v>2</v>
      </c>
      <c r="J5399" s="14">
        <v>0.6875</v>
      </c>
      <c r="K5399" s="20" t="str">
        <f t="shared" si="253"/>
        <v>2nd Shift</v>
      </c>
    </row>
    <row r="5400" spans="1:11" x14ac:dyDescent="0.25">
      <c r="A5400" s="1">
        <v>5399</v>
      </c>
      <c r="B5400" s="1">
        <v>6</v>
      </c>
      <c r="C5400" s="3">
        <v>6115271698205</v>
      </c>
      <c r="D5400" s="2">
        <v>44734.6875</v>
      </c>
      <c r="E5400" s="2">
        <v>44734.788194444445</v>
      </c>
      <c r="F5400" s="23">
        <f t="shared" si="252"/>
        <v>0.10069444444525288</v>
      </c>
      <c r="G5400" s="24">
        <f t="shared" si="254"/>
        <v>124.1379310334861</v>
      </c>
      <c r="H5400" s="1" t="s">
        <v>1</v>
      </c>
      <c r="I5400" s="4" t="s">
        <v>3</v>
      </c>
      <c r="J5400" s="14">
        <v>0.6875</v>
      </c>
      <c r="K5400" s="20" t="str">
        <f t="shared" si="253"/>
        <v>2nd Shift</v>
      </c>
    </row>
    <row r="5401" spans="1:11" x14ac:dyDescent="0.25">
      <c r="A5401" s="1">
        <v>5400</v>
      </c>
      <c r="B5401" s="1">
        <v>6</v>
      </c>
      <c r="C5401" s="3">
        <v>6115271698202</v>
      </c>
      <c r="D5401" s="2">
        <v>44734.6875</v>
      </c>
      <c r="E5401" s="2">
        <v>44734.788194444445</v>
      </c>
      <c r="F5401" s="23">
        <f t="shared" si="252"/>
        <v>0.10069444444525288</v>
      </c>
      <c r="G5401" s="24">
        <f t="shared" si="254"/>
        <v>124.1379310334861</v>
      </c>
      <c r="H5401" s="1" t="s">
        <v>1</v>
      </c>
      <c r="I5401" s="4" t="s">
        <v>2</v>
      </c>
      <c r="J5401" s="14">
        <v>0.6875</v>
      </c>
      <c r="K5401" s="20" t="str">
        <f t="shared" si="253"/>
        <v>2nd Shift</v>
      </c>
    </row>
    <row r="5402" spans="1:11" x14ac:dyDescent="0.25">
      <c r="A5402" s="1">
        <v>5401</v>
      </c>
      <c r="B5402" s="1">
        <v>6</v>
      </c>
      <c r="C5402" s="3">
        <v>6115271698200</v>
      </c>
      <c r="D5402" s="2">
        <v>44734.6875</v>
      </c>
      <c r="E5402" s="2">
        <v>44734.788194444445</v>
      </c>
      <c r="F5402" s="23">
        <f t="shared" si="252"/>
        <v>0.10069444444525288</v>
      </c>
      <c r="G5402" s="24">
        <f t="shared" si="254"/>
        <v>124.1379310334861</v>
      </c>
      <c r="H5402" s="1" t="s">
        <v>1</v>
      </c>
      <c r="I5402" s="4" t="s">
        <v>4</v>
      </c>
      <c r="J5402" s="14">
        <v>0.6875</v>
      </c>
      <c r="K5402" s="20" t="str">
        <f t="shared" si="253"/>
        <v>2nd Shift</v>
      </c>
    </row>
    <row r="5403" spans="1:11" x14ac:dyDescent="0.25">
      <c r="A5403" s="1">
        <v>5402</v>
      </c>
      <c r="B5403" s="1">
        <v>3</v>
      </c>
      <c r="C5403" s="3">
        <v>3115270360204</v>
      </c>
      <c r="D5403" s="2">
        <v>44734.6875</v>
      </c>
      <c r="E5403" s="2">
        <v>44734.788194444445</v>
      </c>
      <c r="F5403" s="23">
        <f t="shared" si="252"/>
        <v>0.10069444444525288</v>
      </c>
      <c r="G5403" s="24">
        <f t="shared" si="254"/>
        <v>124.1379310334861</v>
      </c>
      <c r="H5403" s="1" t="s">
        <v>1</v>
      </c>
      <c r="I5403" s="4" t="s">
        <v>2</v>
      </c>
      <c r="J5403" s="14">
        <v>0.6875</v>
      </c>
      <c r="K5403" s="20" t="str">
        <f t="shared" si="253"/>
        <v>2nd Shift</v>
      </c>
    </row>
    <row r="5404" spans="1:11" x14ac:dyDescent="0.25">
      <c r="A5404" s="1">
        <v>5403</v>
      </c>
      <c r="B5404" s="1">
        <v>3</v>
      </c>
      <c r="C5404" s="3">
        <v>3115270360200</v>
      </c>
      <c r="D5404" s="2">
        <v>44734.6875</v>
      </c>
      <c r="E5404" s="2">
        <v>44734.788194444445</v>
      </c>
      <c r="F5404" s="23">
        <f t="shared" si="252"/>
        <v>0.10069444444525288</v>
      </c>
      <c r="G5404" s="24">
        <f t="shared" si="254"/>
        <v>124.1379310334861</v>
      </c>
      <c r="H5404" s="1" t="s">
        <v>1</v>
      </c>
      <c r="I5404" s="4" t="s">
        <v>3</v>
      </c>
      <c r="J5404" s="14">
        <v>0.6875</v>
      </c>
      <c r="K5404" s="20" t="str">
        <f t="shared" si="253"/>
        <v>2nd Shift</v>
      </c>
    </row>
    <row r="5405" spans="1:11" x14ac:dyDescent="0.25">
      <c r="A5405" s="1">
        <v>5404</v>
      </c>
      <c r="B5405" s="1">
        <v>3</v>
      </c>
      <c r="C5405" s="3">
        <v>3115270360207</v>
      </c>
      <c r="D5405" s="2">
        <v>44735.000011574077</v>
      </c>
      <c r="E5405" s="2">
        <v>44735.118055555555</v>
      </c>
      <c r="F5405" s="23">
        <f t="shared" si="252"/>
        <v>0.11804398147796746</v>
      </c>
      <c r="G5405" s="24">
        <f t="shared" si="254"/>
        <v>105.89273458497404</v>
      </c>
      <c r="H5405" s="1" t="s">
        <v>1</v>
      </c>
      <c r="I5405" s="4" t="s">
        <v>2</v>
      </c>
      <c r="J5405" s="14">
        <v>1.1574074074074073E-5</v>
      </c>
      <c r="K5405" s="20" t="str">
        <f t="shared" si="253"/>
        <v>3rd Shift</v>
      </c>
    </row>
    <row r="5406" spans="1:11" x14ac:dyDescent="0.25">
      <c r="A5406" s="1">
        <v>5405</v>
      </c>
      <c r="B5406" s="1">
        <v>3</v>
      </c>
      <c r="C5406" s="3">
        <v>3115270360206</v>
      </c>
      <c r="D5406" s="2">
        <v>44735.000011574077</v>
      </c>
      <c r="E5406" s="2">
        <v>44735.118055555555</v>
      </c>
      <c r="F5406" s="23">
        <f t="shared" si="252"/>
        <v>0.11804398147796746</v>
      </c>
      <c r="G5406" s="24">
        <f t="shared" si="254"/>
        <v>105.89273458497404</v>
      </c>
      <c r="H5406" s="1" t="s">
        <v>1</v>
      </c>
      <c r="I5406" s="4" t="s">
        <v>2</v>
      </c>
      <c r="J5406" s="14">
        <v>1.1574074074074073E-5</v>
      </c>
      <c r="K5406" s="20" t="str">
        <f t="shared" si="253"/>
        <v>3rd Shift</v>
      </c>
    </row>
    <row r="5407" spans="1:11" x14ac:dyDescent="0.25">
      <c r="A5407" s="1">
        <v>5406</v>
      </c>
      <c r="B5407" s="1">
        <v>1</v>
      </c>
      <c r="C5407" s="3">
        <v>1115270107801</v>
      </c>
      <c r="D5407" s="2">
        <v>44735.000011574077</v>
      </c>
      <c r="E5407" s="2">
        <v>44735.118055555555</v>
      </c>
      <c r="F5407" s="23">
        <f t="shared" si="252"/>
        <v>0.11804398147796746</v>
      </c>
      <c r="G5407" s="24">
        <f t="shared" si="254"/>
        <v>105.89273458497404</v>
      </c>
      <c r="H5407" s="1" t="s">
        <v>1</v>
      </c>
      <c r="I5407" s="4" t="s">
        <v>2</v>
      </c>
      <c r="J5407" s="14">
        <v>1.1574074074074073E-5</v>
      </c>
      <c r="K5407" s="20" t="str">
        <f t="shared" si="253"/>
        <v>3rd Shift</v>
      </c>
    </row>
    <row r="5408" spans="1:11" x14ac:dyDescent="0.25">
      <c r="A5408" s="1">
        <v>5407</v>
      </c>
      <c r="B5408" s="1">
        <v>1</v>
      </c>
      <c r="C5408" s="3">
        <v>1115270107800</v>
      </c>
      <c r="D5408" s="2">
        <v>44735.000011574077</v>
      </c>
      <c r="E5408" s="2">
        <v>44735.118055555555</v>
      </c>
      <c r="F5408" s="23">
        <f t="shared" si="252"/>
        <v>0.11804398147796746</v>
      </c>
      <c r="G5408" s="24">
        <f t="shared" si="254"/>
        <v>105.89273458497404</v>
      </c>
      <c r="H5408" s="1" t="s">
        <v>1</v>
      </c>
      <c r="I5408" s="4" t="s">
        <v>2</v>
      </c>
      <c r="J5408" s="14">
        <v>1.1574074074074073E-5</v>
      </c>
      <c r="K5408" s="20" t="str">
        <f t="shared" si="253"/>
        <v>3rd Shift</v>
      </c>
    </row>
    <row r="5409" spans="1:11" x14ac:dyDescent="0.25">
      <c r="A5409" s="1">
        <v>5408</v>
      </c>
      <c r="B5409" s="1">
        <v>12</v>
      </c>
      <c r="C5409" s="3">
        <v>12115271573208</v>
      </c>
      <c r="D5409" s="2">
        <v>44735.125</v>
      </c>
      <c r="E5409" s="2">
        <v>44735.15625</v>
      </c>
      <c r="F5409" s="23">
        <f t="shared" si="252"/>
        <v>3.125E-2</v>
      </c>
      <c r="G5409" s="24">
        <f t="shared" si="254"/>
        <v>400</v>
      </c>
      <c r="H5409" s="1" t="s">
        <v>1</v>
      </c>
      <c r="I5409" s="4" t="s">
        <v>3</v>
      </c>
      <c r="J5409" s="14">
        <v>0.125</v>
      </c>
      <c r="K5409" s="20" t="str">
        <f t="shared" si="253"/>
        <v>3rd Shift</v>
      </c>
    </row>
    <row r="5410" spans="1:11" x14ac:dyDescent="0.25">
      <c r="A5410" s="1">
        <v>5409</v>
      </c>
      <c r="B5410" s="1">
        <v>12</v>
      </c>
      <c r="C5410" s="3">
        <v>12115271573207</v>
      </c>
      <c r="D5410" s="2">
        <v>44735.125</v>
      </c>
      <c r="E5410" s="2">
        <v>44735.15625</v>
      </c>
      <c r="F5410" s="23">
        <f t="shared" si="252"/>
        <v>3.125E-2</v>
      </c>
      <c r="G5410" s="24">
        <f t="shared" si="254"/>
        <v>400</v>
      </c>
      <c r="H5410" s="1" t="s">
        <v>1</v>
      </c>
      <c r="I5410" s="4" t="s">
        <v>2</v>
      </c>
      <c r="J5410" s="14">
        <v>0.125</v>
      </c>
      <c r="K5410" s="20" t="str">
        <f t="shared" si="253"/>
        <v>3rd Shift</v>
      </c>
    </row>
    <row r="5411" spans="1:11" x14ac:dyDescent="0.25">
      <c r="A5411" s="1">
        <v>5410</v>
      </c>
      <c r="B5411" s="1">
        <v>13</v>
      </c>
      <c r="C5411" s="3">
        <v>13115271601509</v>
      </c>
      <c r="D5411" s="2">
        <v>44735.319444444445</v>
      </c>
      <c r="E5411" s="2">
        <v>44735.622916666667</v>
      </c>
      <c r="F5411" s="23">
        <f t="shared" si="252"/>
        <v>0.30347222222189885</v>
      </c>
      <c r="G5411" s="24">
        <f t="shared" si="254"/>
        <v>41.189931350158311</v>
      </c>
      <c r="H5411" s="1" t="s">
        <v>1</v>
      </c>
      <c r="I5411" s="4" t="s">
        <v>3</v>
      </c>
      <c r="J5411" s="14">
        <v>0.31944444444444442</v>
      </c>
      <c r="K5411" s="20" t="str">
        <f t="shared" si="253"/>
        <v>1st Shift</v>
      </c>
    </row>
    <row r="5412" spans="1:11" x14ac:dyDescent="0.25">
      <c r="A5412" s="1">
        <v>5411</v>
      </c>
      <c r="B5412" s="1">
        <v>13</v>
      </c>
      <c r="C5412" s="3">
        <v>13115271601504</v>
      </c>
      <c r="D5412" s="2">
        <v>44735.319444444445</v>
      </c>
      <c r="E5412" s="2">
        <v>44735.622916666667</v>
      </c>
      <c r="F5412" s="23">
        <f t="shared" si="252"/>
        <v>0.30347222222189885</v>
      </c>
      <c r="G5412" s="24">
        <f t="shared" si="254"/>
        <v>41.189931350158311</v>
      </c>
      <c r="H5412" s="1" t="s">
        <v>1</v>
      </c>
      <c r="I5412" s="4" t="s">
        <v>2</v>
      </c>
      <c r="J5412" s="14">
        <v>0.31944444444444442</v>
      </c>
      <c r="K5412" s="20" t="str">
        <f t="shared" si="253"/>
        <v>1st Shift</v>
      </c>
    </row>
    <row r="5413" spans="1:11" x14ac:dyDescent="0.25">
      <c r="A5413" s="1">
        <v>5412</v>
      </c>
      <c r="B5413" s="1">
        <v>12</v>
      </c>
      <c r="C5413" s="3">
        <v>12115271573217</v>
      </c>
      <c r="D5413" s="2">
        <v>44735.565972222219</v>
      </c>
      <c r="E5413" s="2">
        <v>44735.622916666667</v>
      </c>
      <c r="F5413" s="23">
        <f t="shared" si="252"/>
        <v>5.6944444448163267E-2</v>
      </c>
      <c r="G5413" s="24">
        <f t="shared" si="254"/>
        <v>219.51219510761572</v>
      </c>
      <c r="H5413" s="1" t="s">
        <v>1</v>
      </c>
      <c r="I5413" s="4" t="s">
        <v>8</v>
      </c>
      <c r="J5413" s="14">
        <v>0.56597222222222221</v>
      </c>
      <c r="K5413" s="20" t="str">
        <f t="shared" si="253"/>
        <v>1st Shift</v>
      </c>
    </row>
    <row r="5414" spans="1:11" x14ac:dyDescent="0.25">
      <c r="A5414" s="1">
        <v>5413</v>
      </c>
      <c r="B5414" s="1">
        <v>11</v>
      </c>
      <c r="C5414" s="3">
        <v>11115271484001</v>
      </c>
      <c r="D5414" s="2">
        <v>44735.458333333336</v>
      </c>
      <c r="E5414" s="2">
        <v>44735.622916666667</v>
      </c>
      <c r="F5414" s="23">
        <f t="shared" si="252"/>
        <v>0.16458333333139308</v>
      </c>
      <c r="G5414" s="24">
        <f t="shared" si="254"/>
        <v>75.949367089502957</v>
      </c>
      <c r="H5414" s="1" t="s">
        <v>1</v>
      </c>
      <c r="I5414" s="4" t="s">
        <v>3</v>
      </c>
      <c r="J5414" s="14">
        <v>0.45833333333333331</v>
      </c>
      <c r="K5414" s="20" t="str">
        <f t="shared" si="253"/>
        <v>1st Shift</v>
      </c>
    </row>
    <row r="5415" spans="1:11" x14ac:dyDescent="0.25">
      <c r="A5415" s="1">
        <v>5414</v>
      </c>
      <c r="B5415" s="1">
        <v>11</v>
      </c>
      <c r="C5415" s="3">
        <v>11115271484000</v>
      </c>
      <c r="D5415" s="2">
        <v>44735.458333333336</v>
      </c>
      <c r="E5415" s="2">
        <v>44735.622916666667</v>
      </c>
      <c r="F5415" s="23">
        <f t="shared" si="252"/>
        <v>0.16458333333139308</v>
      </c>
      <c r="G5415" s="24">
        <f t="shared" si="254"/>
        <v>75.949367089502957</v>
      </c>
      <c r="H5415" s="1" t="s">
        <v>1</v>
      </c>
      <c r="I5415" s="4" t="s">
        <v>3</v>
      </c>
      <c r="J5415" s="14">
        <v>0.45833333333333331</v>
      </c>
      <c r="K5415" s="20" t="str">
        <f t="shared" si="253"/>
        <v>1st Shift</v>
      </c>
    </row>
    <row r="5416" spans="1:11" x14ac:dyDescent="0.25">
      <c r="A5416" s="1">
        <v>5415</v>
      </c>
      <c r="B5416" s="1">
        <v>7</v>
      </c>
      <c r="C5416" s="3">
        <v>7115271758709</v>
      </c>
      <c r="D5416" s="2">
        <v>44735.319444444445</v>
      </c>
      <c r="E5416" s="2">
        <v>44735.622916666667</v>
      </c>
      <c r="F5416" s="23">
        <f t="shared" si="252"/>
        <v>0.30347222222189885</v>
      </c>
      <c r="G5416" s="24">
        <f t="shared" si="254"/>
        <v>41.189931350158311</v>
      </c>
      <c r="H5416" s="1" t="s">
        <v>1</v>
      </c>
      <c r="I5416" s="4" t="s">
        <v>4</v>
      </c>
      <c r="J5416" s="14">
        <v>0.31944444444444442</v>
      </c>
      <c r="K5416" s="20" t="str">
        <f t="shared" si="253"/>
        <v>1st Shift</v>
      </c>
    </row>
    <row r="5417" spans="1:11" x14ac:dyDescent="0.25">
      <c r="A5417" s="1">
        <v>5416</v>
      </c>
      <c r="B5417" s="1">
        <v>7</v>
      </c>
      <c r="C5417" s="3">
        <v>7115271758702</v>
      </c>
      <c r="D5417" s="2">
        <v>44735.319444444445</v>
      </c>
      <c r="E5417" s="2">
        <v>44735.622916666667</v>
      </c>
      <c r="F5417" s="23">
        <f t="shared" si="252"/>
        <v>0.30347222222189885</v>
      </c>
      <c r="G5417" s="24">
        <f t="shared" si="254"/>
        <v>41.189931350158311</v>
      </c>
      <c r="H5417" s="1" t="s">
        <v>1</v>
      </c>
      <c r="I5417" s="4" t="s">
        <v>2</v>
      </c>
      <c r="J5417" s="14">
        <v>0.31944444444444442</v>
      </c>
      <c r="K5417" s="20" t="str">
        <f t="shared" si="253"/>
        <v>1st Shift</v>
      </c>
    </row>
    <row r="5418" spans="1:11" x14ac:dyDescent="0.25">
      <c r="A5418" s="1">
        <v>5417</v>
      </c>
      <c r="B5418" s="1">
        <v>6</v>
      </c>
      <c r="C5418" s="3">
        <v>6115271720800</v>
      </c>
      <c r="D5418" s="2">
        <v>44735.513888888891</v>
      </c>
      <c r="E5418" s="2">
        <v>44735.622916666667</v>
      </c>
      <c r="F5418" s="23">
        <f t="shared" si="252"/>
        <v>0.10902777777664596</v>
      </c>
      <c r="G5418" s="24">
        <f t="shared" si="254"/>
        <v>114.6496815298526</v>
      </c>
      <c r="H5418" s="1" t="s">
        <v>1</v>
      </c>
      <c r="I5418" s="4" t="s">
        <v>2</v>
      </c>
      <c r="J5418" s="14">
        <v>0.51388888888888884</v>
      </c>
      <c r="K5418" s="20" t="str">
        <f t="shared" si="253"/>
        <v>1st Shift</v>
      </c>
    </row>
    <row r="5419" spans="1:11" x14ac:dyDescent="0.25">
      <c r="A5419" s="1">
        <v>5418</v>
      </c>
      <c r="B5419" s="1">
        <v>4</v>
      </c>
      <c r="C5419" s="3">
        <v>4115270879101</v>
      </c>
      <c r="D5419" s="2">
        <v>44735.472222222219</v>
      </c>
      <c r="E5419" s="2">
        <v>44735.622916666667</v>
      </c>
      <c r="F5419" s="23">
        <f t="shared" si="252"/>
        <v>0.15069444444816327</v>
      </c>
      <c r="G5419" s="24">
        <f t="shared" si="254"/>
        <v>82.949308753713353</v>
      </c>
      <c r="H5419" s="1" t="s">
        <v>1</v>
      </c>
      <c r="I5419" s="4" t="s">
        <v>2</v>
      </c>
      <c r="J5419" s="14">
        <v>0.47222222222222221</v>
      </c>
      <c r="K5419" s="20" t="str">
        <f t="shared" si="253"/>
        <v>1st Shift</v>
      </c>
    </row>
    <row r="5420" spans="1:11" x14ac:dyDescent="0.25">
      <c r="A5420" s="1">
        <v>5419</v>
      </c>
      <c r="B5420" s="1">
        <v>4</v>
      </c>
      <c r="C5420" s="3">
        <v>4115270879100</v>
      </c>
      <c r="D5420" s="2">
        <v>44735.472222222219</v>
      </c>
      <c r="E5420" s="2">
        <v>44735.622916666667</v>
      </c>
      <c r="F5420" s="23">
        <f t="shared" si="252"/>
        <v>0.15069444444816327</v>
      </c>
      <c r="G5420" s="24">
        <f t="shared" si="254"/>
        <v>82.949308753713353</v>
      </c>
      <c r="H5420" s="1" t="s">
        <v>1</v>
      </c>
      <c r="I5420" s="4" t="s">
        <v>3</v>
      </c>
      <c r="J5420" s="14">
        <v>0.47222222222222221</v>
      </c>
      <c r="K5420" s="20" t="str">
        <f t="shared" si="253"/>
        <v>1st Shift</v>
      </c>
    </row>
    <row r="5421" spans="1:11" x14ac:dyDescent="0.25">
      <c r="A5421" s="1">
        <v>5420</v>
      </c>
      <c r="B5421" s="1">
        <v>1</v>
      </c>
      <c r="C5421" s="3">
        <v>1115270008800</v>
      </c>
      <c r="D5421" s="2">
        <v>44735.545138888891</v>
      </c>
      <c r="E5421" s="2">
        <v>44735.622916666667</v>
      </c>
      <c r="F5421" s="23">
        <f t="shared" si="252"/>
        <v>7.7777777776645962E-2</v>
      </c>
      <c r="G5421" s="24">
        <f t="shared" si="254"/>
        <v>160.7142857166244</v>
      </c>
      <c r="H5421" s="1" t="s">
        <v>1</v>
      </c>
      <c r="I5421" s="4" t="s">
        <v>2</v>
      </c>
      <c r="J5421" s="14">
        <v>0.54513888888888884</v>
      </c>
      <c r="K5421" s="20" t="str">
        <f t="shared" si="253"/>
        <v>1st Shift</v>
      </c>
    </row>
    <row r="5422" spans="1:11" x14ac:dyDescent="0.25">
      <c r="A5422" s="1">
        <v>5421</v>
      </c>
      <c r="B5422" s="1">
        <v>11</v>
      </c>
      <c r="C5422" s="3">
        <v>11115271522401</v>
      </c>
      <c r="D5422" s="2">
        <v>44735.6875</v>
      </c>
      <c r="E5422" s="2">
        <v>44735.833333333336</v>
      </c>
      <c r="F5422" s="23">
        <f t="shared" si="252"/>
        <v>0.14583333333575865</v>
      </c>
      <c r="G5422" s="24">
        <f t="shared" si="254"/>
        <v>85.714285712860217</v>
      </c>
      <c r="H5422" s="1" t="s">
        <v>1</v>
      </c>
      <c r="I5422" s="4" t="s">
        <v>2</v>
      </c>
      <c r="J5422" s="14">
        <v>0.6875</v>
      </c>
      <c r="K5422" s="20" t="str">
        <f t="shared" si="253"/>
        <v>2nd Shift</v>
      </c>
    </row>
    <row r="5423" spans="1:11" x14ac:dyDescent="0.25">
      <c r="A5423" s="1">
        <v>5422</v>
      </c>
      <c r="B5423" s="1">
        <v>8</v>
      </c>
      <c r="C5423" s="3">
        <v>8115271820900</v>
      </c>
      <c r="D5423" s="2">
        <v>44735.6875</v>
      </c>
      <c r="E5423" s="2">
        <v>44735.833333333336</v>
      </c>
      <c r="F5423" s="23">
        <f t="shared" si="252"/>
        <v>0.14583333333575865</v>
      </c>
      <c r="G5423" s="24">
        <f t="shared" si="254"/>
        <v>85.714285712860217</v>
      </c>
      <c r="H5423" s="1" t="s">
        <v>1</v>
      </c>
      <c r="I5423" s="4" t="s">
        <v>3</v>
      </c>
      <c r="J5423" s="14">
        <v>0.6875</v>
      </c>
      <c r="K5423" s="20" t="str">
        <f t="shared" si="253"/>
        <v>2nd Shift</v>
      </c>
    </row>
    <row r="5424" spans="1:11" x14ac:dyDescent="0.25">
      <c r="A5424" s="1">
        <v>5423</v>
      </c>
      <c r="B5424" s="1">
        <v>8</v>
      </c>
      <c r="C5424" s="3">
        <v>8115271809904</v>
      </c>
      <c r="D5424" s="2">
        <v>44735.6875</v>
      </c>
      <c r="E5424" s="2">
        <v>44735.833333333336</v>
      </c>
      <c r="F5424" s="23">
        <f t="shared" si="252"/>
        <v>0.14583333333575865</v>
      </c>
      <c r="G5424" s="24">
        <f t="shared" si="254"/>
        <v>85.714285712860217</v>
      </c>
      <c r="H5424" s="1" t="s">
        <v>1</v>
      </c>
      <c r="I5424" s="4" t="s">
        <v>2</v>
      </c>
      <c r="J5424" s="14">
        <v>0.6875</v>
      </c>
      <c r="K5424" s="20" t="str">
        <f t="shared" si="253"/>
        <v>2nd Shift</v>
      </c>
    </row>
    <row r="5425" spans="1:11" x14ac:dyDescent="0.25">
      <c r="A5425" s="1">
        <v>5424</v>
      </c>
      <c r="B5425" s="1">
        <v>6</v>
      </c>
      <c r="C5425" s="3">
        <v>6115271722200</v>
      </c>
      <c r="D5425" s="2">
        <v>44735.6875</v>
      </c>
      <c r="E5425" s="2">
        <v>44735.833333333336</v>
      </c>
      <c r="F5425" s="23">
        <f t="shared" si="252"/>
        <v>0.14583333333575865</v>
      </c>
      <c r="G5425" s="24">
        <f t="shared" si="254"/>
        <v>85.714285712860217</v>
      </c>
      <c r="H5425" s="1" t="s">
        <v>1</v>
      </c>
      <c r="I5425" s="4" t="s">
        <v>2</v>
      </c>
      <c r="J5425" s="14">
        <v>0.6875</v>
      </c>
      <c r="K5425" s="20" t="str">
        <f t="shared" si="253"/>
        <v>2nd Shift</v>
      </c>
    </row>
    <row r="5426" spans="1:11" x14ac:dyDescent="0.25">
      <c r="A5426" s="1">
        <v>5425</v>
      </c>
      <c r="B5426" s="1">
        <v>1</v>
      </c>
      <c r="C5426" s="3">
        <v>1115270051800</v>
      </c>
      <c r="D5426" s="2">
        <v>44736.951388888891</v>
      </c>
      <c r="E5426" s="2">
        <v>44737.010416666664</v>
      </c>
      <c r="F5426" s="23">
        <f t="shared" si="252"/>
        <v>5.9027777773735579E-2</v>
      </c>
      <c r="G5426" s="24">
        <f t="shared" si="254"/>
        <v>211.76470589685451</v>
      </c>
      <c r="H5426" s="1" t="s">
        <v>1</v>
      </c>
      <c r="I5426" s="4" t="s">
        <v>3</v>
      </c>
      <c r="J5426" s="14">
        <v>0.95138888888888884</v>
      </c>
      <c r="K5426" s="20" t="str">
        <f t="shared" si="253"/>
        <v>3rd Shift</v>
      </c>
    </row>
    <row r="5427" spans="1:11" x14ac:dyDescent="0.25">
      <c r="A5427" s="1">
        <v>5426</v>
      </c>
      <c r="B5427" s="1">
        <v>3</v>
      </c>
      <c r="C5427" s="3">
        <v>3115270311200</v>
      </c>
      <c r="D5427" s="2">
        <v>44735.944444444445</v>
      </c>
      <c r="E5427" s="2">
        <v>44736.020833333336</v>
      </c>
      <c r="F5427" s="23">
        <f t="shared" si="252"/>
        <v>7.6388888890505768E-2</v>
      </c>
      <c r="G5427" s="24">
        <f t="shared" si="254"/>
        <v>163.63636363290004</v>
      </c>
      <c r="H5427" s="1" t="s">
        <v>1</v>
      </c>
      <c r="I5427" s="4" t="s">
        <v>2</v>
      </c>
      <c r="J5427" s="14">
        <v>0.94444444444444442</v>
      </c>
      <c r="K5427" s="20" t="str">
        <f t="shared" si="253"/>
        <v>3rd Shift</v>
      </c>
    </row>
    <row r="5428" spans="1:11" x14ac:dyDescent="0.25">
      <c r="A5428" s="1">
        <v>5427</v>
      </c>
      <c r="B5428" s="1">
        <v>2</v>
      </c>
      <c r="C5428" s="3">
        <v>2115270220700</v>
      </c>
      <c r="D5428" s="2">
        <v>44735.944444444445</v>
      </c>
      <c r="E5428" s="2">
        <v>44736.020833333336</v>
      </c>
      <c r="F5428" s="23">
        <f t="shared" si="252"/>
        <v>7.6388888890505768E-2</v>
      </c>
      <c r="G5428" s="24">
        <f t="shared" si="254"/>
        <v>163.63636363290004</v>
      </c>
      <c r="H5428" s="1" t="s">
        <v>1</v>
      </c>
      <c r="I5428" s="4" t="s">
        <v>2</v>
      </c>
      <c r="J5428" s="14">
        <v>0.94444444444444442</v>
      </c>
      <c r="K5428" s="20" t="str">
        <f t="shared" si="253"/>
        <v>3rd Shift</v>
      </c>
    </row>
    <row r="5429" spans="1:11" x14ac:dyDescent="0.25">
      <c r="A5429" s="1">
        <v>5428</v>
      </c>
      <c r="B5429" s="1">
        <v>14</v>
      </c>
      <c r="C5429" s="3">
        <v>14115271679701</v>
      </c>
      <c r="D5429" s="2">
        <v>44736.512499999997</v>
      </c>
      <c r="E5429" s="2">
        <v>44736.614583333336</v>
      </c>
      <c r="F5429" s="23">
        <f t="shared" si="252"/>
        <v>0.10208333333866904</v>
      </c>
      <c r="G5429" s="24">
        <f t="shared" si="254"/>
        <v>122.44897958543658</v>
      </c>
      <c r="H5429" s="1" t="s">
        <v>1</v>
      </c>
      <c r="I5429" s="4" t="s">
        <v>2</v>
      </c>
      <c r="J5429" s="14">
        <v>0.51249999999999996</v>
      </c>
      <c r="K5429" s="20" t="str">
        <f t="shared" si="253"/>
        <v>1st Shift</v>
      </c>
    </row>
    <row r="5430" spans="1:11" x14ac:dyDescent="0.25">
      <c r="A5430" s="1">
        <v>5429</v>
      </c>
      <c r="B5430" s="1">
        <v>14</v>
      </c>
      <c r="C5430" s="3">
        <v>14115271675406</v>
      </c>
      <c r="D5430" s="2">
        <v>44736.576388888891</v>
      </c>
      <c r="E5430" s="2">
        <v>44736.614583333336</v>
      </c>
      <c r="F5430" s="23">
        <f t="shared" si="252"/>
        <v>3.8194444445252884E-2</v>
      </c>
      <c r="G5430" s="24">
        <f t="shared" si="254"/>
        <v>327.27272726580009</v>
      </c>
      <c r="H5430" s="1" t="s">
        <v>1</v>
      </c>
      <c r="I5430" s="4" t="s">
        <v>2</v>
      </c>
      <c r="J5430" s="14">
        <v>0.57638888888888884</v>
      </c>
      <c r="K5430" s="20" t="str">
        <f t="shared" si="253"/>
        <v>1st Shift</v>
      </c>
    </row>
    <row r="5431" spans="1:11" x14ac:dyDescent="0.25">
      <c r="A5431" s="1">
        <v>5430</v>
      </c>
      <c r="B5431" s="1">
        <v>12</v>
      </c>
      <c r="C5431" s="3">
        <v>12115271587810</v>
      </c>
      <c r="D5431" s="2">
        <v>44736.576388888891</v>
      </c>
      <c r="E5431" s="2">
        <v>44736.614583333336</v>
      </c>
      <c r="F5431" s="23">
        <f t="shared" si="252"/>
        <v>3.8194444445252884E-2</v>
      </c>
      <c r="G5431" s="24">
        <f t="shared" si="254"/>
        <v>327.27272726580009</v>
      </c>
      <c r="H5431" s="1" t="s">
        <v>1</v>
      </c>
      <c r="I5431" s="4" t="s">
        <v>2</v>
      </c>
      <c r="J5431" s="14">
        <v>0.57638888888888884</v>
      </c>
      <c r="K5431" s="20" t="str">
        <f t="shared" si="253"/>
        <v>1st Shift</v>
      </c>
    </row>
    <row r="5432" spans="1:11" x14ac:dyDescent="0.25">
      <c r="A5432" s="1">
        <v>5431</v>
      </c>
      <c r="B5432" s="1">
        <v>6</v>
      </c>
      <c r="C5432" s="3">
        <v>6115271740811</v>
      </c>
      <c r="D5432" s="2">
        <v>44736.548611111109</v>
      </c>
      <c r="E5432" s="2">
        <v>44736.614583333336</v>
      </c>
      <c r="F5432" s="23">
        <f t="shared" si="252"/>
        <v>6.5972222226264421E-2</v>
      </c>
      <c r="G5432" s="24">
        <f t="shared" si="254"/>
        <v>189.47368419891703</v>
      </c>
      <c r="H5432" s="1" t="s">
        <v>1</v>
      </c>
      <c r="I5432" s="4" t="s">
        <v>2</v>
      </c>
      <c r="J5432" s="14">
        <v>0.54861111111111116</v>
      </c>
      <c r="K5432" s="20" t="str">
        <f t="shared" si="253"/>
        <v>1st Shift</v>
      </c>
    </row>
    <row r="5433" spans="1:11" x14ac:dyDescent="0.25">
      <c r="A5433" s="1">
        <v>5432</v>
      </c>
      <c r="B5433" s="1">
        <v>14</v>
      </c>
      <c r="C5433" s="3">
        <v>14115271724100</v>
      </c>
      <c r="D5433" s="2">
        <v>44736.625</v>
      </c>
      <c r="E5433" s="2">
        <v>44736.927083333336</v>
      </c>
      <c r="F5433" s="23">
        <f t="shared" si="252"/>
        <v>0.30208333333575865</v>
      </c>
      <c r="G5433" s="24">
        <f t="shared" si="254"/>
        <v>41.379310344495366</v>
      </c>
      <c r="H5433" s="1" t="s">
        <v>1</v>
      </c>
      <c r="I5433" s="4" t="s">
        <v>8</v>
      </c>
      <c r="J5433" s="14">
        <v>0.625</v>
      </c>
      <c r="K5433" s="20" t="str">
        <f t="shared" si="253"/>
        <v>2nd Shift</v>
      </c>
    </row>
    <row r="5434" spans="1:11" x14ac:dyDescent="0.25">
      <c r="A5434" s="1">
        <v>5433</v>
      </c>
      <c r="B5434" s="1">
        <v>14</v>
      </c>
      <c r="C5434" s="3">
        <v>14115271713200</v>
      </c>
      <c r="D5434" s="2">
        <v>44736.715277777781</v>
      </c>
      <c r="E5434" s="2">
        <v>44736.927083333336</v>
      </c>
      <c r="F5434" s="23">
        <f t="shared" si="252"/>
        <v>0.21180555555474712</v>
      </c>
      <c r="G5434" s="24">
        <f t="shared" si="254"/>
        <v>59.016393442848212</v>
      </c>
      <c r="H5434" s="1" t="s">
        <v>1</v>
      </c>
      <c r="I5434" s="4" t="s">
        <v>3</v>
      </c>
      <c r="J5434" s="14">
        <v>0.71527777777777779</v>
      </c>
      <c r="K5434" s="20" t="str">
        <f t="shared" si="253"/>
        <v>2nd Shift</v>
      </c>
    </row>
    <row r="5435" spans="1:11" x14ac:dyDescent="0.25">
      <c r="A5435" s="1">
        <v>5434</v>
      </c>
      <c r="B5435" s="1">
        <v>14</v>
      </c>
      <c r="C5435" s="3">
        <v>14115271701104</v>
      </c>
      <c r="D5435" s="2">
        <v>44736.625</v>
      </c>
      <c r="E5435" s="2">
        <v>44736.927083333336</v>
      </c>
      <c r="F5435" s="23">
        <f t="shared" si="252"/>
        <v>0.30208333333575865</v>
      </c>
      <c r="G5435" s="24">
        <f t="shared" si="254"/>
        <v>41.379310344495366</v>
      </c>
      <c r="H5435" s="1" t="s">
        <v>1</v>
      </c>
      <c r="I5435" s="4" t="s">
        <v>3</v>
      </c>
      <c r="J5435" s="14">
        <v>0.625</v>
      </c>
      <c r="K5435" s="20" t="str">
        <f t="shared" si="253"/>
        <v>2nd Shift</v>
      </c>
    </row>
    <row r="5436" spans="1:11" x14ac:dyDescent="0.25">
      <c r="A5436" s="1">
        <v>5435</v>
      </c>
      <c r="B5436" s="1">
        <v>14</v>
      </c>
      <c r="C5436" s="3">
        <v>14115271691510</v>
      </c>
      <c r="D5436" s="2">
        <v>44736.625</v>
      </c>
      <c r="E5436" s="2">
        <v>44736.927083333336</v>
      </c>
      <c r="F5436" s="23">
        <f t="shared" si="252"/>
        <v>0.30208333333575865</v>
      </c>
      <c r="G5436" s="24">
        <f t="shared" si="254"/>
        <v>41.379310344495366</v>
      </c>
      <c r="H5436" s="1" t="s">
        <v>1</v>
      </c>
      <c r="I5436" s="4" t="s">
        <v>3</v>
      </c>
      <c r="J5436" s="14">
        <v>0.625</v>
      </c>
      <c r="K5436" s="20" t="str">
        <f t="shared" si="253"/>
        <v>2nd Shift</v>
      </c>
    </row>
    <row r="5437" spans="1:11" x14ac:dyDescent="0.25">
      <c r="A5437" s="1">
        <v>5436</v>
      </c>
      <c r="B5437" s="1">
        <v>12</v>
      </c>
      <c r="C5437" s="3">
        <v>12115271574314</v>
      </c>
      <c r="D5437" s="2">
        <v>44736.715277777781</v>
      </c>
      <c r="E5437" s="2">
        <v>44736.927083333336</v>
      </c>
      <c r="F5437" s="23">
        <f t="shared" si="252"/>
        <v>0.21180555555474712</v>
      </c>
      <c r="G5437" s="24">
        <f t="shared" si="254"/>
        <v>59.016393442848212</v>
      </c>
      <c r="H5437" s="1" t="s">
        <v>1</v>
      </c>
      <c r="I5437" s="4" t="s">
        <v>3</v>
      </c>
      <c r="J5437" s="14">
        <v>0.71527777777777779</v>
      </c>
      <c r="K5437" s="20" t="str">
        <f t="shared" si="253"/>
        <v>2nd Shift</v>
      </c>
    </row>
    <row r="5438" spans="1:11" x14ac:dyDescent="0.25">
      <c r="A5438" s="1">
        <v>5437</v>
      </c>
      <c r="B5438" s="1">
        <v>12</v>
      </c>
      <c r="C5438" s="3">
        <v>12115271573208</v>
      </c>
      <c r="D5438" s="2">
        <v>44736.715277777781</v>
      </c>
      <c r="E5438" s="2">
        <v>44736.927083333336</v>
      </c>
      <c r="F5438" s="23">
        <f t="shared" si="252"/>
        <v>0.21180555555474712</v>
      </c>
      <c r="G5438" s="24">
        <f t="shared" si="254"/>
        <v>59.016393442848212</v>
      </c>
      <c r="H5438" s="1" t="s">
        <v>1</v>
      </c>
      <c r="I5438" s="4" t="s">
        <v>3</v>
      </c>
      <c r="J5438" s="14">
        <v>0.71527777777777779</v>
      </c>
      <c r="K5438" s="20" t="str">
        <f t="shared" si="253"/>
        <v>2nd Shift</v>
      </c>
    </row>
    <row r="5439" spans="1:11" x14ac:dyDescent="0.25">
      <c r="A5439" s="1">
        <v>5438</v>
      </c>
      <c r="B5439" s="1">
        <v>11</v>
      </c>
      <c r="C5439" s="3">
        <v>11115271533700</v>
      </c>
      <c r="D5439" s="2">
        <v>44736.625</v>
      </c>
      <c r="E5439" s="2">
        <v>44736.927083333336</v>
      </c>
      <c r="F5439" s="23">
        <f t="shared" si="252"/>
        <v>0.30208333333575865</v>
      </c>
      <c r="G5439" s="24">
        <f t="shared" si="254"/>
        <v>41.379310344495366</v>
      </c>
      <c r="H5439" s="1" t="s">
        <v>1</v>
      </c>
      <c r="I5439" s="4" t="s">
        <v>2</v>
      </c>
      <c r="J5439" s="14">
        <v>0.625</v>
      </c>
      <c r="K5439" s="20" t="str">
        <f t="shared" si="253"/>
        <v>2nd Shift</v>
      </c>
    </row>
    <row r="5440" spans="1:11" x14ac:dyDescent="0.25">
      <c r="A5440" s="1">
        <v>5439</v>
      </c>
      <c r="B5440" s="1">
        <v>10</v>
      </c>
      <c r="C5440" s="3">
        <v>10115271963600</v>
      </c>
      <c r="D5440" s="2">
        <v>44736.625</v>
      </c>
      <c r="E5440" s="2">
        <v>44736.927083333336</v>
      </c>
      <c r="F5440" s="23">
        <f t="shared" si="252"/>
        <v>0.30208333333575865</v>
      </c>
      <c r="G5440" s="24">
        <f t="shared" si="254"/>
        <v>41.379310344495366</v>
      </c>
      <c r="H5440" s="1" t="s">
        <v>1</v>
      </c>
      <c r="I5440" s="4" t="s">
        <v>8</v>
      </c>
      <c r="J5440" s="14">
        <v>0.625</v>
      </c>
      <c r="K5440" s="20" t="str">
        <f t="shared" si="253"/>
        <v>2nd Shift</v>
      </c>
    </row>
    <row r="5441" spans="1:11" x14ac:dyDescent="0.25">
      <c r="A5441" s="1">
        <v>5440</v>
      </c>
      <c r="B5441" s="1">
        <v>8</v>
      </c>
      <c r="C5441" s="3">
        <v>8115271839102</v>
      </c>
      <c r="D5441" s="2">
        <v>44736.715277777781</v>
      </c>
      <c r="E5441" s="2">
        <v>44736.927083333336</v>
      </c>
      <c r="F5441" s="23">
        <f t="shared" si="252"/>
        <v>0.21180555555474712</v>
      </c>
      <c r="G5441" s="24">
        <f t="shared" si="254"/>
        <v>59.016393442848212</v>
      </c>
      <c r="H5441" s="1" t="s">
        <v>1</v>
      </c>
      <c r="I5441" s="4" t="s">
        <v>3</v>
      </c>
      <c r="J5441" s="14">
        <v>0.71527777777777779</v>
      </c>
      <c r="K5441" s="20" t="str">
        <f t="shared" si="253"/>
        <v>2nd Shift</v>
      </c>
    </row>
    <row r="5442" spans="1:11" x14ac:dyDescent="0.25">
      <c r="A5442" s="1">
        <v>5441</v>
      </c>
      <c r="B5442" s="1">
        <v>7</v>
      </c>
      <c r="C5442" s="3">
        <v>7115271784902</v>
      </c>
      <c r="D5442" s="2">
        <v>44736.715277777781</v>
      </c>
      <c r="E5442" s="2">
        <v>44736.927083333336</v>
      </c>
      <c r="F5442" s="23">
        <f t="shared" ref="F5442:F5505" si="255">E5442-D5442</f>
        <v>0.21180555555474712</v>
      </c>
      <c r="G5442" s="24">
        <f t="shared" si="254"/>
        <v>59.016393442848212</v>
      </c>
      <c r="H5442" s="1" t="s">
        <v>1</v>
      </c>
      <c r="I5442" s="4" t="s">
        <v>3</v>
      </c>
      <c r="J5442" s="14">
        <v>0.71527777777777779</v>
      </c>
      <c r="K5442" s="20" t="str">
        <f t="shared" ref="K5442:K5505" si="256">IF(AND(J5442&gt;=$M$3,J5442&lt;$M$4),"1st Shift",IF(AND(J5442&gt;=$M$4,J5442&lt;$M$5),"2nd Shift","3rd Shift"))</f>
        <v>2nd Shift</v>
      </c>
    </row>
    <row r="5443" spans="1:11" x14ac:dyDescent="0.25">
      <c r="A5443" s="1">
        <v>5442</v>
      </c>
      <c r="B5443" s="1">
        <v>7</v>
      </c>
      <c r="C5443" s="3">
        <v>7115271784900</v>
      </c>
      <c r="D5443" s="2">
        <v>44736.715277777781</v>
      </c>
      <c r="E5443" s="2">
        <v>44736.927083333336</v>
      </c>
      <c r="F5443" s="23">
        <f t="shared" si="255"/>
        <v>0.21180555555474712</v>
      </c>
      <c r="G5443" s="24">
        <f t="shared" ref="G5443:G5506" si="257">$M$9/F5443*100</f>
        <v>59.016393442848212</v>
      </c>
      <c r="H5443" s="1" t="s">
        <v>1</v>
      </c>
      <c r="I5443" s="4" t="s">
        <v>2</v>
      </c>
      <c r="J5443" s="14">
        <v>0.71527777777777779</v>
      </c>
      <c r="K5443" s="20" t="str">
        <f t="shared" si="256"/>
        <v>2nd Shift</v>
      </c>
    </row>
    <row r="5444" spans="1:11" x14ac:dyDescent="0.25">
      <c r="A5444" s="1">
        <v>5443</v>
      </c>
      <c r="B5444" s="1">
        <v>7</v>
      </c>
      <c r="C5444" s="3">
        <v>7115271759014</v>
      </c>
      <c r="D5444" s="2">
        <v>44736.715277777781</v>
      </c>
      <c r="E5444" s="2">
        <v>44736.927083333336</v>
      </c>
      <c r="F5444" s="23">
        <f t="shared" si="255"/>
        <v>0.21180555555474712</v>
      </c>
      <c r="G5444" s="24">
        <f t="shared" si="257"/>
        <v>59.016393442848212</v>
      </c>
      <c r="H5444" s="1" t="s">
        <v>1</v>
      </c>
      <c r="I5444" s="4" t="s">
        <v>3</v>
      </c>
      <c r="J5444" s="14">
        <v>0.71527777777777779</v>
      </c>
      <c r="K5444" s="20" t="str">
        <f t="shared" si="256"/>
        <v>2nd Shift</v>
      </c>
    </row>
    <row r="5445" spans="1:11" x14ac:dyDescent="0.25">
      <c r="A5445" s="1">
        <v>5444</v>
      </c>
      <c r="B5445" s="1">
        <v>4</v>
      </c>
      <c r="C5445" s="3">
        <v>4115270848700</v>
      </c>
      <c r="D5445" s="2">
        <v>44736.625</v>
      </c>
      <c r="E5445" s="2">
        <v>44736.927083333336</v>
      </c>
      <c r="F5445" s="23">
        <f t="shared" si="255"/>
        <v>0.30208333333575865</v>
      </c>
      <c r="G5445" s="24">
        <f t="shared" si="257"/>
        <v>41.379310344495366</v>
      </c>
      <c r="H5445" s="1" t="s">
        <v>1</v>
      </c>
      <c r="I5445" s="4" t="s">
        <v>3</v>
      </c>
      <c r="J5445" s="14">
        <v>0.625</v>
      </c>
      <c r="K5445" s="20" t="str">
        <f t="shared" si="256"/>
        <v>2nd Shift</v>
      </c>
    </row>
    <row r="5446" spans="1:11" x14ac:dyDescent="0.25">
      <c r="A5446" s="1">
        <v>5445</v>
      </c>
      <c r="B5446" s="1">
        <v>3</v>
      </c>
      <c r="C5446" s="3">
        <v>3115270421800</v>
      </c>
      <c r="D5446" s="2">
        <v>44736.625</v>
      </c>
      <c r="E5446" s="2">
        <v>44736.927083333336</v>
      </c>
      <c r="F5446" s="23">
        <f t="shared" si="255"/>
        <v>0.30208333333575865</v>
      </c>
      <c r="G5446" s="24">
        <f t="shared" si="257"/>
        <v>41.379310344495366</v>
      </c>
      <c r="H5446" s="1" t="s">
        <v>1</v>
      </c>
      <c r="I5446" s="4" t="s">
        <v>3</v>
      </c>
      <c r="J5446" s="14">
        <v>0.625</v>
      </c>
      <c r="K5446" s="20" t="str">
        <f t="shared" si="256"/>
        <v>2nd Shift</v>
      </c>
    </row>
    <row r="5447" spans="1:11" x14ac:dyDescent="0.25">
      <c r="A5447" s="1">
        <v>5446</v>
      </c>
      <c r="B5447" s="1">
        <v>3</v>
      </c>
      <c r="C5447" s="3">
        <v>3115270333900</v>
      </c>
      <c r="D5447" s="2">
        <v>44736.625</v>
      </c>
      <c r="E5447" s="2">
        <v>44736.927083333336</v>
      </c>
      <c r="F5447" s="23">
        <f t="shared" si="255"/>
        <v>0.30208333333575865</v>
      </c>
      <c r="G5447" s="24">
        <f t="shared" si="257"/>
        <v>41.379310344495366</v>
      </c>
      <c r="H5447" s="1" t="s">
        <v>1</v>
      </c>
      <c r="I5447" s="4" t="s">
        <v>2</v>
      </c>
      <c r="J5447" s="14">
        <v>0.625</v>
      </c>
      <c r="K5447" s="20" t="str">
        <f t="shared" si="256"/>
        <v>2nd Shift</v>
      </c>
    </row>
    <row r="5448" spans="1:11" x14ac:dyDescent="0.25">
      <c r="A5448" s="1">
        <v>5447</v>
      </c>
      <c r="B5448" s="1">
        <v>3</v>
      </c>
      <c r="C5448" s="3">
        <v>3115270321900</v>
      </c>
      <c r="D5448" s="2">
        <v>44736.625</v>
      </c>
      <c r="E5448" s="2">
        <v>44736.927083333336</v>
      </c>
      <c r="F5448" s="23">
        <f t="shared" si="255"/>
        <v>0.30208333333575865</v>
      </c>
      <c r="G5448" s="24">
        <f t="shared" si="257"/>
        <v>41.379310344495366</v>
      </c>
      <c r="H5448" s="1" t="s">
        <v>1</v>
      </c>
      <c r="I5448" s="4" t="s">
        <v>2</v>
      </c>
      <c r="J5448" s="14">
        <v>0.625</v>
      </c>
      <c r="K5448" s="20" t="str">
        <f t="shared" si="256"/>
        <v>2nd Shift</v>
      </c>
    </row>
    <row r="5449" spans="1:11" x14ac:dyDescent="0.25">
      <c r="A5449" s="1">
        <v>5448</v>
      </c>
      <c r="B5449" s="1">
        <v>3</v>
      </c>
      <c r="C5449" s="3">
        <v>3115270309300</v>
      </c>
      <c r="D5449" s="2">
        <v>44736.715277777781</v>
      </c>
      <c r="E5449" s="2">
        <v>44736.927083333336</v>
      </c>
      <c r="F5449" s="23">
        <f t="shared" si="255"/>
        <v>0.21180555555474712</v>
      </c>
      <c r="G5449" s="24">
        <f t="shared" si="257"/>
        <v>59.016393442848212</v>
      </c>
      <c r="H5449" s="1" t="s">
        <v>1</v>
      </c>
      <c r="I5449" s="4" t="s">
        <v>4</v>
      </c>
      <c r="J5449" s="14">
        <v>0.71527777777777779</v>
      </c>
      <c r="K5449" s="20" t="str">
        <f t="shared" si="256"/>
        <v>2nd Shift</v>
      </c>
    </row>
    <row r="5450" spans="1:11" x14ac:dyDescent="0.25">
      <c r="A5450" s="1">
        <v>5449</v>
      </c>
      <c r="B5450" s="1">
        <v>1</v>
      </c>
      <c r="C5450" s="3">
        <v>1115270088100</v>
      </c>
      <c r="D5450" s="2">
        <v>44736.715277777781</v>
      </c>
      <c r="E5450" s="2">
        <v>44736.927083333336</v>
      </c>
      <c r="F5450" s="23">
        <f t="shared" si="255"/>
        <v>0.21180555555474712</v>
      </c>
      <c r="G5450" s="24">
        <f t="shared" si="257"/>
        <v>59.016393442848212</v>
      </c>
      <c r="H5450" s="1" t="s">
        <v>1</v>
      </c>
      <c r="I5450" s="4" t="s">
        <v>3</v>
      </c>
      <c r="J5450" s="14">
        <v>0.71527777777777779</v>
      </c>
      <c r="K5450" s="20" t="str">
        <f t="shared" si="256"/>
        <v>2nd Shift</v>
      </c>
    </row>
    <row r="5451" spans="1:11" x14ac:dyDescent="0.25">
      <c r="A5451" s="1">
        <v>5450</v>
      </c>
      <c r="B5451" s="1">
        <v>1</v>
      </c>
      <c r="C5451" s="3">
        <v>1115270059800</v>
      </c>
      <c r="D5451" s="2">
        <v>44736.715277777781</v>
      </c>
      <c r="E5451" s="2">
        <v>44736.927083333336</v>
      </c>
      <c r="F5451" s="23">
        <f t="shared" si="255"/>
        <v>0.21180555555474712</v>
      </c>
      <c r="G5451" s="24">
        <f t="shared" si="257"/>
        <v>59.016393442848212</v>
      </c>
      <c r="H5451" s="1" t="s">
        <v>1</v>
      </c>
      <c r="I5451" s="4" t="s">
        <v>3</v>
      </c>
      <c r="J5451" s="14">
        <v>0.71527777777777779</v>
      </c>
      <c r="K5451" s="20" t="str">
        <f t="shared" si="256"/>
        <v>2nd Shift</v>
      </c>
    </row>
    <row r="5452" spans="1:11" x14ac:dyDescent="0.25">
      <c r="A5452" s="1">
        <v>5451</v>
      </c>
      <c r="B5452" s="1">
        <v>3</v>
      </c>
      <c r="C5452" s="3">
        <v>3115270366904</v>
      </c>
      <c r="D5452" s="2">
        <v>44736.951388888891</v>
      </c>
      <c r="E5452" s="2">
        <v>44737.010416666664</v>
      </c>
      <c r="F5452" s="23">
        <f t="shared" si="255"/>
        <v>5.9027777773735579E-2</v>
      </c>
      <c r="G5452" s="24">
        <f t="shared" si="257"/>
        <v>211.76470589685451</v>
      </c>
      <c r="H5452" s="1" t="s">
        <v>1</v>
      </c>
      <c r="I5452" s="4" t="s">
        <v>3</v>
      </c>
      <c r="J5452" s="14">
        <v>0.95138888888888884</v>
      </c>
      <c r="K5452" s="20" t="str">
        <f t="shared" si="256"/>
        <v>3rd Shift</v>
      </c>
    </row>
    <row r="5453" spans="1:11" x14ac:dyDescent="0.25">
      <c r="A5453" s="1">
        <v>5452</v>
      </c>
      <c r="B5453" s="1">
        <v>1</v>
      </c>
      <c r="C5453" s="3">
        <v>1115270075200</v>
      </c>
      <c r="D5453" s="2">
        <v>44736.951388888891</v>
      </c>
      <c r="E5453" s="2">
        <v>44737.010416666664</v>
      </c>
      <c r="F5453" s="23">
        <f t="shared" si="255"/>
        <v>5.9027777773735579E-2</v>
      </c>
      <c r="G5453" s="24">
        <f t="shared" si="257"/>
        <v>211.76470589685451</v>
      </c>
      <c r="H5453" s="1" t="s">
        <v>1</v>
      </c>
      <c r="I5453" s="4" t="s">
        <v>3</v>
      </c>
      <c r="J5453" s="14">
        <v>0.95138888888888884</v>
      </c>
      <c r="K5453" s="20" t="str">
        <f t="shared" si="256"/>
        <v>3rd Shift</v>
      </c>
    </row>
    <row r="5454" spans="1:11" x14ac:dyDescent="0.25">
      <c r="A5454" s="1">
        <v>5453</v>
      </c>
      <c r="B5454" s="1">
        <v>7</v>
      </c>
      <c r="C5454" s="3">
        <v>7115271773616</v>
      </c>
      <c r="D5454" s="2">
        <v>44737.027777777781</v>
      </c>
      <c r="E5454" s="2">
        <v>44737.104166666664</v>
      </c>
      <c r="F5454" s="23">
        <f t="shared" si="255"/>
        <v>7.6388888883229811E-2</v>
      </c>
      <c r="G5454" s="24">
        <f t="shared" si="257"/>
        <v>163.63636364848622</v>
      </c>
      <c r="H5454" s="1" t="s">
        <v>1</v>
      </c>
      <c r="I5454" s="4" t="s">
        <v>2</v>
      </c>
      <c r="J5454" s="14">
        <v>2.7777777777777776E-2</v>
      </c>
      <c r="K5454" s="20" t="str">
        <f t="shared" si="256"/>
        <v>3rd Shift</v>
      </c>
    </row>
    <row r="5455" spans="1:11" x14ac:dyDescent="0.25">
      <c r="A5455" s="1">
        <v>5454</v>
      </c>
      <c r="B5455" s="1">
        <v>4</v>
      </c>
      <c r="C5455" s="3">
        <v>4115270832700</v>
      </c>
      <c r="D5455" s="2">
        <v>44737.027777777781</v>
      </c>
      <c r="E5455" s="2">
        <v>44737.104166666664</v>
      </c>
      <c r="F5455" s="23">
        <f t="shared" si="255"/>
        <v>7.6388888883229811E-2</v>
      </c>
      <c r="G5455" s="24">
        <f t="shared" si="257"/>
        <v>163.63636364848622</v>
      </c>
      <c r="H5455" s="1" t="s">
        <v>1</v>
      </c>
      <c r="I5455" s="4" t="s">
        <v>3</v>
      </c>
      <c r="J5455" s="14">
        <v>2.7777777777777776E-2</v>
      </c>
      <c r="K5455" s="20" t="str">
        <f t="shared" si="256"/>
        <v>3rd Shift</v>
      </c>
    </row>
    <row r="5456" spans="1:11" x14ac:dyDescent="0.25">
      <c r="A5456" s="1">
        <v>5455</v>
      </c>
      <c r="B5456" s="1">
        <v>14</v>
      </c>
      <c r="C5456" s="3">
        <v>14115271679604</v>
      </c>
      <c r="D5456" s="2">
        <v>44737.333333333336</v>
      </c>
      <c r="E5456" s="2">
        <v>44737.635416666664</v>
      </c>
      <c r="F5456" s="23">
        <f t="shared" si="255"/>
        <v>0.30208333332848269</v>
      </c>
      <c r="G5456" s="24">
        <f t="shared" si="257"/>
        <v>41.37931034549203</v>
      </c>
      <c r="H5456" s="1" t="s">
        <v>1</v>
      </c>
      <c r="I5456" s="4" t="s">
        <v>3</v>
      </c>
      <c r="J5456" s="14">
        <v>0.33333333333333331</v>
      </c>
      <c r="K5456" s="20" t="str">
        <f t="shared" si="256"/>
        <v>1st Shift</v>
      </c>
    </row>
    <row r="5457" spans="1:11" x14ac:dyDescent="0.25">
      <c r="A5457" s="1">
        <v>5456</v>
      </c>
      <c r="B5457" s="1">
        <v>13</v>
      </c>
      <c r="C5457" s="3">
        <v>13115271592407</v>
      </c>
      <c r="D5457" s="2">
        <v>44737.388888888891</v>
      </c>
      <c r="E5457" s="2">
        <v>44737.635416666664</v>
      </c>
      <c r="F5457" s="23">
        <f t="shared" si="255"/>
        <v>0.24652777777373558</v>
      </c>
      <c r="G5457" s="24">
        <f t="shared" si="257"/>
        <v>50.704225352944057</v>
      </c>
      <c r="H5457" s="1" t="s">
        <v>1</v>
      </c>
      <c r="I5457" s="4" t="s">
        <v>2</v>
      </c>
      <c r="J5457" s="14">
        <v>0.3888888888888889</v>
      </c>
      <c r="K5457" s="20" t="str">
        <f t="shared" si="256"/>
        <v>1st Shift</v>
      </c>
    </row>
    <row r="5458" spans="1:11" x14ac:dyDescent="0.25">
      <c r="A5458" s="1">
        <v>5457</v>
      </c>
      <c r="B5458" s="1">
        <v>12</v>
      </c>
      <c r="C5458" s="3">
        <v>12115271581915</v>
      </c>
      <c r="D5458" s="2">
        <v>44737.527777777781</v>
      </c>
      <c r="E5458" s="2">
        <v>44737.635416666664</v>
      </c>
      <c r="F5458" s="23">
        <f t="shared" si="255"/>
        <v>0.10763888888322981</v>
      </c>
      <c r="G5458" s="24">
        <f t="shared" si="257"/>
        <v>116.12903226416995</v>
      </c>
      <c r="H5458" s="1" t="s">
        <v>1</v>
      </c>
      <c r="I5458" s="4" t="s">
        <v>3</v>
      </c>
      <c r="J5458" s="14">
        <v>0.52777777777777779</v>
      </c>
      <c r="K5458" s="20" t="str">
        <f t="shared" si="256"/>
        <v>1st Shift</v>
      </c>
    </row>
    <row r="5459" spans="1:11" x14ac:dyDescent="0.25">
      <c r="A5459" s="1">
        <v>5458</v>
      </c>
      <c r="B5459" s="1">
        <v>12</v>
      </c>
      <c r="C5459" s="3">
        <v>12115271577320</v>
      </c>
      <c r="D5459" s="2">
        <v>44737.527777777781</v>
      </c>
      <c r="E5459" s="2">
        <v>44737.635416666664</v>
      </c>
      <c r="F5459" s="23">
        <f t="shared" si="255"/>
        <v>0.10763888888322981</v>
      </c>
      <c r="G5459" s="24">
        <f t="shared" si="257"/>
        <v>116.12903226416995</v>
      </c>
      <c r="H5459" s="1" t="s">
        <v>1</v>
      </c>
      <c r="I5459" s="4" t="s">
        <v>3</v>
      </c>
      <c r="J5459" s="14">
        <v>0.52777777777777779</v>
      </c>
      <c r="K5459" s="20" t="str">
        <f t="shared" si="256"/>
        <v>1st Shift</v>
      </c>
    </row>
    <row r="5460" spans="1:11" x14ac:dyDescent="0.25">
      <c r="A5460" s="1">
        <v>5459</v>
      </c>
      <c r="B5460" s="1">
        <v>12</v>
      </c>
      <c r="C5460" s="3">
        <v>12115271573214</v>
      </c>
      <c r="D5460" s="2">
        <v>44737.527777777781</v>
      </c>
      <c r="E5460" s="2">
        <v>44737.635416666664</v>
      </c>
      <c r="F5460" s="23">
        <f t="shared" si="255"/>
        <v>0.10763888888322981</v>
      </c>
      <c r="G5460" s="24">
        <f t="shared" si="257"/>
        <v>116.12903226416995</v>
      </c>
      <c r="H5460" s="1" t="s">
        <v>1</v>
      </c>
      <c r="I5460" s="4" t="s">
        <v>2</v>
      </c>
      <c r="J5460" s="14">
        <v>0.52777777777777779</v>
      </c>
      <c r="K5460" s="20" t="str">
        <f t="shared" si="256"/>
        <v>1st Shift</v>
      </c>
    </row>
    <row r="5461" spans="1:11" x14ac:dyDescent="0.25">
      <c r="A5461" s="1">
        <v>5460</v>
      </c>
      <c r="B5461" s="1">
        <v>10</v>
      </c>
      <c r="C5461" s="3">
        <v>10115271472701</v>
      </c>
      <c r="D5461" s="2">
        <v>44737.388888888891</v>
      </c>
      <c r="E5461" s="2">
        <v>44737.635416666664</v>
      </c>
      <c r="F5461" s="23">
        <f t="shared" si="255"/>
        <v>0.24652777777373558</v>
      </c>
      <c r="G5461" s="24">
        <f t="shared" si="257"/>
        <v>50.704225352944057</v>
      </c>
      <c r="H5461" s="1" t="s">
        <v>1</v>
      </c>
      <c r="I5461" s="4" t="s">
        <v>4</v>
      </c>
      <c r="J5461" s="14">
        <v>0.3888888888888889</v>
      </c>
      <c r="K5461" s="20" t="str">
        <f t="shared" si="256"/>
        <v>1st Shift</v>
      </c>
    </row>
    <row r="5462" spans="1:11" x14ac:dyDescent="0.25">
      <c r="A5462" s="1">
        <v>5461</v>
      </c>
      <c r="B5462" s="1">
        <v>10</v>
      </c>
      <c r="C5462" s="3">
        <v>10115271433900</v>
      </c>
      <c r="D5462" s="2">
        <v>44737.333333333336</v>
      </c>
      <c r="E5462" s="2">
        <v>44737.635416666664</v>
      </c>
      <c r="F5462" s="23">
        <f t="shared" si="255"/>
        <v>0.30208333332848269</v>
      </c>
      <c r="G5462" s="24">
        <f t="shared" si="257"/>
        <v>41.37931034549203</v>
      </c>
      <c r="H5462" s="1" t="s">
        <v>1</v>
      </c>
      <c r="I5462" s="4" t="s">
        <v>3</v>
      </c>
      <c r="J5462" s="14">
        <v>0.33333333333333331</v>
      </c>
      <c r="K5462" s="20" t="str">
        <f t="shared" si="256"/>
        <v>1st Shift</v>
      </c>
    </row>
    <row r="5463" spans="1:11" x14ac:dyDescent="0.25">
      <c r="A5463" s="1">
        <v>5462</v>
      </c>
      <c r="B5463" s="1">
        <v>8</v>
      </c>
      <c r="C5463" s="3">
        <v>8115271872100</v>
      </c>
      <c r="D5463" s="2">
        <v>44737.45416666667</v>
      </c>
      <c r="E5463" s="2">
        <v>44737.635416666664</v>
      </c>
      <c r="F5463" s="23">
        <f t="shared" si="255"/>
        <v>0.18124999999417923</v>
      </c>
      <c r="G5463" s="24">
        <f t="shared" si="257"/>
        <v>68.965517243594107</v>
      </c>
      <c r="H5463" s="1" t="s">
        <v>1</v>
      </c>
      <c r="I5463" s="4" t="s">
        <v>2</v>
      </c>
      <c r="J5463" s="14">
        <v>0.45416666666666666</v>
      </c>
      <c r="K5463" s="20" t="str">
        <f t="shared" si="256"/>
        <v>1st Shift</v>
      </c>
    </row>
    <row r="5464" spans="1:11" x14ac:dyDescent="0.25">
      <c r="A5464" s="1">
        <v>5463</v>
      </c>
      <c r="B5464" s="1">
        <v>5</v>
      </c>
      <c r="C5464" s="3">
        <v>5115271271100</v>
      </c>
      <c r="D5464" s="2">
        <v>44737.388888888891</v>
      </c>
      <c r="E5464" s="2">
        <v>44737.635416666664</v>
      </c>
      <c r="F5464" s="23">
        <f t="shared" si="255"/>
        <v>0.24652777777373558</v>
      </c>
      <c r="G5464" s="24">
        <f t="shared" si="257"/>
        <v>50.704225352944057</v>
      </c>
      <c r="H5464" s="1" t="s">
        <v>1</v>
      </c>
      <c r="I5464" s="4" t="s">
        <v>2</v>
      </c>
      <c r="J5464" s="14">
        <v>0.3888888888888889</v>
      </c>
      <c r="K5464" s="20" t="str">
        <f t="shared" si="256"/>
        <v>1st Shift</v>
      </c>
    </row>
    <row r="5465" spans="1:11" x14ac:dyDescent="0.25">
      <c r="A5465" s="1">
        <v>5464</v>
      </c>
      <c r="B5465" s="1">
        <v>5</v>
      </c>
      <c r="C5465" s="3">
        <v>5115271239300</v>
      </c>
      <c r="D5465" s="2">
        <v>44737.388888888891</v>
      </c>
      <c r="E5465" s="2">
        <v>44737.635416666664</v>
      </c>
      <c r="F5465" s="23">
        <f t="shared" si="255"/>
        <v>0.24652777777373558</v>
      </c>
      <c r="G5465" s="24">
        <f t="shared" si="257"/>
        <v>50.704225352944057</v>
      </c>
      <c r="H5465" s="1" t="s">
        <v>1</v>
      </c>
      <c r="I5465" s="4" t="s">
        <v>2</v>
      </c>
      <c r="J5465" s="14">
        <v>0.3888888888888889</v>
      </c>
      <c r="K5465" s="20" t="str">
        <f t="shared" si="256"/>
        <v>1st Shift</v>
      </c>
    </row>
    <row r="5466" spans="1:11" x14ac:dyDescent="0.25">
      <c r="A5466" s="1">
        <v>5465</v>
      </c>
      <c r="B5466" s="1">
        <v>3</v>
      </c>
      <c r="C5466" s="3">
        <v>3115270395000</v>
      </c>
      <c r="D5466" s="2">
        <v>44737.388888888891</v>
      </c>
      <c r="E5466" s="2">
        <v>44737.635416666664</v>
      </c>
      <c r="F5466" s="23">
        <f t="shared" si="255"/>
        <v>0.24652777777373558</v>
      </c>
      <c r="G5466" s="24">
        <f t="shared" si="257"/>
        <v>50.704225352944057</v>
      </c>
      <c r="H5466" s="1" t="s">
        <v>1</v>
      </c>
      <c r="I5466" s="4" t="s">
        <v>2</v>
      </c>
      <c r="J5466" s="14">
        <v>0.3888888888888889</v>
      </c>
      <c r="K5466" s="20" t="str">
        <f t="shared" si="256"/>
        <v>1st Shift</v>
      </c>
    </row>
    <row r="5467" spans="1:11" x14ac:dyDescent="0.25">
      <c r="A5467" s="1">
        <v>5466</v>
      </c>
      <c r="B5467" s="1">
        <v>3</v>
      </c>
      <c r="C5467" s="3">
        <v>3115270393600</v>
      </c>
      <c r="D5467" s="2">
        <v>44737.333333333336</v>
      </c>
      <c r="E5467" s="2">
        <v>44737.635416666664</v>
      </c>
      <c r="F5467" s="23">
        <f t="shared" si="255"/>
        <v>0.30208333332848269</v>
      </c>
      <c r="G5467" s="24">
        <f t="shared" si="257"/>
        <v>41.37931034549203</v>
      </c>
      <c r="H5467" s="1" t="s">
        <v>1</v>
      </c>
      <c r="I5467" s="4" t="s">
        <v>2</v>
      </c>
      <c r="J5467" s="14">
        <v>0.33333333333333331</v>
      </c>
      <c r="K5467" s="20" t="str">
        <f t="shared" si="256"/>
        <v>1st Shift</v>
      </c>
    </row>
    <row r="5468" spans="1:11" x14ac:dyDescent="0.25">
      <c r="A5468" s="1">
        <v>5467</v>
      </c>
      <c r="B5468" s="1">
        <v>3</v>
      </c>
      <c r="C5468" s="3">
        <v>3115270375403</v>
      </c>
      <c r="D5468" s="2">
        <v>44737.527777777781</v>
      </c>
      <c r="E5468" s="2">
        <v>44737.635416666664</v>
      </c>
      <c r="F5468" s="23">
        <f t="shared" si="255"/>
        <v>0.10763888888322981</v>
      </c>
      <c r="G5468" s="24">
        <f t="shared" si="257"/>
        <v>116.12903226416995</v>
      </c>
      <c r="H5468" s="1" t="s">
        <v>1</v>
      </c>
      <c r="I5468" s="4" t="s">
        <v>2</v>
      </c>
      <c r="J5468" s="14">
        <v>0.52777777777777779</v>
      </c>
      <c r="K5468" s="20" t="str">
        <f t="shared" si="256"/>
        <v>1st Shift</v>
      </c>
    </row>
    <row r="5469" spans="1:11" x14ac:dyDescent="0.25">
      <c r="A5469" s="1">
        <v>5468</v>
      </c>
      <c r="B5469" s="1">
        <v>1</v>
      </c>
      <c r="C5469" s="3">
        <v>1115270088100</v>
      </c>
      <c r="D5469" s="2">
        <v>44737.527777777781</v>
      </c>
      <c r="E5469" s="2">
        <v>44737.635416666664</v>
      </c>
      <c r="F5469" s="23">
        <f t="shared" si="255"/>
        <v>0.10763888888322981</v>
      </c>
      <c r="G5469" s="24">
        <f t="shared" si="257"/>
        <v>116.12903226416995</v>
      </c>
      <c r="H5469" s="1" t="s">
        <v>1</v>
      </c>
      <c r="I5469" s="4" t="s">
        <v>3</v>
      </c>
      <c r="J5469" s="14">
        <v>0.52777777777777779</v>
      </c>
      <c r="K5469" s="20" t="str">
        <f t="shared" si="256"/>
        <v>1st Shift</v>
      </c>
    </row>
    <row r="5470" spans="1:11" x14ac:dyDescent="0.25">
      <c r="A5470" s="1">
        <v>5469</v>
      </c>
      <c r="B5470" s="1">
        <v>7</v>
      </c>
      <c r="C5470" s="3">
        <v>7115271799401</v>
      </c>
      <c r="D5470" s="2">
        <v>44737.625</v>
      </c>
      <c r="E5470" s="2">
        <v>44737.729166666664</v>
      </c>
      <c r="F5470" s="23">
        <f t="shared" si="255"/>
        <v>0.10416666666424135</v>
      </c>
      <c r="G5470" s="24">
        <f t="shared" si="257"/>
        <v>120.00000000279397</v>
      </c>
      <c r="H5470" s="1" t="s">
        <v>1</v>
      </c>
      <c r="I5470" s="4" t="s">
        <v>2</v>
      </c>
      <c r="J5470" s="14">
        <v>0.625</v>
      </c>
      <c r="K5470" s="20" t="str">
        <f t="shared" si="256"/>
        <v>2nd Shift</v>
      </c>
    </row>
    <row r="5471" spans="1:11" x14ac:dyDescent="0.25">
      <c r="A5471" s="1">
        <v>5470</v>
      </c>
      <c r="B5471" s="1">
        <v>6</v>
      </c>
      <c r="C5471" s="3">
        <v>6115271740819</v>
      </c>
      <c r="D5471" s="2">
        <v>44737.625</v>
      </c>
      <c r="E5471" s="2">
        <v>44737.729166666664</v>
      </c>
      <c r="F5471" s="23">
        <f t="shared" si="255"/>
        <v>0.10416666666424135</v>
      </c>
      <c r="G5471" s="24">
        <f t="shared" si="257"/>
        <v>120.00000000279397</v>
      </c>
      <c r="H5471" s="1" t="s">
        <v>1</v>
      </c>
      <c r="I5471" s="4" t="s">
        <v>2</v>
      </c>
      <c r="J5471" s="14">
        <v>0.625</v>
      </c>
      <c r="K5471" s="20" t="str">
        <f t="shared" si="256"/>
        <v>2nd Shift</v>
      </c>
    </row>
    <row r="5472" spans="1:11" x14ac:dyDescent="0.25">
      <c r="A5472" s="1">
        <v>5471</v>
      </c>
      <c r="B5472" s="1">
        <v>3</v>
      </c>
      <c r="C5472" s="3">
        <v>3115270421800</v>
      </c>
      <c r="D5472" s="2">
        <v>44737.625</v>
      </c>
      <c r="E5472" s="2">
        <v>44737.729166666664</v>
      </c>
      <c r="F5472" s="23">
        <f t="shared" si="255"/>
        <v>0.10416666666424135</v>
      </c>
      <c r="G5472" s="24">
        <f t="shared" si="257"/>
        <v>120.00000000279397</v>
      </c>
      <c r="H5472" s="1" t="s">
        <v>1</v>
      </c>
      <c r="I5472" s="4" t="s">
        <v>2</v>
      </c>
      <c r="J5472" s="14">
        <v>0.625</v>
      </c>
      <c r="K5472" s="20" t="str">
        <f t="shared" si="256"/>
        <v>2nd Shift</v>
      </c>
    </row>
    <row r="5473" spans="1:11" x14ac:dyDescent="0.25">
      <c r="A5473" s="1">
        <v>5472</v>
      </c>
      <c r="B5473" s="1">
        <v>3</v>
      </c>
      <c r="C5473" s="3">
        <v>3115270386500</v>
      </c>
      <c r="D5473" s="2">
        <v>44737.625</v>
      </c>
      <c r="E5473" s="2">
        <v>44737.729166666664</v>
      </c>
      <c r="F5473" s="23">
        <f t="shared" si="255"/>
        <v>0.10416666666424135</v>
      </c>
      <c r="G5473" s="24">
        <f t="shared" si="257"/>
        <v>120.00000000279397</v>
      </c>
      <c r="H5473" s="1" t="s">
        <v>1</v>
      </c>
      <c r="I5473" s="4" t="s">
        <v>2</v>
      </c>
      <c r="J5473" s="14">
        <v>0.625</v>
      </c>
      <c r="K5473" s="20" t="str">
        <f t="shared" si="256"/>
        <v>2nd Shift</v>
      </c>
    </row>
    <row r="5474" spans="1:11" x14ac:dyDescent="0.25">
      <c r="A5474" s="1">
        <v>5473</v>
      </c>
      <c r="B5474" s="1">
        <v>15</v>
      </c>
      <c r="C5474" s="3">
        <v>15115271779303</v>
      </c>
      <c r="D5474" s="2">
        <v>44737.770833333336</v>
      </c>
      <c r="E5474" s="2">
        <v>44737.920138888891</v>
      </c>
      <c r="F5474" s="23">
        <f t="shared" si="255"/>
        <v>0.14930555555474712</v>
      </c>
      <c r="G5474" s="24">
        <f t="shared" si="257"/>
        <v>83.720930233011458</v>
      </c>
      <c r="H5474" s="1" t="s">
        <v>1</v>
      </c>
      <c r="I5474" s="4" t="s">
        <v>2</v>
      </c>
      <c r="J5474" s="14">
        <v>0.77083333333333337</v>
      </c>
      <c r="K5474" s="20" t="str">
        <f t="shared" si="256"/>
        <v>2nd Shift</v>
      </c>
    </row>
    <row r="5475" spans="1:11" x14ac:dyDescent="0.25">
      <c r="A5475" s="1">
        <v>5474</v>
      </c>
      <c r="B5475" s="1">
        <v>11</v>
      </c>
      <c r="C5475" s="3">
        <v>11115271542600</v>
      </c>
      <c r="D5475" s="2">
        <v>44737.770833333336</v>
      </c>
      <c r="E5475" s="2">
        <v>44737.920138888891</v>
      </c>
      <c r="F5475" s="23">
        <f t="shared" si="255"/>
        <v>0.14930555555474712</v>
      </c>
      <c r="G5475" s="24">
        <f t="shared" si="257"/>
        <v>83.720930233011458</v>
      </c>
      <c r="H5475" s="1" t="s">
        <v>1</v>
      </c>
      <c r="I5475" s="4" t="s">
        <v>3</v>
      </c>
      <c r="J5475" s="14">
        <v>0.77083333333333337</v>
      </c>
      <c r="K5475" s="20" t="str">
        <f t="shared" si="256"/>
        <v>2nd Shift</v>
      </c>
    </row>
    <row r="5476" spans="1:11" x14ac:dyDescent="0.25">
      <c r="A5476" s="1">
        <v>5475</v>
      </c>
      <c r="B5476" s="1">
        <v>9</v>
      </c>
      <c r="C5476" s="3">
        <v>9115271893508</v>
      </c>
      <c r="D5476" s="2">
        <v>44737.770833333336</v>
      </c>
      <c r="E5476" s="2">
        <v>44737.920138888891</v>
      </c>
      <c r="F5476" s="23">
        <f t="shared" si="255"/>
        <v>0.14930555555474712</v>
      </c>
      <c r="G5476" s="24">
        <f t="shared" si="257"/>
        <v>83.720930233011458</v>
      </c>
      <c r="H5476" s="1" t="s">
        <v>1</v>
      </c>
      <c r="I5476" s="4" t="s">
        <v>2</v>
      </c>
      <c r="J5476" s="14">
        <v>0.77083333333333337</v>
      </c>
      <c r="K5476" s="20" t="str">
        <f t="shared" si="256"/>
        <v>2nd Shift</v>
      </c>
    </row>
    <row r="5477" spans="1:11" x14ac:dyDescent="0.25">
      <c r="A5477" s="1">
        <v>5476</v>
      </c>
      <c r="B5477" s="1">
        <v>8</v>
      </c>
      <c r="C5477" s="3">
        <v>8115271821827</v>
      </c>
      <c r="D5477" s="2">
        <v>44737.770833333336</v>
      </c>
      <c r="E5477" s="2">
        <v>44737.920138888891</v>
      </c>
      <c r="F5477" s="23">
        <f t="shared" si="255"/>
        <v>0.14930555555474712</v>
      </c>
      <c r="G5477" s="24">
        <f t="shared" si="257"/>
        <v>83.720930233011458</v>
      </c>
      <c r="H5477" s="1" t="s">
        <v>1</v>
      </c>
      <c r="I5477" s="4" t="s">
        <v>4</v>
      </c>
      <c r="J5477" s="14">
        <v>0.77083333333333337</v>
      </c>
      <c r="K5477" s="20" t="str">
        <f t="shared" si="256"/>
        <v>2nd Shift</v>
      </c>
    </row>
    <row r="5478" spans="1:11" x14ac:dyDescent="0.25">
      <c r="A5478" s="1">
        <v>5477</v>
      </c>
      <c r="B5478" s="1">
        <v>7</v>
      </c>
      <c r="C5478" s="3">
        <v>7115271783000</v>
      </c>
      <c r="D5478" s="2">
        <v>44737.770833333336</v>
      </c>
      <c r="E5478" s="2">
        <v>44737.920138888891</v>
      </c>
      <c r="F5478" s="23">
        <f t="shared" si="255"/>
        <v>0.14930555555474712</v>
      </c>
      <c r="G5478" s="24">
        <f t="shared" si="257"/>
        <v>83.720930233011458</v>
      </c>
      <c r="H5478" s="1" t="s">
        <v>1</v>
      </c>
      <c r="I5478" s="4" t="s">
        <v>2</v>
      </c>
      <c r="J5478" s="14">
        <v>0.77083333333333337</v>
      </c>
      <c r="K5478" s="20" t="str">
        <f t="shared" si="256"/>
        <v>2nd Shift</v>
      </c>
    </row>
    <row r="5479" spans="1:11" x14ac:dyDescent="0.25">
      <c r="A5479" s="1">
        <v>5478</v>
      </c>
      <c r="B5479" s="1">
        <v>3</v>
      </c>
      <c r="C5479" s="3">
        <v>3115270400400</v>
      </c>
      <c r="D5479" s="2">
        <v>44737.770833333336</v>
      </c>
      <c r="E5479" s="2">
        <v>44737.920138888891</v>
      </c>
      <c r="F5479" s="23">
        <f t="shared" si="255"/>
        <v>0.14930555555474712</v>
      </c>
      <c r="G5479" s="24">
        <f t="shared" si="257"/>
        <v>83.720930233011458</v>
      </c>
      <c r="H5479" s="1" t="s">
        <v>1</v>
      </c>
      <c r="I5479" s="4" t="s">
        <v>3</v>
      </c>
      <c r="J5479" s="14">
        <v>0.77083333333333337</v>
      </c>
      <c r="K5479" s="20" t="str">
        <f t="shared" si="256"/>
        <v>2nd Shift</v>
      </c>
    </row>
    <row r="5480" spans="1:11" x14ac:dyDescent="0.25">
      <c r="A5480" s="1">
        <v>5479</v>
      </c>
      <c r="B5480" s="1">
        <v>3</v>
      </c>
      <c r="C5480" s="3">
        <v>3115270370400</v>
      </c>
      <c r="D5480" s="2">
        <v>44737.770833333336</v>
      </c>
      <c r="E5480" s="2">
        <v>44737.920138888891</v>
      </c>
      <c r="F5480" s="23">
        <f t="shared" si="255"/>
        <v>0.14930555555474712</v>
      </c>
      <c r="G5480" s="24">
        <f t="shared" si="257"/>
        <v>83.720930233011458</v>
      </c>
      <c r="H5480" s="1" t="s">
        <v>1</v>
      </c>
      <c r="I5480" s="4" t="s">
        <v>2</v>
      </c>
      <c r="J5480" s="14">
        <v>0.77083333333333337</v>
      </c>
      <c r="K5480" s="20" t="str">
        <f t="shared" si="256"/>
        <v>2nd Shift</v>
      </c>
    </row>
    <row r="5481" spans="1:11" x14ac:dyDescent="0.25">
      <c r="A5481" s="1">
        <v>5480</v>
      </c>
      <c r="B5481" s="1">
        <v>2</v>
      </c>
      <c r="C5481" s="3">
        <v>2115270262100</v>
      </c>
      <c r="D5481" s="2">
        <v>44737.770833333336</v>
      </c>
      <c r="E5481" s="2">
        <v>44737.920138888891</v>
      </c>
      <c r="F5481" s="23">
        <f t="shared" si="255"/>
        <v>0.14930555555474712</v>
      </c>
      <c r="G5481" s="24">
        <f t="shared" si="257"/>
        <v>83.720930233011458</v>
      </c>
      <c r="H5481" s="1" t="s">
        <v>1</v>
      </c>
      <c r="I5481" s="4" t="s">
        <v>3</v>
      </c>
      <c r="J5481" s="14">
        <v>0.77083333333333337</v>
      </c>
      <c r="K5481" s="20" t="str">
        <f t="shared" si="256"/>
        <v>2nd Shift</v>
      </c>
    </row>
    <row r="5482" spans="1:11" x14ac:dyDescent="0.25">
      <c r="A5482" s="1">
        <v>5481</v>
      </c>
      <c r="B5482" s="1">
        <v>11</v>
      </c>
      <c r="C5482" s="3">
        <v>11115271559103</v>
      </c>
      <c r="D5482" s="2">
        <v>44737.986111111109</v>
      </c>
      <c r="E5482" s="2">
        <v>44738.0625</v>
      </c>
      <c r="F5482" s="23">
        <f t="shared" si="255"/>
        <v>7.6388888890505768E-2</v>
      </c>
      <c r="G5482" s="24">
        <f t="shared" si="257"/>
        <v>163.63636363290004</v>
      </c>
      <c r="H5482" s="1" t="s">
        <v>1</v>
      </c>
      <c r="I5482" s="4" t="s">
        <v>3</v>
      </c>
      <c r="J5482" s="14">
        <v>0.98611111111111116</v>
      </c>
      <c r="K5482" s="20" t="str">
        <f t="shared" si="256"/>
        <v>3rd Shift</v>
      </c>
    </row>
    <row r="5483" spans="1:11" x14ac:dyDescent="0.25">
      <c r="A5483" s="1">
        <v>5482</v>
      </c>
      <c r="B5483" s="1">
        <v>8</v>
      </c>
      <c r="C5483" s="3">
        <v>8115271808113</v>
      </c>
      <c r="D5483" s="2">
        <v>44737.986111111109</v>
      </c>
      <c r="E5483" s="2">
        <v>44738.0625</v>
      </c>
      <c r="F5483" s="23">
        <f t="shared" si="255"/>
        <v>7.6388888890505768E-2</v>
      </c>
      <c r="G5483" s="24">
        <f t="shared" si="257"/>
        <v>163.63636363290004</v>
      </c>
      <c r="H5483" s="1" t="s">
        <v>1</v>
      </c>
      <c r="I5483" s="4" t="s">
        <v>2</v>
      </c>
      <c r="J5483" s="14">
        <v>0.98611111111111116</v>
      </c>
      <c r="K5483" s="20" t="str">
        <f t="shared" si="256"/>
        <v>3rd Shift</v>
      </c>
    </row>
    <row r="5484" spans="1:11" x14ac:dyDescent="0.25">
      <c r="A5484" s="1">
        <v>5483</v>
      </c>
      <c r="B5484" s="1">
        <v>1</v>
      </c>
      <c r="C5484" s="3">
        <v>1115270097400</v>
      </c>
      <c r="D5484" s="2">
        <v>44737.986111111109</v>
      </c>
      <c r="E5484" s="2">
        <v>44738.0625</v>
      </c>
      <c r="F5484" s="23">
        <f t="shared" si="255"/>
        <v>7.6388888890505768E-2</v>
      </c>
      <c r="G5484" s="24">
        <f t="shared" si="257"/>
        <v>163.63636363290004</v>
      </c>
      <c r="H5484" s="1" t="s">
        <v>1</v>
      </c>
      <c r="I5484" s="4" t="s">
        <v>2</v>
      </c>
      <c r="J5484" s="14">
        <v>0.98611111111111116</v>
      </c>
      <c r="K5484" s="20" t="str">
        <f t="shared" si="256"/>
        <v>3rd Shift</v>
      </c>
    </row>
    <row r="5485" spans="1:11" x14ac:dyDescent="0.25">
      <c r="A5485" s="1">
        <v>5484</v>
      </c>
      <c r="B5485" s="1">
        <v>12</v>
      </c>
      <c r="C5485" s="3">
        <v>12115271581913</v>
      </c>
      <c r="D5485" s="2">
        <v>44738.135416666664</v>
      </c>
      <c r="E5485" s="2">
        <v>44738.1875</v>
      </c>
      <c r="F5485" s="23">
        <f t="shared" si="255"/>
        <v>5.2083333335758653E-2</v>
      </c>
      <c r="G5485" s="24">
        <f t="shared" si="257"/>
        <v>239.99999998882413</v>
      </c>
      <c r="H5485" s="1" t="s">
        <v>1</v>
      </c>
      <c r="I5485" s="4" t="s">
        <v>2</v>
      </c>
      <c r="J5485" s="14">
        <v>0.13541666666666666</v>
      </c>
      <c r="K5485" s="20" t="str">
        <f t="shared" si="256"/>
        <v>3rd Shift</v>
      </c>
    </row>
    <row r="5486" spans="1:11" x14ac:dyDescent="0.25">
      <c r="A5486" s="1">
        <v>5485</v>
      </c>
      <c r="B5486" s="1">
        <v>12</v>
      </c>
      <c r="C5486" s="3">
        <v>12115271571047</v>
      </c>
      <c r="D5486" s="2">
        <v>44738.135416666664</v>
      </c>
      <c r="E5486" s="2">
        <v>44738.1875</v>
      </c>
      <c r="F5486" s="23">
        <f t="shared" si="255"/>
        <v>5.2083333335758653E-2</v>
      </c>
      <c r="G5486" s="24">
        <f t="shared" si="257"/>
        <v>239.99999998882413</v>
      </c>
      <c r="H5486" s="1" t="s">
        <v>1</v>
      </c>
      <c r="I5486" s="4" t="s">
        <v>2</v>
      </c>
      <c r="J5486" s="14">
        <v>0.13541666666666666</v>
      </c>
      <c r="K5486" s="20" t="str">
        <f t="shared" si="256"/>
        <v>3rd Shift</v>
      </c>
    </row>
    <row r="5487" spans="1:11" x14ac:dyDescent="0.25">
      <c r="A5487" s="1">
        <v>5486</v>
      </c>
      <c r="B5487" s="1">
        <v>11</v>
      </c>
      <c r="C5487" s="3">
        <v>11115271508100</v>
      </c>
      <c r="D5487" s="2">
        <v>44738.327777777777</v>
      </c>
      <c r="E5487" s="2">
        <v>44738.572916666664</v>
      </c>
      <c r="F5487" s="23">
        <f t="shared" si="255"/>
        <v>0.24513888888759539</v>
      </c>
      <c r="G5487" s="24">
        <f t="shared" si="257"/>
        <v>50.991501416699656</v>
      </c>
      <c r="H5487" s="1" t="s">
        <v>1</v>
      </c>
      <c r="I5487" s="4" t="s">
        <v>2</v>
      </c>
      <c r="J5487" s="14">
        <v>0.32777777777777778</v>
      </c>
      <c r="K5487" s="20" t="str">
        <f t="shared" si="256"/>
        <v>1st Shift</v>
      </c>
    </row>
    <row r="5488" spans="1:11" x14ac:dyDescent="0.25">
      <c r="A5488" s="1">
        <v>5487</v>
      </c>
      <c r="B5488" s="1">
        <v>10</v>
      </c>
      <c r="C5488" s="3">
        <v>10115271456100</v>
      </c>
      <c r="D5488" s="2">
        <v>44738.327777777777</v>
      </c>
      <c r="E5488" s="2">
        <v>44738.572916666664</v>
      </c>
      <c r="F5488" s="23">
        <f t="shared" si="255"/>
        <v>0.24513888888759539</v>
      </c>
      <c r="G5488" s="24">
        <f t="shared" si="257"/>
        <v>50.991501416699656</v>
      </c>
      <c r="H5488" s="1" t="s">
        <v>1</v>
      </c>
      <c r="I5488" s="4" t="s">
        <v>2</v>
      </c>
      <c r="J5488" s="14">
        <v>0.32777777777777778</v>
      </c>
      <c r="K5488" s="20" t="str">
        <f t="shared" si="256"/>
        <v>1st Shift</v>
      </c>
    </row>
    <row r="5489" spans="1:11" x14ac:dyDescent="0.25">
      <c r="A5489" s="1">
        <v>5488</v>
      </c>
      <c r="B5489" s="1">
        <v>10</v>
      </c>
      <c r="C5489" s="3">
        <v>10115271455800</v>
      </c>
      <c r="D5489" s="2">
        <v>44738.395833333336</v>
      </c>
      <c r="E5489" s="2">
        <v>44738.572916666664</v>
      </c>
      <c r="F5489" s="23">
        <f t="shared" si="255"/>
        <v>0.17708333332848269</v>
      </c>
      <c r="G5489" s="24">
        <f t="shared" si="257"/>
        <v>70.588235296051195</v>
      </c>
      <c r="H5489" s="1" t="s">
        <v>1</v>
      </c>
      <c r="I5489" s="4" t="s">
        <v>4</v>
      </c>
      <c r="J5489" s="14">
        <v>0.39583333333333331</v>
      </c>
      <c r="K5489" s="20" t="str">
        <f t="shared" si="256"/>
        <v>1st Shift</v>
      </c>
    </row>
    <row r="5490" spans="1:11" x14ac:dyDescent="0.25">
      <c r="A5490" s="1">
        <v>5489</v>
      </c>
      <c r="B5490" s="1">
        <v>9</v>
      </c>
      <c r="C5490" s="3">
        <v>9115271933700</v>
      </c>
      <c r="D5490" s="2">
        <v>44738.395833333336</v>
      </c>
      <c r="E5490" s="2">
        <v>44738.572916666664</v>
      </c>
      <c r="F5490" s="23">
        <f t="shared" si="255"/>
        <v>0.17708333332848269</v>
      </c>
      <c r="G5490" s="24">
        <f t="shared" si="257"/>
        <v>70.588235296051195</v>
      </c>
      <c r="H5490" s="1" t="s">
        <v>1</v>
      </c>
      <c r="I5490" s="4" t="s">
        <v>2</v>
      </c>
      <c r="J5490" s="14">
        <v>0.39583333333333331</v>
      </c>
      <c r="K5490" s="20" t="str">
        <f t="shared" si="256"/>
        <v>1st Shift</v>
      </c>
    </row>
    <row r="5491" spans="1:11" x14ac:dyDescent="0.25">
      <c r="A5491" s="1">
        <v>5490</v>
      </c>
      <c r="B5491" s="1">
        <v>7</v>
      </c>
      <c r="C5491" s="3">
        <v>7115271787300</v>
      </c>
      <c r="D5491" s="2">
        <v>44738.395833333336</v>
      </c>
      <c r="E5491" s="2">
        <v>44738.572916666664</v>
      </c>
      <c r="F5491" s="23">
        <f t="shared" si="255"/>
        <v>0.17708333332848269</v>
      </c>
      <c r="G5491" s="24">
        <f t="shared" si="257"/>
        <v>70.588235296051195</v>
      </c>
      <c r="H5491" s="1" t="s">
        <v>1</v>
      </c>
      <c r="I5491" s="4" t="s">
        <v>3</v>
      </c>
      <c r="J5491" s="14">
        <v>0.39583333333333331</v>
      </c>
      <c r="K5491" s="20" t="str">
        <f t="shared" si="256"/>
        <v>1st Shift</v>
      </c>
    </row>
    <row r="5492" spans="1:11" x14ac:dyDescent="0.25">
      <c r="A5492" s="1">
        <v>5491</v>
      </c>
      <c r="B5492" s="1">
        <v>7</v>
      </c>
      <c r="C5492" s="3">
        <v>7115271783301</v>
      </c>
      <c r="D5492" s="2">
        <v>44738.327777777777</v>
      </c>
      <c r="E5492" s="2">
        <v>44738.572916666664</v>
      </c>
      <c r="F5492" s="23">
        <f t="shared" si="255"/>
        <v>0.24513888888759539</v>
      </c>
      <c r="G5492" s="24">
        <f t="shared" si="257"/>
        <v>50.991501416699656</v>
      </c>
      <c r="H5492" s="1" t="s">
        <v>1</v>
      </c>
      <c r="I5492" s="4" t="s">
        <v>2</v>
      </c>
      <c r="J5492" s="14">
        <v>0.32777777777777778</v>
      </c>
      <c r="K5492" s="20" t="str">
        <f t="shared" si="256"/>
        <v>1st Shift</v>
      </c>
    </row>
    <row r="5493" spans="1:11" x14ac:dyDescent="0.25">
      <c r="A5493" s="1">
        <v>5492</v>
      </c>
      <c r="B5493" s="1">
        <v>2</v>
      </c>
      <c r="C5493" s="3">
        <v>2115270205200</v>
      </c>
      <c r="D5493" s="2">
        <v>44738.395833333336</v>
      </c>
      <c r="E5493" s="2">
        <v>44738.572916666664</v>
      </c>
      <c r="F5493" s="23">
        <f t="shared" si="255"/>
        <v>0.17708333332848269</v>
      </c>
      <c r="G5493" s="24">
        <f t="shared" si="257"/>
        <v>70.588235296051195</v>
      </c>
      <c r="H5493" s="1" t="s">
        <v>1</v>
      </c>
      <c r="I5493" s="4" t="s">
        <v>2</v>
      </c>
      <c r="J5493" s="14">
        <v>0.39583333333333331</v>
      </c>
      <c r="K5493" s="20" t="str">
        <f t="shared" si="256"/>
        <v>1st Shift</v>
      </c>
    </row>
    <row r="5494" spans="1:11" x14ac:dyDescent="0.25">
      <c r="A5494" s="1">
        <v>5493</v>
      </c>
      <c r="B5494" s="1">
        <v>12</v>
      </c>
      <c r="C5494" s="3">
        <v>12115271560172</v>
      </c>
      <c r="D5494" s="2">
        <v>44738.875</v>
      </c>
      <c r="E5494" s="2">
        <v>44738.923611111109</v>
      </c>
      <c r="F5494" s="23">
        <f t="shared" si="255"/>
        <v>4.8611111109494232E-2</v>
      </c>
      <c r="G5494" s="24">
        <f t="shared" si="257"/>
        <v>257.14285715141011</v>
      </c>
      <c r="H5494" s="1" t="s">
        <v>1</v>
      </c>
      <c r="I5494" s="4" t="s">
        <v>3</v>
      </c>
      <c r="J5494" s="14">
        <v>0.875</v>
      </c>
      <c r="K5494" s="20" t="str">
        <f t="shared" si="256"/>
        <v>2nd Shift</v>
      </c>
    </row>
    <row r="5495" spans="1:11" x14ac:dyDescent="0.25">
      <c r="A5495" s="1">
        <v>5494</v>
      </c>
      <c r="B5495" s="1">
        <v>11</v>
      </c>
      <c r="C5495" s="3">
        <v>11115271559202</v>
      </c>
      <c r="D5495" s="2">
        <v>44738.791666666664</v>
      </c>
      <c r="E5495" s="2">
        <v>44738.923611111109</v>
      </c>
      <c r="F5495" s="23">
        <f t="shared" si="255"/>
        <v>0.13194444444525288</v>
      </c>
      <c r="G5495" s="24">
        <f t="shared" si="257"/>
        <v>94.736842104682694</v>
      </c>
      <c r="H5495" s="1" t="s">
        <v>1</v>
      </c>
      <c r="I5495" s="4" t="s">
        <v>3</v>
      </c>
      <c r="J5495" s="14">
        <v>0.79166666666666663</v>
      </c>
      <c r="K5495" s="20" t="str">
        <f t="shared" si="256"/>
        <v>2nd Shift</v>
      </c>
    </row>
    <row r="5496" spans="1:11" x14ac:dyDescent="0.25">
      <c r="A5496" s="1">
        <v>5495</v>
      </c>
      <c r="B5496" s="1">
        <v>11</v>
      </c>
      <c r="C5496" s="3">
        <v>11115271542605</v>
      </c>
      <c r="D5496" s="2">
        <v>44738.875</v>
      </c>
      <c r="E5496" s="2">
        <v>44738.923611111109</v>
      </c>
      <c r="F5496" s="23">
        <f t="shared" si="255"/>
        <v>4.8611111109494232E-2</v>
      </c>
      <c r="G5496" s="24">
        <f t="shared" si="257"/>
        <v>257.14285715141011</v>
      </c>
      <c r="H5496" s="1" t="s">
        <v>1</v>
      </c>
      <c r="I5496" s="4" t="s">
        <v>3</v>
      </c>
      <c r="J5496" s="14">
        <v>0.875</v>
      </c>
      <c r="K5496" s="20" t="str">
        <f t="shared" si="256"/>
        <v>2nd Shift</v>
      </c>
    </row>
    <row r="5497" spans="1:11" x14ac:dyDescent="0.25">
      <c r="A5497" s="1">
        <v>5496</v>
      </c>
      <c r="B5497" s="1">
        <v>4</v>
      </c>
      <c r="C5497" s="3">
        <v>4115270826700</v>
      </c>
      <c r="D5497" s="2">
        <v>44738.791666666664</v>
      </c>
      <c r="E5497" s="2">
        <v>44738.923611111109</v>
      </c>
      <c r="F5497" s="23">
        <f t="shared" si="255"/>
        <v>0.13194444444525288</v>
      </c>
      <c r="G5497" s="24">
        <f t="shared" si="257"/>
        <v>94.736842104682694</v>
      </c>
      <c r="H5497" s="1" t="s">
        <v>1</v>
      </c>
      <c r="I5497" s="4" t="s">
        <v>3</v>
      </c>
      <c r="J5497" s="14">
        <v>0.79166666666666663</v>
      </c>
      <c r="K5497" s="20" t="str">
        <f t="shared" si="256"/>
        <v>2nd Shift</v>
      </c>
    </row>
    <row r="5498" spans="1:11" x14ac:dyDescent="0.25">
      <c r="A5498" s="1">
        <v>5497</v>
      </c>
      <c r="B5498" s="1">
        <v>1</v>
      </c>
      <c r="C5498" s="3">
        <v>1115270075200</v>
      </c>
      <c r="D5498" s="2">
        <v>44738.791666666664</v>
      </c>
      <c r="E5498" s="2">
        <v>44738.923611111109</v>
      </c>
      <c r="F5498" s="23">
        <f t="shared" si="255"/>
        <v>0.13194444444525288</v>
      </c>
      <c r="G5498" s="24">
        <f t="shared" si="257"/>
        <v>94.736842104682694</v>
      </c>
      <c r="H5498" s="1" t="s">
        <v>1</v>
      </c>
      <c r="I5498" s="4" t="s">
        <v>2</v>
      </c>
      <c r="J5498" s="14">
        <v>0.79166666666666663</v>
      </c>
      <c r="K5498" s="20" t="str">
        <f t="shared" si="256"/>
        <v>2nd Shift</v>
      </c>
    </row>
    <row r="5499" spans="1:11" x14ac:dyDescent="0.25">
      <c r="A5499" s="1">
        <v>5498</v>
      </c>
      <c r="B5499" s="1">
        <v>13</v>
      </c>
      <c r="C5499" s="3">
        <v>13115271590601</v>
      </c>
      <c r="D5499" s="2">
        <v>44738.947916666664</v>
      </c>
      <c r="E5499" s="2">
        <v>44739.145833333336</v>
      </c>
      <c r="F5499" s="23">
        <f t="shared" si="255"/>
        <v>0.19791666667151731</v>
      </c>
      <c r="G5499" s="24">
        <f t="shared" si="257"/>
        <v>63.157894735294192</v>
      </c>
      <c r="H5499" s="1" t="s">
        <v>1</v>
      </c>
      <c r="I5499" s="4" t="s">
        <v>2</v>
      </c>
      <c r="J5499" s="14">
        <v>0.94791666666666663</v>
      </c>
      <c r="K5499" s="20" t="str">
        <f t="shared" si="256"/>
        <v>3rd Shift</v>
      </c>
    </row>
    <row r="5500" spans="1:11" x14ac:dyDescent="0.25">
      <c r="A5500" s="1">
        <v>5499</v>
      </c>
      <c r="B5500" s="1">
        <v>12</v>
      </c>
      <c r="C5500" s="3">
        <v>12115271562908</v>
      </c>
      <c r="D5500" s="2">
        <v>44738.947916666664</v>
      </c>
      <c r="E5500" s="2">
        <v>44739.145833333336</v>
      </c>
      <c r="F5500" s="23">
        <f t="shared" si="255"/>
        <v>0.19791666667151731</v>
      </c>
      <c r="G5500" s="24">
        <f t="shared" si="257"/>
        <v>63.157894735294192</v>
      </c>
      <c r="H5500" s="1" t="s">
        <v>1</v>
      </c>
      <c r="I5500" s="4" t="s">
        <v>2</v>
      </c>
      <c r="J5500" s="14">
        <v>0.94791666666666663</v>
      </c>
      <c r="K5500" s="20" t="str">
        <f t="shared" si="256"/>
        <v>3rd Shift</v>
      </c>
    </row>
    <row r="5501" spans="1:11" x14ac:dyDescent="0.25">
      <c r="A5501" s="1">
        <v>5500</v>
      </c>
      <c r="B5501" s="1">
        <v>8</v>
      </c>
      <c r="C5501" s="3">
        <v>8115271820900</v>
      </c>
      <c r="D5501" s="2">
        <v>44738.947916666664</v>
      </c>
      <c r="E5501" s="2">
        <v>44739.145833333336</v>
      </c>
      <c r="F5501" s="23">
        <f t="shared" si="255"/>
        <v>0.19791666667151731</v>
      </c>
      <c r="G5501" s="24">
        <f t="shared" si="257"/>
        <v>63.157894735294192</v>
      </c>
      <c r="H5501" s="1" t="s">
        <v>1</v>
      </c>
      <c r="I5501" s="4" t="s">
        <v>2</v>
      </c>
      <c r="J5501" s="14">
        <v>0.94791666666666663</v>
      </c>
      <c r="K5501" s="20" t="str">
        <f t="shared" si="256"/>
        <v>3rd Shift</v>
      </c>
    </row>
    <row r="5502" spans="1:11" x14ac:dyDescent="0.25">
      <c r="A5502" s="1">
        <v>5501</v>
      </c>
      <c r="B5502" s="1">
        <v>7</v>
      </c>
      <c r="C5502" s="3">
        <v>7115271793802</v>
      </c>
      <c r="D5502" s="2">
        <v>44738.947916666664</v>
      </c>
      <c r="E5502" s="2">
        <v>44739.145833333336</v>
      </c>
      <c r="F5502" s="23">
        <f t="shared" si="255"/>
        <v>0.19791666667151731</v>
      </c>
      <c r="G5502" s="24">
        <f t="shared" si="257"/>
        <v>63.157894735294192</v>
      </c>
      <c r="H5502" s="1" t="s">
        <v>1</v>
      </c>
      <c r="I5502" s="4" t="s">
        <v>2</v>
      </c>
      <c r="J5502" s="14">
        <v>0.94791666666666663</v>
      </c>
      <c r="K5502" s="20" t="str">
        <f t="shared" si="256"/>
        <v>3rd Shift</v>
      </c>
    </row>
    <row r="5503" spans="1:11" x14ac:dyDescent="0.25">
      <c r="A5503" s="1">
        <v>5502</v>
      </c>
      <c r="B5503" s="1">
        <v>7</v>
      </c>
      <c r="C5503" s="3">
        <v>7115271790303</v>
      </c>
      <c r="D5503" s="2">
        <v>44738.947916666664</v>
      </c>
      <c r="E5503" s="2">
        <v>44739.145833333336</v>
      </c>
      <c r="F5503" s="23">
        <f t="shared" si="255"/>
        <v>0.19791666667151731</v>
      </c>
      <c r="G5503" s="24">
        <f t="shared" si="257"/>
        <v>63.157894735294192</v>
      </c>
      <c r="H5503" s="1" t="s">
        <v>1</v>
      </c>
      <c r="I5503" s="4" t="s">
        <v>2</v>
      </c>
      <c r="J5503" s="14">
        <v>0.94791666666666663</v>
      </c>
      <c r="K5503" s="20" t="str">
        <f t="shared" si="256"/>
        <v>3rd Shift</v>
      </c>
    </row>
    <row r="5504" spans="1:11" x14ac:dyDescent="0.25">
      <c r="A5504" s="1">
        <v>5503</v>
      </c>
      <c r="B5504" s="1">
        <v>6</v>
      </c>
      <c r="C5504" s="3">
        <v>6115271733307</v>
      </c>
      <c r="D5504" s="2">
        <v>44738.947916666664</v>
      </c>
      <c r="E5504" s="2">
        <v>44739.145833333336</v>
      </c>
      <c r="F5504" s="23">
        <f t="shared" si="255"/>
        <v>0.19791666667151731</v>
      </c>
      <c r="G5504" s="24">
        <f t="shared" si="257"/>
        <v>63.157894735294192</v>
      </c>
      <c r="H5504" s="1" t="s">
        <v>1</v>
      </c>
      <c r="I5504" s="4" t="s">
        <v>3</v>
      </c>
      <c r="J5504" s="14">
        <v>0.94791666666666663</v>
      </c>
      <c r="K5504" s="20" t="str">
        <f t="shared" si="256"/>
        <v>3rd Shift</v>
      </c>
    </row>
    <row r="5505" spans="1:11" x14ac:dyDescent="0.25">
      <c r="A5505" s="1">
        <v>5504</v>
      </c>
      <c r="B5505" s="1">
        <v>6</v>
      </c>
      <c r="C5505" s="3">
        <v>6115271732100</v>
      </c>
      <c r="D5505" s="2">
        <v>44738.947916666664</v>
      </c>
      <c r="E5505" s="2">
        <v>44739.145833333336</v>
      </c>
      <c r="F5505" s="23">
        <f t="shared" si="255"/>
        <v>0.19791666667151731</v>
      </c>
      <c r="G5505" s="24">
        <f t="shared" si="257"/>
        <v>63.157894735294192</v>
      </c>
      <c r="H5505" s="1" t="s">
        <v>1</v>
      </c>
      <c r="I5505" s="4" t="s">
        <v>2</v>
      </c>
      <c r="J5505" s="14">
        <v>0.94791666666666663</v>
      </c>
      <c r="K5505" s="20" t="str">
        <f t="shared" si="256"/>
        <v>3rd Shift</v>
      </c>
    </row>
    <row r="5506" spans="1:11" x14ac:dyDescent="0.25">
      <c r="A5506" s="1">
        <v>5505</v>
      </c>
      <c r="B5506" s="1">
        <v>6</v>
      </c>
      <c r="C5506" s="3">
        <v>6115271698503</v>
      </c>
      <c r="D5506" s="2">
        <v>44738.947916666664</v>
      </c>
      <c r="E5506" s="2">
        <v>44739.145833333336</v>
      </c>
      <c r="F5506" s="23">
        <f t="shared" ref="F5506:F5569" si="258">E5506-D5506</f>
        <v>0.19791666667151731</v>
      </c>
      <c r="G5506" s="24">
        <f t="shared" si="257"/>
        <v>63.157894735294192</v>
      </c>
      <c r="H5506" s="1" t="s">
        <v>1</v>
      </c>
      <c r="I5506" s="4" t="s">
        <v>2</v>
      </c>
      <c r="J5506" s="14">
        <v>0.94791666666666663</v>
      </c>
      <c r="K5506" s="20" t="str">
        <f t="shared" ref="K5506:K5569" si="259">IF(AND(J5506&gt;=$M$3,J5506&lt;$M$4),"1st Shift",IF(AND(J5506&gt;=$M$4,J5506&lt;$M$5),"2nd Shift","3rd Shift"))</f>
        <v>3rd Shift</v>
      </c>
    </row>
    <row r="5507" spans="1:11" x14ac:dyDescent="0.25">
      <c r="A5507" s="1">
        <v>5506</v>
      </c>
      <c r="B5507" s="1">
        <v>5</v>
      </c>
      <c r="C5507" s="3">
        <v>5115271274606</v>
      </c>
      <c r="D5507" s="2">
        <v>44738.947916666664</v>
      </c>
      <c r="E5507" s="2">
        <v>44739.145833333336</v>
      </c>
      <c r="F5507" s="23">
        <f t="shared" si="258"/>
        <v>0.19791666667151731</v>
      </c>
      <c r="G5507" s="24">
        <f t="shared" ref="G5507:G5570" si="260">$M$9/F5507*100</f>
        <v>63.157894735294192</v>
      </c>
      <c r="H5507" s="1" t="s">
        <v>1</v>
      </c>
      <c r="I5507" s="4" t="s">
        <v>8</v>
      </c>
      <c r="J5507" s="14">
        <v>0.94791666666666663</v>
      </c>
      <c r="K5507" s="20" t="str">
        <f t="shared" si="259"/>
        <v>3rd Shift</v>
      </c>
    </row>
    <row r="5508" spans="1:11" x14ac:dyDescent="0.25">
      <c r="A5508" s="1">
        <v>5507</v>
      </c>
      <c r="B5508" s="1">
        <v>2</v>
      </c>
      <c r="C5508" s="3">
        <v>2115270263000</v>
      </c>
      <c r="D5508" s="2">
        <v>44738.947916666664</v>
      </c>
      <c r="E5508" s="2">
        <v>44739.145833333336</v>
      </c>
      <c r="F5508" s="23">
        <f t="shared" si="258"/>
        <v>0.19791666667151731</v>
      </c>
      <c r="G5508" s="24">
        <f t="shared" si="260"/>
        <v>63.157894735294192</v>
      </c>
      <c r="H5508" s="1" t="s">
        <v>1</v>
      </c>
      <c r="I5508" s="4" t="s">
        <v>2</v>
      </c>
      <c r="J5508" s="14">
        <v>0.94791666666666663</v>
      </c>
      <c r="K5508" s="20" t="str">
        <f t="shared" si="259"/>
        <v>3rd Shift</v>
      </c>
    </row>
    <row r="5509" spans="1:11" x14ac:dyDescent="0.25">
      <c r="A5509" s="1">
        <v>5508</v>
      </c>
      <c r="B5509" s="1">
        <v>1</v>
      </c>
      <c r="C5509" s="3">
        <v>1115270071600</v>
      </c>
      <c r="D5509" s="2">
        <v>44738.947916666664</v>
      </c>
      <c r="E5509" s="2">
        <v>44739.145833333336</v>
      </c>
      <c r="F5509" s="23">
        <f t="shared" si="258"/>
        <v>0.19791666667151731</v>
      </c>
      <c r="G5509" s="24">
        <f t="shared" si="260"/>
        <v>63.157894735294192</v>
      </c>
      <c r="H5509" s="1" t="s">
        <v>1</v>
      </c>
      <c r="I5509" s="4" t="s">
        <v>2</v>
      </c>
      <c r="J5509" s="14">
        <v>0.94791666666666663</v>
      </c>
      <c r="K5509" s="20" t="str">
        <f t="shared" si="259"/>
        <v>3rd Shift</v>
      </c>
    </row>
    <row r="5510" spans="1:11" x14ac:dyDescent="0.25">
      <c r="A5510" s="1">
        <v>5509</v>
      </c>
      <c r="B5510" s="1">
        <v>1</v>
      </c>
      <c r="C5510" s="3">
        <v>1115270016000</v>
      </c>
      <c r="D5510" s="2">
        <v>44738.947916666664</v>
      </c>
      <c r="E5510" s="2">
        <v>44739.145833333336</v>
      </c>
      <c r="F5510" s="23">
        <f t="shared" si="258"/>
        <v>0.19791666667151731</v>
      </c>
      <c r="G5510" s="24">
        <f t="shared" si="260"/>
        <v>63.157894735294192</v>
      </c>
      <c r="H5510" s="1" t="s">
        <v>1</v>
      </c>
      <c r="I5510" s="4" t="s">
        <v>2</v>
      </c>
      <c r="J5510" s="14">
        <v>0.94791666666666663</v>
      </c>
      <c r="K5510" s="20" t="str">
        <f t="shared" si="259"/>
        <v>3rd Shift</v>
      </c>
    </row>
    <row r="5511" spans="1:11" x14ac:dyDescent="0.25">
      <c r="A5511" s="1">
        <v>5510</v>
      </c>
      <c r="B5511" s="1">
        <v>12</v>
      </c>
      <c r="C5511" s="3">
        <v>12115271560130</v>
      </c>
      <c r="D5511" s="2">
        <v>44739.472222222219</v>
      </c>
      <c r="E5511" s="2">
        <v>44739.628472222219</v>
      </c>
      <c r="F5511" s="23">
        <f t="shared" si="258"/>
        <v>0.15625</v>
      </c>
      <c r="G5511" s="24">
        <f t="shared" si="260"/>
        <v>80</v>
      </c>
      <c r="H5511" s="1" t="s">
        <v>1</v>
      </c>
      <c r="I5511" s="4" t="s">
        <v>8</v>
      </c>
      <c r="J5511" s="14">
        <v>0.47222222222222221</v>
      </c>
      <c r="K5511" s="20" t="str">
        <f t="shared" si="259"/>
        <v>1st Shift</v>
      </c>
    </row>
    <row r="5512" spans="1:11" x14ac:dyDescent="0.25">
      <c r="A5512" s="1">
        <v>5511</v>
      </c>
      <c r="B5512" s="1">
        <v>12</v>
      </c>
      <c r="C5512" s="3">
        <v>12115271560119</v>
      </c>
      <c r="D5512" s="2">
        <v>44739.3125</v>
      </c>
      <c r="E5512" s="2">
        <v>44739.628472222219</v>
      </c>
      <c r="F5512" s="23">
        <f t="shared" si="258"/>
        <v>0.31597222221898846</v>
      </c>
      <c r="G5512" s="24">
        <f t="shared" si="260"/>
        <v>39.560439560844436</v>
      </c>
      <c r="H5512" s="1" t="s">
        <v>1</v>
      </c>
      <c r="I5512" s="4" t="s">
        <v>8</v>
      </c>
      <c r="J5512" s="14">
        <v>0.3125</v>
      </c>
      <c r="K5512" s="20" t="str">
        <f t="shared" si="259"/>
        <v>1st Shift</v>
      </c>
    </row>
    <row r="5513" spans="1:11" x14ac:dyDescent="0.25">
      <c r="A5513" s="1">
        <v>5512</v>
      </c>
      <c r="B5513" s="1">
        <v>11</v>
      </c>
      <c r="C5513" s="3">
        <v>11115271502601</v>
      </c>
      <c r="D5513" s="2">
        <v>44739.53125</v>
      </c>
      <c r="E5513" s="2">
        <v>44739.628472222219</v>
      </c>
      <c r="F5513" s="23">
        <f t="shared" si="258"/>
        <v>9.7222222218988463E-2</v>
      </c>
      <c r="G5513" s="24">
        <f t="shared" si="260"/>
        <v>128.57142857570506</v>
      </c>
      <c r="H5513" s="1" t="s">
        <v>1</v>
      </c>
      <c r="I5513" s="4" t="s">
        <v>3</v>
      </c>
      <c r="J5513" s="14">
        <v>0.53125</v>
      </c>
      <c r="K5513" s="20" t="str">
        <f t="shared" si="259"/>
        <v>1st Shift</v>
      </c>
    </row>
    <row r="5514" spans="1:11" x14ac:dyDescent="0.25">
      <c r="A5514" s="1">
        <v>5513</v>
      </c>
      <c r="B5514" s="1">
        <v>11</v>
      </c>
      <c r="C5514" s="3">
        <v>11115271052301</v>
      </c>
      <c r="D5514" s="2">
        <v>44739.3125</v>
      </c>
      <c r="E5514" s="2">
        <v>44739.628472222219</v>
      </c>
      <c r="F5514" s="23">
        <f t="shared" si="258"/>
        <v>0.31597222221898846</v>
      </c>
      <c r="G5514" s="24">
        <f t="shared" si="260"/>
        <v>39.560439560844436</v>
      </c>
      <c r="H5514" s="1" t="s">
        <v>1</v>
      </c>
      <c r="I5514" s="4" t="s">
        <v>3</v>
      </c>
      <c r="J5514" s="14">
        <v>0.3125</v>
      </c>
      <c r="K5514" s="20" t="str">
        <f t="shared" si="259"/>
        <v>1st Shift</v>
      </c>
    </row>
    <row r="5515" spans="1:11" x14ac:dyDescent="0.25">
      <c r="A5515" s="1">
        <v>5514</v>
      </c>
      <c r="B5515" s="1">
        <v>10</v>
      </c>
      <c r="C5515" s="3">
        <v>10115271964001</v>
      </c>
      <c r="D5515" s="2">
        <v>44739.53125</v>
      </c>
      <c r="E5515" s="2">
        <v>44739.628472222219</v>
      </c>
      <c r="F5515" s="23">
        <f t="shared" si="258"/>
        <v>9.7222222218988463E-2</v>
      </c>
      <c r="G5515" s="24">
        <f t="shared" si="260"/>
        <v>128.57142857570506</v>
      </c>
      <c r="H5515" s="1" t="s">
        <v>1</v>
      </c>
      <c r="I5515" s="4" t="s">
        <v>4</v>
      </c>
      <c r="J5515" s="14">
        <v>0.53125</v>
      </c>
      <c r="K5515" s="20" t="str">
        <f t="shared" si="259"/>
        <v>1st Shift</v>
      </c>
    </row>
    <row r="5516" spans="1:11" x14ac:dyDescent="0.25">
      <c r="A5516" s="1">
        <v>5515</v>
      </c>
      <c r="B5516" s="1">
        <v>7</v>
      </c>
      <c r="C5516" s="3">
        <v>7115271787213</v>
      </c>
      <c r="D5516" s="2">
        <v>44739.472222222219</v>
      </c>
      <c r="E5516" s="2">
        <v>44739.628472222219</v>
      </c>
      <c r="F5516" s="23">
        <f t="shared" si="258"/>
        <v>0.15625</v>
      </c>
      <c r="G5516" s="24">
        <f t="shared" si="260"/>
        <v>80</v>
      </c>
      <c r="H5516" s="1" t="s">
        <v>1</v>
      </c>
      <c r="I5516" s="4" t="s">
        <v>3</v>
      </c>
      <c r="J5516" s="14">
        <v>0.47222222222222221</v>
      </c>
      <c r="K5516" s="20" t="str">
        <f t="shared" si="259"/>
        <v>1st Shift</v>
      </c>
    </row>
    <row r="5517" spans="1:11" x14ac:dyDescent="0.25">
      <c r="A5517" s="1">
        <v>5516</v>
      </c>
      <c r="B5517" s="1">
        <v>7</v>
      </c>
      <c r="C5517" s="3">
        <v>7115271760310</v>
      </c>
      <c r="D5517" s="2">
        <v>44739.3125</v>
      </c>
      <c r="E5517" s="2">
        <v>44739.628472222219</v>
      </c>
      <c r="F5517" s="23">
        <f t="shared" si="258"/>
        <v>0.31597222221898846</v>
      </c>
      <c r="G5517" s="24">
        <f t="shared" si="260"/>
        <v>39.560439560844436</v>
      </c>
      <c r="H5517" s="1" t="s">
        <v>1</v>
      </c>
      <c r="I5517" s="4" t="s">
        <v>3</v>
      </c>
      <c r="J5517" s="14">
        <v>0.3125</v>
      </c>
      <c r="K5517" s="20" t="str">
        <f t="shared" si="259"/>
        <v>1st Shift</v>
      </c>
    </row>
    <row r="5518" spans="1:11" x14ac:dyDescent="0.25">
      <c r="A5518" s="1">
        <v>5517</v>
      </c>
      <c r="B5518" s="1">
        <v>6</v>
      </c>
      <c r="C5518" s="3">
        <v>6115271740104</v>
      </c>
      <c r="D5518" s="2">
        <v>44739.472222222219</v>
      </c>
      <c r="E5518" s="2">
        <v>44739.628472222219</v>
      </c>
      <c r="F5518" s="23">
        <f t="shared" si="258"/>
        <v>0.15625</v>
      </c>
      <c r="G5518" s="24">
        <f t="shared" si="260"/>
        <v>80</v>
      </c>
      <c r="H5518" s="1" t="s">
        <v>1</v>
      </c>
      <c r="I5518" s="4" t="s">
        <v>3</v>
      </c>
      <c r="J5518" s="14">
        <v>0.47222222222222221</v>
      </c>
      <c r="K5518" s="20" t="str">
        <f t="shared" si="259"/>
        <v>1st Shift</v>
      </c>
    </row>
    <row r="5519" spans="1:11" x14ac:dyDescent="0.25">
      <c r="A5519" s="1">
        <v>5518</v>
      </c>
      <c r="B5519" s="1">
        <v>6</v>
      </c>
      <c r="C5519" s="3">
        <v>6115271720110</v>
      </c>
      <c r="D5519" s="2">
        <v>44739.3125</v>
      </c>
      <c r="E5519" s="2">
        <v>44739.628472222219</v>
      </c>
      <c r="F5519" s="23">
        <f t="shared" si="258"/>
        <v>0.31597222221898846</v>
      </c>
      <c r="G5519" s="24">
        <f t="shared" si="260"/>
        <v>39.560439560844436</v>
      </c>
      <c r="H5519" s="1" t="s">
        <v>1</v>
      </c>
      <c r="I5519" s="4" t="s">
        <v>2</v>
      </c>
      <c r="J5519" s="14">
        <v>0.3125</v>
      </c>
      <c r="K5519" s="20" t="str">
        <f t="shared" si="259"/>
        <v>1st Shift</v>
      </c>
    </row>
    <row r="5520" spans="1:11" x14ac:dyDescent="0.25">
      <c r="A5520" s="1">
        <v>5519</v>
      </c>
      <c r="B5520" s="1">
        <v>5</v>
      </c>
      <c r="C5520" s="3">
        <v>5115271259502</v>
      </c>
      <c r="D5520" s="2">
        <v>44739.3125</v>
      </c>
      <c r="E5520" s="2">
        <v>44739.628472222219</v>
      </c>
      <c r="F5520" s="23">
        <f t="shared" si="258"/>
        <v>0.31597222221898846</v>
      </c>
      <c r="G5520" s="24">
        <f t="shared" si="260"/>
        <v>39.560439560844436</v>
      </c>
      <c r="H5520" s="1" t="s">
        <v>1</v>
      </c>
      <c r="I5520" s="4" t="s">
        <v>2</v>
      </c>
      <c r="J5520" s="14">
        <v>0.3125</v>
      </c>
      <c r="K5520" s="20" t="str">
        <f t="shared" si="259"/>
        <v>1st Shift</v>
      </c>
    </row>
    <row r="5521" spans="1:11" x14ac:dyDescent="0.25">
      <c r="A5521" s="1">
        <v>5520</v>
      </c>
      <c r="B5521" s="1">
        <v>4</v>
      </c>
      <c r="C5521" s="3">
        <v>4115270842700</v>
      </c>
      <c r="D5521" s="2">
        <v>44739.3125</v>
      </c>
      <c r="E5521" s="2">
        <v>44739.628472222219</v>
      </c>
      <c r="F5521" s="23">
        <f t="shared" si="258"/>
        <v>0.31597222221898846</v>
      </c>
      <c r="G5521" s="24">
        <f t="shared" si="260"/>
        <v>39.560439560844436</v>
      </c>
      <c r="H5521" s="1" t="s">
        <v>1</v>
      </c>
      <c r="I5521" s="4" t="s">
        <v>2</v>
      </c>
      <c r="J5521" s="14">
        <v>0.3125</v>
      </c>
      <c r="K5521" s="20" t="str">
        <f t="shared" si="259"/>
        <v>1st Shift</v>
      </c>
    </row>
    <row r="5522" spans="1:11" x14ac:dyDescent="0.25">
      <c r="A5522" s="1">
        <v>5521</v>
      </c>
      <c r="B5522" s="1">
        <v>4</v>
      </c>
      <c r="C5522" s="3">
        <v>4115270826900</v>
      </c>
      <c r="D5522" s="2">
        <v>44739.53125</v>
      </c>
      <c r="E5522" s="2">
        <v>44739.628472222219</v>
      </c>
      <c r="F5522" s="23">
        <f t="shared" si="258"/>
        <v>9.7222222218988463E-2</v>
      </c>
      <c r="G5522" s="24">
        <f t="shared" si="260"/>
        <v>128.57142857570506</v>
      </c>
      <c r="H5522" s="1" t="s">
        <v>1</v>
      </c>
      <c r="I5522" s="4" t="s">
        <v>3</v>
      </c>
      <c r="J5522" s="14">
        <v>0.53125</v>
      </c>
      <c r="K5522" s="20" t="str">
        <f t="shared" si="259"/>
        <v>1st Shift</v>
      </c>
    </row>
    <row r="5523" spans="1:11" x14ac:dyDescent="0.25">
      <c r="A5523" s="1">
        <v>5522</v>
      </c>
      <c r="B5523" s="1">
        <v>3</v>
      </c>
      <c r="C5523" s="3">
        <v>3115270411800</v>
      </c>
      <c r="D5523" s="2">
        <v>44739.53125</v>
      </c>
      <c r="E5523" s="2">
        <v>44739.628472222219</v>
      </c>
      <c r="F5523" s="23">
        <f t="shared" si="258"/>
        <v>9.7222222218988463E-2</v>
      </c>
      <c r="G5523" s="24">
        <f t="shared" si="260"/>
        <v>128.57142857570506</v>
      </c>
      <c r="H5523" s="1" t="s">
        <v>1</v>
      </c>
      <c r="I5523" s="4" t="s">
        <v>3</v>
      </c>
      <c r="J5523" s="14">
        <v>0.53125</v>
      </c>
      <c r="K5523" s="20" t="str">
        <f t="shared" si="259"/>
        <v>1st Shift</v>
      </c>
    </row>
    <row r="5524" spans="1:11" x14ac:dyDescent="0.25">
      <c r="A5524" s="1">
        <v>5523</v>
      </c>
      <c r="B5524" s="1">
        <v>1</v>
      </c>
      <c r="C5524" s="3">
        <v>1115270127500</v>
      </c>
      <c r="D5524" s="2">
        <v>44739.3125</v>
      </c>
      <c r="E5524" s="2">
        <v>44739.628472222219</v>
      </c>
      <c r="F5524" s="23">
        <f t="shared" si="258"/>
        <v>0.31597222221898846</v>
      </c>
      <c r="G5524" s="24">
        <f t="shared" si="260"/>
        <v>39.560439560844436</v>
      </c>
      <c r="H5524" s="1" t="s">
        <v>1</v>
      </c>
      <c r="I5524" s="4" t="s">
        <v>2</v>
      </c>
      <c r="J5524" s="14">
        <v>0.3125</v>
      </c>
      <c r="K5524" s="20" t="str">
        <f t="shared" si="259"/>
        <v>1st Shift</v>
      </c>
    </row>
    <row r="5525" spans="1:11" x14ac:dyDescent="0.25">
      <c r="A5525" s="1">
        <v>5524</v>
      </c>
      <c r="B5525" s="1">
        <v>1</v>
      </c>
      <c r="C5525" s="3">
        <v>1115270076700</v>
      </c>
      <c r="D5525" s="2">
        <v>44739.472222222219</v>
      </c>
      <c r="E5525" s="2">
        <v>44739.628472222219</v>
      </c>
      <c r="F5525" s="23">
        <f t="shared" si="258"/>
        <v>0.15625</v>
      </c>
      <c r="G5525" s="24">
        <f t="shared" si="260"/>
        <v>80</v>
      </c>
      <c r="H5525" s="1" t="s">
        <v>1</v>
      </c>
      <c r="I5525" s="4" t="s">
        <v>2</v>
      </c>
      <c r="J5525" s="14">
        <v>0.47222222222222221</v>
      </c>
      <c r="K5525" s="20" t="str">
        <f t="shared" si="259"/>
        <v>1st Shift</v>
      </c>
    </row>
    <row r="5526" spans="1:11" x14ac:dyDescent="0.25">
      <c r="A5526" s="1">
        <v>5525</v>
      </c>
      <c r="B5526" s="1">
        <v>12</v>
      </c>
      <c r="C5526" s="3">
        <v>12115271569827</v>
      </c>
      <c r="D5526" s="2">
        <v>44739.65625</v>
      </c>
      <c r="E5526" s="2">
        <v>44739.947916666664</v>
      </c>
      <c r="F5526" s="23">
        <f t="shared" si="258"/>
        <v>0.29166666666424135</v>
      </c>
      <c r="G5526" s="24">
        <f t="shared" si="260"/>
        <v>42.857142857499234</v>
      </c>
      <c r="H5526" s="1" t="s">
        <v>1</v>
      </c>
      <c r="I5526" s="4" t="s">
        <v>3</v>
      </c>
      <c r="J5526" s="14">
        <v>0.65625</v>
      </c>
      <c r="K5526" s="20" t="str">
        <f t="shared" si="259"/>
        <v>2nd Shift</v>
      </c>
    </row>
    <row r="5527" spans="1:11" x14ac:dyDescent="0.25">
      <c r="A5527" s="1">
        <v>5526</v>
      </c>
      <c r="B5527" s="1">
        <v>12</v>
      </c>
      <c r="C5527" s="3">
        <v>12115271567005</v>
      </c>
      <c r="D5527" s="2">
        <v>44739.8125</v>
      </c>
      <c r="E5527" s="2">
        <v>44739.947916666664</v>
      </c>
      <c r="F5527" s="23">
        <f t="shared" si="258"/>
        <v>0.13541666666424135</v>
      </c>
      <c r="G5527" s="24">
        <f t="shared" si="260"/>
        <v>92.307692309345541</v>
      </c>
      <c r="H5527" s="1" t="s">
        <v>1</v>
      </c>
      <c r="I5527" s="4" t="s">
        <v>3</v>
      </c>
      <c r="J5527" s="14">
        <v>0.8125</v>
      </c>
      <c r="K5527" s="20" t="str">
        <f t="shared" si="259"/>
        <v>2nd Shift</v>
      </c>
    </row>
    <row r="5528" spans="1:11" x14ac:dyDescent="0.25">
      <c r="A5528" s="1">
        <v>5527</v>
      </c>
      <c r="B5528" s="1">
        <v>11</v>
      </c>
      <c r="C5528" s="3">
        <v>11115271542600</v>
      </c>
      <c r="D5528" s="2">
        <v>44739.8125</v>
      </c>
      <c r="E5528" s="2">
        <v>44739.947916666664</v>
      </c>
      <c r="F5528" s="23">
        <f t="shared" si="258"/>
        <v>0.13541666666424135</v>
      </c>
      <c r="G5528" s="24">
        <f t="shared" si="260"/>
        <v>92.307692309345541</v>
      </c>
      <c r="H5528" s="1" t="s">
        <v>1</v>
      </c>
      <c r="I5528" s="4" t="s">
        <v>3</v>
      </c>
      <c r="J5528" s="14">
        <v>0.8125</v>
      </c>
      <c r="K5528" s="20" t="str">
        <f t="shared" si="259"/>
        <v>2nd Shift</v>
      </c>
    </row>
    <row r="5529" spans="1:11" x14ac:dyDescent="0.25">
      <c r="A5529" s="1">
        <v>5528</v>
      </c>
      <c r="B5529" s="1">
        <v>7</v>
      </c>
      <c r="C5529" s="3">
        <v>7115271782506</v>
      </c>
      <c r="D5529" s="2">
        <v>44739.8125</v>
      </c>
      <c r="E5529" s="2">
        <v>44739.947916666664</v>
      </c>
      <c r="F5529" s="23">
        <f t="shared" si="258"/>
        <v>0.13541666666424135</v>
      </c>
      <c r="G5529" s="24">
        <f t="shared" si="260"/>
        <v>92.307692309345541</v>
      </c>
      <c r="H5529" s="1" t="s">
        <v>1</v>
      </c>
      <c r="I5529" s="4" t="s">
        <v>3</v>
      </c>
      <c r="J5529" s="14">
        <v>0.8125</v>
      </c>
      <c r="K5529" s="20" t="str">
        <f t="shared" si="259"/>
        <v>2nd Shift</v>
      </c>
    </row>
    <row r="5530" spans="1:11" x14ac:dyDescent="0.25">
      <c r="A5530" s="1">
        <v>5529</v>
      </c>
      <c r="B5530" s="1">
        <v>7</v>
      </c>
      <c r="C5530" s="3">
        <v>7115271773616</v>
      </c>
      <c r="D5530" s="2">
        <v>44739.65625</v>
      </c>
      <c r="E5530" s="2">
        <v>44739.947916666664</v>
      </c>
      <c r="F5530" s="23">
        <f t="shared" si="258"/>
        <v>0.29166666666424135</v>
      </c>
      <c r="G5530" s="24">
        <f t="shared" si="260"/>
        <v>42.857142857499234</v>
      </c>
      <c r="H5530" s="1" t="s">
        <v>1</v>
      </c>
      <c r="I5530" s="4" t="s">
        <v>3</v>
      </c>
      <c r="J5530" s="14">
        <v>0.65625</v>
      </c>
      <c r="K5530" s="20" t="str">
        <f t="shared" si="259"/>
        <v>2nd Shift</v>
      </c>
    </row>
    <row r="5531" spans="1:11" x14ac:dyDescent="0.25">
      <c r="A5531" s="1">
        <v>5530</v>
      </c>
      <c r="B5531" s="1">
        <v>7</v>
      </c>
      <c r="C5531" s="3">
        <v>7115271758902</v>
      </c>
      <c r="D5531" s="2">
        <v>44739.8125</v>
      </c>
      <c r="E5531" s="2">
        <v>44739.947916666664</v>
      </c>
      <c r="F5531" s="23">
        <f t="shared" si="258"/>
        <v>0.13541666666424135</v>
      </c>
      <c r="G5531" s="24">
        <f t="shared" si="260"/>
        <v>92.307692309345541</v>
      </c>
      <c r="H5531" s="1" t="s">
        <v>1</v>
      </c>
      <c r="I5531" s="4" t="s">
        <v>3</v>
      </c>
      <c r="J5531" s="14">
        <v>0.8125</v>
      </c>
      <c r="K5531" s="20" t="str">
        <f t="shared" si="259"/>
        <v>2nd Shift</v>
      </c>
    </row>
    <row r="5532" spans="1:11" x14ac:dyDescent="0.25">
      <c r="A5532" s="1">
        <v>5531</v>
      </c>
      <c r="B5532" s="1">
        <v>6</v>
      </c>
      <c r="C5532" s="3">
        <v>6115271733308</v>
      </c>
      <c r="D5532" s="2">
        <v>44739.8125</v>
      </c>
      <c r="E5532" s="2">
        <v>44739.947916666664</v>
      </c>
      <c r="F5532" s="23">
        <f t="shared" si="258"/>
        <v>0.13541666666424135</v>
      </c>
      <c r="G5532" s="24">
        <f t="shared" si="260"/>
        <v>92.307692309345541</v>
      </c>
      <c r="H5532" s="1" t="s">
        <v>1</v>
      </c>
      <c r="I5532" s="4" t="s">
        <v>3</v>
      </c>
      <c r="J5532" s="14">
        <v>0.8125</v>
      </c>
      <c r="K5532" s="20" t="str">
        <f t="shared" si="259"/>
        <v>2nd Shift</v>
      </c>
    </row>
    <row r="5533" spans="1:11" x14ac:dyDescent="0.25">
      <c r="A5533" s="1">
        <v>5532</v>
      </c>
      <c r="B5533" s="1">
        <v>3</v>
      </c>
      <c r="C5533" s="3">
        <v>3115270360208</v>
      </c>
      <c r="D5533" s="2">
        <v>44739.65625</v>
      </c>
      <c r="E5533" s="2">
        <v>44739.947916666664</v>
      </c>
      <c r="F5533" s="23">
        <f t="shared" si="258"/>
        <v>0.29166666666424135</v>
      </c>
      <c r="G5533" s="24">
        <f t="shared" si="260"/>
        <v>42.857142857499234</v>
      </c>
      <c r="H5533" s="1" t="s">
        <v>1</v>
      </c>
      <c r="I5533" s="4" t="s">
        <v>2</v>
      </c>
      <c r="J5533" s="14">
        <v>0.65625</v>
      </c>
      <c r="K5533" s="20" t="str">
        <f t="shared" si="259"/>
        <v>2nd Shift</v>
      </c>
    </row>
    <row r="5534" spans="1:11" x14ac:dyDescent="0.25">
      <c r="A5534" s="1">
        <v>5533</v>
      </c>
      <c r="B5534" s="1">
        <v>2</v>
      </c>
      <c r="C5534" s="3">
        <v>2115270287600</v>
      </c>
      <c r="D5534" s="2">
        <v>44739.8125</v>
      </c>
      <c r="E5534" s="2">
        <v>44739.947916666664</v>
      </c>
      <c r="F5534" s="23">
        <f t="shared" si="258"/>
        <v>0.13541666666424135</v>
      </c>
      <c r="G5534" s="24">
        <f t="shared" si="260"/>
        <v>92.307692309345541</v>
      </c>
      <c r="H5534" s="1" t="s">
        <v>1</v>
      </c>
      <c r="I5534" s="4" t="s">
        <v>3</v>
      </c>
      <c r="J5534" s="14">
        <v>0.8125</v>
      </c>
      <c r="K5534" s="20" t="str">
        <f t="shared" si="259"/>
        <v>2nd Shift</v>
      </c>
    </row>
    <row r="5535" spans="1:11" x14ac:dyDescent="0.25">
      <c r="A5535" s="1">
        <v>5534</v>
      </c>
      <c r="B5535" s="1">
        <v>1</v>
      </c>
      <c r="C5535" s="3">
        <v>1115270107500</v>
      </c>
      <c r="D5535" s="2">
        <v>44739.8125</v>
      </c>
      <c r="E5535" s="2">
        <v>44739.947916666664</v>
      </c>
      <c r="F5535" s="23">
        <f t="shared" si="258"/>
        <v>0.13541666666424135</v>
      </c>
      <c r="G5535" s="24">
        <f t="shared" si="260"/>
        <v>92.307692309345541</v>
      </c>
      <c r="H5535" s="1" t="s">
        <v>1</v>
      </c>
      <c r="I5535" s="4" t="s">
        <v>3</v>
      </c>
      <c r="J5535" s="14">
        <v>0.8125</v>
      </c>
      <c r="K5535" s="20" t="str">
        <f t="shared" si="259"/>
        <v>2nd Shift</v>
      </c>
    </row>
    <row r="5536" spans="1:11" x14ac:dyDescent="0.25">
      <c r="A5536" s="1">
        <v>5535</v>
      </c>
      <c r="B5536" s="1">
        <v>11</v>
      </c>
      <c r="C5536" s="3">
        <v>11115271559112</v>
      </c>
      <c r="D5536" s="2">
        <v>44739.979166666664</v>
      </c>
      <c r="E5536" s="2">
        <v>44740.010416666664</v>
      </c>
      <c r="F5536" s="23">
        <f t="shared" si="258"/>
        <v>3.125E-2</v>
      </c>
      <c r="G5536" s="24">
        <f t="shared" si="260"/>
        <v>400</v>
      </c>
      <c r="H5536" s="1" t="s">
        <v>1</v>
      </c>
      <c r="I5536" s="4" t="s">
        <v>2</v>
      </c>
      <c r="J5536" s="14">
        <v>0.97916666666666663</v>
      </c>
      <c r="K5536" s="20" t="str">
        <f t="shared" si="259"/>
        <v>3rd Shift</v>
      </c>
    </row>
    <row r="5537" spans="1:11" x14ac:dyDescent="0.25">
      <c r="A5537" s="1">
        <v>5536</v>
      </c>
      <c r="B5537" s="1">
        <v>11</v>
      </c>
      <c r="C5537" s="3">
        <v>11115271559939</v>
      </c>
      <c r="D5537" s="2">
        <v>44740.125</v>
      </c>
      <c r="E5537" s="2">
        <v>44740.159722222219</v>
      </c>
      <c r="F5537" s="23">
        <f t="shared" si="258"/>
        <v>3.4722222218988463E-2</v>
      </c>
      <c r="G5537" s="24">
        <f t="shared" si="260"/>
        <v>360.00000003352761</v>
      </c>
      <c r="H5537" s="1" t="s">
        <v>1</v>
      </c>
      <c r="I5537" s="4" t="s">
        <v>3</v>
      </c>
      <c r="J5537" s="14">
        <v>0.125</v>
      </c>
      <c r="K5537" s="20" t="str">
        <f t="shared" si="259"/>
        <v>3rd Shift</v>
      </c>
    </row>
    <row r="5538" spans="1:11" x14ac:dyDescent="0.25">
      <c r="A5538" s="1">
        <v>5537</v>
      </c>
      <c r="B5538" s="1">
        <v>11</v>
      </c>
      <c r="C5538" s="3">
        <v>11115271559938</v>
      </c>
      <c r="D5538" s="2">
        <v>44740.125</v>
      </c>
      <c r="E5538" s="2">
        <v>44740.159722222219</v>
      </c>
      <c r="F5538" s="23">
        <f t="shared" si="258"/>
        <v>3.4722222218988463E-2</v>
      </c>
      <c r="G5538" s="24">
        <f t="shared" si="260"/>
        <v>360.00000003352761</v>
      </c>
      <c r="H5538" s="1" t="s">
        <v>1</v>
      </c>
      <c r="I5538" s="4" t="s">
        <v>2</v>
      </c>
      <c r="J5538" s="14">
        <v>0.125</v>
      </c>
      <c r="K5538" s="20" t="str">
        <f t="shared" si="259"/>
        <v>3rd Shift</v>
      </c>
    </row>
    <row r="5539" spans="1:11" x14ac:dyDescent="0.25">
      <c r="A5539" s="1">
        <v>5538</v>
      </c>
      <c r="B5539" s="1">
        <v>14</v>
      </c>
      <c r="C5539" s="3">
        <v>14115271690227</v>
      </c>
      <c r="D5539" s="2">
        <v>44740.395833333336</v>
      </c>
      <c r="E5539" s="2">
        <v>44740.572916666664</v>
      </c>
      <c r="F5539" s="23">
        <f t="shared" si="258"/>
        <v>0.17708333332848269</v>
      </c>
      <c r="G5539" s="24">
        <f t="shared" si="260"/>
        <v>70.588235296051195</v>
      </c>
      <c r="H5539" s="1" t="s">
        <v>1</v>
      </c>
      <c r="I5539" s="4" t="s">
        <v>3</v>
      </c>
      <c r="J5539" s="14">
        <v>0.39583333333333331</v>
      </c>
      <c r="K5539" s="20" t="str">
        <f t="shared" si="259"/>
        <v>1st Shift</v>
      </c>
    </row>
    <row r="5540" spans="1:11" x14ac:dyDescent="0.25">
      <c r="A5540" s="1">
        <v>5539</v>
      </c>
      <c r="B5540" s="1">
        <v>14</v>
      </c>
      <c r="C5540" s="3">
        <v>14115271690220</v>
      </c>
      <c r="D5540" s="2">
        <v>44740.395833333336</v>
      </c>
      <c r="E5540" s="2">
        <v>44740.572916666664</v>
      </c>
      <c r="F5540" s="23">
        <f t="shared" si="258"/>
        <v>0.17708333332848269</v>
      </c>
      <c r="G5540" s="24">
        <f t="shared" si="260"/>
        <v>70.588235296051195</v>
      </c>
      <c r="H5540" s="1" t="s">
        <v>1</v>
      </c>
      <c r="I5540" s="4" t="s">
        <v>2</v>
      </c>
      <c r="J5540" s="14">
        <v>0.39583333333333331</v>
      </c>
      <c r="K5540" s="20" t="str">
        <f t="shared" si="259"/>
        <v>1st Shift</v>
      </c>
    </row>
    <row r="5541" spans="1:11" x14ac:dyDescent="0.25">
      <c r="A5541" s="1">
        <v>5540</v>
      </c>
      <c r="B5541" s="1">
        <v>13</v>
      </c>
      <c r="C5541" s="3">
        <v>13115271591308</v>
      </c>
      <c r="D5541" s="2">
        <v>44740.395833333336</v>
      </c>
      <c r="E5541" s="2">
        <v>44740.572916666664</v>
      </c>
      <c r="F5541" s="23">
        <f t="shared" si="258"/>
        <v>0.17708333332848269</v>
      </c>
      <c r="G5541" s="24">
        <f t="shared" si="260"/>
        <v>70.588235296051195</v>
      </c>
      <c r="H5541" s="1" t="s">
        <v>1</v>
      </c>
      <c r="I5541" s="4" t="s">
        <v>2</v>
      </c>
      <c r="J5541" s="14">
        <v>0.39583333333333331</v>
      </c>
      <c r="K5541" s="20" t="str">
        <f t="shared" si="259"/>
        <v>1st Shift</v>
      </c>
    </row>
    <row r="5542" spans="1:11" x14ac:dyDescent="0.25">
      <c r="A5542" s="1">
        <v>5541</v>
      </c>
      <c r="B5542" s="1">
        <v>13</v>
      </c>
      <c r="C5542" s="3">
        <v>13115271591300</v>
      </c>
      <c r="D5542" s="2">
        <v>44740.395833333336</v>
      </c>
      <c r="E5542" s="2">
        <v>44740.572916666664</v>
      </c>
      <c r="F5542" s="23">
        <f t="shared" si="258"/>
        <v>0.17708333332848269</v>
      </c>
      <c r="G5542" s="24">
        <f t="shared" si="260"/>
        <v>70.588235296051195</v>
      </c>
      <c r="H5542" s="1" t="s">
        <v>1</v>
      </c>
      <c r="I5542" s="4" t="s">
        <v>4</v>
      </c>
      <c r="J5542" s="14">
        <v>0.39583333333333331</v>
      </c>
      <c r="K5542" s="20" t="str">
        <f t="shared" si="259"/>
        <v>1st Shift</v>
      </c>
    </row>
    <row r="5543" spans="1:11" x14ac:dyDescent="0.25">
      <c r="A5543" s="1">
        <v>5542</v>
      </c>
      <c r="B5543" s="1">
        <v>9</v>
      </c>
      <c r="C5543" s="3">
        <v>9115271944302</v>
      </c>
      <c r="D5543" s="2">
        <v>44740.395833333336</v>
      </c>
      <c r="E5543" s="2">
        <v>44740.572916666664</v>
      </c>
      <c r="F5543" s="23">
        <f t="shared" si="258"/>
        <v>0.17708333332848269</v>
      </c>
      <c r="G5543" s="24">
        <f t="shared" si="260"/>
        <v>70.588235296051195</v>
      </c>
      <c r="H5543" s="1" t="s">
        <v>1</v>
      </c>
      <c r="I5543" s="4" t="s">
        <v>2</v>
      </c>
      <c r="J5543" s="14">
        <v>0.39583333333333331</v>
      </c>
      <c r="K5543" s="20" t="str">
        <f t="shared" si="259"/>
        <v>1st Shift</v>
      </c>
    </row>
    <row r="5544" spans="1:11" x14ac:dyDescent="0.25">
      <c r="A5544" s="1">
        <v>5543</v>
      </c>
      <c r="B5544" s="1">
        <v>9</v>
      </c>
      <c r="C5544" s="3">
        <v>9115271944300</v>
      </c>
      <c r="D5544" s="2">
        <v>44740.395833333336</v>
      </c>
      <c r="E5544" s="2">
        <v>44740.572916666664</v>
      </c>
      <c r="F5544" s="23">
        <f t="shared" si="258"/>
        <v>0.17708333332848269</v>
      </c>
      <c r="G5544" s="24">
        <f t="shared" si="260"/>
        <v>70.588235296051195</v>
      </c>
      <c r="H5544" s="1" t="s">
        <v>1</v>
      </c>
      <c r="I5544" s="4" t="s">
        <v>2</v>
      </c>
      <c r="J5544" s="14">
        <v>0.39583333333333331</v>
      </c>
      <c r="K5544" s="20" t="str">
        <f t="shared" si="259"/>
        <v>1st Shift</v>
      </c>
    </row>
    <row r="5545" spans="1:11" x14ac:dyDescent="0.25">
      <c r="A5545" s="1">
        <v>5544</v>
      </c>
      <c r="B5545" s="1">
        <v>6</v>
      </c>
      <c r="C5545" s="3">
        <v>6115271690805</v>
      </c>
      <c r="D5545" s="2">
        <v>44740.395833333336</v>
      </c>
      <c r="E5545" s="2">
        <v>44740.572916666664</v>
      </c>
      <c r="F5545" s="23">
        <f t="shared" si="258"/>
        <v>0.17708333332848269</v>
      </c>
      <c r="G5545" s="24">
        <f t="shared" si="260"/>
        <v>70.588235296051195</v>
      </c>
      <c r="H5545" s="1" t="s">
        <v>1</v>
      </c>
      <c r="I5545" s="4" t="s">
        <v>2</v>
      </c>
      <c r="J5545" s="14">
        <v>0.39583333333333331</v>
      </c>
      <c r="K5545" s="20" t="str">
        <f t="shared" si="259"/>
        <v>1st Shift</v>
      </c>
    </row>
    <row r="5546" spans="1:11" x14ac:dyDescent="0.25">
      <c r="A5546" s="1">
        <v>5545</v>
      </c>
      <c r="B5546" s="1">
        <v>6</v>
      </c>
      <c r="C5546" s="3">
        <v>6115271690804</v>
      </c>
      <c r="D5546" s="2">
        <v>44740.395833333336</v>
      </c>
      <c r="E5546" s="2">
        <v>44740.572916666664</v>
      </c>
      <c r="F5546" s="23">
        <f t="shared" si="258"/>
        <v>0.17708333332848269</v>
      </c>
      <c r="G5546" s="24">
        <f t="shared" si="260"/>
        <v>70.588235296051195</v>
      </c>
      <c r="H5546" s="1" t="s">
        <v>1</v>
      </c>
      <c r="I5546" s="4" t="s">
        <v>3</v>
      </c>
      <c r="J5546" s="14">
        <v>0.39583333333333331</v>
      </c>
      <c r="K5546" s="20" t="str">
        <f t="shared" si="259"/>
        <v>1st Shift</v>
      </c>
    </row>
    <row r="5547" spans="1:11" x14ac:dyDescent="0.25">
      <c r="A5547" s="1">
        <v>5546</v>
      </c>
      <c r="B5547" s="1">
        <v>15</v>
      </c>
      <c r="C5547" s="3">
        <v>15115271762504</v>
      </c>
      <c r="D5547" s="2">
        <v>44740.784722222219</v>
      </c>
      <c r="E5547" s="2">
        <v>44740.885416666664</v>
      </c>
      <c r="F5547" s="23">
        <f t="shared" si="258"/>
        <v>0.10069444444525288</v>
      </c>
      <c r="G5547" s="24">
        <f t="shared" si="260"/>
        <v>124.1379310334861</v>
      </c>
      <c r="H5547" s="1" t="s">
        <v>1</v>
      </c>
      <c r="I5547" s="4" t="s">
        <v>2</v>
      </c>
      <c r="J5547" s="14">
        <v>0.78472222222222221</v>
      </c>
      <c r="K5547" s="20" t="str">
        <f t="shared" si="259"/>
        <v>2nd Shift</v>
      </c>
    </row>
    <row r="5548" spans="1:11" x14ac:dyDescent="0.25">
      <c r="A5548" s="1">
        <v>5547</v>
      </c>
      <c r="B5548" s="1">
        <v>15</v>
      </c>
      <c r="C5548" s="3">
        <v>15115271762500</v>
      </c>
      <c r="D5548" s="2">
        <v>44740.784722222219</v>
      </c>
      <c r="E5548" s="2">
        <v>44740.885416666664</v>
      </c>
      <c r="F5548" s="23">
        <f t="shared" si="258"/>
        <v>0.10069444444525288</v>
      </c>
      <c r="G5548" s="24">
        <f t="shared" si="260"/>
        <v>124.1379310334861</v>
      </c>
      <c r="H5548" s="1" t="s">
        <v>1</v>
      </c>
      <c r="I5548" s="4" t="s">
        <v>2</v>
      </c>
      <c r="J5548" s="14">
        <v>0.78472222222222221</v>
      </c>
      <c r="K5548" s="20" t="str">
        <f t="shared" si="259"/>
        <v>2nd Shift</v>
      </c>
    </row>
    <row r="5549" spans="1:11" x14ac:dyDescent="0.25">
      <c r="A5549" s="1">
        <v>5548</v>
      </c>
      <c r="B5549" s="1">
        <v>7</v>
      </c>
      <c r="C5549" s="3">
        <v>7115271759019</v>
      </c>
      <c r="D5549" s="2">
        <v>44740.784722222219</v>
      </c>
      <c r="E5549" s="2">
        <v>44740.885416666664</v>
      </c>
      <c r="F5549" s="23">
        <f t="shared" si="258"/>
        <v>0.10069444444525288</v>
      </c>
      <c r="G5549" s="24">
        <f t="shared" si="260"/>
        <v>124.1379310334861</v>
      </c>
      <c r="H5549" s="1" t="s">
        <v>1</v>
      </c>
      <c r="I5549" s="4" t="s">
        <v>3</v>
      </c>
      <c r="J5549" s="14">
        <v>0.78472222222222221</v>
      </c>
      <c r="K5549" s="20" t="str">
        <f t="shared" si="259"/>
        <v>2nd Shift</v>
      </c>
    </row>
    <row r="5550" spans="1:11" x14ac:dyDescent="0.25">
      <c r="A5550" s="1">
        <v>5549</v>
      </c>
      <c r="B5550" s="1">
        <v>7</v>
      </c>
      <c r="C5550" s="3">
        <v>7115271759014</v>
      </c>
      <c r="D5550" s="2">
        <v>44740.784722222219</v>
      </c>
      <c r="E5550" s="2">
        <v>44740.885416666664</v>
      </c>
      <c r="F5550" s="23">
        <f t="shared" si="258"/>
        <v>0.10069444444525288</v>
      </c>
      <c r="G5550" s="24">
        <f t="shared" si="260"/>
        <v>124.1379310334861</v>
      </c>
      <c r="H5550" s="1" t="s">
        <v>1</v>
      </c>
      <c r="I5550" s="4" t="s">
        <v>3</v>
      </c>
      <c r="J5550" s="14">
        <v>0.78472222222222221</v>
      </c>
      <c r="K5550" s="20" t="str">
        <f t="shared" si="259"/>
        <v>2nd Shift</v>
      </c>
    </row>
    <row r="5551" spans="1:11" x14ac:dyDescent="0.25">
      <c r="A5551" s="1">
        <v>5550</v>
      </c>
      <c r="B5551" s="1">
        <v>3</v>
      </c>
      <c r="C5551" s="3">
        <v>3115270360501</v>
      </c>
      <c r="D5551" s="2">
        <v>44740.784722222219</v>
      </c>
      <c r="E5551" s="2">
        <v>44740.885416666664</v>
      </c>
      <c r="F5551" s="23">
        <f t="shared" si="258"/>
        <v>0.10069444444525288</v>
      </c>
      <c r="G5551" s="24">
        <f t="shared" si="260"/>
        <v>124.1379310334861</v>
      </c>
      <c r="H5551" s="1" t="s">
        <v>1</v>
      </c>
      <c r="I5551" s="4" t="s">
        <v>2</v>
      </c>
      <c r="J5551" s="14">
        <v>0.78472222222222221</v>
      </c>
      <c r="K5551" s="20" t="str">
        <f t="shared" si="259"/>
        <v>2nd Shift</v>
      </c>
    </row>
    <row r="5552" spans="1:11" x14ac:dyDescent="0.25">
      <c r="A5552" s="1">
        <v>5551</v>
      </c>
      <c r="B5552" s="1">
        <v>3</v>
      </c>
      <c r="C5552" s="3">
        <v>3115270360500</v>
      </c>
      <c r="D5552" s="2">
        <v>44740.784722222219</v>
      </c>
      <c r="E5552" s="2">
        <v>44740.885416666664</v>
      </c>
      <c r="F5552" s="23">
        <f t="shared" si="258"/>
        <v>0.10069444444525288</v>
      </c>
      <c r="G5552" s="24">
        <f t="shared" si="260"/>
        <v>124.1379310334861</v>
      </c>
      <c r="H5552" s="1" t="s">
        <v>1</v>
      </c>
      <c r="I5552" s="4" t="s">
        <v>2</v>
      </c>
      <c r="J5552" s="14">
        <v>0.78472222222222221</v>
      </c>
      <c r="K5552" s="20" t="str">
        <f t="shared" si="259"/>
        <v>2nd Shift</v>
      </c>
    </row>
    <row r="5553" spans="1:11" x14ac:dyDescent="0.25">
      <c r="A5553" s="1">
        <v>5552</v>
      </c>
      <c r="B5553" s="1">
        <v>12</v>
      </c>
      <c r="C5553" s="3">
        <v>12115271572806</v>
      </c>
      <c r="D5553" s="2">
        <v>44740.958333333336</v>
      </c>
      <c r="E5553" s="2">
        <v>44741.020833333336</v>
      </c>
      <c r="F5553" s="23">
        <f t="shared" si="258"/>
        <v>6.25E-2</v>
      </c>
      <c r="G5553" s="24">
        <f t="shared" si="260"/>
        <v>200</v>
      </c>
      <c r="H5553" s="1" t="s">
        <v>1</v>
      </c>
      <c r="I5553" s="4" t="s">
        <v>3</v>
      </c>
      <c r="J5553" s="14">
        <v>0.95833333333333337</v>
      </c>
      <c r="K5553" s="20" t="str">
        <f t="shared" si="259"/>
        <v>3rd Shift</v>
      </c>
    </row>
    <row r="5554" spans="1:11" x14ac:dyDescent="0.25">
      <c r="A5554" s="1">
        <v>5553</v>
      </c>
      <c r="B5554" s="1">
        <v>12</v>
      </c>
      <c r="C5554" s="3">
        <v>12115271572802</v>
      </c>
      <c r="D5554" s="2">
        <v>44740.958333333336</v>
      </c>
      <c r="E5554" s="2">
        <v>44741.020833333336</v>
      </c>
      <c r="F5554" s="23">
        <f t="shared" si="258"/>
        <v>6.25E-2</v>
      </c>
      <c r="G5554" s="24">
        <f t="shared" si="260"/>
        <v>200</v>
      </c>
      <c r="H5554" s="1" t="s">
        <v>1</v>
      </c>
      <c r="I5554" s="4" t="s">
        <v>2</v>
      </c>
      <c r="J5554" s="14">
        <v>0.95833333333333337</v>
      </c>
      <c r="K5554" s="20" t="str">
        <f t="shared" si="259"/>
        <v>3rd Shift</v>
      </c>
    </row>
    <row r="5555" spans="1:11" x14ac:dyDescent="0.25">
      <c r="A5555" s="1">
        <v>5554</v>
      </c>
      <c r="B5555" s="1">
        <v>3</v>
      </c>
      <c r="C5555" s="3">
        <v>3115270400309</v>
      </c>
      <c r="D5555" s="2">
        <v>44740.958333333336</v>
      </c>
      <c r="E5555" s="2">
        <v>44741.020833333336</v>
      </c>
      <c r="F5555" s="23">
        <f t="shared" si="258"/>
        <v>6.25E-2</v>
      </c>
      <c r="G5555" s="24">
        <f t="shared" si="260"/>
        <v>200</v>
      </c>
      <c r="H5555" s="1" t="s">
        <v>1</v>
      </c>
      <c r="I5555" s="4" t="s">
        <v>3</v>
      </c>
      <c r="J5555" s="14">
        <v>0.95833333333333337</v>
      </c>
      <c r="K5555" s="20" t="str">
        <f t="shared" si="259"/>
        <v>3rd Shift</v>
      </c>
    </row>
    <row r="5556" spans="1:11" x14ac:dyDescent="0.25">
      <c r="A5556" s="1">
        <v>5555</v>
      </c>
      <c r="B5556" s="1">
        <v>3</v>
      </c>
      <c r="C5556" s="3">
        <v>3115270400303</v>
      </c>
      <c r="D5556" s="2">
        <v>44740.958333333336</v>
      </c>
      <c r="E5556" s="2">
        <v>44741.020833333336</v>
      </c>
      <c r="F5556" s="23">
        <f t="shared" si="258"/>
        <v>6.25E-2</v>
      </c>
      <c r="G5556" s="24">
        <f t="shared" si="260"/>
        <v>200</v>
      </c>
      <c r="H5556" s="1" t="s">
        <v>1</v>
      </c>
      <c r="I5556" s="4" t="s">
        <v>2</v>
      </c>
      <c r="J5556" s="14">
        <v>0.95833333333333337</v>
      </c>
      <c r="K5556" s="20" t="str">
        <f t="shared" si="259"/>
        <v>3rd Shift</v>
      </c>
    </row>
    <row r="5557" spans="1:11" x14ac:dyDescent="0.25">
      <c r="A5557" s="1">
        <v>5556</v>
      </c>
      <c r="B5557" s="1">
        <v>3</v>
      </c>
      <c r="C5557" s="3">
        <v>3115270400300</v>
      </c>
      <c r="D5557" s="2">
        <v>44740.958333333336</v>
      </c>
      <c r="E5557" s="2">
        <v>44741.020833333336</v>
      </c>
      <c r="F5557" s="23">
        <f t="shared" si="258"/>
        <v>6.25E-2</v>
      </c>
      <c r="G5557" s="24">
        <f t="shared" si="260"/>
        <v>200</v>
      </c>
      <c r="H5557" s="1" t="s">
        <v>1</v>
      </c>
      <c r="I5557" s="4" t="s">
        <v>2</v>
      </c>
      <c r="J5557" s="14">
        <v>0.95833333333333337</v>
      </c>
      <c r="K5557" s="20" t="str">
        <f t="shared" si="259"/>
        <v>3rd Shift</v>
      </c>
    </row>
    <row r="5558" spans="1:11" x14ac:dyDescent="0.25">
      <c r="A5558" s="1">
        <v>5557</v>
      </c>
      <c r="B5558" s="1">
        <v>7</v>
      </c>
      <c r="C5558" s="3">
        <v>7115271758801</v>
      </c>
      <c r="D5558" s="2">
        <v>44741.40625</v>
      </c>
      <c r="E5558" s="2">
        <v>44741.444444444445</v>
      </c>
      <c r="F5558" s="23">
        <f t="shared" si="258"/>
        <v>3.8194444445252884E-2</v>
      </c>
      <c r="G5558" s="24">
        <f t="shared" si="260"/>
        <v>327.27272726580009</v>
      </c>
      <c r="H5558" s="1" t="s">
        <v>1</v>
      </c>
      <c r="I5558" s="4" t="s">
        <v>4</v>
      </c>
      <c r="J5558" s="14">
        <v>0.40625</v>
      </c>
      <c r="K5558" s="20" t="str">
        <f t="shared" si="259"/>
        <v>1st Shift</v>
      </c>
    </row>
    <row r="5559" spans="1:11" x14ac:dyDescent="0.25">
      <c r="A5559" s="1">
        <v>5558</v>
      </c>
      <c r="B5559" s="1">
        <v>7</v>
      </c>
      <c r="C5559" s="3">
        <v>7115271758800</v>
      </c>
      <c r="D5559" s="2">
        <v>44741.40625</v>
      </c>
      <c r="E5559" s="2">
        <v>44741.444444444445</v>
      </c>
      <c r="F5559" s="23">
        <f t="shared" si="258"/>
        <v>3.8194444445252884E-2</v>
      </c>
      <c r="G5559" s="24">
        <f t="shared" si="260"/>
        <v>327.27272726580009</v>
      </c>
      <c r="H5559" s="1" t="s">
        <v>1</v>
      </c>
      <c r="I5559" s="4" t="s">
        <v>2</v>
      </c>
      <c r="J5559" s="14">
        <v>0.40625</v>
      </c>
      <c r="K5559" s="20" t="str">
        <f t="shared" si="259"/>
        <v>1st Shift</v>
      </c>
    </row>
    <row r="5560" spans="1:11" x14ac:dyDescent="0.25">
      <c r="A5560" s="1">
        <v>5559</v>
      </c>
      <c r="B5560" s="1">
        <v>4</v>
      </c>
      <c r="C5560" s="3">
        <v>4115270848708</v>
      </c>
      <c r="D5560" s="2">
        <v>44741.541666666664</v>
      </c>
      <c r="E5560" s="2">
        <v>44741.604166666664</v>
      </c>
      <c r="F5560" s="23">
        <f t="shared" si="258"/>
        <v>6.25E-2</v>
      </c>
      <c r="G5560" s="24">
        <f t="shared" si="260"/>
        <v>200</v>
      </c>
      <c r="H5560" s="1" t="s">
        <v>1</v>
      </c>
      <c r="I5560" s="4" t="s">
        <v>3</v>
      </c>
      <c r="J5560" s="14">
        <v>0.54166666666666663</v>
      </c>
      <c r="K5560" s="20" t="str">
        <f t="shared" si="259"/>
        <v>1st Shift</v>
      </c>
    </row>
    <row r="5561" spans="1:11" x14ac:dyDescent="0.25">
      <c r="A5561" s="1">
        <v>5560</v>
      </c>
      <c r="B5561" s="1">
        <v>4</v>
      </c>
      <c r="C5561" s="3">
        <v>4115270848700</v>
      </c>
      <c r="D5561" s="2">
        <v>44741.541666666664</v>
      </c>
      <c r="E5561" s="2">
        <v>44741.604166666664</v>
      </c>
      <c r="F5561" s="23">
        <f t="shared" si="258"/>
        <v>6.25E-2</v>
      </c>
      <c r="G5561" s="24">
        <f t="shared" si="260"/>
        <v>200</v>
      </c>
      <c r="H5561" s="1" t="s">
        <v>1</v>
      </c>
      <c r="I5561" s="4" t="s">
        <v>2</v>
      </c>
      <c r="J5561" s="14">
        <v>0.54166666666666663</v>
      </c>
      <c r="K5561" s="20" t="str">
        <f t="shared" si="259"/>
        <v>1st Shift</v>
      </c>
    </row>
    <row r="5562" spans="1:11" x14ac:dyDescent="0.25">
      <c r="A5562" s="1">
        <v>5561</v>
      </c>
      <c r="B5562" s="1">
        <v>3</v>
      </c>
      <c r="C5562" s="3">
        <v>3115270383906</v>
      </c>
      <c r="D5562" s="2">
        <v>44741.541666666664</v>
      </c>
      <c r="E5562" s="2">
        <v>44741.604166666664</v>
      </c>
      <c r="F5562" s="23">
        <f t="shared" si="258"/>
        <v>6.25E-2</v>
      </c>
      <c r="G5562" s="24">
        <f t="shared" si="260"/>
        <v>200</v>
      </c>
      <c r="H5562" s="1" t="s">
        <v>1</v>
      </c>
      <c r="I5562" s="4" t="s">
        <v>2</v>
      </c>
      <c r="J5562" s="14">
        <v>0.54166666666666663</v>
      </c>
      <c r="K5562" s="20" t="str">
        <f t="shared" si="259"/>
        <v>1st Shift</v>
      </c>
    </row>
    <row r="5563" spans="1:11" x14ac:dyDescent="0.25">
      <c r="A5563" s="1">
        <v>5562</v>
      </c>
      <c r="B5563" s="1">
        <v>3</v>
      </c>
      <c r="C5563" s="3">
        <v>3115270383900</v>
      </c>
      <c r="D5563" s="2">
        <v>44741.541666666664</v>
      </c>
      <c r="E5563" s="2">
        <v>44741.604166666664</v>
      </c>
      <c r="F5563" s="23">
        <f t="shared" si="258"/>
        <v>6.25E-2</v>
      </c>
      <c r="G5563" s="24">
        <f t="shared" si="260"/>
        <v>200</v>
      </c>
      <c r="H5563" s="1" t="s">
        <v>1</v>
      </c>
      <c r="I5563" s="4" t="s">
        <v>2</v>
      </c>
      <c r="J5563" s="14">
        <v>0.54166666666666663</v>
      </c>
      <c r="K5563" s="20" t="str">
        <f t="shared" si="259"/>
        <v>1st Shift</v>
      </c>
    </row>
    <row r="5564" spans="1:11" x14ac:dyDescent="0.25">
      <c r="A5564" s="1">
        <v>5563</v>
      </c>
      <c r="B5564" s="1">
        <v>1</v>
      </c>
      <c r="C5564" s="3">
        <v>1115270107504</v>
      </c>
      <c r="D5564" s="2">
        <v>44741.541666666664</v>
      </c>
      <c r="E5564" s="2">
        <v>44741.604166666664</v>
      </c>
      <c r="F5564" s="23">
        <f t="shared" si="258"/>
        <v>6.25E-2</v>
      </c>
      <c r="G5564" s="24">
        <f t="shared" si="260"/>
        <v>200</v>
      </c>
      <c r="H5564" s="1" t="s">
        <v>1</v>
      </c>
      <c r="I5564" s="4" t="s">
        <v>3</v>
      </c>
      <c r="J5564" s="14">
        <v>0.54166666666666663</v>
      </c>
      <c r="K5564" s="20" t="str">
        <f t="shared" si="259"/>
        <v>1st Shift</v>
      </c>
    </row>
    <row r="5565" spans="1:11" x14ac:dyDescent="0.25">
      <c r="A5565" s="1">
        <v>5564</v>
      </c>
      <c r="B5565" s="1">
        <v>1</v>
      </c>
      <c r="C5565" s="3">
        <v>1115270107500</v>
      </c>
      <c r="D5565" s="2">
        <v>44741.541666666664</v>
      </c>
      <c r="E5565" s="2">
        <v>44741.604166666664</v>
      </c>
      <c r="F5565" s="23">
        <f t="shared" si="258"/>
        <v>6.25E-2</v>
      </c>
      <c r="G5565" s="24">
        <f t="shared" si="260"/>
        <v>200</v>
      </c>
      <c r="H5565" s="1" t="s">
        <v>1</v>
      </c>
      <c r="I5565" s="4" t="s">
        <v>2</v>
      </c>
      <c r="J5565" s="14">
        <v>0.54166666666666663</v>
      </c>
      <c r="K5565" s="20" t="str">
        <f t="shared" si="259"/>
        <v>1st Shift</v>
      </c>
    </row>
    <row r="5566" spans="1:11" x14ac:dyDescent="0.25">
      <c r="A5566" s="1">
        <v>5565</v>
      </c>
      <c r="B5566" s="1">
        <v>46</v>
      </c>
      <c r="C5566" s="3">
        <v>46115272424448</v>
      </c>
      <c r="D5566" s="2">
        <v>44741.7</v>
      </c>
      <c r="E5566" s="2">
        <v>44741.84375</v>
      </c>
      <c r="F5566" s="23">
        <f t="shared" si="258"/>
        <v>0.14375000000291038</v>
      </c>
      <c r="G5566" s="24">
        <f t="shared" si="260"/>
        <v>86.956521737369897</v>
      </c>
      <c r="H5566" s="1" t="s">
        <v>1</v>
      </c>
      <c r="I5566" s="4" t="s">
        <v>2</v>
      </c>
      <c r="J5566" s="14">
        <v>0.7</v>
      </c>
      <c r="K5566" s="20" t="str">
        <f t="shared" si="259"/>
        <v>2nd Shift</v>
      </c>
    </row>
    <row r="5567" spans="1:11" x14ac:dyDescent="0.25">
      <c r="A5567" s="1">
        <v>5566</v>
      </c>
      <c r="B5567" s="1">
        <v>46</v>
      </c>
      <c r="C5567" s="3">
        <v>46115272424440</v>
      </c>
      <c r="D5567" s="2">
        <v>44741.7</v>
      </c>
      <c r="E5567" s="2">
        <v>44741.84375</v>
      </c>
      <c r="F5567" s="23">
        <f t="shared" si="258"/>
        <v>0.14375000000291038</v>
      </c>
      <c r="G5567" s="24">
        <f t="shared" si="260"/>
        <v>86.956521737369897</v>
      </c>
      <c r="H5567" s="1" t="s">
        <v>1</v>
      </c>
      <c r="I5567" s="4" t="s">
        <v>3</v>
      </c>
      <c r="J5567" s="14">
        <v>0.7</v>
      </c>
      <c r="K5567" s="20" t="str">
        <f t="shared" si="259"/>
        <v>2nd Shift</v>
      </c>
    </row>
    <row r="5568" spans="1:11" x14ac:dyDescent="0.25">
      <c r="A5568" s="1">
        <v>5567</v>
      </c>
      <c r="B5568" s="1">
        <v>15</v>
      </c>
      <c r="C5568" s="3">
        <v>15115271591208</v>
      </c>
      <c r="D5568" s="2">
        <v>44741.7</v>
      </c>
      <c r="E5568" s="2">
        <v>44741.84375</v>
      </c>
      <c r="F5568" s="23">
        <f t="shared" si="258"/>
        <v>0.14375000000291038</v>
      </c>
      <c r="G5568" s="24">
        <f t="shared" si="260"/>
        <v>86.956521737369897</v>
      </c>
      <c r="H5568" s="1" t="s">
        <v>1</v>
      </c>
      <c r="I5568" s="4" t="s">
        <v>2</v>
      </c>
      <c r="J5568" s="14">
        <v>0.7</v>
      </c>
      <c r="K5568" s="20" t="str">
        <f t="shared" si="259"/>
        <v>2nd Shift</v>
      </c>
    </row>
    <row r="5569" spans="1:11" x14ac:dyDescent="0.25">
      <c r="A5569" s="1">
        <v>5568</v>
      </c>
      <c r="B5569" s="1">
        <v>15</v>
      </c>
      <c r="C5569" s="3">
        <v>15115271591200</v>
      </c>
      <c r="D5569" s="2">
        <v>44741.7</v>
      </c>
      <c r="E5569" s="2">
        <v>44741.84375</v>
      </c>
      <c r="F5569" s="23">
        <f t="shared" si="258"/>
        <v>0.14375000000291038</v>
      </c>
      <c r="G5569" s="24">
        <f t="shared" si="260"/>
        <v>86.956521737369897</v>
      </c>
      <c r="H5569" s="1" t="s">
        <v>1</v>
      </c>
      <c r="I5569" s="4" t="s">
        <v>2</v>
      </c>
      <c r="J5569" s="14">
        <v>0.7</v>
      </c>
      <c r="K5569" s="20" t="str">
        <f t="shared" si="259"/>
        <v>2nd Shift</v>
      </c>
    </row>
    <row r="5570" spans="1:11" x14ac:dyDescent="0.25">
      <c r="A5570" s="1">
        <v>5569</v>
      </c>
      <c r="B5570" s="1">
        <v>13</v>
      </c>
      <c r="C5570" s="3">
        <v>13115271601509</v>
      </c>
      <c r="D5570" s="2">
        <v>44741.802083333336</v>
      </c>
      <c r="E5570" s="2">
        <v>44741.84375</v>
      </c>
      <c r="F5570" s="23">
        <f t="shared" ref="F5570:F5612" si="261">E5570-D5570</f>
        <v>4.1666666664241347E-2</v>
      </c>
      <c r="G5570" s="24">
        <f t="shared" si="260"/>
        <v>300.0000000174623</v>
      </c>
      <c r="H5570" s="1" t="s">
        <v>1</v>
      </c>
      <c r="I5570" s="4" t="s">
        <v>3</v>
      </c>
      <c r="J5570" s="14">
        <v>0.80208333333333337</v>
      </c>
      <c r="K5570" s="20" t="str">
        <f t="shared" ref="K5570:K5612" si="262">IF(AND(J5570&gt;=$M$3,J5570&lt;$M$4),"1st Shift",IF(AND(J5570&gt;=$M$4,J5570&lt;$M$5),"2nd Shift","3rd Shift"))</f>
        <v>2nd Shift</v>
      </c>
    </row>
    <row r="5571" spans="1:11" x14ac:dyDescent="0.25">
      <c r="A5571" s="1">
        <v>5570</v>
      </c>
      <c r="B5571" s="1">
        <v>13</v>
      </c>
      <c r="C5571" s="3">
        <v>13115271601508</v>
      </c>
      <c r="D5571" s="2">
        <v>44741.802083333336</v>
      </c>
      <c r="E5571" s="2">
        <v>44741.84375</v>
      </c>
      <c r="F5571" s="23">
        <f t="shared" si="261"/>
        <v>4.1666666664241347E-2</v>
      </c>
      <c r="G5571" s="24">
        <f t="shared" ref="G5571:G5612" si="263">$M$9/F5571*100</f>
        <v>300.0000000174623</v>
      </c>
      <c r="H5571" s="1" t="s">
        <v>1</v>
      </c>
      <c r="I5571" s="4" t="s">
        <v>3</v>
      </c>
      <c r="J5571" s="14">
        <v>0.80208333333333337</v>
      </c>
      <c r="K5571" s="20" t="str">
        <f t="shared" si="262"/>
        <v>2nd Shift</v>
      </c>
    </row>
    <row r="5572" spans="1:11" x14ac:dyDescent="0.25">
      <c r="A5572" s="1">
        <v>5571</v>
      </c>
      <c r="B5572" s="1">
        <v>7</v>
      </c>
      <c r="C5572" s="3">
        <v>7115271762506</v>
      </c>
      <c r="D5572" s="2">
        <v>44741.7</v>
      </c>
      <c r="E5572" s="2">
        <v>44741.84375</v>
      </c>
      <c r="F5572" s="23">
        <f t="shared" si="261"/>
        <v>0.14375000000291038</v>
      </c>
      <c r="G5572" s="24">
        <f t="shared" si="263"/>
        <v>86.956521737369897</v>
      </c>
      <c r="H5572" s="1" t="s">
        <v>1</v>
      </c>
      <c r="I5572" s="4" t="s">
        <v>2</v>
      </c>
      <c r="J5572" s="14">
        <v>0.7</v>
      </c>
      <c r="K5572" s="20" t="str">
        <f t="shared" si="262"/>
        <v>2nd Shift</v>
      </c>
    </row>
    <row r="5573" spans="1:11" x14ac:dyDescent="0.25">
      <c r="A5573" s="1">
        <v>5572</v>
      </c>
      <c r="B5573" s="1">
        <v>7</v>
      </c>
      <c r="C5573" s="3">
        <v>7115271762506</v>
      </c>
      <c r="D5573" s="2">
        <v>44741.7</v>
      </c>
      <c r="E5573" s="2">
        <v>44741.84375</v>
      </c>
      <c r="F5573" s="23">
        <f t="shared" si="261"/>
        <v>0.14375000000291038</v>
      </c>
      <c r="G5573" s="24">
        <f t="shared" si="263"/>
        <v>86.956521737369897</v>
      </c>
      <c r="H5573" s="1" t="s">
        <v>1</v>
      </c>
      <c r="I5573" s="4" t="s">
        <v>2</v>
      </c>
      <c r="J5573" s="14">
        <v>0.7</v>
      </c>
      <c r="K5573" s="20" t="str">
        <f t="shared" si="262"/>
        <v>2nd Shift</v>
      </c>
    </row>
    <row r="5574" spans="1:11" x14ac:dyDescent="0.25">
      <c r="A5574" s="1">
        <v>5573</v>
      </c>
      <c r="B5574" s="1">
        <v>2</v>
      </c>
      <c r="C5574" s="3">
        <v>2115270241503</v>
      </c>
      <c r="D5574" s="2">
        <v>44741.7</v>
      </c>
      <c r="E5574" s="2">
        <v>44741.84375</v>
      </c>
      <c r="F5574" s="23">
        <f t="shared" si="261"/>
        <v>0.14375000000291038</v>
      </c>
      <c r="G5574" s="24">
        <f t="shared" si="263"/>
        <v>86.956521737369897</v>
      </c>
      <c r="H5574" s="1" t="s">
        <v>1</v>
      </c>
      <c r="I5574" s="4" t="s">
        <v>2</v>
      </c>
      <c r="J5574" s="14">
        <v>0.7</v>
      </c>
      <c r="K5574" s="20" t="str">
        <f t="shared" si="262"/>
        <v>2nd Shift</v>
      </c>
    </row>
    <row r="5575" spans="1:11" x14ac:dyDescent="0.25">
      <c r="A5575" s="1">
        <v>5574</v>
      </c>
      <c r="B5575" s="1">
        <v>2</v>
      </c>
      <c r="C5575" s="3">
        <v>2115270241500</v>
      </c>
      <c r="D5575" s="2">
        <v>44741.7</v>
      </c>
      <c r="E5575" s="2">
        <v>44741.84375</v>
      </c>
      <c r="F5575" s="23">
        <f t="shared" si="261"/>
        <v>0.14375000000291038</v>
      </c>
      <c r="G5575" s="24">
        <f t="shared" si="263"/>
        <v>86.956521737369897</v>
      </c>
      <c r="H5575" s="1" t="s">
        <v>1</v>
      </c>
      <c r="I5575" s="4" t="s">
        <v>2</v>
      </c>
      <c r="J5575" s="14">
        <v>0.7</v>
      </c>
      <c r="K5575" s="20" t="str">
        <f t="shared" si="262"/>
        <v>2nd Shift</v>
      </c>
    </row>
    <row r="5576" spans="1:11" x14ac:dyDescent="0.25">
      <c r="A5576" s="1">
        <v>5575</v>
      </c>
      <c r="B5576" s="1">
        <v>1</v>
      </c>
      <c r="C5576" s="3">
        <v>1115270127508</v>
      </c>
      <c r="D5576" s="2">
        <v>44741.802083333336</v>
      </c>
      <c r="E5576" s="2">
        <v>44741.84375</v>
      </c>
      <c r="F5576" s="23">
        <f t="shared" si="261"/>
        <v>4.1666666664241347E-2</v>
      </c>
      <c r="G5576" s="24">
        <f t="shared" si="263"/>
        <v>300.0000000174623</v>
      </c>
      <c r="H5576" s="1" t="s">
        <v>1</v>
      </c>
      <c r="I5576" s="4" t="s">
        <v>2</v>
      </c>
      <c r="J5576" s="14">
        <v>0.80208333333333337</v>
      </c>
      <c r="K5576" s="20" t="str">
        <f t="shared" si="262"/>
        <v>2nd Shift</v>
      </c>
    </row>
    <row r="5577" spans="1:11" x14ac:dyDescent="0.25">
      <c r="A5577" s="1">
        <v>5576</v>
      </c>
      <c r="B5577" s="1">
        <v>1</v>
      </c>
      <c r="C5577" s="3">
        <v>1115270127500</v>
      </c>
      <c r="D5577" s="2">
        <v>44741.802083333336</v>
      </c>
      <c r="E5577" s="2">
        <v>44741.84375</v>
      </c>
      <c r="F5577" s="23">
        <f t="shared" si="261"/>
        <v>4.1666666664241347E-2</v>
      </c>
      <c r="G5577" s="24">
        <f t="shared" si="263"/>
        <v>300.0000000174623</v>
      </c>
      <c r="H5577" s="1" t="s">
        <v>1</v>
      </c>
      <c r="I5577" s="4" t="s">
        <v>4</v>
      </c>
      <c r="J5577" s="14">
        <v>0.80208333333333337</v>
      </c>
      <c r="K5577" s="20" t="str">
        <f t="shared" si="262"/>
        <v>2nd Shift</v>
      </c>
    </row>
    <row r="5578" spans="1:11" x14ac:dyDescent="0.25">
      <c r="A5578" s="1">
        <v>5577</v>
      </c>
      <c r="B5578" s="1">
        <v>5</v>
      </c>
      <c r="C5578" s="3">
        <v>5115271239405</v>
      </c>
      <c r="D5578" s="2">
        <v>44741.861111111109</v>
      </c>
      <c r="E5578" s="2">
        <v>44741.941666666666</v>
      </c>
      <c r="F5578" s="23">
        <f t="shared" si="261"/>
        <v>8.0555555556202307E-2</v>
      </c>
      <c r="G5578" s="24">
        <f t="shared" si="263"/>
        <v>155.17241379185762</v>
      </c>
      <c r="H5578" s="1" t="s">
        <v>1</v>
      </c>
      <c r="I5578" s="4" t="s">
        <v>3</v>
      </c>
      <c r="J5578" s="14">
        <v>0.86111111111111116</v>
      </c>
      <c r="K5578" s="20" t="str">
        <f t="shared" si="262"/>
        <v>2nd Shift</v>
      </c>
    </row>
    <row r="5579" spans="1:11" x14ac:dyDescent="0.25">
      <c r="A5579" s="1">
        <v>5578</v>
      </c>
      <c r="B5579" s="1">
        <v>5</v>
      </c>
      <c r="C5579" s="3">
        <v>5115271239400</v>
      </c>
      <c r="D5579" s="2">
        <v>44741.861111111109</v>
      </c>
      <c r="E5579" s="2">
        <v>44741.941666666666</v>
      </c>
      <c r="F5579" s="23">
        <f t="shared" si="261"/>
        <v>8.0555555556202307E-2</v>
      </c>
      <c r="G5579" s="24">
        <f t="shared" si="263"/>
        <v>155.17241379185762</v>
      </c>
      <c r="H5579" s="1" t="s">
        <v>1</v>
      </c>
      <c r="I5579" s="4" t="s">
        <v>3</v>
      </c>
      <c r="J5579" s="14">
        <v>0.86111111111111116</v>
      </c>
      <c r="K5579" s="20" t="str">
        <f t="shared" si="262"/>
        <v>2nd Shift</v>
      </c>
    </row>
    <row r="5580" spans="1:11" x14ac:dyDescent="0.25">
      <c r="A5580" s="1">
        <v>5579</v>
      </c>
      <c r="B5580" s="1">
        <v>12</v>
      </c>
      <c r="C5580" s="3">
        <v>12115271565517</v>
      </c>
      <c r="D5580" s="2">
        <v>44741.927083333336</v>
      </c>
      <c r="E5580" s="2">
        <v>44742.020833333336</v>
      </c>
      <c r="F5580" s="23">
        <f t="shared" si="261"/>
        <v>9.375E-2</v>
      </c>
      <c r="G5580" s="24">
        <f t="shared" si="263"/>
        <v>133.33333333333331</v>
      </c>
      <c r="H5580" s="1" t="s">
        <v>1</v>
      </c>
      <c r="I5580" s="4" t="s">
        <v>2</v>
      </c>
      <c r="J5580" s="14">
        <v>0.92708333333333337</v>
      </c>
      <c r="K5580" s="20" t="str">
        <f t="shared" si="262"/>
        <v>3rd Shift</v>
      </c>
    </row>
    <row r="5581" spans="1:11" x14ac:dyDescent="0.25">
      <c r="A5581" s="1">
        <v>5580</v>
      </c>
      <c r="B5581" s="1">
        <v>12</v>
      </c>
      <c r="C5581" s="3">
        <v>12115271565511</v>
      </c>
      <c r="D5581" s="2">
        <v>44741.927083333336</v>
      </c>
      <c r="E5581" s="2">
        <v>44742.020833333336</v>
      </c>
      <c r="F5581" s="23">
        <f t="shared" si="261"/>
        <v>9.375E-2</v>
      </c>
      <c r="G5581" s="24">
        <f t="shared" si="263"/>
        <v>133.33333333333331</v>
      </c>
      <c r="H5581" s="1" t="s">
        <v>1</v>
      </c>
      <c r="I5581" s="4" t="s">
        <v>2</v>
      </c>
      <c r="J5581" s="14">
        <v>0.92708333333333337</v>
      </c>
      <c r="K5581" s="20" t="str">
        <f t="shared" si="262"/>
        <v>3rd Shift</v>
      </c>
    </row>
    <row r="5582" spans="1:11" x14ac:dyDescent="0.25">
      <c r="A5582" s="1">
        <v>5581</v>
      </c>
      <c r="B5582" s="1">
        <v>10</v>
      </c>
      <c r="C5582" s="3">
        <v>10115271412603</v>
      </c>
      <c r="D5582" s="2">
        <v>44741.927083333336</v>
      </c>
      <c r="E5582" s="2">
        <v>44742.020833333336</v>
      </c>
      <c r="F5582" s="23">
        <f t="shared" si="261"/>
        <v>9.375E-2</v>
      </c>
      <c r="G5582" s="24">
        <f t="shared" si="263"/>
        <v>133.33333333333331</v>
      </c>
      <c r="H5582" s="1" t="s">
        <v>1</v>
      </c>
      <c r="I5582" s="4" t="s">
        <v>2</v>
      </c>
      <c r="J5582" s="14">
        <v>0.92708333333333337</v>
      </c>
      <c r="K5582" s="20" t="str">
        <f t="shared" si="262"/>
        <v>3rd Shift</v>
      </c>
    </row>
    <row r="5583" spans="1:11" x14ac:dyDescent="0.25">
      <c r="A5583" s="1">
        <v>5582</v>
      </c>
      <c r="B5583" s="1">
        <v>10</v>
      </c>
      <c r="C5583" s="3">
        <v>10115271412603</v>
      </c>
      <c r="D5583" s="2">
        <v>44741.927083333336</v>
      </c>
      <c r="E5583" s="2">
        <v>44742.020833333336</v>
      </c>
      <c r="F5583" s="23">
        <f t="shared" si="261"/>
        <v>9.375E-2</v>
      </c>
      <c r="G5583" s="24">
        <f t="shared" si="263"/>
        <v>133.33333333333331</v>
      </c>
      <c r="H5583" s="1" t="s">
        <v>1</v>
      </c>
      <c r="I5583" s="4" t="s">
        <v>8</v>
      </c>
      <c r="J5583" s="14">
        <v>0.92708333333333337</v>
      </c>
      <c r="K5583" s="20" t="str">
        <f t="shared" si="262"/>
        <v>3rd Shift</v>
      </c>
    </row>
    <row r="5584" spans="1:11" x14ac:dyDescent="0.25">
      <c r="A5584" s="1">
        <v>5583</v>
      </c>
      <c r="B5584" s="1">
        <v>1</v>
      </c>
      <c r="C5584" s="3">
        <v>1115270075505</v>
      </c>
      <c r="D5584" s="2">
        <v>44741.927083333336</v>
      </c>
      <c r="E5584" s="2">
        <v>44742.020833333336</v>
      </c>
      <c r="F5584" s="23">
        <f t="shared" si="261"/>
        <v>9.375E-2</v>
      </c>
      <c r="G5584" s="24">
        <f t="shared" si="263"/>
        <v>133.33333333333331</v>
      </c>
      <c r="H5584" s="1" t="s">
        <v>1</v>
      </c>
      <c r="I5584" s="4" t="s">
        <v>2</v>
      </c>
      <c r="J5584" s="14">
        <v>0.92708333333333337</v>
      </c>
      <c r="K5584" s="20" t="str">
        <f t="shared" si="262"/>
        <v>3rd Shift</v>
      </c>
    </row>
    <row r="5585" spans="1:11" x14ac:dyDescent="0.25">
      <c r="A5585" s="1">
        <v>5584</v>
      </c>
      <c r="B5585" s="1">
        <v>1</v>
      </c>
      <c r="C5585" s="3">
        <v>1115270075501</v>
      </c>
      <c r="D5585" s="2">
        <v>44741.927083333336</v>
      </c>
      <c r="E5585" s="2">
        <v>44742.020833333336</v>
      </c>
      <c r="F5585" s="23">
        <f t="shared" si="261"/>
        <v>9.375E-2</v>
      </c>
      <c r="G5585" s="24">
        <f t="shared" si="263"/>
        <v>133.33333333333331</v>
      </c>
      <c r="H5585" s="1" t="s">
        <v>1</v>
      </c>
      <c r="I5585" s="4" t="s">
        <v>2</v>
      </c>
      <c r="J5585" s="14">
        <v>0.92708333333333337</v>
      </c>
      <c r="K5585" s="20" t="str">
        <f t="shared" si="262"/>
        <v>3rd Shift</v>
      </c>
    </row>
    <row r="5586" spans="1:11" x14ac:dyDescent="0.25">
      <c r="A5586" s="1">
        <v>5585</v>
      </c>
      <c r="B5586" s="1">
        <v>5</v>
      </c>
      <c r="C5586" s="3">
        <v>5115271689401</v>
      </c>
      <c r="D5586" s="2">
        <v>44742.104166666664</v>
      </c>
      <c r="E5586" s="2">
        <v>44742.138888888891</v>
      </c>
      <c r="F5586" s="23">
        <f t="shared" si="261"/>
        <v>3.4722222226264421E-2</v>
      </c>
      <c r="G5586" s="24">
        <f t="shared" si="263"/>
        <v>359.99999995809048</v>
      </c>
      <c r="H5586" s="1" t="s">
        <v>1</v>
      </c>
      <c r="I5586" s="4" t="s">
        <v>3</v>
      </c>
      <c r="J5586" s="14">
        <v>0.10416666666666667</v>
      </c>
      <c r="K5586" s="20" t="str">
        <f t="shared" si="262"/>
        <v>3rd Shift</v>
      </c>
    </row>
    <row r="5587" spans="1:11" x14ac:dyDescent="0.25">
      <c r="A5587" s="1">
        <v>5586</v>
      </c>
      <c r="B5587" s="1">
        <v>7</v>
      </c>
      <c r="C5587" s="3">
        <v>7115271759005</v>
      </c>
      <c r="D5587" s="2">
        <v>44742.402777777781</v>
      </c>
      <c r="E5587" s="2">
        <v>44742.579861111109</v>
      </c>
      <c r="F5587" s="23">
        <f t="shared" si="261"/>
        <v>0.17708333332848269</v>
      </c>
      <c r="G5587" s="24">
        <f t="shared" si="263"/>
        <v>70.588235296051195</v>
      </c>
      <c r="H5587" s="1" t="s">
        <v>1</v>
      </c>
      <c r="I5587" s="4" t="s">
        <v>2</v>
      </c>
      <c r="J5587" s="14">
        <v>0.40277777777777779</v>
      </c>
      <c r="K5587" s="20" t="str">
        <f t="shared" si="262"/>
        <v>1st Shift</v>
      </c>
    </row>
    <row r="5588" spans="1:11" x14ac:dyDescent="0.25">
      <c r="A5588" s="1">
        <v>5587</v>
      </c>
      <c r="B5588" s="1">
        <v>6</v>
      </c>
      <c r="C5588" s="3">
        <v>6115271733501</v>
      </c>
      <c r="D5588" s="2">
        <v>44742.402777777781</v>
      </c>
      <c r="E5588" s="2">
        <v>44742.579861111109</v>
      </c>
      <c r="F5588" s="23">
        <f t="shared" si="261"/>
        <v>0.17708333332848269</v>
      </c>
      <c r="G5588" s="24">
        <f t="shared" si="263"/>
        <v>70.588235296051195</v>
      </c>
      <c r="H5588" s="1" t="s">
        <v>1</v>
      </c>
      <c r="I5588" s="4" t="s">
        <v>2</v>
      </c>
      <c r="J5588" s="14">
        <v>0.40277777777777779</v>
      </c>
      <c r="K5588" s="20" t="str">
        <f t="shared" si="262"/>
        <v>1st Shift</v>
      </c>
    </row>
    <row r="5589" spans="1:11" x14ac:dyDescent="0.25">
      <c r="A5589" s="1">
        <v>5588</v>
      </c>
      <c r="B5589" s="1">
        <v>6</v>
      </c>
      <c r="C5589" s="3">
        <v>6115271731609</v>
      </c>
      <c r="D5589" s="2">
        <v>44742.402777777781</v>
      </c>
      <c r="E5589" s="2">
        <v>44742.579861111109</v>
      </c>
      <c r="F5589" s="23">
        <f t="shared" si="261"/>
        <v>0.17708333332848269</v>
      </c>
      <c r="G5589" s="24">
        <f t="shared" si="263"/>
        <v>70.588235296051195</v>
      </c>
      <c r="H5589" s="1" t="s">
        <v>1</v>
      </c>
      <c r="I5589" s="4" t="s">
        <v>2</v>
      </c>
      <c r="J5589" s="14">
        <v>0.40277777777777779</v>
      </c>
      <c r="K5589" s="20" t="str">
        <f t="shared" si="262"/>
        <v>1st Shift</v>
      </c>
    </row>
    <row r="5590" spans="1:11" x14ac:dyDescent="0.25">
      <c r="A5590" s="1">
        <v>5589</v>
      </c>
      <c r="B5590" s="1">
        <v>6</v>
      </c>
      <c r="C5590" s="3">
        <v>6115271731604</v>
      </c>
      <c r="D5590" s="2">
        <v>44742.402777777781</v>
      </c>
      <c r="E5590" s="2">
        <v>44742.579861111109</v>
      </c>
      <c r="F5590" s="23">
        <f t="shared" si="261"/>
        <v>0.17708333332848269</v>
      </c>
      <c r="G5590" s="24">
        <f t="shared" si="263"/>
        <v>70.588235296051195</v>
      </c>
      <c r="H5590" s="1" t="s">
        <v>1</v>
      </c>
      <c r="I5590" s="4" t="s">
        <v>2</v>
      </c>
      <c r="J5590" s="14">
        <v>0.40277777777777779</v>
      </c>
      <c r="K5590" s="20" t="str">
        <f t="shared" si="262"/>
        <v>1st Shift</v>
      </c>
    </row>
    <row r="5591" spans="1:11" x14ac:dyDescent="0.25">
      <c r="A5591" s="1">
        <v>5590</v>
      </c>
      <c r="B5591" s="1">
        <v>2</v>
      </c>
      <c r="C5591" s="3">
        <v>2115270241105</v>
      </c>
      <c r="D5591" s="2">
        <v>44742.365277777775</v>
      </c>
      <c r="E5591" s="2">
        <v>44742.579861111109</v>
      </c>
      <c r="F5591" s="23">
        <f t="shared" si="261"/>
        <v>0.21458333333430346</v>
      </c>
      <c r="G5591" s="24">
        <f t="shared" si="263"/>
        <v>58.252427184202659</v>
      </c>
      <c r="H5591" s="1" t="s">
        <v>1</v>
      </c>
      <c r="I5591" s="4" t="s">
        <v>2</v>
      </c>
      <c r="J5591" s="14">
        <v>0.36527777777777776</v>
      </c>
      <c r="K5591" s="20" t="str">
        <f t="shared" si="262"/>
        <v>1st Shift</v>
      </c>
    </row>
    <row r="5592" spans="1:11" x14ac:dyDescent="0.25">
      <c r="A5592" s="1">
        <v>5591</v>
      </c>
      <c r="B5592" s="1">
        <v>2</v>
      </c>
      <c r="C5592" s="3">
        <v>2115270241104</v>
      </c>
      <c r="D5592" s="2">
        <v>44742.365277777775</v>
      </c>
      <c r="E5592" s="2">
        <v>44742.579861111109</v>
      </c>
      <c r="F5592" s="23">
        <f t="shared" si="261"/>
        <v>0.21458333333430346</v>
      </c>
      <c r="G5592" s="24">
        <f t="shared" si="263"/>
        <v>58.252427184202659</v>
      </c>
      <c r="H5592" s="1" t="s">
        <v>1</v>
      </c>
      <c r="I5592" s="4" t="s">
        <v>2</v>
      </c>
      <c r="J5592" s="14">
        <v>0.36527777777777776</v>
      </c>
      <c r="K5592" s="20" t="str">
        <f t="shared" si="262"/>
        <v>1st Shift</v>
      </c>
    </row>
    <row r="5593" spans="1:11" x14ac:dyDescent="0.25">
      <c r="A5593" s="1">
        <v>5592</v>
      </c>
      <c r="B5593" s="1">
        <v>2</v>
      </c>
      <c r="C5593" s="3">
        <v>2115270188206</v>
      </c>
      <c r="D5593" s="2">
        <v>44742.365277777775</v>
      </c>
      <c r="E5593" s="2">
        <v>44742.579861111109</v>
      </c>
      <c r="F5593" s="23">
        <f t="shared" si="261"/>
        <v>0.21458333333430346</v>
      </c>
      <c r="G5593" s="24">
        <f t="shared" si="263"/>
        <v>58.252427184202659</v>
      </c>
      <c r="H5593" s="1" t="s">
        <v>1</v>
      </c>
      <c r="I5593" s="4" t="s">
        <v>2</v>
      </c>
      <c r="J5593" s="14">
        <v>0.36527777777777776</v>
      </c>
      <c r="K5593" s="20" t="str">
        <f t="shared" si="262"/>
        <v>1st Shift</v>
      </c>
    </row>
    <row r="5594" spans="1:11" x14ac:dyDescent="0.25">
      <c r="A5594" s="1">
        <v>5593</v>
      </c>
      <c r="B5594" s="1">
        <v>13</v>
      </c>
      <c r="C5594" s="3">
        <v>13115271591105</v>
      </c>
      <c r="D5594" s="2">
        <v>44742.798611111109</v>
      </c>
      <c r="E5594" s="2">
        <v>44742.920138888891</v>
      </c>
      <c r="F5594" s="23">
        <f t="shared" si="261"/>
        <v>0.12152777778101154</v>
      </c>
      <c r="G5594" s="24">
        <f t="shared" si="263"/>
        <v>102.85714285440591</v>
      </c>
      <c r="H5594" s="1" t="s">
        <v>1</v>
      </c>
      <c r="I5594" s="4" t="s">
        <v>2</v>
      </c>
      <c r="J5594" s="14">
        <v>0.79861111111111116</v>
      </c>
      <c r="K5594" s="20" t="str">
        <f t="shared" si="262"/>
        <v>2nd Shift</v>
      </c>
    </row>
    <row r="5595" spans="1:11" x14ac:dyDescent="0.25">
      <c r="A5595" s="1">
        <v>5594</v>
      </c>
      <c r="B5595" s="1">
        <v>13</v>
      </c>
      <c r="C5595" s="3">
        <v>13115271591104</v>
      </c>
      <c r="D5595" s="2">
        <v>44742.798611111109</v>
      </c>
      <c r="E5595" s="2">
        <v>44742.920138888891</v>
      </c>
      <c r="F5595" s="23">
        <f t="shared" si="261"/>
        <v>0.12152777778101154</v>
      </c>
      <c r="G5595" s="24">
        <f t="shared" si="263"/>
        <v>102.85714285440591</v>
      </c>
      <c r="H5595" s="1" t="s">
        <v>1</v>
      </c>
      <c r="I5595" s="4" t="s">
        <v>2</v>
      </c>
      <c r="J5595" s="14">
        <v>0.79861111111111116</v>
      </c>
      <c r="K5595" s="20" t="str">
        <f t="shared" si="262"/>
        <v>2nd Shift</v>
      </c>
    </row>
    <row r="5596" spans="1:11" x14ac:dyDescent="0.25">
      <c r="A5596" s="1">
        <v>5595</v>
      </c>
      <c r="B5596" s="1">
        <v>12</v>
      </c>
      <c r="C5596" s="3">
        <v>12115271565509</v>
      </c>
      <c r="D5596" s="2">
        <v>44742.833333333336</v>
      </c>
      <c r="E5596" s="2">
        <v>44742.920138888891</v>
      </c>
      <c r="F5596" s="23">
        <f t="shared" si="261"/>
        <v>8.6805555554747116E-2</v>
      </c>
      <c r="G5596" s="24">
        <f t="shared" si="263"/>
        <v>144.00000000134111</v>
      </c>
      <c r="H5596" s="1" t="s">
        <v>1</v>
      </c>
      <c r="I5596" s="4" t="s">
        <v>2</v>
      </c>
      <c r="J5596" s="14">
        <v>0.83333333333333337</v>
      </c>
      <c r="K5596" s="20" t="str">
        <f t="shared" si="262"/>
        <v>2nd Shift</v>
      </c>
    </row>
    <row r="5597" spans="1:11" x14ac:dyDescent="0.25">
      <c r="A5597" s="1">
        <v>5596</v>
      </c>
      <c r="B5597" s="1">
        <v>12</v>
      </c>
      <c r="C5597" s="3">
        <v>12115271565507</v>
      </c>
      <c r="D5597" s="2">
        <v>44742.833333333336</v>
      </c>
      <c r="E5597" s="2">
        <v>44742.920138888891</v>
      </c>
      <c r="F5597" s="23">
        <f t="shared" si="261"/>
        <v>8.6805555554747116E-2</v>
      </c>
      <c r="G5597" s="24">
        <f t="shared" si="263"/>
        <v>144.00000000134111</v>
      </c>
      <c r="H5597" s="1" t="s">
        <v>1</v>
      </c>
      <c r="I5597" s="4" t="s">
        <v>2</v>
      </c>
      <c r="J5597" s="14">
        <v>0.83333333333333337</v>
      </c>
      <c r="K5597" s="20" t="str">
        <f t="shared" si="262"/>
        <v>2nd Shift</v>
      </c>
    </row>
    <row r="5598" spans="1:11" x14ac:dyDescent="0.25">
      <c r="A5598" s="1">
        <v>5597</v>
      </c>
      <c r="B5598" s="1">
        <v>12</v>
      </c>
      <c r="C5598" s="3">
        <v>12115271560306</v>
      </c>
      <c r="D5598" s="2">
        <v>44742.697916666664</v>
      </c>
      <c r="E5598" s="2">
        <v>44742.920138888891</v>
      </c>
      <c r="F5598" s="23">
        <f t="shared" si="261"/>
        <v>0.22222222222626442</v>
      </c>
      <c r="G5598" s="24">
        <f t="shared" si="263"/>
        <v>56.249999998976818</v>
      </c>
      <c r="H5598" s="1" t="s">
        <v>1</v>
      </c>
      <c r="I5598" s="4" t="s">
        <v>2</v>
      </c>
      <c r="J5598" s="14">
        <v>0.69791666666666663</v>
      </c>
      <c r="K5598" s="20" t="str">
        <f t="shared" si="262"/>
        <v>2nd Shift</v>
      </c>
    </row>
    <row r="5599" spans="1:11" x14ac:dyDescent="0.25">
      <c r="A5599" s="1">
        <v>5598</v>
      </c>
      <c r="B5599" s="1">
        <v>12</v>
      </c>
      <c r="C5599" s="3">
        <v>12115271560305</v>
      </c>
      <c r="D5599" s="2">
        <v>44742.697916666664</v>
      </c>
      <c r="E5599" s="2">
        <v>44742.920138888891</v>
      </c>
      <c r="F5599" s="23">
        <f t="shared" si="261"/>
        <v>0.22222222222626442</v>
      </c>
      <c r="G5599" s="24">
        <f t="shared" si="263"/>
        <v>56.249999998976818</v>
      </c>
      <c r="H5599" s="1" t="s">
        <v>1</v>
      </c>
      <c r="I5599" s="4" t="s">
        <v>2</v>
      </c>
      <c r="J5599" s="14">
        <v>0.69791666666666663</v>
      </c>
      <c r="K5599" s="20" t="str">
        <f t="shared" si="262"/>
        <v>2nd Shift</v>
      </c>
    </row>
    <row r="5600" spans="1:11" x14ac:dyDescent="0.25">
      <c r="A5600" s="1">
        <v>5599</v>
      </c>
      <c r="B5600" s="1">
        <v>11</v>
      </c>
      <c r="C5600" s="3">
        <v>11152715150851</v>
      </c>
      <c r="D5600" s="2">
        <v>44742.697916666664</v>
      </c>
      <c r="E5600" s="2">
        <v>44742.920138888891</v>
      </c>
      <c r="F5600" s="23">
        <f t="shared" si="261"/>
        <v>0.22222222222626442</v>
      </c>
      <c r="G5600" s="24">
        <f t="shared" si="263"/>
        <v>56.249999998976818</v>
      </c>
      <c r="H5600" s="1" t="s">
        <v>1</v>
      </c>
      <c r="I5600" s="4" t="s">
        <v>3</v>
      </c>
      <c r="J5600" s="14">
        <v>0.69791666666666663</v>
      </c>
      <c r="K5600" s="20" t="str">
        <f t="shared" si="262"/>
        <v>2nd Shift</v>
      </c>
    </row>
    <row r="5601" spans="1:11" x14ac:dyDescent="0.25">
      <c r="A5601" s="1">
        <v>5600</v>
      </c>
      <c r="B5601" s="1">
        <v>11</v>
      </c>
      <c r="C5601" s="3">
        <v>11152715150850</v>
      </c>
      <c r="D5601" s="2">
        <v>44742.697916666664</v>
      </c>
      <c r="E5601" s="2">
        <v>44742.920138888891</v>
      </c>
      <c r="F5601" s="23">
        <f t="shared" si="261"/>
        <v>0.22222222222626442</v>
      </c>
      <c r="G5601" s="24">
        <f t="shared" si="263"/>
        <v>56.249999998976818</v>
      </c>
      <c r="H5601" s="1" t="s">
        <v>1</v>
      </c>
      <c r="I5601" s="4" t="s">
        <v>2</v>
      </c>
      <c r="J5601" s="14">
        <v>0.69791666666666663</v>
      </c>
      <c r="K5601" s="20" t="str">
        <f t="shared" si="262"/>
        <v>2nd Shift</v>
      </c>
    </row>
    <row r="5602" spans="1:11" x14ac:dyDescent="0.25">
      <c r="A5602" s="1">
        <v>5601</v>
      </c>
      <c r="B5602" s="1">
        <v>11</v>
      </c>
      <c r="C5602" s="3">
        <v>11115271064601</v>
      </c>
      <c r="D5602" s="2">
        <v>44742.697916666664</v>
      </c>
      <c r="E5602" s="2">
        <v>44742.920138888891</v>
      </c>
      <c r="F5602" s="23">
        <f t="shared" si="261"/>
        <v>0.22222222222626442</v>
      </c>
      <c r="G5602" s="24">
        <f t="shared" si="263"/>
        <v>56.249999998976818</v>
      </c>
      <c r="H5602" s="1" t="s">
        <v>1</v>
      </c>
      <c r="I5602" s="4" t="s">
        <v>2</v>
      </c>
      <c r="J5602" s="14">
        <v>0.69791666666666663</v>
      </c>
      <c r="K5602" s="20" t="str">
        <f t="shared" si="262"/>
        <v>2nd Shift</v>
      </c>
    </row>
    <row r="5603" spans="1:11" x14ac:dyDescent="0.25">
      <c r="A5603" s="1">
        <v>5602</v>
      </c>
      <c r="B5603" s="1">
        <v>11</v>
      </c>
      <c r="C5603" s="3">
        <v>11115271064600</v>
      </c>
      <c r="D5603" s="2">
        <v>44742.697916666664</v>
      </c>
      <c r="E5603" s="2">
        <v>44742.920138888891</v>
      </c>
      <c r="F5603" s="23">
        <f t="shared" si="261"/>
        <v>0.22222222222626442</v>
      </c>
      <c r="G5603" s="24">
        <f t="shared" si="263"/>
        <v>56.249999998976818</v>
      </c>
      <c r="H5603" s="1" t="s">
        <v>1</v>
      </c>
      <c r="I5603" s="4" t="s">
        <v>8</v>
      </c>
      <c r="J5603" s="14">
        <v>0.69791666666666663</v>
      </c>
      <c r="K5603" s="20" t="str">
        <f t="shared" si="262"/>
        <v>2nd Shift</v>
      </c>
    </row>
    <row r="5604" spans="1:11" x14ac:dyDescent="0.25">
      <c r="A5604" s="1">
        <v>5603</v>
      </c>
      <c r="B5604" s="1">
        <v>9</v>
      </c>
      <c r="C5604" s="3">
        <v>9115271937506</v>
      </c>
      <c r="D5604" s="2">
        <v>44742.697916666664</v>
      </c>
      <c r="E5604" s="2">
        <v>44742.920138888891</v>
      </c>
      <c r="F5604" s="23">
        <f t="shared" si="261"/>
        <v>0.22222222222626442</v>
      </c>
      <c r="G5604" s="24">
        <f t="shared" si="263"/>
        <v>56.249999998976818</v>
      </c>
      <c r="H5604" s="1" t="s">
        <v>1</v>
      </c>
      <c r="I5604" s="4" t="s">
        <v>2</v>
      </c>
      <c r="J5604" s="14">
        <v>0.69791666666666663</v>
      </c>
      <c r="K5604" s="20" t="str">
        <f t="shared" si="262"/>
        <v>2nd Shift</v>
      </c>
    </row>
    <row r="5605" spans="1:11" x14ac:dyDescent="0.25">
      <c r="A5605" s="1">
        <v>5604</v>
      </c>
      <c r="B5605" s="1">
        <v>9</v>
      </c>
      <c r="C5605" s="3">
        <v>9115271937505</v>
      </c>
      <c r="D5605" s="2">
        <v>44742.697916666664</v>
      </c>
      <c r="E5605" s="2">
        <v>44742.920138888891</v>
      </c>
      <c r="F5605" s="23">
        <f t="shared" si="261"/>
        <v>0.22222222222626442</v>
      </c>
      <c r="G5605" s="24">
        <f t="shared" si="263"/>
        <v>56.249999998976818</v>
      </c>
      <c r="H5605" s="1" t="s">
        <v>1</v>
      </c>
      <c r="I5605" s="4" t="s">
        <v>2</v>
      </c>
      <c r="J5605" s="14">
        <v>0.69791666666666663</v>
      </c>
      <c r="K5605" s="20" t="str">
        <f t="shared" si="262"/>
        <v>2nd Shift</v>
      </c>
    </row>
    <row r="5606" spans="1:11" x14ac:dyDescent="0.25">
      <c r="A5606" s="1">
        <v>5605</v>
      </c>
      <c r="B5606" s="1">
        <v>8</v>
      </c>
      <c r="C5606" s="3">
        <v>8115271821828</v>
      </c>
      <c r="D5606" s="2">
        <v>44742.798611111109</v>
      </c>
      <c r="E5606" s="2">
        <v>44742.920138888891</v>
      </c>
      <c r="F5606" s="23">
        <f t="shared" si="261"/>
        <v>0.12152777778101154</v>
      </c>
      <c r="G5606" s="24">
        <f t="shared" si="263"/>
        <v>102.85714285440591</v>
      </c>
      <c r="H5606" s="1" t="s">
        <v>1</v>
      </c>
      <c r="I5606" s="4" t="s">
        <v>2</v>
      </c>
      <c r="J5606" s="14">
        <v>0.79861111111111116</v>
      </c>
      <c r="K5606" s="20" t="str">
        <f t="shared" si="262"/>
        <v>2nd Shift</v>
      </c>
    </row>
    <row r="5607" spans="1:11" x14ac:dyDescent="0.25">
      <c r="A5607" s="1">
        <v>5606</v>
      </c>
      <c r="B5607" s="1">
        <v>8</v>
      </c>
      <c r="C5607" s="3">
        <v>8115271821827</v>
      </c>
      <c r="D5607" s="2">
        <v>44742.798611111109</v>
      </c>
      <c r="E5607" s="2">
        <v>44742.920138888891</v>
      </c>
      <c r="F5607" s="23">
        <f t="shared" si="261"/>
        <v>0.12152777778101154</v>
      </c>
      <c r="G5607" s="24">
        <f t="shared" si="263"/>
        <v>102.85714285440591</v>
      </c>
      <c r="H5607" s="1" t="s">
        <v>1</v>
      </c>
      <c r="I5607" s="4" t="s">
        <v>2</v>
      </c>
      <c r="J5607" s="14">
        <v>0.79861111111111116</v>
      </c>
      <c r="K5607" s="20" t="str">
        <f t="shared" si="262"/>
        <v>2nd Shift</v>
      </c>
    </row>
    <row r="5608" spans="1:11" x14ac:dyDescent="0.25">
      <c r="A5608" s="1">
        <v>5607</v>
      </c>
      <c r="B5608" s="1">
        <v>6</v>
      </c>
      <c r="C5608" s="3">
        <v>6115271745206</v>
      </c>
      <c r="D5608" s="2">
        <v>44742.982638888891</v>
      </c>
      <c r="E5608" s="2">
        <v>44743.034722222219</v>
      </c>
      <c r="F5608" s="23">
        <f t="shared" si="261"/>
        <v>5.2083333328482695E-2</v>
      </c>
      <c r="G5608" s="24">
        <f t="shared" si="263"/>
        <v>240.00000002235174</v>
      </c>
      <c r="H5608" s="1" t="s">
        <v>1</v>
      </c>
      <c r="I5608" s="4" t="s">
        <v>2</v>
      </c>
      <c r="J5608" s="14">
        <v>0.98263888888888884</v>
      </c>
      <c r="K5608" s="20" t="str">
        <f t="shared" si="262"/>
        <v>3rd Shift</v>
      </c>
    </row>
    <row r="5609" spans="1:11" x14ac:dyDescent="0.25">
      <c r="A5609" s="1">
        <v>5608</v>
      </c>
      <c r="B5609" s="1">
        <v>6</v>
      </c>
      <c r="C5609" s="3">
        <v>6115271745200</v>
      </c>
      <c r="D5609" s="2">
        <v>44742.982638888891</v>
      </c>
      <c r="E5609" s="2">
        <v>44743.034722222219</v>
      </c>
      <c r="F5609" s="23">
        <f t="shared" si="261"/>
        <v>5.2083333328482695E-2</v>
      </c>
      <c r="G5609" s="24">
        <f t="shared" si="263"/>
        <v>240.00000002235174</v>
      </c>
      <c r="H5609" s="1" t="s">
        <v>1</v>
      </c>
      <c r="I5609" s="4" t="s">
        <v>2</v>
      </c>
      <c r="J5609" s="14">
        <v>0.98263888888888884</v>
      </c>
      <c r="K5609" s="20" t="str">
        <f t="shared" si="262"/>
        <v>3rd Shift</v>
      </c>
    </row>
    <row r="5610" spans="1:11" x14ac:dyDescent="0.25">
      <c r="A5610" s="1">
        <v>5609</v>
      </c>
      <c r="B5610" s="1">
        <v>1</v>
      </c>
      <c r="C5610" s="3">
        <v>1115270097405</v>
      </c>
      <c r="D5610" s="2">
        <v>44742.982638888891</v>
      </c>
      <c r="E5610" s="2">
        <v>44743.034722222219</v>
      </c>
      <c r="F5610" s="23">
        <f t="shared" si="261"/>
        <v>5.2083333328482695E-2</v>
      </c>
      <c r="G5610" s="24">
        <f t="shared" si="263"/>
        <v>240.00000002235174</v>
      </c>
      <c r="H5610" s="1" t="s">
        <v>1</v>
      </c>
      <c r="I5610" s="4" t="s">
        <v>2</v>
      </c>
      <c r="J5610" s="14">
        <v>0.98263888888888884</v>
      </c>
      <c r="K5610" s="20" t="str">
        <f t="shared" si="262"/>
        <v>3rd Shift</v>
      </c>
    </row>
    <row r="5611" spans="1:11" x14ac:dyDescent="0.25">
      <c r="A5611" s="1">
        <v>5610</v>
      </c>
      <c r="B5611" s="1">
        <v>1</v>
      </c>
      <c r="C5611" s="3">
        <v>1115270097400</v>
      </c>
      <c r="D5611" s="2">
        <v>44742.982638888891</v>
      </c>
      <c r="E5611" s="2">
        <v>44743.034722222219</v>
      </c>
      <c r="F5611" s="23">
        <f t="shared" si="261"/>
        <v>5.2083333328482695E-2</v>
      </c>
      <c r="G5611" s="24">
        <f t="shared" si="263"/>
        <v>240.00000002235174</v>
      </c>
      <c r="H5611" s="1" t="s">
        <v>1</v>
      </c>
      <c r="I5611" s="4" t="s">
        <v>2</v>
      </c>
      <c r="J5611" s="14">
        <v>0.98263888888888884</v>
      </c>
      <c r="K5611" s="20" t="str">
        <f t="shared" si="262"/>
        <v>3rd Shift</v>
      </c>
    </row>
    <row r="5612" spans="1:11" x14ac:dyDescent="0.25">
      <c r="A5612" s="1">
        <v>5611</v>
      </c>
      <c r="B5612" s="1">
        <v>1</v>
      </c>
      <c r="C5612" s="3">
        <v>1115270097407</v>
      </c>
      <c r="D5612" s="2">
        <v>44742.982638888891</v>
      </c>
      <c r="E5612" s="2">
        <v>44743.034722222219</v>
      </c>
      <c r="F5612" s="23">
        <f t="shared" si="261"/>
        <v>5.2083333328482695E-2</v>
      </c>
      <c r="G5612" s="24">
        <f t="shared" si="263"/>
        <v>240.00000002235174</v>
      </c>
      <c r="H5612" s="1" t="s">
        <v>1</v>
      </c>
      <c r="I5612" s="4" t="s">
        <v>2</v>
      </c>
      <c r="J5612" s="14">
        <v>0.98263888888888884</v>
      </c>
      <c r="K5612" s="20" t="str">
        <f t="shared" si="262"/>
        <v>3rd Shift</v>
      </c>
    </row>
  </sheetData>
  <sheetProtection algorithmName="SHA-512" hashValue="UiTaKOu88NH9dVgONJhL8ig1frDrmSWU+bvbYjY4TkESFbjrJiRL68MFT0RgLqXh3csnVrDcwSANpYxZD78BMg==" saltValue="yBR/6z4djwsFNHw93Rn1Fg==" spinCount="100000" sheet="1" objects="1" scenarios="1" selectLockedCells="1" selectUnlockedCells="1"/>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FE0C-998B-4F3A-980B-2CF11F5421C3}">
  <sheetPr codeName="Sheet3"/>
  <dimension ref="A4:E130"/>
  <sheetViews>
    <sheetView topLeftCell="A106" workbookViewId="0"/>
  </sheetViews>
  <sheetFormatPr defaultRowHeight="15" x14ac:dyDescent="0.25"/>
  <cols>
    <col min="1" max="1" width="23" bestFit="1" customWidth="1"/>
    <col min="2" max="2" width="16.28515625" bestFit="1" customWidth="1"/>
    <col min="3" max="3" width="8.85546875" bestFit="1" customWidth="1"/>
    <col min="4" max="4" width="8.42578125" bestFit="1" customWidth="1"/>
    <col min="5" max="5" width="11.28515625" bestFit="1" customWidth="1"/>
  </cols>
  <sheetData>
    <row r="4" spans="1:2" x14ac:dyDescent="0.25">
      <c r="A4" s="6" t="s">
        <v>37</v>
      </c>
      <c r="B4" s="10" t="s">
        <v>15</v>
      </c>
    </row>
    <row r="5" spans="1:2" x14ac:dyDescent="0.25">
      <c r="A5" s="4" t="s">
        <v>7</v>
      </c>
      <c r="B5" s="5">
        <v>1</v>
      </c>
    </row>
    <row r="6" spans="1:2" x14ac:dyDescent="0.25">
      <c r="A6" s="4" t="s">
        <v>6</v>
      </c>
      <c r="B6" s="5">
        <v>3</v>
      </c>
    </row>
    <row r="7" spans="1:2" x14ac:dyDescent="0.25">
      <c r="A7" s="4" t="s">
        <v>5</v>
      </c>
      <c r="B7" s="5">
        <v>99</v>
      </c>
    </row>
    <row r="8" spans="1:2" x14ac:dyDescent="0.25">
      <c r="A8" s="4" t="s">
        <v>8</v>
      </c>
      <c r="B8" s="5">
        <v>115</v>
      </c>
    </row>
    <row r="9" spans="1:2" x14ac:dyDescent="0.25">
      <c r="A9" s="4" t="s">
        <v>4</v>
      </c>
      <c r="B9" s="5">
        <v>393</v>
      </c>
    </row>
    <row r="10" spans="1:2" x14ac:dyDescent="0.25">
      <c r="A10" s="4" t="s">
        <v>3</v>
      </c>
      <c r="B10" s="5">
        <v>1849</v>
      </c>
    </row>
    <row r="11" spans="1:2" x14ac:dyDescent="0.25">
      <c r="A11" s="4" t="s">
        <v>2</v>
      </c>
      <c r="B11" s="5">
        <v>3151</v>
      </c>
    </row>
    <row r="12" spans="1:2" x14ac:dyDescent="0.25">
      <c r="A12" s="8" t="s">
        <v>10</v>
      </c>
      <c r="B12" s="9">
        <v>5611</v>
      </c>
    </row>
    <row r="13" spans="1:2" x14ac:dyDescent="0.25">
      <c r="B13">
        <f>GETPIVOTDATA("SHUT TIME",$A$4)</f>
        <v>5611</v>
      </c>
    </row>
    <row r="18" spans="1:2" x14ac:dyDescent="0.25">
      <c r="A18" s="11" t="s">
        <v>16</v>
      </c>
      <c r="B18" s="6" t="s">
        <v>15</v>
      </c>
    </row>
    <row r="19" spans="1:2" x14ac:dyDescent="0.25">
      <c r="A19" s="1">
        <v>1</v>
      </c>
      <c r="B19" s="13">
        <v>484</v>
      </c>
    </row>
    <row r="20" spans="1:2" x14ac:dyDescent="0.25">
      <c r="A20" s="1">
        <v>2</v>
      </c>
      <c r="B20" s="13">
        <v>317</v>
      </c>
    </row>
    <row r="21" spans="1:2" x14ac:dyDescent="0.25">
      <c r="A21" s="1">
        <v>3</v>
      </c>
      <c r="B21" s="13">
        <v>689</v>
      </c>
    </row>
    <row r="22" spans="1:2" x14ac:dyDescent="0.25">
      <c r="A22" s="1">
        <v>4</v>
      </c>
      <c r="B22" s="13">
        <v>151</v>
      </c>
    </row>
    <row r="23" spans="1:2" x14ac:dyDescent="0.25">
      <c r="A23" s="1">
        <v>5</v>
      </c>
      <c r="B23" s="13">
        <v>230</v>
      </c>
    </row>
    <row r="24" spans="1:2" x14ac:dyDescent="0.25">
      <c r="A24" s="1">
        <v>6</v>
      </c>
      <c r="B24" s="13">
        <v>474</v>
      </c>
    </row>
    <row r="25" spans="1:2" x14ac:dyDescent="0.25">
      <c r="A25" s="1">
        <v>7</v>
      </c>
      <c r="B25" s="13">
        <v>597</v>
      </c>
    </row>
    <row r="26" spans="1:2" x14ac:dyDescent="0.25">
      <c r="A26" s="1">
        <v>8</v>
      </c>
      <c r="B26" s="13">
        <v>255</v>
      </c>
    </row>
    <row r="27" spans="1:2" x14ac:dyDescent="0.25">
      <c r="A27" s="1">
        <v>9</v>
      </c>
      <c r="B27" s="13">
        <v>191</v>
      </c>
    </row>
    <row r="28" spans="1:2" x14ac:dyDescent="0.25">
      <c r="A28" s="1">
        <v>10</v>
      </c>
      <c r="B28" s="13">
        <v>363</v>
      </c>
    </row>
    <row r="29" spans="1:2" x14ac:dyDescent="0.25">
      <c r="A29" s="1">
        <v>11</v>
      </c>
      <c r="B29" s="13">
        <v>388</v>
      </c>
    </row>
    <row r="30" spans="1:2" x14ac:dyDescent="0.25">
      <c r="A30" s="1">
        <v>12</v>
      </c>
      <c r="B30" s="13">
        <v>500</v>
      </c>
    </row>
    <row r="31" spans="1:2" x14ac:dyDescent="0.25">
      <c r="A31" s="1">
        <v>13</v>
      </c>
      <c r="B31" s="13">
        <v>388</v>
      </c>
    </row>
    <row r="32" spans="1:2" x14ac:dyDescent="0.25">
      <c r="A32" s="1">
        <v>14</v>
      </c>
      <c r="B32" s="13">
        <v>359</v>
      </c>
    </row>
    <row r="33" spans="1:2" x14ac:dyDescent="0.25">
      <c r="A33" s="1">
        <v>15</v>
      </c>
      <c r="B33" s="13">
        <v>196</v>
      </c>
    </row>
    <row r="34" spans="1:2" x14ac:dyDescent="0.25">
      <c r="A34" s="1">
        <v>17</v>
      </c>
      <c r="B34" s="13">
        <v>3</v>
      </c>
    </row>
    <row r="35" spans="1:2" x14ac:dyDescent="0.25">
      <c r="A35" s="1">
        <v>27</v>
      </c>
      <c r="B35" s="13">
        <v>10</v>
      </c>
    </row>
    <row r="36" spans="1:2" x14ac:dyDescent="0.25">
      <c r="A36" s="1">
        <v>44</v>
      </c>
      <c r="B36" s="13">
        <v>4</v>
      </c>
    </row>
    <row r="37" spans="1:2" x14ac:dyDescent="0.25">
      <c r="A37" s="1">
        <v>46</v>
      </c>
      <c r="B37" s="13">
        <v>12</v>
      </c>
    </row>
    <row r="38" spans="1:2" x14ac:dyDescent="0.25">
      <c r="A38" s="8" t="s">
        <v>10</v>
      </c>
      <c r="B38" s="9">
        <v>5611</v>
      </c>
    </row>
    <row r="42" spans="1:2" x14ac:dyDescent="0.25">
      <c r="A42" s="11" t="s">
        <v>17</v>
      </c>
      <c r="B42" s="7" t="s">
        <v>15</v>
      </c>
    </row>
    <row r="43" spans="1:2" x14ac:dyDescent="0.25">
      <c r="A43" s="4" t="s">
        <v>18</v>
      </c>
      <c r="B43" s="5">
        <v>2721</v>
      </c>
    </row>
    <row r="44" spans="1:2" x14ac:dyDescent="0.25">
      <c r="A44" s="4" t="s">
        <v>50</v>
      </c>
      <c r="B44" s="5">
        <v>2890</v>
      </c>
    </row>
    <row r="45" spans="1:2" x14ac:dyDescent="0.25">
      <c r="A45" s="8" t="s">
        <v>10</v>
      </c>
      <c r="B45" s="9">
        <v>5611</v>
      </c>
    </row>
    <row r="59" spans="1:2" x14ac:dyDescent="0.25">
      <c r="A59" s="11" t="s">
        <v>19</v>
      </c>
      <c r="B59" s="7" t="s">
        <v>15</v>
      </c>
    </row>
    <row r="60" spans="1:2" x14ac:dyDescent="0.25">
      <c r="A60" s="1" t="s">
        <v>20</v>
      </c>
      <c r="B60" s="5">
        <v>1292</v>
      </c>
    </row>
    <row r="61" spans="1:2" x14ac:dyDescent="0.25">
      <c r="A61" s="1" t="s">
        <v>21</v>
      </c>
      <c r="B61" s="5">
        <v>1598</v>
      </c>
    </row>
    <row r="62" spans="1:2" x14ac:dyDescent="0.25">
      <c r="A62" s="1" t="s">
        <v>22</v>
      </c>
      <c r="B62" s="5">
        <v>1893</v>
      </c>
    </row>
    <row r="63" spans="1:2" x14ac:dyDescent="0.25">
      <c r="A63" s="1" t="s">
        <v>23</v>
      </c>
      <c r="B63" s="5">
        <v>828</v>
      </c>
    </row>
    <row r="64" spans="1:2" x14ac:dyDescent="0.25">
      <c r="A64" s="8" t="s">
        <v>10</v>
      </c>
      <c r="B64" s="9">
        <v>5611</v>
      </c>
    </row>
    <row r="78" spans="1:2" x14ac:dyDescent="0.25">
      <c r="A78" s="11" t="s">
        <v>24</v>
      </c>
      <c r="B78" s="7" t="s">
        <v>15</v>
      </c>
    </row>
    <row r="79" spans="1:2" x14ac:dyDescent="0.25">
      <c r="A79" s="2" t="s">
        <v>25</v>
      </c>
      <c r="B79" s="5">
        <v>437</v>
      </c>
    </row>
    <row r="80" spans="1:2" x14ac:dyDescent="0.25">
      <c r="A80" s="2" t="s">
        <v>26</v>
      </c>
      <c r="B80" s="5">
        <v>433</v>
      </c>
    </row>
    <row r="81" spans="1:2" x14ac:dyDescent="0.25">
      <c r="A81" s="2" t="s">
        <v>27</v>
      </c>
      <c r="B81" s="5">
        <v>422</v>
      </c>
    </row>
    <row r="82" spans="1:2" x14ac:dyDescent="0.25">
      <c r="A82" s="2" t="s">
        <v>28</v>
      </c>
      <c r="B82" s="5">
        <v>460</v>
      </c>
    </row>
    <row r="83" spans="1:2" x14ac:dyDescent="0.25">
      <c r="A83" s="2" t="s">
        <v>29</v>
      </c>
      <c r="B83" s="5">
        <v>393</v>
      </c>
    </row>
    <row r="84" spans="1:2" x14ac:dyDescent="0.25">
      <c r="A84" s="2" t="s">
        <v>30</v>
      </c>
      <c r="B84" s="5">
        <v>745</v>
      </c>
    </row>
    <row r="85" spans="1:2" x14ac:dyDescent="0.25">
      <c r="A85" s="2" t="s">
        <v>31</v>
      </c>
      <c r="B85" s="5">
        <v>702</v>
      </c>
    </row>
    <row r="86" spans="1:2" x14ac:dyDescent="0.25">
      <c r="A86" s="2" t="s">
        <v>32</v>
      </c>
      <c r="B86" s="5">
        <v>686</v>
      </c>
    </row>
    <row r="87" spans="1:2" x14ac:dyDescent="0.25">
      <c r="A87" s="2" t="s">
        <v>33</v>
      </c>
      <c r="B87" s="5">
        <v>505</v>
      </c>
    </row>
    <row r="88" spans="1:2" x14ac:dyDescent="0.25">
      <c r="A88" s="2" t="s">
        <v>34</v>
      </c>
      <c r="B88" s="5">
        <v>384</v>
      </c>
    </row>
    <row r="89" spans="1:2" x14ac:dyDescent="0.25">
      <c r="A89" s="2" t="s">
        <v>35</v>
      </c>
      <c r="B89" s="5">
        <v>203</v>
      </c>
    </row>
    <row r="90" spans="1:2" x14ac:dyDescent="0.25">
      <c r="A90" s="2" t="s">
        <v>36</v>
      </c>
      <c r="B90" s="5">
        <v>241</v>
      </c>
    </row>
    <row r="91" spans="1:2" x14ac:dyDescent="0.25">
      <c r="A91" s="12" t="s">
        <v>10</v>
      </c>
      <c r="B91" s="9">
        <v>5611</v>
      </c>
    </row>
    <row r="102" spans="1:2" x14ac:dyDescent="0.25">
      <c r="A102" s="19" t="s">
        <v>19</v>
      </c>
      <c r="B102" s="7" t="s">
        <v>44</v>
      </c>
    </row>
    <row r="103" spans="1:2" x14ac:dyDescent="0.25">
      <c r="A103" s="4" t="s">
        <v>39</v>
      </c>
      <c r="B103" s="5">
        <v>2442</v>
      </c>
    </row>
    <row r="104" spans="1:2" x14ac:dyDescent="0.25">
      <c r="A104" s="4" t="s">
        <v>40</v>
      </c>
      <c r="B104" s="5">
        <v>2289</v>
      </c>
    </row>
    <row r="105" spans="1:2" x14ac:dyDescent="0.25">
      <c r="A105" s="4" t="s">
        <v>41</v>
      </c>
      <c r="B105" s="5">
        <v>880</v>
      </c>
    </row>
    <row r="106" spans="1:2" x14ac:dyDescent="0.25">
      <c r="A106" s="8" t="s">
        <v>10</v>
      </c>
      <c r="B106" s="9">
        <v>5611</v>
      </c>
    </row>
    <row r="107" spans="1:2" x14ac:dyDescent="0.25">
      <c r="A107" s="4" t="s">
        <v>52</v>
      </c>
      <c r="B107" s="29">
        <f>GETPIVOTDATA("SHUT TIME",$A$102)/365</f>
        <v>15.372602739726027</v>
      </c>
    </row>
    <row r="114" spans="1:5" x14ac:dyDescent="0.25">
      <c r="A114" s="19" t="s">
        <v>48</v>
      </c>
      <c r="B114" s="19" t="s">
        <v>49</v>
      </c>
    </row>
    <row r="115" spans="1:5" x14ac:dyDescent="0.25">
      <c r="A115" s="6" t="s">
        <v>19</v>
      </c>
      <c r="B115" t="s">
        <v>39</v>
      </c>
      <c r="C115" t="s">
        <v>40</v>
      </c>
      <c r="D115" t="s">
        <v>41</v>
      </c>
      <c r="E115" t="s">
        <v>10</v>
      </c>
    </row>
    <row r="116" spans="1:5" x14ac:dyDescent="0.25">
      <c r="A116" s="4" t="s">
        <v>7</v>
      </c>
      <c r="B116" s="28"/>
      <c r="C116" s="28">
        <v>80</v>
      </c>
      <c r="D116" s="28"/>
      <c r="E116" s="28">
        <v>80</v>
      </c>
    </row>
    <row r="117" spans="1:5" x14ac:dyDescent="0.25">
      <c r="A117" s="4" t="s">
        <v>8</v>
      </c>
      <c r="B117" s="28">
        <v>138.1759045774792</v>
      </c>
      <c r="C117" s="28">
        <v>159.55316396731945</v>
      </c>
      <c r="D117" s="28">
        <v>201.99648507648297</v>
      </c>
      <c r="E117" s="28">
        <v>157.45426130037532</v>
      </c>
    </row>
    <row r="118" spans="1:5" x14ac:dyDescent="0.25">
      <c r="A118" s="4" t="s">
        <v>6</v>
      </c>
      <c r="B118" s="28">
        <v>87.57271284958415</v>
      </c>
      <c r="C118" s="28">
        <v>76.595744680471626</v>
      </c>
      <c r="D118" s="28"/>
      <c r="E118" s="28">
        <v>83.913723459879975</v>
      </c>
    </row>
    <row r="119" spans="1:5" x14ac:dyDescent="0.25">
      <c r="A119" s="4" t="s">
        <v>3</v>
      </c>
      <c r="B119" s="28">
        <v>134.01854645988416</v>
      </c>
      <c r="C119" s="28">
        <v>143.54923898538527</v>
      </c>
      <c r="D119" s="28">
        <v>202.23452395084522</v>
      </c>
      <c r="E119" s="28">
        <v>147.97099221268138</v>
      </c>
    </row>
    <row r="120" spans="1:5" x14ac:dyDescent="0.25">
      <c r="A120" s="4" t="s">
        <v>4</v>
      </c>
      <c r="B120" s="28">
        <v>137.8489052672823</v>
      </c>
      <c r="C120" s="28">
        <v>139.42851643123231</v>
      </c>
      <c r="D120" s="28">
        <v>218.75959309302414</v>
      </c>
      <c r="E120" s="28">
        <v>149.60146431688571</v>
      </c>
    </row>
    <row r="121" spans="1:5" x14ac:dyDescent="0.25">
      <c r="A121" s="4" t="s">
        <v>2</v>
      </c>
      <c r="B121" s="28">
        <v>130.68442620411435</v>
      </c>
      <c r="C121" s="28">
        <v>128.65283288682477</v>
      </c>
      <c r="D121" s="28">
        <v>179.04733976333242</v>
      </c>
      <c r="E121" s="28">
        <v>137.83388976218768</v>
      </c>
    </row>
    <row r="122" spans="1:5" x14ac:dyDescent="0.25">
      <c r="A122" s="4" t="s">
        <v>5</v>
      </c>
      <c r="B122" s="28">
        <v>157.92395383233955</v>
      </c>
      <c r="C122" s="28">
        <v>152.31925220872395</v>
      </c>
      <c r="D122" s="28">
        <v>157.29883674498848</v>
      </c>
      <c r="E122" s="28">
        <v>155.85409326618333</v>
      </c>
    </row>
    <row r="123" spans="1:5" x14ac:dyDescent="0.25">
      <c r="A123" s="8" t="s">
        <v>10</v>
      </c>
      <c r="B123" s="27">
        <v>133.00980102440224</v>
      </c>
      <c r="C123" s="27">
        <v>135.25443007233727</v>
      </c>
      <c r="D123" s="27">
        <v>188.8267484483469</v>
      </c>
      <c r="E123" s="27">
        <v>142.67953362532745</v>
      </c>
    </row>
    <row r="124" spans="1:5" x14ac:dyDescent="0.25">
      <c r="E124" s="29">
        <f>GETPIVOTDATA("EFFICIENCY %",$A$114)</f>
        <v>142.67953362532745</v>
      </c>
    </row>
    <row r="128" spans="1:5" x14ac:dyDescent="0.25">
      <c r="A128" s="7" t="s">
        <v>51</v>
      </c>
    </row>
    <row r="129" spans="1:1" x14ac:dyDescent="0.25">
      <c r="A129" s="30">
        <v>0.12868633537297672</v>
      </c>
    </row>
    <row r="130" spans="1:1" x14ac:dyDescent="0.25">
      <c r="A130" s="31">
        <f>GETPIVOTDATA("TIME TEKKEN",$A$128)</f>
        <v>0.12868633537297672</v>
      </c>
    </row>
  </sheetData>
  <sheetProtection algorithmName="SHA-512" hashValue="wCcdL6ang02dZ7iyWuhn7MIQwFC9j+aYO6Q5tqxPFwzXJcGeVXRMXBTYt5QORzwhTYZK1j/rq30kN3Qn1trErQ==" saltValue="KAz4CjqRJMwdTmH81F98mw==" spinCount="100000" sheet="1" objects="1" scenarios="1" selectLockedCells="1" sort="0" autoFilter="0" pivotTables="0" selectUnlockedCells="1"/>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1240D-17C2-41E1-9E26-1E42DD0BBBBA}">
  <sheetPr codeName="Sheet1">
    <tabColor rgb="FF20D7E0"/>
  </sheetPr>
  <dimension ref="A1"/>
  <sheetViews>
    <sheetView showGridLines="0" showRowColHeaders="0" tabSelected="1" zoomScale="96" zoomScaleNormal="96" workbookViewId="0"/>
  </sheetViews>
  <sheetFormatPr defaultRowHeight="15" x14ac:dyDescent="0.25"/>
  <cols>
    <col min="1" max="16384" width="9.140625" style="21"/>
  </cols>
  <sheetData/>
  <sheetProtection algorithmName="SHA-512" hashValue="DmSUPSh5+Ez0c1qQ7ev3uCZWoj3r2SJsaof8QblPYS1y6iRTzF9AKYnH9vpoEqL1Mo7qskcjXoDbWzt3iYaoQA==" saltValue="44guHNRRweS+IiR0aYPaqA==" spinCount="100000" sheet="1" objects="1" scenarios="1" selectLockedCells="1" selectUnlockedCells="1"/>
  <pageMargins left="0.7" right="0.7" top="0.75" bottom="0.75" header="0.3" footer="0.3"/>
  <pageSetup orientation="portrait" r:id="rId1"/>
  <drawing r:id="rId2"/>
  <legacyDrawing r:id="rId3"/>
  <controls>
    <mc:AlternateContent xmlns:mc="http://schemas.openxmlformats.org/markup-compatibility/2006">
      <mc:Choice Requires="x14">
        <control shapeId="2049" r:id="rId4" name="Label1">
          <controlPr defaultSize="0" autoLine="0" autoPict="0" r:id="rId5">
            <anchor moveWithCells="1">
              <from>
                <xdr:col>3</xdr:col>
                <xdr:colOff>209550</xdr:colOff>
                <xdr:row>5</xdr:row>
                <xdr:rowOff>161925</xdr:rowOff>
              </from>
              <to>
                <xdr:col>4</xdr:col>
                <xdr:colOff>314325</xdr:colOff>
                <xdr:row>8</xdr:row>
                <xdr:rowOff>38100</xdr:rowOff>
              </to>
            </anchor>
          </controlPr>
        </control>
      </mc:Choice>
      <mc:Fallback>
        <control shapeId="2049" r:id="rId4" name="Label1"/>
      </mc:Fallback>
    </mc:AlternateContent>
  </controls>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80D619B1-F250-4B8B-B330-CEE8A0E34621}">
  <ds:schemaRefs/>
</ds:datastoreItem>
</file>

<file path=customXml/itemProps2.xml><?xml version="1.0" encoding="utf-8"?>
<ds:datastoreItem xmlns:ds="http://schemas.openxmlformats.org/officeDocument/2006/customXml" ds:itemID="{DB2FBD06-6C0F-4B19-982E-5006B523DB39}">
  <ds:schemaRefs/>
</ds:datastoreItem>
</file>

<file path=customXml/itemProps3.xml><?xml version="1.0" encoding="utf-8"?>
<ds:datastoreItem xmlns:ds="http://schemas.openxmlformats.org/officeDocument/2006/customXml" ds:itemID="{88423017-1B7B-4A56-A973-7BA7772D36E7}">
  <ds:schemaRefs/>
</ds:datastoreItem>
</file>

<file path=customXml/itemProps4.xml><?xml version="1.0" encoding="utf-8"?>
<ds:datastoreItem xmlns:ds="http://schemas.openxmlformats.org/officeDocument/2006/customXml" ds:itemID="{89F9D914-2B5B-44BD-888E-AE2D1B4CC84B}">
  <ds:schemaRefs/>
</ds:datastoreItem>
</file>

<file path=customXml/itemProps5.xml><?xml version="1.0" encoding="utf-8"?>
<ds:datastoreItem xmlns:ds="http://schemas.openxmlformats.org/officeDocument/2006/customXml" ds:itemID="{21CCBAAE-F40E-40D7-947B-D4215BF49A02}">
  <ds:schemaRefs/>
</ds:datastoreItem>
</file>

<file path=customXml/itemProps6.xml><?xml version="1.0" encoding="utf-8"?>
<ds:datastoreItem xmlns:ds="http://schemas.openxmlformats.org/officeDocument/2006/customXml" ds:itemID="{8C2D8A63-01C6-44A7-AC64-A760D02686D9}">
  <ds:schemaRefs/>
</ds:datastoreItem>
</file>

<file path=customXml/itemProps7.xml><?xml version="1.0" encoding="utf-8"?>
<ds:datastoreItem xmlns:ds="http://schemas.openxmlformats.org/officeDocument/2006/customXml" ds:itemID="{86B1BE83-B787-4833-8CF5-1190D9E227A9}">
  <ds:schemaRefs/>
</ds:datastoreItem>
</file>

<file path=customXml/itemProps8.xml><?xml version="1.0" encoding="utf-8"?>
<ds:datastoreItem xmlns:ds="http://schemas.openxmlformats.org/officeDocument/2006/customXml" ds:itemID="{760E6A13-355C-4A31-A50C-21A2CA114935}">
  <ds:schemaRefs/>
</ds:datastoreItem>
</file>

<file path=customXml/itemProps9.xml><?xml version="1.0" encoding="utf-8"?>
<ds:datastoreItem xmlns:ds="http://schemas.openxmlformats.org/officeDocument/2006/customXml" ds:itemID="{C4C9FDA7-C44A-47B0-B504-AB200013A76F}">
  <ds:schemaRefs/>
</ds:datastoreItem>
</file>

<file path=customXml/itemProps10.xml><?xml version="1.0" encoding="utf-8"?>
<ds:datastoreItem xmlns:ds="http://schemas.openxmlformats.org/officeDocument/2006/customXml" ds:itemID="{4596C198-8DEA-40B3-A303-DE226324DBBD}">
  <ds:schemaRefs/>
</ds:datastoreItem>
</file>

<file path=customXml/itemProps11.xml><?xml version="1.0" encoding="utf-8"?>
<ds:datastoreItem xmlns:ds="http://schemas.openxmlformats.org/officeDocument/2006/customXml" ds:itemID="{CE8570ED-526C-4A21-914F-8601C63385E2}">
  <ds:schemaRefs/>
</ds:datastoreItem>
</file>

<file path=customXml/itemProps12.xml><?xml version="1.0" encoding="utf-8"?>
<ds:datastoreItem xmlns:ds="http://schemas.openxmlformats.org/officeDocument/2006/customXml" ds:itemID="{46DDF993-2088-449F-8364-A3AB00A2053F}">
  <ds:schemaRefs>
    <ds:schemaRef ds:uri="http://schemas.microsoft.com/DataMashup"/>
  </ds:schemaRefs>
</ds:datastoreItem>
</file>

<file path=customXml/itemProps13.xml><?xml version="1.0" encoding="utf-8"?>
<ds:datastoreItem xmlns:ds="http://schemas.openxmlformats.org/officeDocument/2006/customXml" ds:itemID="{E95C9492-84BC-4375-ADF9-620C1E55D70B}">
  <ds:schemaRefs/>
</ds:datastoreItem>
</file>

<file path=customXml/itemProps14.xml><?xml version="1.0" encoding="utf-8"?>
<ds:datastoreItem xmlns:ds="http://schemas.openxmlformats.org/officeDocument/2006/customXml" ds:itemID="{CC13602A-E2D9-4F31-9205-6A3AA84929B5}">
  <ds:schemaRefs/>
</ds:datastoreItem>
</file>

<file path=customXml/itemProps15.xml><?xml version="1.0" encoding="utf-8"?>
<ds:datastoreItem xmlns:ds="http://schemas.openxmlformats.org/officeDocument/2006/customXml" ds:itemID="{053A3AB6-F673-4A6A-8847-4897B976B827}">
  <ds:schemaRefs/>
</ds:datastoreItem>
</file>

<file path=customXml/itemProps16.xml><?xml version="1.0" encoding="utf-8"?>
<ds:datastoreItem xmlns:ds="http://schemas.openxmlformats.org/officeDocument/2006/customXml" ds:itemID="{13447EBE-F26E-4506-B7BF-FB70C4F1C05F}">
  <ds:schemaRefs/>
</ds:datastoreItem>
</file>

<file path=customXml/itemProps17.xml><?xml version="1.0" encoding="utf-8"?>
<ds:datastoreItem xmlns:ds="http://schemas.openxmlformats.org/officeDocument/2006/customXml" ds:itemID="{6170DE00-F80B-46E4-8E44-DCCBACA1AD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PERFORMANCE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AMJED</cp:lastModifiedBy>
  <dcterms:created xsi:type="dcterms:W3CDTF">2021-06-10T21:45:32Z</dcterms:created>
  <dcterms:modified xsi:type="dcterms:W3CDTF">2023-01-28T02:54:58Z</dcterms:modified>
</cp:coreProperties>
</file>